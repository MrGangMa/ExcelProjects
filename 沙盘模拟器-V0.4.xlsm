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Homework\github-ExcelProjects\"/>
    </mc:Choice>
  </mc:AlternateContent>
  <bookViews>
    <workbookView xWindow="0" yWindow="0" windowWidth="13680" windowHeight="9135" tabRatio="767" activeTab="2"/>
  </bookViews>
  <sheets>
    <sheet name="电子沙盘-盘面" sheetId="8" r:id="rId1"/>
    <sheet name="电子沙盘-财务表格" sheetId="7" r:id="rId2"/>
    <sheet name="电子沙盘-数据库" sheetId="6" r:id="rId3"/>
    <sheet name="电子沙盘-事件数据" sheetId="11" r:id="rId4"/>
    <sheet name="电子沙盘-状态机" sheetId="9" r:id="rId5"/>
    <sheet name="电子沙盘-需求" sheetId="10" r:id="rId6"/>
    <sheet name="斯隆沙盘-盘面" sheetId="1" r:id="rId7"/>
    <sheet name="斯隆沙盘-订单信息" sheetId="2" r:id="rId8"/>
    <sheet name="斯隆沙盘-财务表格" sheetId="3" r:id="rId9"/>
    <sheet name="斯隆沙盘-行动表格" sheetId="4" r:id="rId10"/>
    <sheet name="斯隆沙盘-年度计划" sheetId="5" r:id="rId11"/>
  </sheets>
  <functionGroups builtInGroupCount="18"/>
  <definedNames>
    <definedName name="列_产线种类">表_生产线属性[生产线种类]</definedName>
    <definedName name="列_厂房名称">表_厂房属性[列_厂房名称]</definedName>
    <definedName name="列_事件代码">表_事件状态机[当前事件]</definedName>
    <definedName name="列_团队">表_团队[列_团队]</definedName>
    <definedName name="值_财务表选年">'电子沙盘-财务表格'!$H$2</definedName>
    <definedName name="值_财务表选组">'电子沙盘-财务表格'!$D$2</definedName>
    <definedName name="值_短贷季度">'电子沙盘-数据库'!$D$48</definedName>
    <definedName name="值_季度">'电子沙盘-数据库'!$D$43</definedName>
    <definedName name="值_年度">'电子沙盘-数据库'!$D$50</definedName>
    <definedName name="值_生产季度">'电子沙盘-数据库'!$D$46</definedName>
    <definedName name="值_税率">'电子沙盘-数据库'!$D$51</definedName>
    <definedName name="值_所有者权益">'电子沙盘-财务表格'!$N$28</definedName>
    <definedName name="值_维保季度">'电子沙盘-数据库'!$D$49</definedName>
    <definedName name="值_应付季度">'电子沙盘-数据库'!$D$44</definedName>
    <definedName name="值_应收季度">'电子沙盘-数据库'!$D$45</definedName>
    <definedName name="值_长贷季度">'电子沙盘-数据库'!$D$47</definedName>
    <definedName name="值_主板选组">'电子沙盘-盘面'!$M$2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1" l="1"/>
  <c r="C4" i="11"/>
  <c r="C3" i="11"/>
  <c r="J189" i="6" l="1"/>
  <c r="I188" i="6"/>
  <c r="E188" i="6"/>
  <c r="J7" i="6"/>
  <c r="J8" i="6"/>
  <c r="J9" i="6"/>
  <c r="J6" i="6"/>
  <c r="I5" i="6"/>
  <c r="E31" i="6"/>
  <c r="E32" i="6"/>
  <c r="E33" i="6"/>
  <c r="E34" i="6"/>
  <c r="E35" i="6"/>
  <c r="E36" i="6"/>
  <c r="E19" i="6"/>
  <c r="E20" i="6"/>
  <c r="E21" i="6"/>
  <c r="E22" i="6"/>
  <c r="E23" i="6"/>
  <c r="E24" i="6"/>
  <c r="E25" i="6"/>
  <c r="E26" i="6"/>
  <c r="E27" i="6"/>
  <c r="E28" i="6"/>
  <c r="E29" i="6"/>
  <c r="E30" i="6"/>
  <c r="E10" i="6"/>
  <c r="E11" i="6"/>
  <c r="E12" i="6"/>
  <c r="E13" i="6"/>
  <c r="E14" i="6"/>
  <c r="E15" i="6"/>
  <c r="E16" i="6"/>
  <c r="E17" i="6"/>
  <c r="E18" i="6"/>
  <c r="E6" i="6"/>
  <c r="E7" i="6"/>
  <c r="E8" i="6"/>
  <c r="E9" i="6"/>
  <c r="E5" i="6"/>
  <c r="E4" i="6"/>
  <c r="E3" i="6"/>
  <c r="M194" i="6"/>
  <c r="M195" i="6"/>
  <c r="M196" i="6"/>
  <c r="M197" i="6"/>
  <c r="M187" i="6"/>
  <c r="M198" i="6"/>
  <c r="M199" i="6"/>
  <c r="M200" i="6"/>
  <c r="M186" i="6"/>
  <c r="M190" i="6"/>
  <c r="M191" i="6"/>
  <c r="M192" i="6"/>
  <c r="M193" i="6"/>
  <c r="M188" i="6"/>
  <c r="M189" i="6"/>
  <c r="G93" i="6"/>
  <c r="G92" i="6"/>
  <c r="G88" i="6"/>
  <c r="F93" i="6"/>
  <c r="F89" i="6"/>
  <c r="F88" i="6"/>
  <c r="F90" i="6"/>
  <c r="G95" i="6"/>
  <c r="G91" i="6"/>
  <c r="G87" i="6"/>
  <c r="F92" i="6"/>
  <c r="F94" i="6"/>
  <c r="G94" i="6"/>
  <c r="G90" i="6"/>
  <c r="F95" i="6"/>
  <c r="F91" i="6"/>
  <c r="F87" i="6"/>
  <c r="G89" i="6"/>
  <c r="I14" i="6"/>
  <c r="K121" i="6" l="1"/>
  <c r="I12" i="6"/>
  <c r="J13" i="6" s="1"/>
  <c r="H12" i="6"/>
  <c r="I13" i="6" l="1"/>
  <c r="H13" i="6"/>
  <c r="J12" i="6"/>
  <c r="E186" i="6"/>
  <c r="E187" i="6"/>
  <c r="E189" i="6" l="1"/>
  <c r="E190" i="6"/>
  <c r="E191" i="6"/>
  <c r="E192" i="6"/>
  <c r="T121" i="6"/>
  <c r="E193" i="6"/>
  <c r="E194" i="6"/>
  <c r="E195" i="6"/>
  <c r="E196" i="6"/>
  <c r="E197" i="6"/>
  <c r="E198" i="6"/>
  <c r="E199" i="6"/>
  <c r="E200" i="6"/>
  <c r="W121" i="6" l="1"/>
  <c r="M5" i="7"/>
  <c r="I6" i="8"/>
  <c r="H6" i="8"/>
  <c r="G6" i="8"/>
  <c r="F6" i="8"/>
  <c r="I5" i="8"/>
  <c r="H5" i="8"/>
  <c r="G5" i="8"/>
  <c r="F5" i="8"/>
  <c r="K199" i="6"/>
  <c r="J196" i="6"/>
  <c r="K193" i="6"/>
  <c r="J192" i="6"/>
  <c r="J190" i="6"/>
  <c r="N26" i="7"/>
  <c r="F121" i="6"/>
  <c r="N25" i="7"/>
  <c r="G121" i="6"/>
  <c r="G5" i="7"/>
  <c r="F5" i="7"/>
  <c r="E5" i="7"/>
  <c r="D5" i="7"/>
  <c r="B5" i="7"/>
  <c r="N19" i="7"/>
  <c r="O135" i="6"/>
  <c r="O138" i="6"/>
  <c r="O139" i="6"/>
  <c r="O140" i="6"/>
  <c r="O141" i="6"/>
  <c r="M135" i="6"/>
  <c r="M136" i="6"/>
  <c r="M137" i="6"/>
  <c r="M138" i="6"/>
  <c r="P138" i="6" s="1"/>
  <c r="M139" i="6"/>
  <c r="P139" i="6" s="1"/>
  <c r="M140" i="6"/>
  <c r="P140" i="6" s="1"/>
  <c r="M141" i="6"/>
  <c r="P141" i="6" s="1"/>
  <c r="G59" i="6"/>
  <c r="G60" i="6"/>
  <c r="G61" i="6"/>
  <c r="G62" i="6"/>
  <c r="G158" i="6"/>
  <c r="I158" i="6" s="1"/>
  <c r="G63" i="6" s="1"/>
  <c r="G159" i="6"/>
  <c r="I159" i="6" s="1"/>
  <c r="G64" i="6" s="1"/>
  <c r="G160" i="6"/>
  <c r="I160" i="6" s="1"/>
  <c r="G65" i="6" s="1"/>
  <c r="G161" i="6"/>
  <c r="I161" i="6" s="1"/>
  <c r="G66" i="6" s="1"/>
  <c r="N18" i="7"/>
  <c r="K36" i="6"/>
  <c r="K33" i="6"/>
  <c r="J34" i="6"/>
  <c r="J31" i="6"/>
  <c r="J30" i="6"/>
  <c r="L137" i="6"/>
  <c r="J36" i="6" s="1"/>
  <c r="L136" i="6"/>
  <c r="J33" i="6" s="1"/>
  <c r="J20" i="6"/>
  <c r="J23" i="6"/>
  <c r="J21" i="6"/>
  <c r="J29" i="6"/>
  <c r="J28" i="6"/>
  <c r="J25" i="6"/>
  <c r="J22" i="6"/>
  <c r="S121" i="6"/>
  <c r="J19" i="6"/>
  <c r="O121" i="6"/>
  <c r="E152" i="6"/>
  <c r="K18" i="6"/>
  <c r="J164" i="6"/>
  <c r="J165" i="6"/>
  <c r="J166" i="6"/>
  <c r="F137" i="6"/>
  <c r="M4" i="6"/>
  <c r="M9" i="6"/>
  <c r="M38" i="6"/>
  <c r="M16" i="6"/>
  <c r="D50" i="6"/>
  <c r="M39" i="6"/>
  <c r="M20" i="6"/>
  <c r="M18" i="6"/>
  <c r="M31" i="6"/>
  <c r="M25" i="6"/>
  <c r="M11" i="6"/>
  <c r="M5" i="6"/>
  <c r="M3" i="6"/>
  <c r="M32" i="6"/>
  <c r="M30" i="6"/>
  <c r="F136" i="6"/>
  <c r="M7" i="6"/>
  <c r="M36" i="6"/>
  <c r="M34" i="6"/>
  <c r="M12" i="6"/>
  <c r="M10" i="6"/>
  <c r="M27" i="6"/>
  <c r="M21" i="6"/>
  <c r="M19" i="6"/>
  <c r="M13" i="6"/>
  <c r="M23" i="6"/>
  <c r="M17" i="6"/>
  <c r="M37" i="6"/>
  <c r="M26" i="6"/>
  <c r="M8" i="6"/>
  <c r="M35" i="6"/>
  <c r="M29" i="6"/>
  <c r="I2" i="8"/>
  <c r="M15" i="6"/>
  <c r="M24" i="6"/>
  <c r="M14" i="6"/>
  <c r="F135" i="6"/>
  <c r="M28" i="6"/>
  <c r="M6" i="6"/>
  <c r="M33" i="6"/>
  <c r="M22" i="6"/>
  <c r="L5" i="7" l="1"/>
  <c r="V5" i="8"/>
  <c r="T7" i="8"/>
  <c r="V6" i="8"/>
  <c r="T6" i="8"/>
  <c r="V4" i="8"/>
  <c r="T4" i="8"/>
  <c r="T5" i="8"/>
  <c r="F56" i="6"/>
  <c r="V7" i="8" s="1"/>
  <c r="F55" i="6"/>
  <c r="F54" i="6"/>
  <c r="E2" i="8"/>
  <c r="N137" i="6"/>
  <c r="N136" i="6"/>
  <c r="J193" i="6"/>
  <c r="A5" i="7"/>
  <c r="O136" i="6"/>
  <c r="O137" i="6"/>
  <c r="D18" i="7"/>
  <c r="P135" i="6"/>
  <c r="P137" i="6"/>
  <c r="P136" i="6"/>
  <c r="H93" i="6"/>
  <c r="H94" i="6"/>
  <c r="H92" i="6"/>
  <c r="H95" i="6"/>
  <c r="H91" i="6"/>
  <c r="H87" i="6"/>
  <c r="T93" i="6"/>
  <c r="T94" i="6"/>
  <c r="T92" i="6"/>
  <c r="T95" i="6"/>
  <c r="T87" i="6"/>
  <c r="K87" i="6"/>
  <c r="G108" i="6"/>
  <c r="J11" i="6"/>
  <c r="J10" i="6"/>
  <c r="D25" i="7" l="1"/>
  <c r="D19" i="7"/>
  <c r="D20" i="7" s="1"/>
  <c r="H89" i="6"/>
  <c r="H88" i="6"/>
  <c r="H90" i="6"/>
  <c r="U121" i="6"/>
  <c r="V121" i="6"/>
  <c r="I198" i="6"/>
  <c r="I17" i="6"/>
  <c r="J15" i="6" l="1"/>
  <c r="J18" i="6"/>
  <c r="L18" i="6" s="1"/>
  <c r="F64" i="6"/>
  <c r="F60" i="6"/>
  <c r="J17" i="6"/>
  <c r="F66" i="6"/>
  <c r="V10" i="8" s="1"/>
  <c r="J14" i="6"/>
  <c r="H82" i="6"/>
  <c r="I82" i="6" s="1"/>
  <c r="H83" i="6"/>
  <c r="I83" i="6" s="1"/>
  <c r="H84" i="6"/>
  <c r="I84" i="6" s="1"/>
  <c r="F63" i="6"/>
  <c r="J16" i="6"/>
  <c r="F65" i="6"/>
  <c r="F59" i="6"/>
  <c r="G18" i="8" s="1"/>
  <c r="F61" i="6"/>
  <c r="F62" i="6"/>
  <c r="J83" i="6"/>
  <c r="J82" i="6"/>
  <c r="J87" i="6"/>
  <c r="L87" i="6" s="1"/>
  <c r="I90" i="6"/>
  <c r="J92" i="6"/>
  <c r="L92" i="6" s="1"/>
  <c r="K83" i="6"/>
  <c r="J95" i="6"/>
  <c r="L95" i="6" s="1"/>
  <c r="I92" i="6"/>
  <c r="I87" i="6"/>
  <c r="I89" i="6"/>
  <c r="K84" i="6"/>
  <c r="J93" i="6"/>
  <c r="L93" i="6" s="1"/>
  <c r="I95" i="6"/>
  <c r="I88" i="6"/>
  <c r="I94" i="6"/>
  <c r="J84" i="6"/>
  <c r="I91" i="6"/>
  <c r="I93" i="6"/>
  <c r="J94" i="6"/>
  <c r="L94" i="6" s="1"/>
  <c r="K17" i="6"/>
  <c r="K198" i="6"/>
  <c r="H66" i="6"/>
  <c r="K94" i="6"/>
  <c r="K91" i="6"/>
  <c r="K95" i="6"/>
  <c r="K92" i="6"/>
  <c r="K93" i="6"/>
  <c r="K13" i="6"/>
  <c r="L135" i="6"/>
  <c r="N135" i="6"/>
  <c r="E84" i="6" l="1"/>
  <c r="H59" i="6"/>
  <c r="H60" i="6"/>
  <c r="L18" i="8"/>
  <c r="H62" i="6"/>
  <c r="V18" i="8"/>
  <c r="H61" i="6"/>
  <c r="Q18" i="8"/>
  <c r="H63" i="6"/>
  <c r="G10" i="8"/>
  <c r="H64" i="6"/>
  <c r="L10" i="8"/>
  <c r="H65" i="6"/>
  <c r="Q10" i="8"/>
  <c r="E83" i="6"/>
  <c r="K82" i="6"/>
  <c r="E82" i="6" s="1"/>
  <c r="J5" i="7"/>
  <c r="Q121" i="6"/>
  <c r="C5" i="7"/>
  <c r="D21" i="7" s="1"/>
  <c r="D22" i="7" s="1"/>
  <c r="F83" i="6"/>
  <c r="G83" i="6" s="1"/>
  <c r="F84" i="6"/>
  <c r="G84" i="6" s="1"/>
  <c r="F82" i="6"/>
  <c r="D29" i="3"/>
  <c r="D27" i="3"/>
  <c r="D24" i="3"/>
  <c r="D22" i="3"/>
  <c r="D20" i="3"/>
  <c r="M28" i="3"/>
  <c r="M23" i="3"/>
  <c r="M29" i="3" s="1"/>
  <c r="J28" i="3"/>
  <c r="J29" i="3" s="1"/>
  <c r="J24" i="3"/>
  <c r="K21" i="7" l="1"/>
  <c r="Z15" i="8"/>
  <c r="K23" i="7"/>
  <c r="K26" i="7"/>
  <c r="G82" i="6"/>
  <c r="I15" i="6"/>
  <c r="I16" i="6"/>
  <c r="S87" i="6" l="1"/>
  <c r="S92" i="6"/>
  <c r="S94" i="6"/>
  <c r="S91" i="6"/>
  <c r="S90" i="6"/>
  <c r="S93" i="6"/>
  <c r="S95" i="6"/>
  <c r="S89" i="6"/>
  <c r="S88" i="6"/>
  <c r="R87" i="6"/>
  <c r="R92" i="6"/>
  <c r="R94" i="6"/>
  <c r="R89" i="6"/>
  <c r="R93" i="6"/>
  <c r="R91" i="6"/>
  <c r="R90" i="6"/>
  <c r="R95" i="6"/>
  <c r="R88" i="6"/>
  <c r="Q87" i="6"/>
  <c r="Q92" i="6"/>
  <c r="Q94" i="6"/>
  <c r="Q91" i="6"/>
  <c r="Q90" i="6"/>
  <c r="Q89" i="6"/>
  <c r="Q93" i="6"/>
  <c r="Q95" i="6"/>
  <c r="Q88" i="6"/>
  <c r="P87" i="6"/>
  <c r="P90" i="6"/>
  <c r="P94" i="6"/>
  <c r="P89" i="6"/>
  <c r="P91" i="6"/>
  <c r="P88" i="6"/>
  <c r="O88" i="6" s="1"/>
  <c r="P95" i="6"/>
  <c r="P92" i="6"/>
  <c r="P93" i="6"/>
  <c r="K88" i="6"/>
  <c r="K89" i="6"/>
  <c r="K90" i="6"/>
  <c r="K16" i="6"/>
  <c r="L16" i="6" s="1"/>
  <c r="J90" i="6" s="1"/>
  <c r="K15" i="6"/>
  <c r="L15" i="6" s="1"/>
  <c r="J89" i="6" s="1"/>
  <c r="K14" i="6"/>
  <c r="M88" i="6" l="1"/>
  <c r="N88" i="6" s="1"/>
  <c r="O93" i="6"/>
  <c r="O87" i="6"/>
  <c r="O89" i="6"/>
  <c r="O91" i="6"/>
  <c r="O92" i="6"/>
  <c r="O95" i="6"/>
  <c r="O94" i="6"/>
  <c r="O90" i="6"/>
  <c r="T88" i="6"/>
  <c r="G105" i="6"/>
  <c r="L89" i="6"/>
  <c r="G117" i="6"/>
  <c r="N121" i="6" s="1"/>
  <c r="E121" i="6" s="1"/>
  <c r="G114" i="6"/>
  <c r="G115" i="6"/>
  <c r="G116" i="6"/>
  <c r="L14" i="6"/>
  <c r="G113" i="6"/>
  <c r="D13" i="8"/>
  <c r="L4" i="8" l="1"/>
  <c r="K18" i="7"/>
  <c r="N95" i="6"/>
  <c r="V14" i="8" s="1"/>
  <c r="M95" i="6"/>
  <c r="N87" i="6"/>
  <c r="M87" i="6"/>
  <c r="N92" i="6"/>
  <c r="N13" i="8" s="1"/>
  <c r="M92" i="6"/>
  <c r="N93" i="6"/>
  <c r="P15" i="8" s="1"/>
  <c r="M93" i="6"/>
  <c r="M90" i="6"/>
  <c r="N90" i="6" s="1"/>
  <c r="H14" i="8" s="1"/>
  <c r="M91" i="6"/>
  <c r="N91" i="6" s="1"/>
  <c r="J15" i="8" s="1"/>
  <c r="N94" i="6"/>
  <c r="R13" i="8" s="1"/>
  <c r="M94" i="6"/>
  <c r="M89" i="6"/>
  <c r="N89" i="6" s="1"/>
  <c r="F15" i="8" s="1"/>
  <c r="D15" i="8"/>
  <c r="T89" i="6"/>
  <c r="T90" i="6"/>
  <c r="T91" i="6"/>
  <c r="G106" i="6"/>
  <c r="F105" i="6" s="1"/>
  <c r="I8" i="8" s="1"/>
  <c r="G107" i="6"/>
  <c r="F107" i="6" s="1"/>
  <c r="K8" i="8" s="1"/>
  <c r="J88" i="6"/>
  <c r="L88" i="6" s="1"/>
  <c r="G103" i="6"/>
  <c r="G102" i="6"/>
  <c r="L17" i="6"/>
  <c r="J91" i="6" s="1"/>
  <c r="G104" i="6"/>
  <c r="F118" i="6"/>
  <c r="F114" i="6"/>
  <c r="G4" i="8" s="1"/>
  <c r="F115" i="6"/>
  <c r="H4" i="8" s="1"/>
  <c r="F116" i="6"/>
  <c r="I4" i="8" s="1"/>
  <c r="F113" i="6"/>
  <c r="D14" i="8"/>
  <c r="J14" i="8"/>
  <c r="P14" i="8" l="1"/>
  <c r="R15" i="8"/>
  <c r="P13" i="8"/>
  <c r="J13" i="8"/>
  <c r="N15" i="8"/>
  <c r="V15" i="8"/>
  <c r="F13" i="8"/>
  <c r="R14" i="8"/>
  <c r="N14" i="8"/>
  <c r="V13" i="8"/>
  <c r="K19" i="7"/>
  <c r="H13" i="8"/>
  <c r="K22" i="7"/>
  <c r="F106" i="6"/>
  <c r="J8" i="8" s="1"/>
  <c r="F102" i="6"/>
  <c r="I5" i="7"/>
  <c r="K5" i="7" s="1"/>
  <c r="D23" i="7" s="1"/>
  <c r="D24" i="7" s="1"/>
  <c r="D27" i="7" s="1"/>
  <c r="D28" i="7" s="1"/>
  <c r="N20" i="7" s="1"/>
  <c r="F103" i="6"/>
  <c r="G8" i="8" s="1"/>
  <c r="F4" i="8"/>
  <c r="L91" i="6"/>
  <c r="L90" i="6"/>
  <c r="F104" i="6"/>
  <c r="F14" i="8"/>
  <c r="H15" i="8"/>
  <c r="Z13" i="8" l="1"/>
  <c r="F8" i="8"/>
  <c r="N21" i="7"/>
  <c r="N23" i="7" s="1"/>
  <c r="K24" i="7"/>
  <c r="H195" i="6"/>
  <c r="I195" i="6"/>
  <c r="J197" i="6" s="1"/>
  <c r="H8" i="8"/>
  <c r="D29" i="7"/>
  <c r="N27" i="7" s="1"/>
  <c r="N28" i="7" s="1"/>
  <c r="R2" i="8" s="1"/>
  <c r="K27" i="7"/>
  <c r="K28" i="7" s="1"/>
  <c r="K29" i="7" l="1"/>
  <c r="I197" i="6"/>
  <c r="J199" i="6" s="1"/>
  <c r="L199" i="6" s="1"/>
  <c r="H197" i="6"/>
  <c r="J195" i="6"/>
  <c r="N29" i="7"/>
  <c r="K197" i="6" l="1"/>
  <c r="J198" i="6"/>
  <c r="L198" i="6" s="1"/>
</calcChain>
</file>

<file path=xl/sharedStrings.xml><?xml version="1.0" encoding="utf-8"?>
<sst xmlns="http://schemas.openxmlformats.org/spreadsheetml/2006/main" count="1356" uniqueCount="808">
  <si>
    <t>R1原材料仓库</t>
    <phoneticPr fontId="1" type="noConversion"/>
  </si>
  <si>
    <t>R2原材料仓库</t>
  </si>
  <si>
    <t>R3原材料仓库</t>
  </si>
  <si>
    <t>R4原材料仓库</t>
  </si>
  <si>
    <t>生产模块</t>
    <phoneticPr fontId="1" type="noConversion"/>
  </si>
  <si>
    <t>生产线操作原则</t>
    <phoneticPr fontId="1" type="noConversion"/>
  </si>
  <si>
    <t>生产线</t>
    <phoneticPr fontId="1" type="noConversion"/>
  </si>
  <si>
    <t>购买资金</t>
    <phoneticPr fontId="1" type="noConversion"/>
  </si>
  <si>
    <t>生产周期</t>
    <phoneticPr fontId="1" type="noConversion"/>
  </si>
  <si>
    <t>加工费</t>
    <phoneticPr fontId="1" type="noConversion"/>
  </si>
  <si>
    <t>折旧费用</t>
    <phoneticPr fontId="1" type="noConversion"/>
  </si>
  <si>
    <t>应付账期规则，一次性采购原料</t>
    <phoneticPr fontId="1" type="noConversion"/>
  </si>
  <si>
    <t>采购金额</t>
    <phoneticPr fontId="1" type="noConversion"/>
  </si>
  <si>
    <t>应付账期</t>
    <phoneticPr fontId="1" type="noConversion"/>
  </si>
  <si>
    <t>手工线</t>
    <phoneticPr fontId="1" type="noConversion"/>
  </si>
  <si>
    <t>半自动线</t>
    <phoneticPr fontId="1" type="noConversion"/>
  </si>
  <si>
    <t>全自动线</t>
    <phoneticPr fontId="1" type="noConversion"/>
  </si>
  <si>
    <t>5M</t>
    <phoneticPr fontId="1" type="noConversion"/>
  </si>
  <si>
    <t>8M</t>
    <phoneticPr fontId="1" type="noConversion"/>
  </si>
  <si>
    <t>16M</t>
    <phoneticPr fontId="1" type="noConversion"/>
  </si>
  <si>
    <t>3Q</t>
  </si>
  <si>
    <t>3Q</t>
    <phoneticPr fontId="1" type="noConversion"/>
  </si>
  <si>
    <t>2Q</t>
  </si>
  <si>
    <t>2Q</t>
    <phoneticPr fontId="1" type="noConversion"/>
  </si>
  <si>
    <t>1Q</t>
  </si>
  <si>
    <t>1Q</t>
    <phoneticPr fontId="1" type="noConversion"/>
  </si>
  <si>
    <t>1M</t>
    <phoneticPr fontId="1" type="noConversion"/>
  </si>
  <si>
    <t>维护费用</t>
    <phoneticPr fontId="1" type="noConversion"/>
  </si>
  <si>
    <t>1M/年</t>
    <phoneticPr fontId="1" type="noConversion"/>
  </si>
  <si>
    <t>1M/年</t>
    <phoneticPr fontId="1" type="noConversion"/>
  </si>
  <si>
    <t>1M/年</t>
    <phoneticPr fontId="1" type="noConversion"/>
  </si>
  <si>
    <t>3M/年</t>
    <phoneticPr fontId="1" type="noConversion"/>
  </si>
  <si>
    <t>6-9M</t>
    <phoneticPr fontId="1" type="noConversion"/>
  </si>
  <si>
    <t>4Q</t>
  </si>
  <si>
    <t>10-14M</t>
    <phoneticPr fontId="1" type="noConversion"/>
  </si>
  <si>
    <t>≥20M</t>
    <phoneticPr fontId="1" type="noConversion"/>
  </si>
  <si>
    <t>15-19M</t>
    <phoneticPr fontId="1" type="noConversion"/>
  </si>
  <si>
    <t>A厂房</t>
    <phoneticPr fontId="1" type="noConversion"/>
  </si>
  <si>
    <t>厂房价值</t>
    <phoneticPr fontId="1" type="noConversion"/>
  </si>
  <si>
    <t>购买</t>
    <phoneticPr fontId="1" type="noConversion"/>
  </si>
  <si>
    <t>32M</t>
    <phoneticPr fontId="1" type="noConversion"/>
  </si>
  <si>
    <t>租金</t>
    <phoneticPr fontId="1" type="noConversion"/>
  </si>
  <si>
    <t>4M/年</t>
    <phoneticPr fontId="1" type="noConversion"/>
  </si>
  <si>
    <t>生产线1</t>
    <phoneticPr fontId="1" type="noConversion"/>
  </si>
  <si>
    <t>生产线2</t>
  </si>
  <si>
    <t>生产线3</t>
  </si>
  <si>
    <t>生产线4</t>
  </si>
  <si>
    <t>B厂房</t>
    <phoneticPr fontId="1" type="noConversion"/>
  </si>
  <si>
    <t>生产线1</t>
    <phoneticPr fontId="1" type="noConversion"/>
  </si>
  <si>
    <t>C厂房</t>
    <phoneticPr fontId="1" type="noConversion"/>
  </si>
  <si>
    <t>生产线1</t>
    <phoneticPr fontId="1" type="noConversion"/>
  </si>
  <si>
    <t>厂房价值</t>
    <phoneticPr fontId="1" type="noConversion"/>
  </si>
  <si>
    <t>购买</t>
    <phoneticPr fontId="1" type="noConversion"/>
  </si>
  <si>
    <t>24M</t>
    <phoneticPr fontId="1" type="noConversion"/>
  </si>
  <si>
    <t>租金</t>
    <phoneticPr fontId="1" type="noConversion"/>
  </si>
  <si>
    <t>3M/年</t>
    <phoneticPr fontId="1" type="noConversion"/>
  </si>
  <si>
    <t>12M</t>
    <phoneticPr fontId="1" type="noConversion"/>
  </si>
  <si>
    <t>2M/年</t>
    <phoneticPr fontId="1" type="noConversion"/>
  </si>
  <si>
    <t>设备价值</t>
    <phoneticPr fontId="1" type="noConversion"/>
  </si>
  <si>
    <t>残值</t>
    <phoneticPr fontId="1" type="noConversion"/>
  </si>
  <si>
    <t>P1成品库</t>
    <phoneticPr fontId="1" type="noConversion"/>
  </si>
  <si>
    <t>P2成品库</t>
  </si>
  <si>
    <t>P3成品库</t>
  </si>
  <si>
    <t>P4成品库</t>
  </si>
  <si>
    <t>融资规则</t>
    <phoneticPr fontId="1" type="noConversion"/>
  </si>
  <si>
    <t>融资方式</t>
    <phoneticPr fontId="1" type="noConversion"/>
  </si>
  <si>
    <t>融资额度</t>
    <phoneticPr fontId="1" type="noConversion"/>
  </si>
  <si>
    <t>融资成本</t>
    <phoneticPr fontId="1" type="noConversion"/>
  </si>
  <si>
    <t>长期贷款</t>
    <phoneticPr fontId="1" type="noConversion"/>
  </si>
  <si>
    <t>上年所有者权益的2倍</t>
    <phoneticPr fontId="1" type="noConversion"/>
  </si>
  <si>
    <t>5%，每年年末付息，到期还本</t>
    <phoneticPr fontId="1" type="noConversion"/>
  </si>
  <si>
    <t>短期贷款</t>
    <phoneticPr fontId="1" type="noConversion"/>
  </si>
  <si>
    <t>10%，到期还本付息</t>
    <phoneticPr fontId="1" type="noConversion"/>
  </si>
  <si>
    <t>高利贷</t>
    <phoneticPr fontId="1" type="noConversion"/>
  </si>
  <si>
    <t>无额度限制</t>
    <phoneticPr fontId="1" type="noConversion"/>
  </si>
  <si>
    <t>20%，借款时先行扣除利息</t>
    <phoneticPr fontId="1" type="noConversion"/>
  </si>
  <si>
    <t>应收账款贴现</t>
    <phoneticPr fontId="1" type="noConversion"/>
  </si>
  <si>
    <t>应收账款，7M的整数倍</t>
    <phoneticPr fontId="1" type="noConversion"/>
  </si>
  <si>
    <t>1/7，每7M应收账款可贴得6M现金</t>
    <phoneticPr fontId="1" type="noConversion"/>
  </si>
  <si>
    <t>长期借款</t>
    <phoneticPr fontId="1" type="noConversion"/>
  </si>
  <si>
    <t>6Y</t>
    <phoneticPr fontId="1" type="noConversion"/>
  </si>
  <si>
    <t>1Y</t>
  </si>
  <si>
    <t>2Y</t>
  </si>
  <si>
    <t>3Y</t>
  </si>
  <si>
    <t>4Y</t>
  </si>
  <si>
    <t>5Y</t>
  </si>
  <si>
    <t>短期借款</t>
    <phoneticPr fontId="1" type="noConversion"/>
  </si>
  <si>
    <t>4Q</t>
    <phoneticPr fontId="1" type="noConversion"/>
  </si>
  <si>
    <t>应付账款</t>
    <phoneticPr fontId="1" type="noConversion"/>
  </si>
  <si>
    <t>应收账款</t>
    <phoneticPr fontId="1" type="noConversion"/>
  </si>
  <si>
    <t>4Q</t>
    <phoneticPr fontId="1" type="noConversion"/>
  </si>
  <si>
    <t>3Q</t>
    <phoneticPr fontId="1" type="noConversion"/>
  </si>
  <si>
    <t>现金</t>
    <phoneticPr fontId="1" type="noConversion"/>
  </si>
  <si>
    <t>综合费用</t>
    <phoneticPr fontId="1" type="noConversion"/>
  </si>
  <si>
    <t>行政费用</t>
    <phoneticPr fontId="1" type="noConversion"/>
  </si>
  <si>
    <t>广告费用</t>
    <phoneticPr fontId="1" type="noConversion"/>
  </si>
  <si>
    <t>设备维护</t>
    <phoneticPr fontId="1" type="noConversion"/>
  </si>
  <si>
    <t>厂房租金</t>
    <phoneticPr fontId="1" type="noConversion"/>
  </si>
  <si>
    <t>折旧费用，财务费用，所得税</t>
    <phoneticPr fontId="1" type="noConversion"/>
  </si>
  <si>
    <t>设备折旧</t>
    <phoneticPr fontId="1" type="noConversion"/>
  </si>
  <si>
    <t>借款利息</t>
    <phoneticPr fontId="1" type="noConversion"/>
  </si>
  <si>
    <t>贴现费用</t>
    <phoneticPr fontId="1" type="noConversion"/>
  </si>
  <si>
    <t>上年所得税</t>
    <phoneticPr fontId="1" type="noConversion"/>
  </si>
  <si>
    <t>P2</t>
  </si>
  <si>
    <t>P2</t>
    <phoneticPr fontId="1" type="noConversion"/>
  </si>
  <si>
    <t>2Q</t>
    <phoneticPr fontId="1" type="noConversion"/>
  </si>
  <si>
    <t>6Q</t>
  </si>
  <si>
    <t>5Q</t>
  </si>
  <si>
    <t>P3</t>
  </si>
  <si>
    <t>P3</t>
    <phoneticPr fontId="1" type="noConversion"/>
  </si>
  <si>
    <t>P4</t>
  </si>
  <si>
    <t>P4</t>
    <phoneticPr fontId="1" type="noConversion"/>
  </si>
  <si>
    <t>产品开发</t>
    <phoneticPr fontId="1" type="noConversion"/>
  </si>
  <si>
    <t>国际</t>
    <phoneticPr fontId="1" type="noConversion"/>
  </si>
  <si>
    <t>亚洲</t>
    <phoneticPr fontId="1" type="noConversion"/>
  </si>
  <si>
    <t>全国</t>
    <phoneticPr fontId="1" type="noConversion"/>
  </si>
  <si>
    <t>区域</t>
    <phoneticPr fontId="1" type="noConversion"/>
  </si>
  <si>
    <t>质量认证</t>
    <phoneticPr fontId="1" type="noConversion"/>
  </si>
  <si>
    <t>（综合费用）</t>
    <phoneticPr fontId="1" type="noConversion"/>
  </si>
  <si>
    <t>1Y</t>
    <phoneticPr fontId="1" type="noConversion"/>
  </si>
  <si>
    <t>市场开发</t>
    <phoneticPr fontId="1" type="noConversion"/>
  </si>
  <si>
    <t>销售订单</t>
    <phoneticPr fontId="1" type="noConversion"/>
  </si>
  <si>
    <t>P1</t>
    <phoneticPr fontId="1" type="noConversion"/>
  </si>
  <si>
    <t>P3</t>
    <phoneticPr fontId="1" type="noConversion"/>
  </si>
  <si>
    <t>P4</t>
    <phoneticPr fontId="1" type="noConversion"/>
  </si>
  <si>
    <t>订单</t>
    <phoneticPr fontId="1" type="noConversion"/>
  </si>
  <si>
    <t>年份</t>
    <phoneticPr fontId="1" type="noConversion"/>
  </si>
  <si>
    <t>引导年</t>
    <phoneticPr fontId="1" type="noConversion"/>
  </si>
  <si>
    <t>产品</t>
    <phoneticPr fontId="1" type="noConversion"/>
  </si>
  <si>
    <t>P1</t>
    <phoneticPr fontId="1" type="noConversion"/>
  </si>
  <si>
    <t>数量</t>
    <phoneticPr fontId="1" type="noConversion"/>
  </si>
  <si>
    <t>单价</t>
    <phoneticPr fontId="1" type="noConversion"/>
  </si>
  <si>
    <t>总价</t>
    <phoneticPr fontId="1" type="noConversion"/>
  </si>
  <si>
    <t>条件</t>
    <phoneticPr fontId="1" type="noConversion"/>
  </si>
  <si>
    <t>账期</t>
    <phoneticPr fontId="1" type="noConversion"/>
  </si>
  <si>
    <t>归属</t>
    <phoneticPr fontId="1" type="noConversion"/>
  </si>
  <si>
    <t>市场信息</t>
    <phoneticPr fontId="1" type="noConversion"/>
  </si>
  <si>
    <t>国际</t>
    <phoneticPr fontId="1" type="noConversion"/>
  </si>
  <si>
    <t>亚洲</t>
    <phoneticPr fontId="1" type="noConversion"/>
  </si>
  <si>
    <t>区域</t>
    <phoneticPr fontId="1" type="noConversion"/>
  </si>
  <si>
    <t>本地</t>
    <phoneticPr fontId="1" type="noConversion"/>
  </si>
  <si>
    <t>销量预测</t>
    <phoneticPr fontId="1" type="noConversion"/>
  </si>
  <si>
    <t>价格预测</t>
    <phoneticPr fontId="1" type="noConversion"/>
  </si>
  <si>
    <t>引导年</t>
    <phoneticPr fontId="1" type="noConversion"/>
  </si>
  <si>
    <t>引导年</t>
    <phoneticPr fontId="1" type="noConversion"/>
  </si>
  <si>
    <t>年度销售计划</t>
    <phoneticPr fontId="1" type="noConversion"/>
  </si>
  <si>
    <t>销量目标</t>
    <phoneticPr fontId="1" type="noConversion"/>
  </si>
  <si>
    <t>收入目标</t>
    <phoneticPr fontId="1" type="noConversion"/>
  </si>
  <si>
    <t>广告费用</t>
    <phoneticPr fontId="1" type="noConversion"/>
  </si>
  <si>
    <t>A</t>
    <phoneticPr fontId="1" type="noConversion"/>
  </si>
  <si>
    <t>组</t>
    <phoneticPr fontId="1" type="noConversion"/>
  </si>
  <si>
    <t>综合费用</t>
    <phoneticPr fontId="1" type="noConversion"/>
  </si>
  <si>
    <t>行政费用</t>
    <phoneticPr fontId="1" type="noConversion"/>
  </si>
  <si>
    <t>广告费用</t>
    <phoneticPr fontId="1" type="noConversion"/>
  </si>
  <si>
    <t>设备维护</t>
    <phoneticPr fontId="1" type="noConversion"/>
  </si>
  <si>
    <t>厂房租金</t>
    <phoneticPr fontId="1" type="noConversion"/>
  </si>
  <si>
    <t>产品研发</t>
    <phoneticPr fontId="1" type="noConversion"/>
  </si>
  <si>
    <t>市场开发</t>
    <phoneticPr fontId="1" type="noConversion"/>
  </si>
  <si>
    <t>未交货罚款</t>
    <phoneticPr fontId="1" type="noConversion"/>
  </si>
  <si>
    <t>财务费用</t>
    <phoneticPr fontId="1" type="noConversion"/>
  </si>
  <si>
    <t>设备折旧</t>
    <phoneticPr fontId="1" type="noConversion"/>
  </si>
  <si>
    <t>借款利息</t>
    <phoneticPr fontId="1" type="noConversion"/>
  </si>
  <si>
    <t>贴现费用</t>
    <phoneticPr fontId="1" type="noConversion"/>
  </si>
  <si>
    <t>P1</t>
    <phoneticPr fontId="1" type="noConversion"/>
  </si>
  <si>
    <t>销售数量</t>
    <phoneticPr fontId="1" type="noConversion"/>
  </si>
  <si>
    <t>直接成本</t>
    <phoneticPr fontId="1" type="noConversion"/>
  </si>
  <si>
    <t>营业收入</t>
    <phoneticPr fontId="1" type="noConversion"/>
  </si>
  <si>
    <t>P1</t>
    <phoneticPr fontId="1" type="noConversion"/>
  </si>
  <si>
    <t>存货</t>
    <phoneticPr fontId="1" type="noConversion"/>
  </si>
  <si>
    <t>产成品</t>
    <phoneticPr fontId="1" type="noConversion"/>
  </si>
  <si>
    <t>数量</t>
    <phoneticPr fontId="1" type="noConversion"/>
  </si>
  <si>
    <t>金额</t>
    <phoneticPr fontId="1" type="noConversion"/>
  </si>
  <si>
    <t>在制品</t>
    <phoneticPr fontId="1" type="noConversion"/>
  </si>
  <si>
    <t>数量</t>
    <phoneticPr fontId="1" type="noConversion"/>
  </si>
  <si>
    <t>金额</t>
    <phoneticPr fontId="1" type="noConversion"/>
  </si>
  <si>
    <t>原材料</t>
    <phoneticPr fontId="1" type="noConversion"/>
  </si>
  <si>
    <t>数量</t>
    <phoneticPr fontId="1" type="noConversion"/>
  </si>
  <si>
    <t>利润表</t>
    <phoneticPr fontId="1" type="noConversion"/>
  </si>
  <si>
    <t>营业收入</t>
    <phoneticPr fontId="1" type="noConversion"/>
  </si>
  <si>
    <t>直接成本</t>
    <phoneticPr fontId="1" type="noConversion"/>
  </si>
  <si>
    <t>毛利润</t>
    <phoneticPr fontId="1" type="noConversion"/>
  </si>
  <si>
    <t>折旧前利润</t>
    <phoneticPr fontId="1" type="noConversion"/>
  </si>
  <si>
    <t>折旧费</t>
    <phoneticPr fontId="1" type="noConversion"/>
  </si>
  <si>
    <t>财务费用</t>
    <phoneticPr fontId="1" type="noConversion"/>
  </si>
  <si>
    <t>税息前利润</t>
    <phoneticPr fontId="1" type="noConversion"/>
  </si>
  <si>
    <t>额外收支</t>
    <phoneticPr fontId="1" type="noConversion"/>
  </si>
  <si>
    <t>所得税</t>
    <phoneticPr fontId="1" type="noConversion"/>
  </si>
  <si>
    <t>净利润</t>
    <phoneticPr fontId="1" type="noConversion"/>
  </si>
  <si>
    <t>税前利润</t>
    <phoneticPr fontId="1" type="noConversion"/>
  </si>
  <si>
    <t>资产负债表</t>
    <phoneticPr fontId="1" type="noConversion"/>
  </si>
  <si>
    <t>流动资产</t>
    <phoneticPr fontId="1" type="noConversion"/>
  </si>
  <si>
    <t>现金</t>
    <phoneticPr fontId="1" type="noConversion"/>
  </si>
  <si>
    <t>应收账款</t>
    <phoneticPr fontId="1" type="noConversion"/>
  </si>
  <si>
    <t>存货：</t>
    <phoneticPr fontId="1" type="noConversion"/>
  </si>
  <si>
    <t>总流动资产（合计）</t>
    <phoneticPr fontId="1" type="noConversion"/>
  </si>
  <si>
    <t>固定资产</t>
    <phoneticPr fontId="1" type="noConversion"/>
  </si>
  <si>
    <t>土地、建筑</t>
    <phoneticPr fontId="1" type="noConversion"/>
  </si>
  <si>
    <t>设备</t>
    <phoneticPr fontId="1" type="noConversion"/>
  </si>
  <si>
    <t>总固定资产（合计）</t>
    <phoneticPr fontId="1" type="noConversion"/>
  </si>
  <si>
    <t>总资产</t>
    <phoneticPr fontId="1" type="noConversion"/>
  </si>
  <si>
    <t>负债</t>
    <phoneticPr fontId="1" type="noConversion"/>
  </si>
  <si>
    <t>应付账款</t>
    <phoneticPr fontId="1" type="noConversion"/>
  </si>
  <si>
    <t>应缴税费</t>
    <phoneticPr fontId="1" type="noConversion"/>
  </si>
  <si>
    <t>长期贷款</t>
    <phoneticPr fontId="1" type="noConversion"/>
  </si>
  <si>
    <t>总负债（合计）</t>
    <phoneticPr fontId="1" type="noConversion"/>
  </si>
  <si>
    <t>所有者权益</t>
    <phoneticPr fontId="1" type="noConversion"/>
  </si>
  <si>
    <t>股本</t>
    <phoneticPr fontId="1" type="noConversion"/>
  </si>
  <si>
    <t>以前年度利润留存</t>
    <phoneticPr fontId="1" type="noConversion"/>
  </si>
  <si>
    <t>本年净利</t>
    <phoneticPr fontId="1" type="noConversion"/>
  </si>
  <si>
    <t>所有者权益（合计）</t>
    <phoneticPr fontId="1" type="noConversion"/>
  </si>
  <si>
    <t>负债和所有者权益</t>
    <phoneticPr fontId="1" type="noConversion"/>
  </si>
  <si>
    <t>合计</t>
    <phoneticPr fontId="1" type="noConversion"/>
  </si>
  <si>
    <t>产品利润</t>
    <phoneticPr fontId="1" type="noConversion"/>
  </si>
  <si>
    <t>引导年</t>
    <phoneticPr fontId="1" type="noConversion"/>
  </si>
  <si>
    <t>任务清单</t>
    <phoneticPr fontId="1" type="noConversion"/>
  </si>
  <si>
    <t>操作步骤</t>
    <phoneticPr fontId="1" type="noConversion"/>
  </si>
  <si>
    <t>支付所得税</t>
    <phoneticPr fontId="1" type="noConversion"/>
  </si>
  <si>
    <t>计划新的一年工作</t>
    <phoneticPr fontId="1" type="noConversion"/>
  </si>
  <si>
    <t>广告方案/付广告费/竞单</t>
    <phoneticPr fontId="1" type="noConversion"/>
  </si>
  <si>
    <t>更新短贷/还本/获得新的短贷</t>
    <phoneticPr fontId="1" type="noConversion"/>
  </si>
  <si>
    <t>更新应付款</t>
    <phoneticPr fontId="1" type="noConversion"/>
  </si>
  <si>
    <t>更新应收款</t>
    <phoneticPr fontId="1" type="noConversion"/>
  </si>
  <si>
    <t>采购原料</t>
    <phoneticPr fontId="1" type="noConversion"/>
  </si>
  <si>
    <t>更新生产/完工入库</t>
    <phoneticPr fontId="1" type="noConversion"/>
  </si>
  <si>
    <t>生产线调整/投资新设备</t>
    <phoneticPr fontId="1" type="noConversion"/>
  </si>
  <si>
    <t>开始新的生产</t>
    <phoneticPr fontId="1" type="noConversion"/>
  </si>
  <si>
    <t>支付行政管理费</t>
    <phoneticPr fontId="1" type="noConversion"/>
  </si>
  <si>
    <t>更新长贷/支付利息/获得新长贷</t>
    <phoneticPr fontId="1" type="noConversion"/>
  </si>
  <si>
    <t>注：引导年各季度采购原材料分别为2、1、1、2个R1</t>
    <phoneticPr fontId="1" type="noConversion"/>
  </si>
  <si>
    <t>完成广告投放，支付广告费（取现金放入广告费处），营销总监参加销售竞单</t>
    <phoneticPr fontId="1" type="noConversion"/>
  </si>
  <si>
    <t>每季度空桶向现金方向移动一格，到期时还本（将空桶装满现金交换助教），需贷款时填写申请从助教处取得贷款。</t>
    <phoneticPr fontId="1" type="noConversion"/>
  </si>
  <si>
    <t>每季度将空桶向现金方向移动一格，到期时取现金装入空桶，放在托盘内</t>
    <phoneticPr fontId="1" type="noConversion"/>
  </si>
  <si>
    <t>每季度将空桶向现金方向移动一格，到期时移入现金处</t>
    <phoneticPr fontId="1" type="noConversion"/>
  </si>
  <si>
    <t>采购原材料入库（取原料彩币放入原料库），支付货款</t>
    <phoneticPr fontId="1" type="noConversion"/>
  </si>
  <si>
    <t>将在制品向上移动一格，或产成品下线移入成品库</t>
    <phoneticPr fontId="1" type="noConversion"/>
  </si>
  <si>
    <t>需填写生产线变更表，购买生产线，购买金额的现金放入设备价值处，废弃旧生产线时将旧生产线交给助教</t>
    <phoneticPr fontId="1" type="noConversion"/>
  </si>
  <si>
    <t>可以在空生产线上开始新的生产（空桶装入原料和制造费后放入空生产线第一格）</t>
    <phoneticPr fontId="1" type="noConversion"/>
  </si>
  <si>
    <t>交付订单</t>
    <phoneticPr fontId="1" type="noConversion"/>
  </si>
  <si>
    <t>从成品库取产品与产品订单（勾销后）一并交付给助教，将取回的货款，按照约定账期放入应收账款处</t>
    <phoneticPr fontId="1" type="noConversion"/>
  </si>
  <si>
    <t>取1M现金放入行政管理处</t>
    <phoneticPr fontId="1" type="noConversion"/>
  </si>
  <si>
    <t>将空桶向现金方向移动一格，付息（取现金放入利息费用处）；贷款到期则还本（取现金装满空桶后交还助教）</t>
    <phoneticPr fontId="1" type="noConversion"/>
  </si>
  <si>
    <t>现金取短贷余额的10%作为利息放入利息费用处。</t>
    <phoneticPr fontId="1" type="noConversion"/>
  </si>
  <si>
    <t>手工线、半自动、全自动每年折旧额分别为：1、1、3。本年出售的旧生产线及新购生产线均需计提折旧。</t>
    <phoneticPr fontId="1" type="noConversion"/>
  </si>
  <si>
    <t>租用的厂房需支付租金（取现金放入厂房租金处）；可以决策购买厂房（取现金放入厂房价值处）</t>
    <phoneticPr fontId="1" type="noConversion"/>
  </si>
  <si>
    <t>编制财务报表</t>
    <phoneticPr fontId="1" type="noConversion"/>
  </si>
  <si>
    <t>说明</t>
    <phoneticPr fontId="1" type="noConversion"/>
  </si>
  <si>
    <t>缴纳上一年的应缴所得税，取现金放入所得税处；</t>
    <phoneticPr fontId="1" type="noConversion"/>
  </si>
  <si>
    <t>讨论本年的经营计划</t>
    <phoneticPr fontId="1" type="noConversion"/>
  </si>
  <si>
    <t>支付短贷利息</t>
    <phoneticPr fontId="1" type="noConversion"/>
  </si>
  <si>
    <t>支付设备维护费</t>
    <phoneticPr fontId="1" type="noConversion"/>
  </si>
  <si>
    <t>折旧</t>
    <phoneticPr fontId="1" type="noConversion"/>
  </si>
  <si>
    <t>支付租金或购买建筑</t>
    <phoneticPr fontId="1" type="noConversion"/>
  </si>
  <si>
    <t>关账</t>
    <phoneticPr fontId="1" type="noConversion"/>
  </si>
  <si>
    <t>财务数据表</t>
    <phoneticPr fontId="1" type="noConversion"/>
  </si>
  <si>
    <t>数值</t>
    <phoneticPr fontId="1" type="noConversion"/>
  </si>
  <si>
    <t>财务科目</t>
    <phoneticPr fontId="1" type="noConversion"/>
  </si>
  <si>
    <t>名称</t>
    <phoneticPr fontId="1" type="noConversion"/>
  </si>
  <si>
    <t>单价</t>
    <phoneticPr fontId="1" type="noConversion"/>
  </si>
  <si>
    <t>库存</t>
    <phoneticPr fontId="1" type="noConversion"/>
  </si>
  <si>
    <t>种类</t>
    <phoneticPr fontId="1" type="noConversion"/>
  </si>
  <si>
    <t>数量</t>
    <phoneticPr fontId="1" type="noConversion"/>
  </si>
  <si>
    <t>单价</t>
    <phoneticPr fontId="1" type="noConversion"/>
  </si>
  <si>
    <t>产品</t>
    <phoneticPr fontId="1" type="noConversion"/>
  </si>
  <si>
    <t>生产线</t>
    <phoneticPr fontId="1" type="noConversion"/>
  </si>
  <si>
    <t>生产线名称</t>
    <phoneticPr fontId="1" type="noConversion"/>
  </si>
  <si>
    <t>购买价格</t>
    <phoneticPr fontId="1" type="noConversion"/>
  </si>
  <si>
    <t>代用名称</t>
    <phoneticPr fontId="1" type="noConversion"/>
  </si>
  <si>
    <t>总经理</t>
    <phoneticPr fontId="1" type="noConversion"/>
  </si>
  <si>
    <t>财务总监</t>
    <phoneticPr fontId="1" type="noConversion"/>
  </si>
  <si>
    <t>营销总监</t>
    <phoneticPr fontId="1" type="noConversion"/>
  </si>
  <si>
    <t>研发总监</t>
    <phoneticPr fontId="1" type="noConversion"/>
  </si>
  <si>
    <t>运营总监</t>
    <phoneticPr fontId="1" type="noConversion"/>
  </si>
  <si>
    <t>市场原材料</t>
    <phoneticPr fontId="1" type="noConversion"/>
  </si>
  <si>
    <t>团队表</t>
    <phoneticPr fontId="1" type="noConversion"/>
  </si>
  <si>
    <t>许可情况</t>
    <phoneticPr fontId="1" type="noConversion"/>
  </si>
  <si>
    <t>种类</t>
    <phoneticPr fontId="1" type="noConversion"/>
  </si>
  <si>
    <t>账期</t>
    <phoneticPr fontId="1" type="noConversion"/>
  </si>
  <si>
    <t>资金属性表</t>
    <phoneticPr fontId="1" type="noConversion"/>
  </si>
  <si>
    <t>订单表</t>
    <phoneticPr fontId="1" type="noConversion"/>
  </si>
  <si>
    <t>订单号</t>
    <phoneticPr fontId="1" type="noConversion"/>
  </si>
  <si>
    <t>交付情况</t>
    <phoneticPr fontId="1" type="noConversion"/>
  </si>
  <si>
    <t>产品研发</t>
    <phoneticPr fontId="1" type="noConversion"/>
  </si>
  <si>
    <t>总金额</t>
    <phoneticPr fontId="1" type="noConversion"/>
  </si>
  <si>
    <t>原料</t>
    <phoneticPr fontId="1" type="noConversion"/>
  </si>
  <si>
    <t>产品构成</t>
    <phoneticPr fontId="1" type="noConversion"/>
  </si>
  <si>
    <t>研发周期</t>
    <phoneticPr fontId="1" type="noConversion"/>
  </si>
  <si>
    <t>产品</t>
    <phoneticPr fontId="1" type="noConversion"/>
  </si>
  <si>
    <t>产品</t>
    <phoneticPr fontId="1" type="noConversion"/>
  </si>
  <si>
    <t>单季费用</t>
    <phoneticPr fontId="1" type="noConversion"/>
  </si>
  <si>
    <t>生产线种类</t>
    <phoneticPr fontId="1" type="noConversion"/>
  </si>
  <si>
    <t>折旧费用</t>
    <phoneticPr fontId="1" type="noConversion"/>
  </si>
  <si>
    <t>生产周期</t>
    <phoneticPr fontId="1" type="noConversion"/>
  </si>
  <si>
    <t>人工投入</t>
    <phoneticPr fontId="1" type="noConversion"/>
  </si>
  <si>
    <t>市场许可</t>
    <phoneticPr fontId="1" type="noConversion"/>
  </si>
  <si>
    <t>市场</t>
    <phoneticPr fontId="1" type="noConversion"/>
  </si>
  <si>
    <t>开发周期</t>
    <phoneticPr fontId="1" type="noConversion"/>
  </si>
  <si>
    <t>市场</t>
    <phoneticPr fontId="1" type="noConversion"/>
  </si>
  <si>
    <t>单年费用</t>
    <phoneticPr fontId="1" type="noConversion"/>
  </si>
  <si>
    <t>质量许可</t>
    <phoneticPr fontId="1" type="noConversion"/>
  </si>
  <si>
    <t>许可名称</t>
    <phoneticPr fontId="1" type="noConversion"/>
  </si>
  <si>
    <t>质量获证</t>
    <phoneticPr fontId="1" type="noConversion"/>
  </si>
  <si>
    <t>许可名称</t>
    <phoneticPr fontId="1" type="noConversion"/>
  </si>
  <si>
    <t>单价</t>
    <phoneticPr fontId="1" type="noConversion"/>
  </si>
  <si>
    <t>厂房</t>
    <phoneticPr fontId="1" type="noConversion"/>
  </si>
  <si>
    <t>价值</t>
    <phoneticPr fontId="1" type="noConversion"/>
  </si>
  <si>
    <t>购买价格</t>
    <phoneticPr fontId="1" type="noConversion"/>
  </si>
  <si>
    <t>残值</t>
    <phoneticPr fontId="1" type="noConversion"/>
  </si>
  <si>
    <t>全局数据</t>
    <phoneticPr fontId="1" type="noConversion"/>
  </si>
  <si>
    <t>数据名称</t>
    <phoneticPr fontId="1" type="noConversion"/>
  </si>
  <si>
    <t>数据数值</t>
    <phoneticPr fontId="1" type="noConversion"/>
  </si>
  <si>
    <t>购买价格</t>
    <phoneticPr fontId="1" type="noConversion"/>
  </si>
  <si>
    <t>租用价格</t>
    <phoneticPr fontId="1" type="noConversion"/>
  </si>
  <si>
    <t>时间</t>
    <phoneticPr fontId="1" type="noConversion"/>
  </si>
  <si>
    <t>事件名称</t>
    <phoneticPr fontId="1" type="noConversion"/>
  </si>
  <si>
    <t>当前Q数</t>
    <phoneticPr fontId="1" type="noConversion"/>
  </si>
  <si>
    <t>当前年数</t>
    <phoneticPr fontId="1" type="noConversion"/>
  </si>
  <si>
    <t>a</t>
    <phoneticPr fontId="1" type="noConversion"/>
  </si>
  <si>
    <t>年度</t>
    <phoneticPr fontId="1" type="noConversion"/>
  </si>
  <si>
    <t>仓库</t>
    <phoneticPr fontId="1" type="noConversion"/>
  </si>
  <si>
    <t>R1</t>
    <phoneticPr fontId="1" type="noConversion"/>
  </si>
  <si>
    <t>R2</t>
  </si>
  <si>
    <t>R3</t>
  </si>
  <si>
    <t>R4</t>
  </si>
  <si>
    <t>P1</t>
    <phoneticPr fontId="1" type="noConversion"/>
  </si>
  <si>
    <t>投入日期</t>
    <phoneticPr fontId="1" type="noConversion"/>
  </si>
  <si>
    <t>厂房a</t>
    <phoneticPr fontId="1" type="noConversion"/>
  </si>
  <si>
    <t>a</t>
    <phoneticPr fontId="1" type="noConversion"/>
  </si>
  <si>
    <t>产线容量</t>
    <phoneticPr fontId="1" type="noConversion"/>
  </si>
  <si>
    <t>P3</t>
    <phoneticPr fontId="1" type="noConversion"/>
  </si>
  <si>
    <t>P3</t>
    <phoneticPr fontId="1" type="noConversion"/>
  </si>
  <si>
    <t>研发开始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</si>
  <si>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</si>
  <si>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</si>
  <si>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</si>
  <si>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</si>
  <si>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</si>
  <si>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</si>
  <si>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厂房b</t>
    <phoneticPr fontId="1" type="noConversion"/>
  </si>
  <si>
    <t>厂房c</t>
    <phoneticPr fontId="1" type="noConversion"/>
  </si>
  <si>
    <t>启用时间</t>
  </si>
  <si>
    <t>启用时间</t>
    <phoneticPr fontId="1" type="noConversion"/>
  </si>
  <si>
    <t>生产线a-2</t>
  </si>
  <si>
    <t>生产线a-3</t>
  </si>
  <si>
    <t>生产线a-4</t>
  </si>
  <si>
    <t>生产线b-1</t>
    <phoneticPr fontId="1" type="noConversion"/>
  </si>
  <si>
    <t>生产线b-2</t>
  </si>
  <si>
    <t>生产线b-3</t>
  </si>
  <si>
    <t>生产线c-1</t>
    <phoneticPr fontId="1" type="noConversion"/>
  </si>
  <si>
    <t>现金池表</t>
    <phoneticPr fontId="1" type="noConversion"/>
  </si>
  <si>
    <t>短期借贷</t>
    <phoneticPr fontId="1" type="noConversion"/>
  </si>
  <si>
    <t>a</t>
    <phoneticPr fontId="1" type="noConversion"/>
  </si>
  <si>
    <t>手工生产线</t>
    <phoneticPr fontId="1" type="noConversion"/>
  </si>
  <si>
    <t>半自动产线</t>
    <phoneticPr fontId="1" type="noConversion"/>
  </si>
  <si>
    <t>全自动产线</t>
    <phoneticPr fontId="1" type="noConversion"/>
  </si>
  <si>
    <t>生产周期</t>
    <phoneticPr fontId="1" type="noConversion"/>
  </si>
  <si>
    <t>剩余周期</t>
    <phoneticPr fontId="1" type="noConversion"/>
  </si>
  <si>
    <t>当季费用</t>
    <phoneticPr fontId="1" type="noConversion"/>
  </si>
  <si>
    <t>累积费用</t>
    <phoneticPr fontId="1" type="noConversion"/>
  </si>
  <si>
    <t>当年费用</t>
    <phoneticPr fontId="1" type="noConversion"/>
  </si>
  <si>
    <t>厂房当年折旧</t>
    <phoneticPr fontId="1" type="noConversion"/>
  </si>
  <si>
    <t>现金</t>
    <phoneticPr fontId="1" type="noConversion"/>
  </si>
  <si>
    <t>a</t>
    <phoneticPr fontId="1" type="noConversion"/>
  </si>
  <si>
    <t>P1</t>
    <phoneticPr fontId="1" type="noConversion"/>
  </si>
  <si>
    <t>交付价格</t>
    <phoneticPr fontId="1" type="noConversion"/>
  </si>
  <si>
    <t>交付数量</t>
    <phoneticPr fontId="1" type="noConversion"/>
  </si>
  <si>
    <t>年份</t>
    <phoneticPr fontId="1" type="noConversion"/>
  </si>
  <si>
    <t>发布后季度</t>
    <phoneticPr fontId="1" type="noConversion"/>
  </si>
  <si>
    <t>订单总金额</t>
    <phoneticPr fontId="1" type="noConversion"/>
  </si>
  <si>
    <t>市场</t>
    <phoneticPr fontId="1" type="noConversion"/>
  </si>
  <si>
    <t>交付不晚于</t>
    <phoneticPr fontId="1" type="noConversion"/>
  </si>
  <si>
    <t>全国</t>
    <phoneticPr fontId="1" type="noConversion"/>
  </si>
  <si>
    <t>本地</t>
    <phoneticPr fontId="1" type="noConversion"/>
  </si>
  <si>
    <t>a</t>
    <phoneticPr fontId="1" type="noConversion"/>
  </si>
  <si>
    <t>ISO9001</t>
    <phoneticPr fontId="1" type="noConversion"/>
  </si>
  <si>
    <t>ISO14001</t>
    <phoneticPr fontId="1" type="noConversion"/>
  </si>
  <si>
    <t>R1</t>
    <phoneticPr fontId="1" type="noConversion"/>
  </si>
  <si>
    <t>R1</t>
    <phoneticPr fontId="1" type="noConversion"/>
  </si>
  <si>
    <t>P2</t>
    <phoneticPr fontId="1" type="noConversion"/>
  </si>
  <si>
    <t>R2</t>
    <phoneticPr fontId="1" type="noConversion"/>
  </si>
  <si>
    <t>状态</t>
    <phoneticPr fontId="1" type="noConversion"/>
  </si>
  <si>
    <t>厂房c</t>
    <phoneticPr fontId="1" type="noConversion"/>
  </si>
  <si>
    <t>国际</t>
    <phoneticPr fontId="1" type="noConversion"/>
  </si>
  <si>
    <t>亚洲</t>
    <phoneticPr fontId="1" type="noConversion"/>
  </si>
  <si>
    <t>全国</t>
    <phoneticPr fontId="1" type="noConversion"/>
  </si>
  <si>
    <t>区域</t>
    <phoneticPr fontId="1" type="noConversion"/>
  </si>
  <si>
    <t>事件备注</t>
    <phoneticPr fontId="1" type="noConversion"/>
  </si>
  <si>
    <t>DING_0_001</t>
    <phoneticPr fontId="1" type="noConversion"/>
  </si>
  <si>
    <t>DING_0_002</t>
  </si>
  <si>
    <t>DING_0_003</t>
  </si>
  <si>
    <t>DING_0_004</t>
  </si>
  <si>
    <t>DING_0_005</t>
  </si>
  <si>
    <t>DING_0_006</t>
  </si>
  <si>
    <t>DING_0_007</t>
  </si>
  <si>
    <t>参加</t>
    <phoneticPr fontId="1" type="noConversion"/>
  </si>
  <si>
    <t>生产线种类</t>
    <phoneticPr fontId="1" type="noConversion"/>
  </si>
  <si>
    <t>a</t>
    <phoneticPr fontId="1" type="noConversion"/>
  </si>
  <si>
    <t>厂房a</t>
    <phoneticPr fontId="1" type="noConversion"/>
  </si>
  <si>
    <t>厂房属性</t>
    <phoneticPr fontId="1" type="noConversion"/>
  </si>
  <si>
    <t>列_团队</t>
  </si>
  <si>
    <t>列_厂房名称</t>
  </si>
  <si>
    <t>a</t>
    <phoneticPr fontId="1" type="noConversion"/>
  </si>
  <si>
    <t>科目</t>
    <phoneticPr fontId="1" type="noConversion"/>
  </si>
  <si>
    <t>当前现金</t>
    <phoneticPr fontId="1" type="noConversion"/>
  </si>
  <si>
    <t>股东投资</t>
    <phoneticPr fontId="1" type="noConversion"/>
  </si>
  <si>
    <t>股东分红</t>
    <phoneticPr fontId="1" type="noConversion"/>
  </si>
  <si>
    <t>短期借贷获得</t>
    <phoneticPr fontId="1" type="noConversion"/>
  </si>
  <si>
    <t>短期借贷还款</t>
    <phoneticPr fontId="1" type="noConversion"/>
  </si>
  <si>
    <t>应付账款支付</t>
    <phoneticPr fontId="1" type="noConversion"/>
  </si>
  <si>
    <t>应收账款收入</t>
    <phoneticPr fontId="1" type="noConversion"/>
  </si>
  <si>
    <t>现金状态表</t>
    <phoneticPr fontId="1" type="noConversion"/>
  </si>
  <si>
    <t>列_团队</t>
    <phoneticPr fontId="1" type="noConversion"/>
  </si>
  <si>
    <t>现金</t>
    <phoneticPr fontId="1" type="noConversion"/>
  </si>
  <si>
    <t>YS_1</t>
    <phoneticPr fontId="1" type="noConversion"/>
  </si>
  <si>
    <t>YS_2</t>
  </si>
  <si>
    <t>YS_3</t>
  </si>
  <si>
    <t>Q_1</t>
    <phoneticPr fontId="1" type="noConversion"/>
  </si>
  <si>
    <t>Q_2</t>
  </si>
  <si>
    <t>Q_3</t>
  </si>
  <si>
    <t>Q_4</t>
  </si>
  <si>
    <t>Q_5</t>
  </si>
  <si>
    <t>Q_6</t>
  </si>
  <si>
    <t>Q_7</t>
  </si>
  <si>
    <t>Q_8</t>
  </si>
  <si>
    <t>Q_9</t>
  </si>
  <si>
    <t>YE_1</t>
    <phoneticPr fontId="1" type="noConversion"/>
  </si>
  <si>
    <t>YE_2</t>
  </si>
  <si>
    <t>YE_4</t>
  </si>
  <si>
    <t>YE_6</t>
  </si>
  <si>
    <t>行动分类</t>
    <phoneticPr fontId="1" type="noConversion"/>
  </si>
  <si>
    <t>行动编号</t>
    <phoneticPr fontId="1" type="noConversion"/>
  </si>
  <si>
    <t>YE_5</t>
    <phoneticPr fontId="1" type="noConversion"/>
  </si>
  <si>
    <t>数据1</t>
    <phoneticPr fontId="1" type="noConversion"/>
  </si>
  <si>
    <t>数据2</t>
  </si>
  <si>
    <t>数据3</t>
  </si>
  <si>
    <t>数据4</t>
  </si>
  <si>
    <t>生产线a-1</t>
    <phoneticPr fontId="1" type="noConversion"/>
  </si>
  <si>
    <t>生产线a-1</t>
    <phoneticPr fontId="1" type="noConversion"/>
  </si>
  <si>
    <t>手工生产线</t>
    <phoneticPr fontId="1" type="noConversion"/>
  </si>
  <si>
    <t>购买租用时间</t>
    <phoneticPr fontId="1" type="noConversion"/>
  </si>
  <si>
    <t>购买安装时间</t>
    <phoneticPr fontId="1" type="noConversion"/>
  </si>
  <si>
    <t>租用安装时间</t>
    <phoneticPr fontId="1" type="noConversion"/>
  </si>
  <si>
    <t>获取状态</t>
    <phoneticPr fontId="1" type="noConversion"/>
  </si>
  <si>
    <t>生产线a-2</t>
    <phoneticPr fontId="1" type="noConversion"/>
  </si>
  <si>
    <t>a</t>
  </si>
  <si>
    <t>a</t>
    <phoneticPr fontId="1" type="noConversion"/>
  </si>
  <si>
    <t>对应档期金额</t>
    <phoneticPr fontId="1" type="noConversion"/>
  </si>
  <si>
    <t>总借款金额</t>
    <phoneticPr fontId="1" type="noConversion"/>
  </si>
  <si>
    <t>每年费用</t>
    <phoneticPr fontId="1" type="noConversion"/>
  </si>
  <si>
    <t>累计折旧</t>
    <phoneticPr fontId="1" type="noConversion"/>
  </si>
  <si>
    <t>YE_3</t>
    <phoneticPr fontId="1" type="noConversion"/>
  </si>
  <si>
    <t>每条生产线支付1M维护费（取现金放入设备维护处）。本年出售的旧生产线及新购买生产线均需支付维护费。</t>
    <phoneticPr fontId="1" type="noConversion"/>
  </si>
  <si>
    <t>YE_3</t>
    <phoneticPr fontId="1" type="noConversion"/>
  </si>
  <si>
    <t>a</t>
    <phoneticPr fontId="1" type="noConversion"/>
  </si>
  <si>
    <t>事件年</t>
    <phoneticPr fontId="1" type="noConversion"/>
  </si>
  <si>
    <t>终值</t>
    <phoneticPr fontId="1" type="noConversion"/>
  </si>
  <si>
    <t>终值</t>
    <phoneticPr fontId="1" type="noConversion"/>
  </si>
  <si>
    <t>数据5</t>
  </si>
  <si>
    <t>累积折旧限额</t>
    <phoneticPr fontId="1" type="noConversion"/>
  </si>
  <si>
    <t>数据3为目前为止累积折旧，数据4为累积可折旧额度，数据5为本年应该折旧金额</t>
    <phoneticPr fontId="1" type="noConversion"/>
  </si>
  <si>
    <t>数据1为借款季度数；数据2为金额；数据3为还款时间</t>
    <phoneticPr fontId="1" type="noConversion"/>
  </si>
  <si>
    <t>a</t>
    <phoneticPr fontId="1" type="noConversion"/>
  </si>
  <si>
    <t>短期借贷</t>
    <phoneticPr fontId="1" type="noConversion"/>
  </si>
  <si>
    <t>1Q,2Q,3Q,4Q</t>
    <phoneticPr fontId="1" type="noConversion"/>
  </si>
  <si>
    <t>利息</t>
    <phoneticPr fontId="1" type="noConversion"/>
  </si>
  <si>
    <t>额度</t>
    <phoneticPr fontId="1" type="noConversion"/>
  </si>
  <si>
    <t>1Y,2Y,3Y,4Y,5Y,6Y</t>
    <phoneticPr fontId="1" type="noConversion"/>
  </si>
  <si>
    <t>应收账款贴现</t>
    <phoneticPr fontId="1" type="noConversion"/>
  </si>
  <si>
    <t>2倍上年度所有者权益</t>
    <phoneticPr fontId="1" type="noConversion"/>
  </si>
  <si>
    <t>每7M应收可贴现6M</t>
    <phoneticPr fontId="1" type="noConversion"/>
  </si>
  <si>
    <t>行政费用</t>
  </si>
  <si>
    <t>开始时间</t>
    <phoneticPr fontId="1" type="noConversion"/>
  </si>
  <si>
    <t>R1</t>
    <phoneticPr fontId="1" type="noConversion"/>
  </si>
  <si>
    <t>数据1：原材料名；数据2，数量</t>
    <phoneticPr fontId="1" type="noConversion"/>
  </si>
  <si>
    <t>Q_7</t>
    <phoneticPr fontId="1" type="noConversion"/>
  </si>
  <si>
    <t>a</t>
    <phoneticPr fontId="1" type="noConversion"/>
  </si>
  <si>
    <t>Q_4</t>
    <phoneticPr fontId="1" type="noConversion"/>
  </si>
  <si>
    <t>P1</t>
    <phoneticPr fontId="1" type="noConversion"/>
  </si>
  <si>
    <t>生产线a-2</t>
    <phoneticPr fontId="1" type="noConversion"/>
  </si>
  <si>
    <t>生产线a-3</t>
    <phoneticPr fontId="1" type="noConversion"/>
  </si>
  <si>
    <t>半自动产线</t>
    <phoneticPr fontId="1" type="noConversion"/>
  </si>
  <si>
    <t>生产线a-4</t>
    <phoneticPr fontId="1" type="noConversion"/>
  </si>
  <si>
    <t>生产线a-3</t>
    <phoneticPr fontId="1" type="noConversion"/>
  </si>
  <si>
    <t>a</t>
    <phoneticPr fontId="1" type="noConversion"/>
  </si>
  <si>
    <t>P1</t>
    <phoneticPr fontId="1" type="noConversion"/>
  </si>
  <si>
    <t>生产线a-4</t>
    <phoneticPr fontId="1" type="noConversion"/>
  </si>
  <si>
    <t>生产线a-2</t>
    <phoneticPr fontId="1" type="noConversion"/>
  </si>
  <si>
    <t>a</t>
    <phoneticPr fontId="1" type="noConversion"/>
  </si>
  <si>
    <t>生产线a-0</t>
  </si>
  <si>
    <t>厂房a</t>
  </si>
  <si>
    <t>生产线a-0</t>
    <phoneticPr fontId="1" type="noConversion"/>
  </si>
  <si>
    <t>Q_8</t>
    <phoneticPr fontId="1" type="noConversion"/>
  </si>
  <si>
    <t>订单交付</t>
    <phoneticPr fontId="1" type="noConversion"/>
  </si>
  <si>
    <t>a</t>
    <phoneticPr fontId="1" type="noConversion"/>
  </si>
  <si>
    <t>P1</t>
    <phoneticPr fontId="1" type="noConversion"/>
  </si>
  <si>
    <t>DING_0_002</t>
    <phoneticPr fontId="1" type="noConversion"/>
  </si>
  <si>
    <t>DING_0_003</t>
    <phoneticPr fontId="1" type="noConversion"/>
  </si>
  <si>
    <t>变现应收</t>
    <phoneticPr fontId="1" type="noConversion"/>
  </si>
  <si>
    <t>利润留存</t>
    <phoneticPr fontId="1" type="noConversion"/>
  </si>
  <si>
    <t>a</t>
    <phoneticPr fontId="1" type="noConversion"/>
  </si>
  <si>
    <t>短期借贷</t>
    <phoneticPr fontId="1" type="noConversion"/>
  </si>
  <si>
    <t>短期借贷</t>
    <phoneticPr fontId="1" type="noConversion"/>
  </si>
  <si>
    <t>长期借贷</t>
    <phoneticPr fontId="1" type="noConversion"/>
  </si>
  <si>
    <t>原料成本</t>
    <phoneticPr fontId="1" type="noConversion"/>
  </si>
  <si>
    <t>人工成本</t>
    <phoneticPr fontId="1" type="noConversion"/>
  </si>
  <si>
    <t>总成本</t>
    <phoneticPr fontId="1" type="noConversion"/>
  </si>
  <si>
    <t>产成品</t>
  </si>
  <si>
    <t>在制品价值</t>
    <phoneticPr fontId="1" type="noConversion"/>
  </si>
  <si>
    <t>厂房累计折旧</t>
    <phoneticPr fontId="1" type="noConversion"/>
  </si>
  <si>
    <t>设备当年折旧</t>
    <phoneticPr fontId="1" type="noConversion"/>
  </si>
  <si>
    <t>数据3：销售额；数据4：账期</t>
    <phoneticPr fontId="1" type="noConversion"/>
  </si>
  <si>
    <t>交付成本</t>
    <phoneticPr fontId="1" type="noConversion"/>
  </si>
  <si>
    <t>交付年度</t>
    <phoneticPr fontId="1" type="noConversion"/>
  </si>
  <si>
    <t>年</t>
    <phoneticPr fontId="1" type="noConversion"/>
  </si>
  <si>
    <t>a</t>
    <phoneticPr fontId="1" type="noConversion"/>
  </si>
  <si>
    <t>数据1为手工产线总数，2为半自动，3为全自动，4为总费用</t>
    <phoneticPr fontId="1" type="noConversion"/>
  </si>
  <si>
    <t>固资折旧</t>
    <phoneticPr fontId="1" type="noConversion"/>
  </si>
  <si>
    <t>所得税率</t>
    <phoneticPr fontId="1" type="noConversion"/>
  </si>
  <si>
    <t>设备维护</t>
  </si>
  <si>
    <t>Q_7</t>
    <phoneticPr fontId="1" type="noConversion"/>
  </si>
  <si>
    <t>生产线a-2</t>
    <phoneticPr fontId="1" type="noConversion"/>
  </si>
  <si>
    <t>数据1为借款季度数；数据2为金额；数据3为还款时间</t>
    <phoneticPr fontId="1" type="noConversion"/>
  </si>
  <si>
    <t>a</t>
    <phoneticPr fontId="1" type="noConversion"/>
  </si>
  <si>
    <t>数据3为目前为止累积折旧，数据4为累积可折旧额度，数据5为本年应该折旧金额</t>
    <phoneticPr fontId="1" type="noConversion"/>
  </si>
  <si>
    <t>a</t>
    <phoneticPr fontId="1" type="noConversion"/>
  </si>
  <si>
    <t>生产线a-1</t>
    <phoneticPr fontId="1" type="noConversion"/>
  </si>
  <si>
    <t>P1</t>
    <phoneticPr fontId="1" type="noConversion"/>
  </si>
  <si>
    <t>DING_0_002</t>
    <phoneticPr fontId="1" type="noConversion"/>
  </si>
  <si>
    <t>数据3：销售额；数据4：账期</t>
    <phoneticPr fontId="1" type="noConversion"/>
  </si>
  <si>
    <t>事件类型表</t>
    <phoneticPr fontId="1" type="noConversion"/>
  </si>
  <si>
    <t>行动分类</t>
    <phoneticPr fontId="1" type="noConversion"/>
  </si>
  <si>
    <t>行动编号</t>
    <phoneticPr fontId="1" type="noConversion"/>
  </si>
  <si>
    <t>事件名称</t>
    <phoneticPr fontId="1" type="noConversion"/>
  </si>
  <si>
    <t>时间</t>
    <phoneticPr fontId="1" type="noConversion"/>
  </si>
  <si>
    <t>数据1</t>
    <phoneticPr fontId="1" type="noConversion"/>
  </si>
  <si>
    <t>事件年</t>
    <phoneticPr fontId="1" type="noConversion"/>
  </si>
  <si>
    <t>事件备注</t>
    <phoneticPr fontId="1" type="noConversion"/>
  </si>
  <si>
    <t>a</t>
    <phoneticPr fontId="1" type="noConversion"/>
  </si>
  <si>
    <t>厂房a</t>
    <phoneticPr fontId="1" type="noConversion"/>
  </si>
  <si>
    <t>a</t>
    <phoneticPr fontId="1" type="noConversion"/>
  </si>
  <si>
    <t>生产线a-1</t>
    <phoneticPr fontId="1" type="noConversion"/>
  </si>
  <si>
    <t>手工生产线</t>
    <phoneticPr fontId="1" type="noConversion"/>
  </si>
  <si>
    <t>a</t>
    <phoneticPr fontId="1" type="noConversion"/>
  </si>
  <si>
    <t>YE_3</t>
    <phoneticPr fontId="1" type="noConversion"/>
  </si>
  <si>
    <t>数据1为手工产线总数，2为半自动，3为全自动，4为总费用</t>
    <phoneticPr fontId="1" type="noConversion"/>
  </si>
  <si>
    <t>数据3为目前为止累积折旧，数据4为累积可折旧额度，数据5为本年应该折旧金额</t>
    <phoneticPr fontId="1" type="noConversion"/>
  </si>
  <si>
    <t>厂房a</t>
    <phoneticPr fontId="1" type="noConversion"/>
  </si>
  <si>
    <t>Q_4</t>
    <phoneticPr fontId="1" type="noConversion"/>
  </si>
  <si>
    <t>R1</t>
    <phoneticPr fontId="1" type="noConversion"/>
  </si>
  <si>
    <t>数据1：原材料名；数据2，数量</t>
    <phoneticPr fontId="1" type="noConversion"/>
  </si>
  <si>
    <t>P1</t>
    <phoneticPr fontId="1" type="noConversion"/>
  </si>
  <si>
    <t>Q_8</t>
    <phoneticPr fontId="1" type="noConversion"/>
  </si>
  <si>
    <t>事件表</t>
    <phoneticPr fontId="1" type="noConversion"/>
  </si>
  <si>
    <t>现金</t>
    <phoneticPr fontId="1" type="noConversion"/>
  </si>
  <si>
    <t>应收账款</t>
    <phoneticPr fontId="1" type="noConversion"/>
  </si>
  <si>
    <t>应付账款</t>
    <phoneticPr fontId="1" type="noConversion"/>
  </si>
  <si>
    <t>短期借贷</t>
    <phoneticPr fontId="1" type="noConversion"/>
  </si>
  <si>
    <t>长期借贷</t>
    <phoneticPr fontId="1" type="noConversion"/>
  </si>
  <si>
    <t>P2</t>
    <phoneticPr fontId="1" type="noConversion"/>
  </si>
  <si>
    <t>P3</t>
    <phoneticPr fontId="1" type="noConversion"/>
  </si>
  <si>
    <t>P4</t>
    <phoneticPr fontId="1" type="noConversion"/>
  </si>
  <si>
    <t>成品仓库</t>
    <phoneticPr fontId="1" type="noConversion"/>
  </si>
  <si>
    <t>设备残值</t>
    <phoneticPr fontId="1" type="noConversion"/>
  </si>
  <si>
    <t>年度</t>
    <phoneticPr fontId="1" type="noConversion"/>
  </si>
  <si>
    <t>季度</t>
    <phoneticPr fontId="1" type="noConversion"/>
  </si>
  <si>
    <t>厂房b</t>
    <phoneticPr fontId="1" type="noConversion"/>
  </si>
  <si>
    <t>厂房c</t>
    <phoneticPr fontId="1" type="noConversion"/>
  </si>
  <si>
    <t>原料仓库</t>
    <phoneticPr fontId="1" type="noConversion"/>
  </si>
  <si>
    <t>R1</t>
    <phoneticPr fontId="1" type="noConversion"/>
  </si>
  <si>
    <t>广告费用</t>
  </si>
  <si>
    <t>厂房租金</t>
  </si>
  <si>
    <t>借款利息</t>
  </si>
  <si>
    <t>贴现费用</t>
  </si>
  <si>
    <t>上年所得税</t>
  </si>
  <si>
    <t>产品</t>
    <phoneticPr fontId="1" type="noConversion"/>
  </si>
  <si>
    <t>市场</t>
    <phoneticPr fontId="1" type="noConversion"/>
  </si>
  <si>
    <t>单价</t>
    <phoneticPr fontId="1" type="noConversion"/>
  </si>
  <si>
    <t>总价</t>
    <phoneticPr fontId="1" type="noConversion"/>
  </si>
  <si>
    <t>账期</t>
    <phoneticPr fontId="1" type="noConversion"/>
  </si>
  <si>
    <t>订单号</t>
    <phoneticPr fontId="1" type="noConversion"/>
  </si>
  <si>
    <t>玩家</t>
    <phoneticPr fontId="1" type="noConversion"/>
  </si>
  <si>
    <t>执行任务</t>
    <phoneticPr fontId="1" type="noConversion"/>
  </si>
  <si>
    <t>P2</t>
    <phoneticPr fontId="1" type="noConversion"/>
  </si>
  <si>
    <t>P4</t>
    <phoneticPr fontId="1" type="noConversion"/>
  </si>
  <si>
    <t>市场开发</t>
    <phoneticPr fontId="1" type="noConversion"/>
  </si>
  <si>
    <t>亚洲</t>
    <phoneticPr fontId="1" type="noConversion"/>
  </si>
  <si>
    <t>Q</t>
    <phoneticPr fontId="1" type="noConversion"/>
  </si>
  <si>
    <t>Y</t>
    <phoneticPr fontId="1" type="noConversion"/>
  </si>
  <si>
    <t>固资折旧</t>
    <phoneticPr fontId="1" type="noConversion"/>
  </si>
  <si>
    <t>Q</t>
    <phoneticPr fontId="1" type="noConversion"/>
  </si>
  <si>
    <t>所有者权益</t>
    <phoneticPr fontId="1" type="noConversion"/>
  </si>
  <si>
    <t>登记所有者权益</t>
    <phoneticPr fontId="1" type="noConversion"/>
  </si>
  <si>
    <t>a</t>
    <phoneticPr fontId="1" type="noConversion"/>
  </si>
  <si>
    <t>留存利润</t>
    <phoneticPr fontId="1" type="noConversion"/>
  </si>
  <si>
    <t>a</t>
    <phoneticPr fontId="1" type="noConversion"/>
  </si>
  <si>
    <t>登记留存利润</t>
    <phoneticPr fontId="1" type="noConversion"/>
  </si>
  <si>
    <t>所得税</t>
    <phoneticPr fontId="1" type="noConversion"/>
  </si>
  <si>
    <t>登记所得税</t>
    <phoneticPr fontId="1" type="noConversion"/>
  </si>
  <si>
    <t>当前状态</t>
    <phoneticPr fontId="1" type="noConversion"/>
  </si>
  <si>
    <t>执行后状态</t>
    <phoneticPr fontId="1" type="noConversion"/>
  </si>
  <si>
    <t>S_YEAR_FINISHED</t>
    <phoneticPr fontId="1" type="noConversion"/>
  </si>
  <si>
    <t>缴纳上一年的应缴所得税，取现金放入所得税处；</t>
  </si>
  <si>
    <t>YS_1</t>
    <phoneticPr fontId="1" type="noConversion"/>
  </si>
  <si>
    <t>YS_2</t>
    <phoneticPr fontId="1" type="noConversion"/>
  </si>
  <si>
    <t>S_YS_CM</t>
    <phoneticPr fontId="1" type="noConversion"/>
  </si>
  <si>
    <t>S_YS_CM</t>
    <phoneticPr fontId="1" type="noConversion"/>
  </si>
  <si>
    <t>S_YS_ORDER-COMPETE</t>
    <phoneticPr fontId="1" type="noConversion"/>
  </si>
  <si>
    <t>S_QUATER_START</t>
    <phoneticPr fontId="1" type="noConversion"/>
  </si>
  <si>
    <t>Q_2</t>
    <phoneticPr fontId="1" type="noConversion"/>
  </si>
  <si>
    <t>S_Q_PAYABLE</t>
    <phoneticPr fontId="1" type="noConversion"/>
  </si>
  <si>
    <t>S_Q_RECIVABLE</t>
    <phoneticPr fontId="1" type="noConversion"/>
  </si>
  <si>
    <t>Q_3</t>
    <phoneticPr fontId="1" type="noConversion"/>
  </si>
  <si>
    <t>S_Q_PURCHASE</t>
    <phoneticPr fontId="1" type="noConversion"/>
  </si>
  <si>
    <t>Q_4</t>
    <phoneticPr fontId="1" type="noConversion"/>
  </si>
  <si>
    <t>S_Q_PRODUCE</t>
    <phoneticPr fontId="1" type="noConversion"/>
  </si>
  <si>
    <t>S_YS_PLAN</t>
    <phoneticPr fontId="1" type="noConversion"/>
  </si>
  <si>
    <t>S_Q_PROD.NEW</t>
    <phoneticPr fontId="1" type="noConversion"/>
  </si>
  <si>
    <t>Q_6</t>
    <phoneticPr fontId="1" type="noConversion"/>
  </si>
  <si>
    <t>S_Q_PROD.INVEST</t>
    <phoneticPr fontId="1" type="noConversion"/>
  </si>
  <si>
    <t>Q_7</t>
    <phoneticPr fontId="1" type="noConversion"/>
  </si>
  <si>
    <t>S_Q_DELIVER</t>
    <phoneticPr fontId="1" type="noConversion"/>
  </si>
  <si>
    <t>Q_8</t>
    <phoneticPr fontId="1" type="noConversion"/>
  </si>
  <si>
    <t>S_Q_PAY-ADMIN-FEE</t>
    <phoneticPr fontId="1" type="noConversion"/>
  </si>
  <si>
    <t>S_YEND_PAY-LL-INTEREST</t>
    <phoneticPr fontId="1" type="noConversion"/>
  </si>
  <si>
    <t>S_YEND_PAY-LT-LOAN</t>
    <phoneticPr fontId="1" type="noConversion"/>
  </si>
  <si>
    <t>S_YEND_NEW-LL</t>
    <phoneticPr fontId="1" type="noConversion"/>
  </si>
  <si>
    <t>S_YEND_PAY-SL-INTEREST</t>
    <phoneticPr fontId="1" type="noConversion"/>
  </si>
  <si>
    <t>Q_0</t>
    <phoneticPr fontId="1" type="noConversion"/>
  </si>
  <si>
    <t>S_Q_PAY-SL</t>
    <phoneticPr fontId="1" type="noConversion"/>
  </si>
  <si>
    <t>S_Q_NEW-SL</t>
    <phoneticPr fontId="1" type="noConversion"/>
  </si>
  <si>
    <t>YE_2</t>
    <phoneticPr fontId="1" type="noConversion"/>
  </si>
  <si>
    <t>S_YEND_PAY-EQUIP-MS</t>
    <phoneticPr fontId="1" type="noConversion"/>
  </si>
  <si>
    <t>YE_3</t>
    <phoneticPr fontId="1" type="noConversion"/>
  </si>
  <si>
    <t>S_YEND_PAY-RENT</t>
    <phoneticPr fontId="1" type="noConversion"/>
  </si>
  <si>
    <t>S_YEAR_FINISHED</t>
    <phoneticPr fontId="1" type="noConversion"/>
  </si>
  <si>
    <t>事件名称</t>
    <phoneticPr fontId="1" type="noConversion"/>
  </si>
  <si>
    <t>事件说明</t>
    <phoneticPr fontId="1" type="noConversion"/>
  </si>
  <si>
    <t>经营计划</t>
    <phoneticPr fontId="1" type="noConversion"/>
  </si>
  <si>
    <t>S_PAY-TAX</t>
    <phoneticPr fontId="1" type="noConversion"/>
  </si>
  <si>
    <t>YS_0</t>
    <phoneticPr fontId="1" type="noConversion"/>
  </si>
  <si>
    <t>进入新年</t>
    <phoneticPr fontId="1" type="noConversion"/>
  </si>
  <si>
    <t>提示活动转入下一个季度</t>
    <phoneticPr fontId="1" type="noConversion"/>
  </si>
  <si>
    <t>支付广告</t>
    <phoneticPr fontId="1" type="noConversion"/>
  </si>
  <si>
    <t>设立年度经营目标、KPI、广告方案</t>
    <phoneticPr fontId="1" type="noConversion"/>
  </si>
  <si>
    <t>支付计划好的广告费用</t>
    <phoneticPr fontId="1" type="noConversion"/>
  </si>
  <si>
    <t>订单竞标</t>
    <phoneticPr fontId="1" type="noConversion"/>
  </si>
  <si>
    <t>基于市场条件，选择要生产的订单</t>
    <phoneticPr fontId="1" type="noConversion"/>
  </si>
  <si>
    <t>季度开始</t>
    <phoneticPr fontId="1" type="noConversion"/>
  </si>
  <si>
    <t>提示新的季度，更新日历</t>
    <phoneticPr fontId="1" type="noConversion"/>
  </si>
  <si>
    <t>更新短贷</t>
    <phoneticPr fontId="1" type="noConversion"/>
  </si>
  <si>
    <t>如果有短贷到期，需要偿还</t>
    <phoneticPr fontId="1" type="noConversion"/>
  </si>
  <si>
    <t>新的短贷</t>
    <phoneticPr fontId="1" type="noConversion"/>
  </si>
  <si>
    <t>确认是否需要开始借用新的短贷</t>
    <phoneticPr fontId="1" type="noConversion"/>
  </si>
  <si>
    <t>更新应付账款，到期账款需要偿还</t>
    <phoneticPr fontId="1" type="noConversion"/>
  </si>
  <si>
    <t>更新应收账款，到期账款自动转为现金</t>
    <phoneticPr fontId="1" type="noConversion"/>
  </si>
  <si>
    <t>进行原材料采购</t>
    <phoneticPr fontId="1" type="noConversion"/>
  </si>
  <si>
    <t>生产入库</t>
    <phoneticPr fontId="1" type="noConversion"/>
  </si>
  <si>
    <t>推进生产，有新的完成时实施入库动作</t>
    <phoneticPr fontId="1" type="noConversion"/>
  </si>
  <si>
    <t>新的生产</t>
    <phoneticPr fontId="1" type="noConversion"/>
  </si>
  <si>
    <t>可以在空出来的生产线上开始新的生产</t>
    <phoneticPr fontId="1" type="noConversion"/>
  </si>
  <si>
    <t>可以在这里投资新的生产线</t>
    <phoneticPr fontId="1" type="noConversion"/>
  </si>
  <si>
    <t>交付已经有足够库存的订单</t>
    <phoneticPr fontId="1" type="noConversion"/>
  </si>
  <si>
    <t>行政费用</t>
    <phoneticPr fontId="1" type="noConversion"/>
  </si>
  <si>
    <t>支付行政费用，进入下一个季度</t>
    <phoneticPr fontId="1" type="noConversion"/>
  </si>
  <si>
    <t>支付行政费用，进入年末活动</t>
    <phoneticPr fontId="1" type="noConversion"/>
  </si>
  <si>
    <t>长贷偿还</t>
    <phoneticPr fontId="1" type="noConversion"/>
  </si>
  <si>
    <t>更新长贷，还付到期长贷</t>
    <phoneticPr fontId="1" type="noConversion"/>
  </si>
  <si>
    <t>长贷还息</t>
    <phoneticPr fontId="1" type="noConversion"/>
  </si>
  <si>
    <t>支付长贷利息</t>
    <phoneticPr fontId="1" type="noConversion"/>
  </si>
  <si>
    <t>确认是否需要开始新的长贷</t>
    <phoneticPr fontId="1" type="noConversion"/>
  </si>
  <si>
    <t>短贷还息</t>
    <phoneticPr fontId="1" type="noConversion"/>
  </si>
  <si>
    <t>还付当年新借短贷利息</t>
    <phoneticPr fontId="1" type="noConversion"/>
  </si>
  <si>
    <t>设备维护</t>
    <phoneticPr fontId="1" type="noConversion"/>
  </si>
  <si>
    <t>对设备进行维护</t>
    <phoneticPr fontId="1" type="noConversion"/>
  </si>
  <si>
    <t>支付厂房租金</t>
    <phoneticPr fontId="1" type="noConversion"/>
  </si>
  <si>
    <t>确定是否需要购买新的厂房</t>
    <phoneticPr fontId="1" type="noConversion"/>
  </si>
  <si>
    <t>付所得税</t>
    <phoneticPr fontId="1" type="noConversion"/>
  </si>
  <si>
    <t>Q_NEXT</t>
    <phoneticPr fontId="1" type="noConversion"/>
  </si>
  <si>
    <t>是否跳过</t>
    <phoneticPr fontId="1" type="noConversion"/>
  </si>
  <si>
    <t>厂房租赁</t>
    <phoneticPr fontId="1" type="noConversion"/>
  </si>
  <si>
    <t>数据2为投资购买金额</t>
    <phoneticPr fontId="1" type="noConversion"/>
  </si>
  <si>
    <t>数据3为投资购买金额</t>
    <phoneticPr fontId="1" type="noConversion"/>
  </si>
  <si>
    <t>数据3为投料种类</t>
    <phoneticPr fontId="1" type="noConversion"/>
  </si>
  <si>
    <t>数据3为购买金额</t>
    <phoneticPr fontId="1" type="noConversion"/>
  </si>
  <si>
    <t>数据3为订单金额，数据4为订单账期</t>
    <phoneticPr fontId="1" type="noConversion"/>
  </si>
  <si>
    <t>生产人工成本</t>
    <phoneticPr fontId="1" type="noConversion"/>
  </si>
  <si>
    <t>YS_1</t>
    <phoneticPr fontId="1" type="noConversion"/>
  </si>
  <si>
    <t>YE_4-1</t>
    <phoneticPr fontId="1" type="noConversion"/>
  </si>
  <si>
    <t>YE_4-2</t>
  </si>
  <si>
    <t>产线折旧</t>
    <phoneticPr fontId="1" type="noConversion"/>
  </si>
  <si>
    <t>厂房折旧</t>
    <phoneticPr fontId="1" type="noConversion"/>
  </si>
  <si>
    <t>对生产线进行折旧</t>
    <phoneticPr fontId="1" type="noConversion"/>
  </si>
  <si>
    <t>对购买厂房进行折旧</t>
    <phoneticPr fontId="1" type="noConversion"/>
  </si>
  <si>
    <t>S_YEND_PAY-RENT</t>
    <phoneticPr fontId="1" type="noConversion"/>
  </si>
  <si>
    <t>S_YEND-UPDATE-EQUIP-DEP</t>
    <phoneticPr fontId="1" type="noConversion"/>
  </si>
  <si>
    <t>S_YEND-UPDATE-FACT-DEP</t>
    <phoneticPr fontId="1" type="noConversion"/>
  </si>
  <si>
    <t>YE_1-1</t>
    <phoneticPr fontId="1" type="noConversion"/>
  </si>
  <si>
    <t>YE_1-2</t>
    <phoneticPr fontId="1" type="noConversion"/>
  </si>
  <si>
    <t>YE_1-3</t>
    <phoneticPr fontId="1" type="noConversion"/>
  </si>
  <si>
    <t>YE_5-1</t>
    <phoneticPr fontId="1" type="noConversion"/>
  </si>
  <si>
    <t>YE_5-2</t>
    <phoneticPr fontId="1" type="noConversion"/>
  </si>
  <si>
    <t>YS_3-1</t>
    <phoneticPr fontId="1" type="noConversion"/>
  </si>
  <si>
    <t>YS_3-2</t>
    <phoneticPr fontId="1" type="noConversion"/>
  </si>
  <si>
    <t>Q_1-1</t>
    <phoneticPr fontId="1" type="noConversion"/>
  </si>
  <si>
    <t>Q_1-2</t>
    <phoneticPr fontId="1" type="noConversion"/>
  </si>
  <si>
    <t>YS_0-0</t>
    <phoneticPr fontId="1" type="noConversion"/>
  </si>
  <si>
    <t>现金增资</t>
    <phoneticPr fontId="1" type="noConversion"/>
  </si>
  <si>
    <t>利润留存</t>
    <phoneticPr fontId="1" type="noConversion"/>
  </si>
  <si>
    <t>YE_4-1</t>
    <phoneticPr fontId="1" type="noConversion"/>
  </si>
  <si>
    <t>YE_4-2</t>
    <phoneticPr fontId="1" type="noConversion"/>
  </si>
  <si>
    <t>YE_1-1</t>
    <phoneticPr fontId="1" type="noConversion"/>
  </si>
  <si>
    <t>YE_1-3</t>
    <phoneticPr fontId="1" type="noConversion"/>
  </si>
  <si>
    <t>数据1为累积长期贷款，数据2为累积长贷还款，数据三为目前为止应缴利息</t>
    <phoneticPr fontId="1" type="noConversion"/>
  </si>
  <si>
    <t>Q_NEXT</t>
    <phoneticPr fontId="1" type="noConversion"/>
  </si>
  <si>
    <t>Q_5</t>
    <phoneticPr fontId="1" type="noConversion"/>
  </si>
  <si>
    <t>Q_6</t>
    <phoneticPr fontId="1" type="noConversion"/>
  </si>
  <si>
    <t>材料采购</t>
  </si>
  <si>
    <t>材料采购</t>
    <phoneticPr fontId="1" type="noConversion"/>
  </si>
  <si>
    <t>产线投资</t>
  </si>
  <si>
    <t>产线投资</t>
    <phoneticPr fontId="1" type="noConversion"/>
  </si>
  <si>
    <t>YE_5-2</t>
    <phoneticPr fontId="1" type="noConversion"/>
  </si>
  <si>
    <t>厂房购买</t>
  </si>
  <si>
    <t>厂房购买</t>
    <phoneticPr fontId="1" type="noConversion"/>
  </si>
  <si>
    <t>S_INIT_INVEST</t>
    <phoneticPr fontId="1" type="noConversion"/>
  </si>
  <si>
    <t>S_INIT_PROFIT</t>
    <phoneticPr fontId="1" type="noConversion"/>
  </si>
  <si>
    <t>YS_0-1</t>
    <phoneticPr fontId="1" type="noConversion"/>
  </si>
  <si>
    <t>YS_0-0</t>
    <phoneticPr fontId="1" type="noConversion"/>
  </si>
  <si>
    <t>厂房折旧</t>
    <phoneticPr fontId="1" type="noConversion"/>
  </si>
  <si>
    <t>长期借贷</t>
  </si>
  <si>
    <t>长期借贷还款</t>
  </si>
  <si>
    <t>长期借贷获得</t>
  </si>
  <si>
    <t>数据1为累积长期借贷，数据2为累积长贷还款，数据三为目前为止应缴利息</t>
  </si>
  <si>
    <t>长期借贷</t>
    <phoneticPr fontId="1" type="noConversion"/>
  </si>
  <si>
    <t>长期借贷</t>
    <phoneticPr fontId="1" type="noConversion"/>
  </si>
  <si>
    <t>YE_1-3</t>
    <phoneticPr fontId="1" type="noConversion"/>
  </si>
  <si>
    <t>YE_4-2</t>
    <phoneticPr fontId="1" type="noConversion"/>
  </si>
  <si>
    <t>Q_5</t>
    <phoneticPr fontId="1" type="noConversion"/>
  </si>
  <si>
    <t>YE_6-1</t>
    <phoneticPr fontId="1" type="noConversion"/>
  </si>
  <si>
    <t>YE_6-2</t>
  </si>
  <si>
    <t>YE_6-3</t>
  </si>
  <si>
    <t>S_YEND_REC-EQUITY</t>
    <phoneticPr fontId="1" type="noConversion"/>
  </si>
  <si>
    <t>登记权益</t>
    <phoneticPr fontId="1" type="noConversion"/>
  </si>
  <si>
    <t>记留利润</t>
    <phoneticPr fontId="1" type="noConversion"/>
  </si>
  <si>
    <t>记所得税</t>
    <phoneticPr fontId="1" type="noConversion"/>
  </si>
  <si>
    <t>S_YEND_REC-RESV-PFT</t>
    <phoneticPr fontId="1" type="noConversion"/>
  </si>
  <si>
    <t>S_YEND_REC-INCM-TAX</t>
    <phoneticPr fontId="1" type="noConversion"/>
  </si>
  <si>
    <t>计算PL和BS，年度分析，记录所有者权益</t>
    <phoneticPr fontId="1" type="noConversion"/>
  </si>
  <si>
    <t>计算并登记当年所得税，评比各小组状态</t>
    <phoneticPr fontId="1" type="noConversion"/>
  </si>
  <si>
    <t>YE_5-2</t>
    <phoneticPr fontId="1" type="noConversion"/>
  </si>
  <si>
    <t>计算当年净利润，决定股东分红，并登记利润留存</t>
    <phoneticPr fontId="1" type="noConversion"/>
  </si>
  <si>
    <t>YE_5-3</t>
  </si>
  <si>
    <t>S_YEND_REC-EQUITY</t>
    <phoneticPr fontId="1" type="noConversion"/>
  </si>
  <si>
    <t>S_YEND_RENT-NEW-FACT</t>
    <phoneticPr fontId="1" type="noConversion"/>
  </si>
  <si>
    <t>S_YEND_BUY-FACT</t>
    <phoneticPr fontId="1" type="noConversion"/>
  </si>
  <si>
    <t>S_YEND_BUY-FACT</t>
    <phoneticPr fontId="1" type="noConversion"/>
  </si>
  <si>
    <t>厂房新租</t>
    <phoneticPr fontId="1" type="noConversion"/>
  </si>
  <si>
    <t>确定是否需要新租厂房</t>
    <phoneticPr fontId="1" type="noConversion"/>
  </si>
  <si>
    <t>P1</t>
    <phoneticPr fontId="1" type="noConversion"/>
  </si>
  <si>
    <t>在产品</t>
    <phoneticPr fontId="1" type="noConversion"/>
  </si>
  <si>
    <t>距离交付时间</t>
    <phoneticPr fontId="1" type="noConversion"/>
  </si>
  <si>
    <t>生产Q数</t>
    <phoneticPr fontId="1" type="noConversion"/>
  </si>
  <si>
    <t>长贷偿还</t>
    <phoneticPr fontId="1" type="noConversion"/>
  </si>
  <si>
    <t>短贷Q数</t>
    <phoneticPr fontId="1" type="noConversion"/>
  </si>
  <si>
    <t>应收Q数</t>
    <phoneticPr fontId="1" type="noConversion"/>
  </si>
  <si>
    <t>长贷Q数</t>
    <phoneticPr fontId="1" type="noConversion"/>
  </si>
  <si>
    <t>应付Q数</t>
    <phoneticPr fontId="1" type="noConversion"/>
  </si>
  <si>
    <t>维保Q数</t>
    <phoneticPr fontId="1" type="noConversion"/>
  </si>
  <si>
    <t>能够模拟推演公司的演进情况</t>
    <phoneticPr fontId="1" type="noConversion"/>
  </si>
  <si>
    <t>能够模拟市场情况，允许用一系列参数描述市场情况</t>
    <phoneticPr fontId="1" type="noConversion"/>
  </si>
  <si>
    <t>当前事件</t>
    <phoneticPr fontId="1" type="noConversion"/>
  </si>
  <si>
    <t>后续事件</t>
    <phoneticPr fontId="1" type="noConversion"/>
  </si>
  <si>
    <t>YS_0-1</t>
    <phoneticPr fontId="1" type="noConversion"/>
  </si>
  <si>
    <t>YS_0</t>
  </si>
  <si>
    <t>YS_1</t>
  </si>
  <si>
    <t>YS_3-1</t>
  </si>
  <si>
    <t>YS_3-2</t>
  </si>
  <si>
    <t>Q_0</t>
  </si>
  <si>
    <t>Q_1-1</t>
  </si>
  <si>
    <t>Q_1-2</t>
  </si>
  <si>
    <t>Q_NEXT</t>
  </si>
  <si>
    <t>YE_1-1</t>
  </si>
  <si>
    <t>YE_1-2</t>
  </si>
  <si>
    <t>YE_1-3</t>
  </si>
  <si>
    <t>YE_3</t>
  </si>
  <si>
    <t>YE_4-1</t>
  </si>
  <si>
    <t>YE_5-1</t>
  </si>
  <si>
    <t>YE_5-2</t>
  </si>
  <si>
    <t>YE_6-1</t>
  </si>
  <si>
    <t>YS_0-1</t>
    <phoneticPr fontId="1" type="noConversion"/>
  </si>
  <si>
    <t>事件代码</t>
    <phoneticPr fontId="1" type="noConversion"/>
  </si>
  <si>
    <t>事件名称</t>
    <phoneticPr fontId="1" type="noConversion"/>
  </si>
  <si>
    <t>数据值</t>
    <phoneticPr fontId="1" type="noConversion"/>
  </si>
  <si>
    <t>数据操作</t>
    <phoneticPr fontId="1" type="noConversion"/>
  </si>
  <si>
    <t>YS_0-0</t>
    <phoneticPr fontId="1" type="noConversion"/>
  </si>
  <si>
    <t>输入数据名称</t>
    <phoneticPr fontId="1" type="noConversion"/>
  </si>
  <si>
    <t>团队</t>
    <phoneticPr fontId="1" type="noConversion"/>
  </si>
  <si>
    <t>验证方式</t>
    <phoneticPr fontId="1" type="noConversion"/>
  </si>
  <si>
    <t>验证源</t>
    <phoneticPr fontId="1" type="noConversion"/>
  </si>
  <si>
    <t>数据目标位置</t>
    <phoneticPr fontId="1" type="noConversion"/>
  </si>
  <si>
    <t>表_团队[列_团队]</t>
    <phoneticPr fontId="1" type="noConversion"/>
  </si>
  <si>
    <t>列表</t>
    <phoneticPr fontId="1" type="noConversion"/>
  </si>
  <si>
    <t>时间</t>
    <phoneticPr fontId="1" type="noConversion"/>
  </si>
  <si>
    <t>等于现有值</t>
    <phoneticPr fontId="1" type="noConversion"/>
  </si>
  <si>
    <t>值_季度</t>
    <phoneticPr fontId="1" type="noConversion"/>
  </si>
  <si>
    <t>金额</t>
    <phoneticPr fontId="1" type="noConversion"/>
  </si>
  <si>
    <t>整数范围</t>
    <phoneticPr fontId="1" type="noConversion"/>
  </si>
  <si>
    <t>[0,100]</t>
    <phoneticPr fontId="1" type="noConversion"/>
  </si>
  <si>
    <t>表_现金状态</t>
    <phoneticPr fontId="1" type="noConversion"/>
  </si>
  <si>
    <t>累加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</si>
</sst>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28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0" xfId="0" applyBorder="1">
      <alignment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0" fontId="0" fillId="0" borderId="10" xfId="0" applyBorder="1" applyAlignment="1">
      <alignment horizontal="left" vertical="center" indent="1"/>
    </xf>
    <xf numFmtId="0" fontId="0" fillId="2" borderId="11" xfId="0" applyFill="1" applyBorder="1">
      <alignment vertical="center"/>
    </xf>
    <xf numFmtId="0" fontId="0" fillId="0" borderId="10" xfId="0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13" xfId="0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>
      <alignment vertical="center" wrapText="1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 applyAlignment="1">
      <alignment vertical="center" wrapText="1"/>
    </xf>
    <xf numFmtId="0" fontId="0" fillId="0" borderId="23" xfId="0" applyBorder="1">
      <alignment vertical="center"/>
    </xf>
    <xf numFmtId="0" fontId="0" fillId="0" borderId="24" xfId="0" applyBorder="1" applyAlignment="1">
      <alignment vertical="center" wrapText="1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0" xfId="0" applyAlignment="1">
      <alignment horizontal="right"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4" borderId="0" xfId="0" applyNumberFormat="1" applyFill="1">
      <alignment vertical="center"/>
    </xf>
    <xf numFmtId="9" fontId="0" fillId="0" borderId="0" xfId="0" applyNumberFormat="1" applyFill="1">
      <alignment vertical="center"/>
    </xf>
    <xf numFmtId="0" fontId="0" fillId="7" borderId="0" xfId="0" applyFill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0" xfId="0" applyAlignment="1">
      <alignment horizontal="right"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Continuous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37" xfId="0" applyBorder="1" applyAlignment="1">
      <alignment horizontal="right" vertical="center"/>
    </xf>
    <xf numFmtId="0" fontId="0" fillId="0" borderId="38" xfId="0" applyBorder="1">
      <alignment vertical="center"/>
    </xf>
    <xf numFmtId="0" fontId="0" fillId="0" borderId="0" xfId="0" applyFill="1" applyBorder="1" applyAlignment="1">
      <alignment horizontal="right" vertical="center"/>
    </xf>
    <xf numFmtId="9" fontId="0" fillId="0" borderId="0" xfId="1" applyFont="1">
      <alignment vertical="center"/>
    </xf>
    <xf numFmtId="0" fontId="0" fillId="0" borderId="0" xfId="0" applyFill="1" applyBorder="1">
      <alignment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6" fillId="4" borderId="0" xfId="0" applyFont="1" applyFill="1">
      <alignment vertical="center"/>
    </xf>
  </cellXfs>
  <cellStyles count="2">
    <cellStyle name="百分比" xfId="1" builtinId="5"/>
    <cellStyle name="常规" xfId="0" builtinId="0"/>
  </cellStyles>
  <dxfs count="51"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_全局数据" displayName="表_全局数据" ref="C42:D51" totalsRowShown="0">
  <autoFilter ref="C42:D51"/>
  <tableColumns count="2">
    <tableColumn id="1" name="数据名称"/>
    <tableColumn id="2" name="数据数值">
      <calculatedColumnFormula>ROUNDDOWN(D42/4,0)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_财务数据" displayName="表_财务数据" ref="C53:F56" totalsRowShown="0">
  <autoFilter ref="C53:F56"/>
  <tableColumns count="4">
    <tableColumn id="1" name="财务科目"/>
    <tableColumn id="2" name="列_团队"/>
    <tableColumn id="3" name="年度"/>
    <tableColumn id="4" name="数值">
      <calculatedColumnFormula>SUMIFS(表_事件[数据1],表_事件[列_团队],表_财务数据[列_团队],表_事件[事件年],表_财务数据[年度],表_事件[事件名称],"登记"&amp;表_财务数据[财务科目])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_库存" displayName="表_库存" ref="C58:H66" totalsRowShown="0">
  <autoFilter ref="C58:H66"/>
  <tableColumns count="6">
    <tableColumn id="1" name="种类"/>
    <tableColumn id="2" name="列_团队"/>
    <tableColumn id="3" name="仓库"/>
    <tableColumn id="4" name="数量" dataDxfId="50">
      <calculatedColumnFormula>SUMIFS(表_事件[数据2],表_事件[列_团队],表_库存[[#This Row],[列_团队]],表_事件[数据1],表_库存[[#This Row],[种类]],#REF!,"入库")-COUNTIFS(表_事件[列_团队],表_库存[[#This Row],[列_团队]],#REF!,"投料",表_事件[数据3],表_库存[[#This Row],[种类]])</calculatedColumnFormula>
    </tableColumn>
    <tableColumn id="5" name="单价" dataDxfId="49">
      <calculatedColumnFormula>VLOOKUP(表_库存[[#This Row],[种类]],表_原料价格[],2,FALSE)</calculatedColumnFormula>
    </tableColumn>
    <tableColumn id="6" name="总金额" dataDxfId="48">
      <calculatedColumnFormula>表_库存[[#This Row],[数量]]*表_库存[[#This Row],[单价]]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_产品研发" displayName="表_产品研发" ref="C68:J71" totalsRowShown="0" headerRowDxfId="47">
  <autoFilter ref="C68:J71"/>
  <tableColumns count="8">
    <tableColumn id="1" name="产品"/>
    <tableColumn id="2" name="列_团队"/>
    <tableColumn id="3" name="研发开始"/>
    <tableColumn id="4" name="启用时间"/>
    <tableColumn id="5" name="许可情况"/>
    <tableColumn id="6" name="当季费用"/>
    <tableColumn id="7" name="当年费用"/>
    <tableColumn id="8" name="累积费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_团队" displayName="表_团队" ref="C73:J79" totalsRowShown="0">
  <autoFilter ref="C73:J79"/>
  <tableColumns count="8">
    <tableColumn id="1" name="代用名称"/>
    <tableColumn id="2" name="列_团队"/>
    <tableColumn id="3" name="参加"/>
    <tableColumn id="4" name="总经理"/>
    <tableColumn id="5" name="财务总监"/>
    <tableColumn id="6" name="营销总监"/>
    <tableColumn id="7" name="研发总监"/>
    <tableColumn id="8" name="运营总监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_厂房" displayName="表_厂房" ref="C81:L84" totalsRowShown="0" headerRowDxfId="46">
  <autoFilter ref="C81:L84"/>
  <tableColumns count="10">
    <tableColumn id="1" name="列_厂房名称"/>
    <tableColumn id="2" name="列_团队"/>
    <tableColumn id="3" name="价值" dataDxfId="45">
      <calculatedColumnFormula>IF(表_厂房[[#This Row],[获取状态]]="购买",VLOOKUP(表_厂房[[#This Row],[列_厂房名称]],表_厂房属性[],MATCH(表_厂房属性[[#Headers],[购买价格]],表_厂房属性[#Headers],0),FALSE)+表_厂房[[#This Row],[厂房累计折旧]],0)</calculatedColumnFormula>
    </tableColumn>
    <tableColumn id="7" name="启用时间" dataDxfId="44">
      <calculatedColumnFormula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calculatedColumnFormula>
    </tableColumn>
    <tableColumn id="4" name="状态" dataDxfId="43">
      <calculatedColumnFormula>IF(值_季度&gt;=表_厂房[[#This Row],[启用时间]],1,0)</calculatedColumnFormula>
    </tableColumn>
    <tableColumn id="11" name="获取状态" dataDxfId="42">
      <calculatedColumnFormula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calculatedColumnFormula>
    </tableColumn>
    <tableColumn id="10" name="购买租用时间" dataDxfId="41">
      <calculatedColumnFormula>SUMIFS(表_事件[时间],表_事件[列_团队],表_厂房[[#This Row],[列_团队]],表_事件[数据1],表_厂房[[#This Row],[列_厂房名称]],表_事件[事件名称],CONCATENATE("厂房",表_厂房[[#This Row],[获取状态]]))</calculatedColumnFormula>
    </tableColumn>
    <tableColumn id="8" name="厂房当年折旧" dataDxfId="40">
      <calculatedColumnFormula>SUMIFS(表_事件[数据5],表_事件[列_团队],表_厂房[[#This Row],[列_团队]],表_事件[数据1],表_厂房[[#This Row],[列_厂房名称]],表_事件[事件名称],"固资折旧",表_事件[事件年],VLOOKUP("当前年数",表_全局数据[],2,FALSE))</calculatedColumnFormula>
    </tableColumn>
    <tableColumn id="9" name="厂房累计折旧" dataDxfId="39">
      <calculatedColumnFormula>SUMIFS(表_事件[数据5],表_事件[列_团队],表_厂房[[#This Row],[列_团队]],表_事件[数据1],表_厂房[[#This Row],[列_厂房名称]],表_事件[事件名称],"固资折旧")</calculatedColumnFormula>
    </tableColumn>
    <tableColumn id="5" name="每年费用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表_生产线" displayName="表_生产线" ref="C86:T95" totalsRowShown="0" headerRowDxfId="37">
  <autoFilter ref="C86:T95"/>
  <tableColumns count="18">
    <tableColumn id="1" name="生产线名称"/>
    <tableColumn id="2" name="列_团队"/>
    <tableColumn id="3" name="列_厂房名称"/>
    <tableColumn id="4" name="生产线种类" dataDxfId="36">
      <calculatedColumnFormula>getEventValue("购买生产线",表_生产线[[#This Row],[列_团队]],MATCH("数据2",表_事件[#Headers],0),,,,表_生产线[[#This Row],[生产线名称]],,,,"未使用",TRUE)</calculatedColumnFormula>
    </tableColumn>
    <tableColumn id="5" name="投入日期" dataDxfId="35">
      <calculatedColumnFormula>getEventValue("购买生产线",表_生产线[[#This Row],[列_团队]],MATCH("时间",表_事件[#Headers],0),,,,表_生产线[[#This Row],[生产线名称]],,,,999,FALSE)</calculatedColumnFormula>
    </tableColumn>
    <tableColumn id="6" name="购买价格" dataDxfId="34">
      <calculatedColumnFormula>IF(表_生产线[[#This Row],[生产线种类]]="未使用",,VLOOKUP(表_生产线[[#This Row],[生产线种类]],表_生产线属性[],MATCH(表_生产线属性[[#Headers],[购买价格]],表_生产线属性[#Headers],0),FALSE))</calculatedColumnFormula>
    </tableColumn>
    <tableColumn id="14" name="设备当年折旧" dataDxfId="33">
      <calculatedColumnFormula>SUMIFS(表_事件[数据5],表_事件[列_团队],表_生产线[[#This Row],[列_团队]],表_事件[数据1],表_生产线[[#This Row],[生产线名称]],表_事件[事件名称],"产线折旧",表_事件[事件年],VLOOKUP("当前年数",表_全局数据[],2,FALSE))</calculatedColumnFormula>
    </tableColumn>
    <tableColumn id="10" name="累计折旧" dataDxfId="32">
      <calculatedColumnFormula>SUMIFS(表_事件[数据5],表_事件[列_团队],表_生产线[[#This Row],[列_团队]],表_事件[数据1],表_生产线[[#This Row],[生产线名称]],表_事件[事件名称],"产线折旧")</calculatedColumnFormula>
    </tableColumn>
    <tableColumn id="9" name="生产周期" dataDxfId="31">
      <calculatedColumnFormula>IFERROR(VLOOKUP(表_生产线[[#This Row],[生产线种类]],表_生产线属性[],MATCH("生产周期",表_生产线属性[#Headers],0),FALSE),0)</calculatedColumnFormula>
    </tableColumn>
    <tableColumn id="8" name="残值" dataDxfId="30">
      <calculatedColumnFormula>表_生产线[[#This Row],[购买价格]]-表_生产线[[#This Row],[累计折旧]]</calculatedColumnFormula>
    </tableColumn>
    <tableColumn id="12" name="开始时间" dataDxfId="29">
      <calculatedColumnFormula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calculatedColumnFormula>
    </tableColumn>
    <tableColumn id="19" name="距离交付时间" dataDxfId="28">
      <calculatedColumnFormula>IF(表_生产线[[#This Row],[在产品]]&lt;&gt;"未生产",VLOOKUP(表_生产线[[#This Row],[生产线种类]],表_生产线属性[],MATCH("生产周期",表_生产线属性[#Headers],0),FALSE)-(值_季度-表_生产线[[#This Row],[开始时间]])+1,"未生产")</calculatedColumnFormula>
    </tableColumn>
    <tableColumn id="11" name="在产品" dataDxfId="27">
      <calculatedColumnFormula>IFERROR(OFFSET(表_生产线[[#Headers],[在产品]],0,MATCH(1,表_生产线[[#This Row],[P1]:[P4]],0)),"未生产")</calculatedColumnFormula>
    </tableColumn>
    <tableColumn id="16" name="P1" dataDxfId="26">
      <calculatedColumnFormula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calculatedColumnFormula>
    </tableColumn>
    <tableColumn id="17" name="P2" dataDxfId="25">
      <calculatedColumnFormula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calculatedColumnFormula>
    </tableColumn>
    <tableColumn id="7" name="P3" dataDxfId="24">
      <calculatedColumnFormula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calculatedColumnFormula>
    </tableColumn>
    <tableColumn id="15" name="P4" dataDxfId="23">
      <calculatedColumnFormula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calculatedColumnFormula>
    </tableColumn>
    <tableColumn id="13" name="在制品价值" dataDxfId="22">
      <calculatedColumnFormula>IFERROR(IF(表_生产线[[#This Row],[生产线种类]]&lt;&gt;"未使用",VLOOKUP(表_生产线[[#This Row],[在产品]],表_产品属性[],MATCH("总成本",表_产品属性[#Headers],0),FALSE),0),0)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表_流动资金" displayName="表_流动资金" ref="C97:G118" totalsRowShown="0">
  <autoFilter ref="C97:G118"/>
  <tableColumns count="5">
    <tableColumn id="1" name="种类"/>
    <tableColumn id="2" name="列_团队"/>
    <tableColumn id="3" name="剩余周期"/>
    <tableColumn id="4" name="对应档期金额" dataDxfId="21">
      <calculatedColumnFormula>SUMIF(表_现金状态[列_团队],表_流动资金[[#This Row],[列_团队]],表_现金状态[当前现金])</calculatedColumnFormula>
    </tableColumn>
    <tableColumn id="6" name="总借款金额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表_市场" displayName="表_市场" ref="C123:E128" totalsRowShown="0">
  <autoFilter ref="C123:E128"/>
  <tableColumns count="3">
    <tableColumn id="1" name="市场"/>
    <tableColumn id="2" name="列_团队"/>
    <tableColumn id="3" name="启用时间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表_质量资质" displayName="表_质量资质" ref="C130:E132" totalsRowShown="0">
  <autoFilter ref="C130:E132"/>
  <tableColumns count="3">
    <tableColumn id="1" name="许可名称"/>
    <tableColumn id="2" name="列_团队"/>
    <tableColumn id="3" name="启用时间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表_订单" displayName="表_订单" ref="C134:P141" totalsRowShown="0" headerRowDxfId="19">
  <autoFilter ref="C134:P141"/>
  <tableColumns count="14">
    <tableColumn id="1" name="订单号"/>
    <tableColumn id="2" name="列_团队"/>
    <tableColumn id="3" name="发布后季度"/>
    <tableColumn id="4" name="年份"/>
    <tableColumn id="5" name="市场"/>
    <tableColumn id="6" name="产品"/>
    <tableColumn id="7" name="交付价格"/>
    <tableColumn id="8" name="交付数量"/>
    <tableColumn id="9" name="账期"/>
    <tableColumn id="10" name="订单总金额"/>
    <tableColumn id="11" name="交付情况" dataDxfId="18">
      <calculatedColumnFormula>COUNTIFS(表_事件[列_团队],表_订单[[#This Row],[列_团队]],表_事件[事件名称],"订单交付",表_事件[数据2],表_订单[[#This Row],[订单号]])</calculatedColumnFormula>
    </tableColumn>
    <tableColumn id="12" name="交付不晚于"/>
    <tableColumn id="13" name="交付年度" dataDxfId="17">
      <calculatedColumnFormula>SUMIFS(表_事件[事件年],表_事件[列_团队],表_订单[[#This Row],[列_团队]],表_事件[事件名称],"订单交付",表_事件[数据2],表_订单[[#This Row],[订单号]])</calculatedColumnFormula>
    </tableColumn>
    <tableColumn id="17" name="交付成本" dataDxfId="16">
      <calculatedColumnFormula>IF(表_订单[[#This Row],[列_团队]]&lt;&gt;"",VLOOKUP(表_订单[[#This Row],[产品]],表_产品属性[],MATCH(表_产品属性[[#Headers],[总成本]],表_产品属性[#Headers],0),FALSE)*表_订单[[#This Row],[交付数量]],0)*表_订单[[#This Row],[交付情况]]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表_原料价格" displayName="表_原料价格" ref="C143:D147" totalsRowShown="0">
  <autoFilter ref="C143:D147"/>
  <tableColumns count="2">
    <tableColumn id="1" name="名称"/>
    <tableColumn id="2" name="单价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表_产品属性" displayName="表_产品属性" ref="C157:I161" totalsRowShown="0">
  <autoFilter ref="C157:I161"/>
  <tableColumns count="7">
    <tableColumn id="1" name="产品"/>
    <tableColumn id="2" name="原料"/>
    <tableColumn id="3" name="研发周期"/>
    <tableColumn id="4" name="单季费用"/>
    <tableColumn id="5" name="原料成本" dataDxfId="15">
      <calculatedColumnFormula>VLOOKUP(表_产品属性[[#This Row],[原料]],表_原料价格[],2,FALSE)</calculatedColumnFormula>
    </tableColumn>
    <tableColumn id="6" name="人工成本"/>
    <tableColumn id="7" name="总成本" dataDxfId="14">
      <calculatedColumnFormula>SUM(表_产品属性[[#This Row],[原料成本]:[人工成本]])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表_生产线属性" displayName="表_生产线属性" ref="C163:J166" totalsRowShown="0">
  <autoFilter ref="C163:J166"/>
  <tableColumns count="8">
    <tableColumn id="1" name="生产线种类"/>
    <tableColumn id="2" name="购买价格"/>
    <tableColumn id="3" name="维护费用"/>
    <tableColumn id="4" name="折旧费用"/>
    <tableColumn id="5" name="生产周期"/>
    <tableColumn id="6" name="人工投入"/>
    <tableColumn id="7" name="终值"/>
    <tableColumn id="8" name="累积折旧限额" dataDxfId="13">
      <calculatedColumnFormula>表_生产线属性[[#This Row],[购买价格]]-表_生产线属性[[#This Row],[终值]]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表_厂房属性" displayName="表_厂房属性" ref="C168:K171" totalsRowShown="0">
  <autoFilter ref="C168:K171"/>
  <tableColumns count="9">
    <tableColumn id="1" name="列_厂房名称"/>
    <tableColumn id="2" name="购买价格"/>
    <tableColumn id="3" name="租用价格"/>
    <tableColumn id="5" name="产线容量"/>
    <tableColumn id="6" name="购买安装时间"/>
    <tableColumn id="7" name="租用安装时间"/>
    <tableColumn id="4" name="终值"/>
    <tableColumn id="8" name="累积折旧限额"/>
    <tableColumn id="9" name="折旧费用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表_市场属性" displayName="表_市场属性" ref="C173:E177" totalsRowShown="0">
  <autoFilter ref="C173:E177"/>
  <tableColumns count="3">
    <tableColumn id="1" name="市场"/>
    <tableColumn id="2" name="开发周期"/>
    <tableColumn id="3" name="单年费用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表_资质属性" displayName="表_资质属性" ref="C179:D181" totalsRowShown="0">
  <autoFilter ref="C179:D181"/>
  <tableColumns count="2">
    <tableColumn id="1" name="许可名称"/>
    <tableColumn id="2" name="单价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表_事件" displayName="表_事件" ref="C2:N39" totalsRowShown="0">
  <autoFilter ref="C2:N39"/>
  <tableColumns count="12">
    <tableColumn id="11" name="行动分类"/>
    <tableColumn id="12" name="行动编号"/>
    <tableColumn id="1" name="事件名称"/>
    <tableColumn id="2" name="列_团队"/>
    <tableColumn id="3" name="时间"/>
    <tableColumn id="4" name="数据1"/>
    <tableColumn id="8" name="数据2"/>
    <tableColumn id="10" name="数据3" dataDxfId="12"/>
    <tableColumn id="5" name="数据4" dataDxfId="11"/>
    <tableColumn id="13" name="数据5" dataDxfId="10"/>
    <tableColumn id="6" name="事件年" dataDxfId="9">
      <calculatedColumnFormula>QtoY(表_事件[[#This Row],[时间]])</calculatedColumnFormula>
    </tableColumn>
    <tableColumn id="7" name="事件备注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0" name="表_现金状态" displayName="表_现金状态" ref="C120:Y121" totalsRowShown="0">
  <autoFilter ref="C120:Y121"/>
  <tableColumns count="23">
    <tableColumn id="14" name="科目"/>
    <tableColumn id="2" name="列_团队"/>
    <tableColumn id="5" name="当前现金">
      <calculatedColumnFormula>SUM(表_现金状态[[股东投资]:[上年所得税]])</calculatedColumnFormula>
    </tableColumn>
    <tableColumn id="6" name="股东投资">
      <calculatedColumnFormula>SUMIFS(表_事件[数据1],表_事件[列_团队],表_现金状态[[#This Row],[列_团队]],表_事件[事件名称],"现金增资")</calculatedColumnFormula>
    </tableColumn>
    <tableColumn id="4" name="利润留存">
      <calculatedColumnFormula>SUMIFS(表_事件[数据1],表_事件[列_团队],表_现金状态[[#This Row],[列_团队]],表_事件[事件名称],表_现金状态[[#Headers],[利润留存]])</calculatedColumnFormula>
    </tableColumn>
    <tableColumn id="7" name="股东分红"/>
    <tableColumn id="8" name="短期借贷获得"/>
    <tableColumn id="9" name="短期借贷还款"/>
    <tableColumn id="10" name="长期借贷获得"/>
    <tableColumn id="11" name="长期借贷还款"/>
    <tableColumn id="12" name="应付账款支付"/>
    <tableColumn id="13" name="应收账款收入">
      <calculatedColumnFormula>VLOOKUP("变现应收",表_流动资金[],MATCH("总借款金额",表_流动资金[#Headers],0),FALSE)</calculatedColumnFormula>
    </tableColumn>
    <tableColumn id="15" name="行政费用">
      <calculatedColumnFormula>-SUMIFS(表_事件[数据1],表_事件[列_团队],表_现金状态[列_团队],表_事件[事件名称],表_现金状态[[#Headers],[行政费用]])</calculatedColumnFormula>
    </tableColumn>
    <tableColumn id="16" name="广告费用"/>
    <tableColumn id="17" name="设备维护">
      <calculatedColumnFormula>-SUMIFS(表_事件[数据4],表_事件[列_团队],表_现金状态[列_团队],表_事件[事件名称],表_现金状态[[#Headers],[设备维护]])</calculatedColumnFormula>
    </tableColumn>
    <tableColumn id="18" name="厂房租金"/>
    <tableColumn id="1" name="材料采购">
      <calculatedColumnFormula>-SUMIFS(表_事件[数据2],表_事件[列_团队],表_现金状态[列_团队],表_事件[事件名称],表_现金状态[[#Headers],[材料采购]])</calculatedColumnFormula>
    </tableColumn>
    <tableColumn id="3" name="生产人工成本"/>
    <tableColumn id="19" name="厂房购买">
      <calculatedColumnFormula>-SUMIFS(表_事件[数据2],表_事件[列_团队],表_现金状态[列_团队],表_事件[事件名称],表_现金状态[[#Headers],[厂房购买]])</calculatedColumnFormula>
    </tableColumn>
    <tableColumn id="23" name="产线投资">
      <calculatedColumnFormula>-SUMIFS(表_事件[数据3],表_事件[列_团队],表_现金状态[列_团队],表_事件[事件名称],表_现金状态[[#Headers],[产线投资]])</calculatedColumnFormula>
    </tableColumn>
    <tableColumn id="20" name="借款利息"/>
    <tableColumn id="21" name="贴现费用"/>
    <tableColumn id="22" name="上年所得税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1" name="表_资金属性" displayName="表_资金属性" ref="C149:F152" totalsRowShown="0" headerRowDxfId="8">
  <autoFilter ref="C149:F152"/>
  <tableColumns count="4">
    <tableColumn id="1" name="种类"/>
    <tableColumn id="2" name="账期"/>
    <tableColumn id="3" name="利息"/>
    <tableColumn id="4" name="额度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表_事件类型" displayName="表_事件类型" ref="C185:N200" totalsRowShown="0">
  <autoFilter ref="C185:N200"/>
  <tableColumns count="12">
    <tableColumn id="1" name="行动分类"/>
    <tableColumn id="2" name="行动编号"/>
    <tableColumn id="3" name="事件名称"/>
    <tableColumn id="4" name="列_团队" dataDxfId="7"/>
    <tableColumn id="5" name="时间" dataDxfId="6"/>
    <tableColumn id="7" name="数据1"/>
    <tableColumn id="8" name="数据2" dataDxfId="5"/>
    <tableColumn id="9" name="数据3" dataDxfId="4"/>
    <tableColumn id="10" name="数据4" dataDxfId="3"/>
    <tableColumn id="11" name="数据5"/>
    <tableColumn id="12" name="事件年" dataDxfId="2">
      <calculatedColumnFormula>QtoY(表_事件类型[[#This Row],[时间]])</calculatedColumnFormula>
    </tableColumn>
    <tableColumn id="13" name="事件备注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3" name="表_事件数据" displayName="表_事件数据" ref="B2:I5" totalsRowShown="0">
  <autoFilter ref="B2:I5"/>
  <tableColumns count="8">
    <tableColumn id="1" name="事件代码"/>
    <tableColumn id="2" name="事件名称">
      <calculatedColumnFormula>VLOOKUP(表_事件数据[事件代码],表_事件状态机[],MATCH("事件名称",表_事件状态机[#Headers],0),FALSE)</calculatedColumnFormula>
    </tableColumn>
    <tableColumn id="7" name="输入数据名称"/>
    <tableColumn id="11" name="验证方式"/>
    <tableColumn id="9" name="验证源"/>
    <tableColumn id="5" name="数据值"/>
    <tableColumn id="3" name="数据目标位置" dataDxfId="0"/>
    <tableColumn id="6" name="数据操作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" name="表_事件状态机" displayName="表_事件状态机" ref="B2:H34" totalsRowShown="0">
  <autoFilter ref="B2:H34"/>
  <tableColumns count="7">
    <tableColumn id="1" name="当前事件"/>
    <tableColumn id="7" name="后续事件" dataDxfId="1">
      <calculatedColumnFormula>INDIRECT(表_事件状态机[当前事件])</calculatedColumnFormula>
    </tableColumn>
    <tableColumn id="2" name="当前状态"/>
    <tableColumn id="3" name="执行后状态"/>
    <tableColumn id="4" name="是否跳过"/>
    <tableColumn id="5" name="事件名称"/>
    <tableColumn id="6" name="事件说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BA24"/>
  <sheetViews>
    <sheetView showGridLines="0" workbookViewId="0">
      <pane xSplit="28" ySplit="8" topLeftCell="AC9" activePane="bottomRight" state="frozen"/>
      <selection pane="topRight" activeCell="AC1" sqref="AC1"/>
      <selection pane="bottomLeft" activeCell="A9" sqref="A9"/>
      <selection pane="bottomRight" activeCell="AG10" sqref="AG10"/>
    </sheetView>
  </sheetViews>
  <sheetFormatPr defaultColWidth="3.125" defaultRowHeight="18.95" customHeight="1"/>
  <sheetData>
    <row r="2" spans="2:53" ht="18.95" customHeight="1">
      <c r="C2" t="s">
        <v>562</v>
      </c>
      <c r="E2">
        <f>值_年度</f>
        <v>0</v>
      </c>
      <c r="G2" t="s">
        <v>563</v>
      </c>
      <c r="I2">
        <f>值_季度-QtoY(值_季度)*4</f>
        <v>1</v>
      </c>
      <c r="K2" t="s">
        <v>579</v>
      </c>
      <c r="M2" t="s">
        <v>443</v>
      </c>
      <c r="O2" t="s">
        <v>589</v>
      </c>
      <c r="R2">
        <f ca="1">值_所有者权益</f>
        <v>64</v>
      </c>
      <c r="AD2" t="s">
        <v>580</v>
      </c>
    </row>
    <row r="3" spans="2:53" ht="18.95" customHeight="1" thickBot="1">
      <c r="E3" s="41" t="s">
        <v>585</v>
      </c>
      <c r="F3">
        <v>4</v>
      </c>
      <c r="G3">
        <v>3</v>
      </c>
      <c r="H3">
        <v>2</v>
      </c>
      <c r="I3">
        <v>1</v>
      </c>
      <c r="L3" s="43" t="s">
        <v>552</v>
      </c>
      <c r="M3" s="43"/>
      <c r="N3" s="43"/>
      <c r="O3" s="43"/>
    </row>
    <row r="4" spans="2:53" ht="18.95" customHeight="1">
      <c r="E4" s="41" t="s">
        <v>553</v>
      </c>
      <c r="F4" s="1">
        <f ca="1">SUMIFS(表_流动资金[对应档期金额],表_流动资金[种类],'电子沙盘-盘面'!$E4,表_流动资金[列_团队],值_主板选组,表_流动资金[剩余周期],'电子沙盘-盘面'!F$3)</f>
        <v>0</v>
      </c>
      <c r="G4" s="1">
        <f ca="1">SUMIFS(表_流动资金[对应档期金额],表_流动资金[种类],'电子沙盘-盘面'!$E4,表_流动资金[列_团队],值_主板选组,表_流动资金[剩余周期],'电子沙盘-盘面'!G$3)</f>
        <v>10</v>
      </c>
      <c r="H4" s="1">
        <f ca="1">SUMIFS(表_流动资金[对应档期金额],表_流动资金[种类],'电子沙盘-盘面'!$E4,表_流动资金[列_团队],值_主板选组,表_流动资金[剩余周期],'电子沙盘-盘面'!H$3)</f>
        <v>10</v>
      </c>
      <c r="I4" s="1">
        <f ca="1">SUMIFS(表_流动资金[对应档期金额],表_流动资金[种类],'电子沙盘-盘面'!$E4,表_流动资金[列_团队],值_主板选组,表_流动资金[剩余周期],'电子沙盘-盘面'!I$3)</f>
        <v>0</v>
      </c>
      <c r="L4" s="71">
        <f ca="1">VLOOKUP("现金",表_现金状态[],MATCH("当前现金",表_现金状态[#Headers],0),FALSE)</f>
        <v>20</v>
      </c>
      <c r="M4" s="72"/>
      <c r="N4" s="72"/>
      <c r="O4" s="73"/>
      <c r="S4" s="41" t="s">
        <v>469</v>
      </c>
      <c r="T4" s="15">
        <f>SUMIFS(表_事件[数据1],表_事件[列_团队],值_主板选组,表_事件[事件名称],"行政费用",表_事件[事件年],值_年度)</f>
        <v>0</v>
      </c>
      <c r="U4" s="16"/>
      <c r="V4" s="15">
        <f>SUMIFS(表_事件[数据5],表_事件[列_团队],值_财务表选组,表_事件[事件名称],"固资折旧",表_事件[事件年],值_年度)</f>
        <v>0</v>
      </c>
      <c r="W4" s="16"/>
      <c r="X4" t="s">
        <v>587</v>
      </c>
    </row>
    <row r="5" spans="2:53" ht="18.95" customHeight="1">
      <c r="E5" s="41" t="s">
        <v>554</v>
      </c>
      <c r="F5" s="1">
        <f>SUMIFS(表_流动资金[对应档期金额],表_流动资金[种类],'电子沙盘-盘面'!$E5,表_流动资金[列_团队],值_主板选组,表_流动资金[剩余周期],'电子沙盘-盘面'!F$3)</f>
        <v>0</v>
      </c>
      <c r="G5" s="1">
        <f>SUMIFS(表_流动资金[对应档期金额],表_流动资金[种类],'电子沙盘-盘面'!$E5,表_流动资金[列_团队],值_主板选组,表_流动资金[剩余周期],'电子沙盘-盘面'!G$3)</f>
        <v>0</v>
      </c>
      <c r="H5" s="1">
        <f>SUMIFS(表_流动资金[对应档期金额],表_流动资金[种类],'电子沙盘-盘面'!$E5,表_流动资金[列_团队],值_主板选组,表_流动资金[剩余周期],'电子沙盘-盘面'!H$3)</f>
        <v>0</v>
      </c>
      <c r="I5" s="1">
        <f>SUMIFS(表_流动资金[对应档期金额],表_流动资金[种类],'电子沙盘-盘面'!$E5,表_流动资金[列_团队],值_主板选组,表_流动资金[剩余周期],'电子沙盘-盘面'!I$3)</f>
        <v>0</v>
      </c>
      <c r="L5" s="74"/>
      <c r="M5" s="75"/>
      <c r="N5" s="75"/>
      <c r="O5" s="76"/>
      <c r="S5" s="41" t="s">
        <v>568</v>
      </c>
      <c r="T5" s="15">
        <f>SUMIFS(表_事件[数据1],表_事件[列_团队],值_主板选组,表_事件[事件名称],"广告费用",表_事件[事件年],值_年度)</f>
        <v>0</v>
      </c>
      <c r="U5" s="16"/>
      <c r="V5" s="15">
        <f>SUMIFS(表_事件[数据3],表_事件[列_团队],值_财务表选组,表_事件[事件名称],"长贷还息",表_事件[事件年],值_年度)</f>
        <v>0</v>
      </c>
      <c r="W5" s="16"/>
      <c r="X5" t="s">
        <v>570</v>
      </c>
    </row>
    <row r="6" spans="2:53" ht="18.95" customHeight="1" thickBot="1">
      <c r="E6" s="41" t="s">
        <v>555</v>
      </c>
      <c r="F6" s="1">
        <f>SUMIFS(表_流动资金[对应档期金额],表_流动资金[种类],'电子沙盘-盘面'!$E6,表_流动资金[列_团队],值_主板选组,表_流动资金[剩余周期],'电子沙盘-盘面'!F$3)</f>
        <v>0</v>
      </c>
      <c r="G6" s="1">
        <f>SUMIFS(表_流动资金[对应档期金额],表_流动资金[种类],'电子沙盘-盘面'!$E6,表_流动资金[列_团队],值_主板选组,表_流动资金[剩余周期],'电子沙盘-盘面'!G$3)</f>
        <v>0</v>
      </c>
      <c r="H6" s="1">
        <f>SUMIFS(表_流动资金[对应档期金额],表_流动资金[种类],'电子沙盘-盘面'!$E6,表_流动资金[列_团队],值_主板选组,表_流动资金[剩余周期],'电子沙盘-盘面'!H$3)</f>
        <v>0</v>
      </c>
      <c r="I6" s="1">
        <f>SUMIFS(表_流动资金[对应档期金额],表_流动资金[种类],'电子沙盘-盘面'!$E6,表_流动资金[列_团队],值_主板选组,表_流动资金[剩余周期],'电子沙盘-盘面'!I$3)</f>
        <v>0</v>
      </c>
      <c r="L6" s="77"/>
      <c r="M6" s="78"/>
      <c r="N6" s="78"/>
      <c r="O6" s="79"/>
      <c r="S6" s="41" t="s">
        <v>517</v>
      </c>
      <c r="T6" s="15">
        <f>SUMIFS(表_事件[数据1],表_事件[列_团队],值_主板选组,表_事件[事件名称],"设备维护",表_事件[事件年],值_年度)</f>
        <v>0</v>
      </c>
      <c r="U6" s="16"/>
      <c r="V6" s="15">
        <f>-SUMIFS(表_事件[数据3],表_事件[列_团队],值_财务表选组,表_事件[事件名称],"贴现费用",表_事件[事件年],值_年度)</f>
        <v>0</v>
      </c>
      <c r="W6" s="16"/>
      <c r="X6" t="s">
        <v>571</v>
      </c>
    </row>
    <row r="7" spans="2:53" ht="18.95" customHeight="1">
      <c r="E7" s="41" t="s">
        <v>586</v>
      </c>
      <c r="F7">
        <v>6</v>
      </c>
      <c r="G7">
        <v>5</v>
      </c>
      <c r="H7">
        <v>4</v>
      </c>
      <c r="I7">
        <v>3</v>
      </c>
      <c r="J7">
        <v>2</v>
      </c>
      <c r="K7">
        <v>1</v>
      </c>
      <c r="S7" s="41" t="s">
        <v>569</v>
      </c>
      <c r="T7" s="15">
        <f>SUMIFS(表_事件[数据1],表_事件[列_团队],值_主板选组,表_事件[事件名称],"厂房租金",表_事件[事件年],值_年度)</f>
        <v>0</v>
      </c>
      <c r="U7" s="16"/>
      <c r="V7" s="15">
        <f>SUMIFS(表_财务数据[数值],表_财务数据[列_团队],值_主板选组,表_财务数据[财务科目],"所得税",表_财务数据[年度],值_年度-1)</f>
        <v>2</v>
      </c>
      <c r="W7" s="16"/>
      <c r="X7" t="s">
        <v>572</v>
      </c>
    </row>
    <row r="8" spans="2:53" ht="18.95" customHeight="1">
      <c r="E8" s="41" t="s">
        <v>556</v>
      </c>
      <c r="F8" s="1">
        <f>SUMIFS(表_流动资金[对应档期金额],表_流动资金[种类],'电子沙盘-盘面'!$E8,表_流动资金[列_团队],值_主板选组,表_流动资金[剩余周期],'电子沙盘-盘面'!F$7*4)</f>
        <v>0</v>
      </c>
      <c r="G8" s="1">
        <f>SUMIFS(表_流动资金[对应档期金额],表_流动资金[种类],'电子沙盘-盘面'!$E8,表_流动资金[列_团队],值_主板选组,表_流动资金[剩余周期],'电子沙盘-盘面'!G$7*4)</f>
        <v>20</v>
      </c>
      <c r="H8" s="1">
        <f>SUMIFS(表_流动资金[对应档期金额],表_流动资金[种类],'电子沙盘-盘面'!$E8,表_流动资金[列_团队],值_主板选组,表_流动资金[剩余周期],'电子沙盘-盘面'!H$7*4)</f>
        <v>20</v>
      </c>
      <c r="I8" s="1">
        <f>SUMIFS(表_流动资金[对应档期金额],表_流动资金[种类],'电子沙盘-盘面'!$E8,表_流动资金[列_团队],值_主板选组,表_流动资金[剩余周期],'电子沙盘-盘面'!I$7*4)</f>
        <v>0</v>
      </c>
      <c r="J8" s="1">
        <f>SUMIFS(表_流动资金[对应档期金额],表_流动资金[种类],'电子沙盘-盘面'!$E8,表_流动资金[列_团队],值_主板选组,表_流动资金[剩余周期],'电子沙盘-盘面'!J$7*4)</f>
        <v>0</v>
      </c>
      <c r="K8" s="1">
        <f>SUMIFS(表_流动资金[对应档期金额],表_流动资金[种类],'电子沙盘-盘面'!$E8,表_流动资金[列_团队],值_主板选组,表_流动资金[剩余周期],'电子沙盘-盘面'!K$7*4)</f>
        <v>0</v>
      </c>
    </row>
    <row r="9" spans="2:53" ht="18.95" customHeight="1" thickBot="1"/>
    <row r="10" spans="2:53" ht="18.95" customHeight="1" thickBot="1">
      <c r="B10" t="s">
        <v>560</v>
      </c>
      <c r="E10" t="s">
        <v>163</v>
      </c>
      <c r="F10" s="59"/>
      <c r="G10" s="60">
        <f>VLOOKUP(E10,表_库存[],MATCH("数量",表_库存[#Headers],0),FALSE)</f>
        <v>3</v>
      </c>
      <c r="H10" s="61"/>
      <c r="J10" t="s">
        <v>557</v>
      </c>
      <c r="K10" s="62"/>
      <c r="L10" s="63">
        <f>VLOOKUP(J10,表_库存[],MATCH("数量",表_库存[#Headers],0),FALSE)</f>
        <v>0</v>
      </c>
      <c r="M10" s="64"/>
      <c r="O10" t="s">
        <v>558</v>
      </c>
      <c r="P10" s="65"/>
      <c r="Q10" s="66">
        <f>VLOOKUP(O10,表_库存[],MATCH("数量",表_库存[#Headers],0),FALSE)</f>
        <v>0</v>
      </c>
      <c r="R10" s="67"/>
      <c r="T10" t="s">
        <v>559</v>
      </c>
      <c r="U10" s="68"/>
      <c r="V10" s="69">
        <f>VLOOKUP(T10,表_库存[],MATCH("数量",表_库存[#Headers],0),FALSE)</f>
        <v>0</v>
      </c>
      <c r="W10" s="70"/>
      <c r="AD10" s="44"/>
      <c r="AE10" s="52" t="s">
        <v>578</v>
      </c>
      <c r="AF10" s="45"/>
      <c r="AG10" s="46"/>
      <c r="AI10" s="44"/>
      <c r="AJ10" s="52" t="s">
        <v>578</v>
      </c>
      <c r="AK10" s="45"/>
      <c r="AL10" s="46"/>
      <c r="AN10" s="44"/>
      <c r="AO10" s="52" t="s">
        <v>578</v>
      </c>
      <c r="AP10" s="45"/>
      <c r="AQ10" s="46"/>
      <c r="AS10" s="44"/>
      <c r="AT10" s="52" t="s">
        <v>578</v>
      </c>
      <c r="AU10" s="45"/>
      <c r="AV10" s="46"/>
      <c r="AX10" s="44"/>
      <c r="AY10" s="52" t="s">
        <v>578</v>
      </c>
      <c r="AZ10" s="45"/>
      <c r="BA10" s="46"/>
    </row>
    <row r="11" spans="2:53" ht="18.95" customHeight="1" thickBot="1">
      <c r="AD11" s="47"/>
      <c r="AE11" s="53" t="s">
        <v>573</v>
      </c>
      <c r="AF11" s="42"/>
      <c r="AG11" s="48"/>
      <c r="AI11" s="47"/>
      <c r="AJ11" s="53" t="s">
        <v>573</v>
      </c>
      <c r="AK11" s="42"/>
      <c r="AL11" s="48"/>
      <c r="AN11" s="47"/>
      <c r="AO11" s="53" t="s">
        <v>573</v>
      </c>
      <c r="AP11" s="42"/>
      <c r="AQ11" s="48"/>
      <c r="AS11" s="47"/>
      <c r="AT11" s="53" t="s">
        <v>573</v>
      </c>
      <c r="AU11" s="42"/>
      <c r="AV11" s="48"/>
      <c r="AX11" s="47"/>
      <c r="AY11" s="53" t="s">
        <v>573</v>
      </c>
      <c r="AZ11" s="42"/>
      <c r="BA11" s="48"/>
    </row>
    <row r="12" spans="2:53" ht="18.95" customHeight="1">
      <c r="C12" s="36"/>
      <c r="D12" s="37"/>
      <c r="E12" s="37"/>
      <c r="F12" s="37"/>
      <c r="G12" s="37"/>
      <c r="H12" s="37"/>
      <c r="I12" s="37"/>
      <c r="J12" s="37"/>
      <c r="K12" s="38"/>
      <c r="M12" s="36"/>
      <c r="N12" s="37"/>
      <c r="O12" s="37"/>
      <c r="P12" s="37"/>
      <c r="Q12" s="37"/>
      <c r="R12" s="37"/>
      <c r="S12" s="38"/>
      <c r="U12" s="36"/>
      <c r="V12" s="37"/>
      <c r="W12" s="38"/>
      <c r="Y12" t="s">
        <v>561</v>
      </c>
      <c r="AD12" s="47"/>
      <c r="AE12" s="53" t="s">
        <v>170</v>
      </c>
      <c r="AF12" s="42"/>
      <c r="AG12" s="48"/>
      <c r="AI12" s="47"/>
      <c r="AJ12" s="53" t="s">
        <v>170</v>
      </c>
      <c r="AK12" s="42"/>
      <c r="AL12" s="48"/>
      <c r="AN12" s="47"/>
      <c r="AO12" s="53" t="s">
        <v>170</v>
      </c>
      <c r="AP12" s="42"/>
      <c r="AQ12" s="48"/>
      <c r="AS12" s="47"/>
      <c r="AT12" s="53" t="s">
        <v>170</v>
      </c>
      <c r="AU12" s="42"/>
      <c r="AV12" s="48"/>
      <c r="AX12" s="47"/>
      <c r="AY12" s="53" t="s">
        <v>170</v>
      </c>
      <c r="AZ12" s="42"/>
      <c r="BA12" s="48"/>
    </row>
    <row r="13" spans="2:53" ht="18.95" customHeight="1">
      <c r="B13">
        <v>1</v>
      </c>
      <c r="C13" s="4"/>
      <c r="D13" s="1" t="str">
        <f ca="1">IF(COUNTIFS(表_生产线[生产线名称],"生产线a-1",表_生产线[列_团队],值_主板选组,表_生产线[距离交付时间],$B13)&gt;0,vLookup2("生产线a-1",值_主板选组,表_生产线[],MATCH("在产品",表_生产线[#Headers],0)),"")</f>
        <v>P1</v>
      </c>
      <c r="E13" s="5"/>
      <c r="F13" s="1" t="str">
        <f ca="1">IF(COUNTIFS(表_生产线[生产线名称],"生产线a-2",表_生产线[列_团队],值_主板选组,表_生产线[距离交付时间],$B13)&gt;0,vLookup2("生产线a-2",值_主板选组,表_生产线[],MATCH("在产品",表_生产线[#Headers],0)),"")</f>
        <v/>
      </c>
      <c r="G13" s="5"/>
      <c r="H13" s="1" t="str">
        <f ca="1">IF(COUNTIFS(表_生产线[生产线名称],"生产线a-3",表_生产线[列_团队],值_主板选组,表_生产线[距离交付时间],$B13)&gt;0,vLookup2("生产线a-3",值_主板选组,表_生产线[],MATCH("在产品",表_生产线[#Headers],0)),"")</f>
        <v/>
      </c>
      <c r="I13" s="5"/>
      <c r="J13" s="1" t="str">
        <f ca="1">IF(COUNTIFS(表_生产线[生产线名称],"生产线a-4",表_生产线[列_团队],值_主板选组,表_生产线[距离交付时间],$B13)&gt;0,vLookup2("生产线a-4",值_主板选组,表_生产线[],MATCH("在产品",表_生产线[#Headers],0)),"")</f>
        <v/>
      </c>
      <c r="K13" s="6"/>
      <c r="M13" s="4"/>
      <c r="N13" s="1" t="str">
        <f ca="1">IF(COUNTIFS(表_生产线[生产线名称],"生产线b-1",表_生产线[列_团队],值_主板选组,表_生产线[距离交付时间],$B13)&gt;0,vLookup2("生产线b-1",值_主板选组,表_生产线[],MATCH("在产品",表_生产线[#Headers],0)),"")</f>
        <v/>
      </c>
      <c r="O13" s="5"/>
      <c r="P13" s="1" t="str">
        <f ca="1">IF(COUNTIFS(表_生产线[生产线名称],"生产线b-2",表_生产线[列_团队],值_主板选组,表_生产线[距离交付时间],$B13)&gt;0,vLookup2("生产线b-2",值_主板选组,表_生产线[],MATCH("在产品",表_生产线[#Headers],0)),"")</f>
        <v/>
      </c>
      <c r="Q13" s="5"/>
      <c r="R13" s="1" t="str">
        <f ca="1">IF(COUNTIFS(表_生产线[生产线名称],"生产线b-3",表_生产线[列_团队],值_主板选组,表_生产线[距离交付时间],$B13)&gt;0,vLookup2("生产线b-3",值_主板选组,表_生产线[],MATCH("在产品",表_生产线[#Headers],0)),"")</f>
        <v/>
      </c>
      <c r="S13" s="6"/>
      <c r="U13" s="4"/>
      <c r="V13" s="1" t="str">
        <f ca="1">IF(COUNTIFS(表_生产线[生产线名称],"生产线c-1",表_生产线[列_团队],值_主板选组,表_生产线[距离交付时间],$B13)&gt;0,vLookup2("生产线c-1",值_主板选组,表_生产线[],MATCH("在产品",表_生产线[#Headers],0)),"")</f>
        <v/>
      </c>
      <c r="W13" s="6"/>
      <c r="Y13" s="15"/>
      <c r="Z13" s="42">
        <f ca="1">SUMIFS(表_生产线[残值],表_生产线[列_团队],值_主板选组)</f>
        <v>19</v>
      </c>
      <c r="AA13" s="16"/>
      <c r="AB13" s="5"/>
      <c r="AD13" s="47"/>
      <c r="AE13" s="53" t="s">
        <v>574</v>
      </c>
      <c r="AF13" s="42"/>
      <c r="AG13" s="48"/>
      <c r="AI13" s="47"/>
      <c r="AJ13" s="53" t="s">
        <v>574</v>
      </c>
      <c r="AK13" s="42"/>
      <c r="AL13" s="48"/>
      <c r="AN13" s="47"/>
      <c r="AO13" s="53" t="s">
        <v>574</v>
      </c>
      <c r="AP13" s="42"/>
      <c r="AQ13" s="48"/>
      <c r="AS13" s="47"/>
      <c r="AT13" s="53" t="s">
        <v>574</v>
      </c>
      <c r="AU13" s="42"/>
      <c r="AV13" s="48"/>
      <c r="AX13" s="47"/>
      <c r="AY13" s="53" t="s">
        <v>574</v>
      </c>
      <c r="AZ13" s="42"/>
      <c r="BA13" s="48"/>
    </row>
    <row r="14" spans="2:53" ht="18.95" customHeight="1">
      <c r="B14">
        <v>2</v>
      </c>
      <c r="C14" s="4"/>
      <c r="D14" s="1" t="str">
        <f ca="1">IF(COUNTIFS(表_生产线[生产线名称],"生产线a-1",表_生产线[列_团队],值_主板选组,表_生产线[距离交付时间],$B14)&gt;0,vLookup2("生产线a-1",值_主板选组,表_生产线[],MATCH("在产品",表_生产线[#Headers],0)),"")</f>
        <v/>
      </c>
      <c r="E14" s="5"/>
      <c r="F14" s="1" t="str">
        <f ca="1">IF(COUNTIFS(表_生产线[生产线名称],"生产线a-2",表_生产线[列_团队],值_主板选组,表_生产线[距离交付时间],$B14)&gt;0,vLookup2("生产线a-2",值_主板选组,表_生产线[],MATCH("在产品",表_生产线[#Headers],0)),"")</f>
        <v>P1</v>
      </c>
      <c r="G14" s="5"/>
      <c r="H14" s="1" t="str">
        <f ca="1">IF(COUNTIFS(表_生产线[生产线名称],"生产线a-3",表_生产线[列_团队],值_主板选组,表_生产线[距离交付时间],$B14)&gt;0,vLookup2("生产线a-3",值_主板选组,表_生产线[],MATCH("在产品",表_生产线[#Headers],0)),"")</f>
        <v/>
      </c>
      <c r="I14" s="5"/>
      <c r="J14" s="1" t="str">
        <f ca="1">IF(COUNTIFS(表_生产线[生产线名称],"生产线a-4",表_生产线[列_团队],值_主板选组,表_生产线[距离交付时间],$B14)&gt;0,vLookup2("生产线a-4",值_主板选组,表_生产线[],MATCH("在产品",表_生产线[#Headers],0)),"")</f>
        <v>P1</v>
      </c>
      <c r="K14" s="6"/>
      <c r="M14" s="4"/>
      <c r="N14" s="1" t="str">
        <f ca="1">IF(COUNTIFS(表_生产线[生产线名称],"生产线b-1",表_生产线[列_团队],值_主板选组,表_生产线[距离交付时间],$B14)&gt;0,vLookup2("生产线b-1",值_主板选组,表_生产线[],MATCH("在产品",表_生产线[#Headers],0)),"")</f>
        <v/>
      </c>
      <c r="O14" s="5"/>
      <c r="P14" s="1" t="str">
        <f ca="1">IF(COUNTIFS(表_生产线[生产线名称],"生产线b-2",表_生产线[列_团队],值_主板选组,表_生产线[距离交付时间],$B14)&gt;0,vLookup2("生产线b-2",值_主板选组,表_生产线[],MATCH("在产品",表_生产线[#Headers],0)),"")</f>
        <v/>
      </c>
      <c r="Q14" s="5"/>
      <c r="R14" s="1" t="str">
        <f ca="1">IF(COUNTIFS(表_生产线[生产线名称],"生产线b-3",表_生产线[列_团队],值_主板选组,表_生产线[距离交付时间],$B14)&gt;0,vLookup2("生产线b-3",值_主板选组,表_生产线[],MATCH("在产品",表_生产线[#Headers],0)),"")</f>
        <v/>
      </c>
      <c r="S14" s="6"/>
      <c r="U14" s="4"/>
      <c r="V14" s="1" t="str">
        <f ca="1">IF(COUNTIFS(表_生产线[生产线名称],"生产线c-1",表_生产线[列_团队],值_主板选组,表_生产线[距离交付时间],$B14)&gt;0,vLookup2("生产线c-1",值_主板选组,表_生产线[],MATCH("在产品",表_生产线[#Headers],0)),"")</f>
        <v/>
      </c>
      <c r="W14" s="6"/>
      <c r="Y14" t="s">
        <v>38</v>
      </c>
      <c r="AD14" s="47"/>
      <c r="AE14" s="53" t="s">
        <v>575</v>
      </c>
      <c r="AF14" s="42"/>
      <c r="AG14" s="48"/>
      <c r="AI14" s="47"/>
      <c r="AJ14" s="53" t="s">
        <v>575</v>
      </c>
      <c r="AK14" s="42"/>
      <c r="AL14" s="48"/>
      <c r="AN14" s="47"/>
      <c r="AO14" s="53" t="s">
        <v>575</v>
      </c>
      <c r="AP14" s="42"/>
      <c r="AQ14" s="48"/>
      <c r="AS14" s="47"/>
      <c r="AT14" s="53" t="s">
        <v>575</v>
      </c>
      <c r="AU14" s="42"/>
      <c r="AV14" s="48"/>
      <c r="AX14" s="47"/>
      <c r="AY14" s="53" t="s">
        <v>575</v>
      </c>
      <c r="AZ14" s="42"/>
      <c r="BA14" s="48"/>
    </row>
    <row r="15" spans="2:53" ht="18.95" customHeight="1">
      <c r="B15">
        <v>3</v>
      </c>
      <c r="C15" s="4"/>
      <c r="D15" s="1" t="str">
        <f ca="1">IF(COUNTIFS(表_生产线[生产线名称],"生产线a-1",表_生产线[列_团队],值_主板选组,表_生产线[距离交付时间],$B15)&gt;0,vLookup2("生产线a-1",值_主板选组,表_生产线[],MATCH("在产品",表_生产线[#Headers],0)),"")</f>
        <v/>
      </c>
      <c r="E15" s="5"/>
      <c r="F15" s="1" t="str">
        <f ca="1">IF(COUNTIFS(表_生产线[生产线名称],"生产线a-2",表_生产线[列_团队],值_主板选组,表_生产线[距离交付时间],$B15)&gt;0,vLookup2("生产线a-2",值_主板选组,表_生产线[],MATCH("在产品",表_生产线[#Headers],0)),"")</f>
        <v/>
      </c>
      <c r="G15" s="5"/>
      <c r="H15" s="1" t="str">
        <f ca="1">IF(COUNTIFS(表_生产线[生产线名称],"生产线a-3",表_生产线[列_团队],值_主板选组,表_生产线[距离交付时间],$B15)&gt;0,vLookup2("生产线a-3",值_主板选组,表_生产线[],MATCH("在产品",表_生产线[#Headers],0)),"")</f>
        <v>P1</v>
      </c>
      <c r="I15" s="5"/>
      <c r="J15" s="1" t="str">
        <f ca="1">IF(COUNTIFS(表_生产线[生产线名称],"生产线a-4",表_生产线[列_团队],值_主板选组,表_生产线[距离交付时间],$B15)&gt;0,vLookup2("生产线a-4",值_主板选组,表_生产线[],MATCH("在产品",表_生产线[#Headers],0)),"")</f>
        <v/>
      </c>
      <c r="K15" s="6"/>
      <c r="M15" s="4"/>
      <c r="N15" s="1" t="str">
        <f ca="1">IF(COUNTIFS(表_生产线[生产线名称],"生产线b-1",表_生产线[列_团队],值_主板选组,表_生产线[距离交付时间],$B15)&gt;0,vLookup2("生产线b-1",值_主板选组,表_生产线[],MATCH("在产品",表_生产线[#Headers],0)),"")</f>
        <v/>
      </c>
      <c r="O15" s="5"/>
      <c r="P15" s="1" t="str">
        <f ca="1">IF(COUNTIFS(表_生产线[生产线名称],"生产线b-2",表_生产线[列_团队],值_主板选组,表_生产线[距离交付时间],$B15)&gt;0,vLookup2("生产线b-2",值_主板选组,表_生产线[],MATCH("在产品",表_生产线[#Headers],0)),"")</f>
        <v/>
      </c>
      <c r="Q15" s="5"/>
      <c r="R15" s="1" t="str">
        <f ca="1">IF(COUNTIFS(表_生产线[生产线名称],"生产线b-3",表_生产线[列_团队],值_主板选组,表_生产线[距离交付时间],$B15)&gt;0,vLookup2("生产线b-3",值_主板选组,表_生产线[],MATCH("在产品",表_生产线[#Headers],0)),"")</f>
        <v/>
      </c>
      <c r="S15" s="6"/>
      <c r="U15" s="4"/>
      <c r="V15" s="1" t="str">
        <f ca="1">IF(COUNTIFS(表_生产线[生产线名称],"生产线c-1",表_生产线[列_团队],值_主板选组,表_生产线[距离交付时间],$B15)&gt;0,vLookup2("生产线c-1",值_主板选组,表_生产线[],MATCH("在产品",表_生产线[#Headers],0)),"")</f>
        <v/>
      </c>
      <c r="W15" s="6"/>
      <c r="Y15" s="15"/>
      <c r="Z15" s="42">
        <f>SUMIFS(表_厂房[价值],表_厂房[列_团队],值_主板选组)-SUMIFS(表_厂房[厂房累计折旧],表_厂房[列_团队],值_主板选组)</f>
        <v>32</v>
      </c>
      <c r="AA15" s="16"/>
      <c r="AB15" s="5"/>
      <c r="AD15" s="47"/>
      <c r="AE15" s="53" t="s">
        <v>576</v>
      </c>
      <c r="AF15" s="42"/>
      <c r="AG15" s="48"/>
      <c r="AI15" s="47"/>
      <c r="AJ15" s="53" t="s">
        <v>576</v>
      </c>
      <c r="AK15" s="42"/>
      <c r="AL15" s="48"/>
      <c r="AN15" s="47"/>
      <c r="AO15" s="53" t="s">
        <v>576</v>
      </c>
      <c r="AP15" s="42"/>
      <c r="AQ15" s="48"/>
      <c r="AS15" s="47"/>
      <c r="AT15" s="53" t="s">
        <v>576</v>
      </c>
      <c r="AU15" s="42"/>
      <c r="AV15" s="48"/>
      <c r="AX15" s="47"/>
      <c r="AY15" s="53" t="s">
        <v>576</v>
      </c>
      <c r="AZ15" s="42"/>
      <c r="BA15" s="48"/>
    </row>
    <row r="16" spans="2:53" ht="18.95" customHeight="1" thickBot="1">
      <c r="C16" s="39"/>
      <c r="D16" s="12">
        <v>1</v>
      </c>
      <c r="E16" s="12"/>
      <c r="F16" s="12">
        <v>2</v>
      </c>
      <c r="G16" s="12"/>
      <c r="H16" s="12">
        <v>3</v>
      </c>
      <c r="I16" s="12"/>
      <c r="J16" s="12">
        <v>4</v>
      </c>
      <c r="K16" s="40"/>
      <c r="M16" s="39"/>
      <c r="N16" s="12">
        <v>1</v>
      </c>
      <c r="O16" s="12"/>
      <c r="P16" s="12">
        <v>2</v>
      </c>
      <c r="Q16" s="12"/>
      <c r="R16" s="12">
        <v>3</v>
      </c>
      <c r="S16" s="40"/>
      <c r="U16" s="39"/>
      <c r="V16" s="12">
        <v>1</v>
      </c>
      <c r="W16" s="40"/>
      <c r="AD16" s="49"/>
      <c r="AE16" s="54" t="s">
        <v>577</v>
      </c>
      <c r="AF16" s="50"/>
      <c r="AG16" s="51"/>
      <c r="AI16" s="49"/>
      <c r="AJ16" s="54" t="s">
        <v>577</v>
      </c>
      <c r="AK16" s="50"/>
      <c r="AL16" s="51"/>
      <c r="AN16" s="49"/>
      <c r="AO16" s="54" t="s">
        <v>577</v>
      </c>
      <c r="AP16" s="50"/>
      <c r="AQ16" s="51"/>
      <c r="AS16" s="49"/>
      <c r="AT16" s="54" t="s">
        <v>577</v>
      </c>
      <c r="AU16" s="50"/>
      <c r="AV16" s="51"/>
      <c r="AX16" s="49"/>
      <c r="AY16" s="54" t="s">
        <v>577</v>
      </c>
      <c r="AZ16" s="50"/>
      <c r="BA16" s="51"/>
    </row>
    <row r="17" spans="2:23" ht="18.95" customHeight="1" thickBot="1">
      <c r="C17" t="s">
        <v>396</v>
      </c>
      <c r="M17" t="s">
        <v>564</v>
      </c>
      <c r="U17" t="s">
        <v>565</v>
      </c>
    </row>
    <row r="18" spans="2:23" ht="18.95" customHeight="1" thickBot="1">
      <c r="B18" t="s">
        <v>566</v>
      </c>
      <c r="E18" t="s">
        <v>567</v>
      </c>
      <c r="F18" s="59"/>
      <c r="G18" s="60">
        <f>VLOOKUP(E18,表_库存[],MATCH("数量",表_库存[#Headers],0),FALSE)</f>
        <v>1</v>
      </c>
      <c r="H18" s="61"/>
      <c r="J18" t="s">
        <v>320</v>
      </c>
      <c r="K18" s="62"/>
      <c r="L18" s="63">
        <f>VLOOKUP(J18,表_库存[],MATCH("数量",表_库存[#Headers],0),FALSE)</f>
        <v>0</v>
      </c>
      <c r="M18" s="64"/>
      <c r="O18" t="s">
        <v>321</v>
      </c>
      <c r="P18" s="65"/>
      <c r="Q18" s="66">
        <f>VLOOKUP(O18,表_库存[],MATCH("数量",表_库存[#Headers],0),FALSE)</f>
        <v>0</v>
      </c>
      <c r="R18" s="67"/>
      <c r="T18" t="s">
        <v>322</v>
      </c>
      <c r="U18" s="68"/>
      <c r="V18" s="69">
        <f>VLOOKUP(T18,表_库存[],MATCH("数量",表_库存[#Headers],0),FALSE)</f>
        <v>0</v>
      </c>
      <c r="W18" s="70"/>
    </row>
    <row r="20" spans="2:23" ht="18.95" customHeight="1">
      <c r="B20" t="s">
        <v>112</v>
      </c>
      <c r="K20" s="41" t="s">
        <v>116</v>
      </c>
      <c r="L20" s="55"/>
      <c r="N20" t="s">
        <v>583</v>
      </c>
    </row>
    <row r="21" spans="2:23" ht="18.95" customHeight="1">
      <c r="B21" t="s">
        <v>581</v>
      </c>
      <c r="C21" s="1"/>
      <c r="D21" s="1"/>
      <c r="E21" s="1"/>
      <c r="F21" s="1"/>
      <c r="G21" s="1"/>
      <c r="H21" s="1"/>
      <c r="K21" s="41" t="s">
        <v>115</v>
      </c>
      <c r="L21" s="55"/>
      <c r="M21" s="55"/>
    </row>
    <row r="22" spans="2:23" ht="18.95" customHeight="1">
      <c r="B22" t="s">
        <v>109</v>
      </c>
      <c r="C22" s="1"/>
      <c r="D22" s="1"/>
      <c r="E22" s="1"/>
      <c r="F22" s="1"/>
      <c r="G22" s="1"/>
      <c r="H22" s="1"/>
      <c r="K22" s="41" t="s">
        <v>584</v>
      </c>
      <c r="L22" s="55"/>
      <c r="M22" s="55"/>
      <c r="N22" s="55"/>
    </row>
    <row r="23" spans="2:23" ht="18.95" customHeight="1">
      <c r="B23" t="s">
        <v>582</v>
      </c>
      <c r="C23" s="1"/>
      <c r="D23" s="1"/>
      <c r="E23" s="1"/>
      <c r="F23" s="1"/>
      <c r="G23" s="1"/>
      <c r="H23" s="1"/>
      <c r="K23" s="41" t="s">
        <v>113</v>
      </c>
      <c r="L23" s="1"/>
      <c r="M23" s="1"/>
      <c r="N23" s="1"/>
      <c r="O23" s="1"/>
    </row>
    <row r="24" spans="2:23" ht="18.95" customHeight="1">
      <c r="B24" t="s">
        <v>588</v>
      </c>
      <c r="C24">
        <v>1</v>
      </c>
      <c r="D24">
        <v>2</v>
      </c>
      <c r="E24">
        <v>3</v>
      </c>
      <c r="F24">
        <v>4</v>
      </c>
      <c r="G24">
        <v>5</v>
      </c>
      <c r="H24">
        <v>6</v>
      </c>
      <c r="K24" s="56" t="s">
        <v>586</v>
      </c>
      <c r="L24">
        <v>1</v>
      </c>
      <c r="M24">
        <v>2</v>
      </c>
      <c r="N24">
        <v>3</v>
      </c>
      <c r="O24">
        <v>4</v>
      </c>
    </row>
  </sheetData>
  <mergeCells count="1">
    <mergeCell ref="L4:O6"/>
  </mergeCells>
  <phoneticPr fontId="1" type="noConversion"/>
  <dataValidations count="1">
    <dataValidation type="list" allowBlank="1" showInputMessage="1" showErrorMessage="1" sqref="M2">
      <formula1>列_团队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29"/>
  <sheetViews>
    <sheetView workbookViewId="0">
      <selection activeCell="F24" sqref="F24"/>
    </sheetView>
  </sheetViews>
  <sheetFormatPr defaultRowHeight="14.25"/>
  <sheetData>
    <row r="2" spans="1:14">
      <c r="D2" t="s">
        <v>443</v>
      </c>
      <c r="E2" t="s">
        <v>150</v>
      </c>
      <c r="H2">
        <v>-1</v>
      </c>
      <c r="I2" t="s">
        <v>512</v>
      </c>
    </row>
    <row r="3" spans="1:14">
      <c r="A3" t="s">
        <v>93</v>
      </c>
      <c r="L3" s="83" t="s">
        <v>159</v>
      </c>
      <c r="M3" s="83"/>
    </row>
    <row r="4" spans="1:14">
      <c r="A4" s="1" t="s">
        <v>152</v>
      </c>
      <c r="B4" s="1" t="s">
        <v>148</v>
      </c>
      <c r="C4" s="1" t="s">
        <v>96</v>
      </c>
      <c r="D4" s="1" t="s">
        <v>155</v>
      </c>
      <c r="E4" s="1" t="s">
        <v>156</v>
      </c>
      <c r="F4" s="1" t="s">
        <v>157</v>
      </c>
      <c r="G4" s="1" t="s">
        <v>158</v>
      </c>
      <c r="H4" s="5"/>
      <c r="I4" s="1" t="s">
        <v>688</v>
      </c>
      <c r="J4" s="1" t="s">
        <v>726</v>
      </c>
      <c r="K4" s="1" t="s">
        <v>515</v>
      </c>
      <c r="L4" s="1" t="s">
        <v>161</v>
      </c>
      <c r="M4" s="1" t="s">
        <v>162</v>
      </c>
      <c r="N4" s="1" t="s">
        <v>102</v>
      </c>
    </row>
    <row r="5" spans="1:14">
      <c r="A5" s="1">
        <f>-SUMIFS(表_事件[数据1],表_事件[列_团队],值_财务表选组,表_事件[事件名称],A4,表_事件[事件年],值_财务表选年)</f>
        <v>0</v>
      </c>
      <c r="B5" s="1">
        <f>-SUMIFS(表_事件[数据1],表_事件[列_团队],值_财务表选组,表_事件[事件名称],B4,表_事件[事件年],值_财务表选年)</f>
        <v>0</v>
      </c>
      <c r="C5" s="1">
        <f>-SUMIFS(表_事件[数据4],表_事件[列_团队],值_财务表选组,表_事件[事件名称],C4,表_事件[事件年],值_财务表选年)</f>
        <v>-4</v>
      </c>
      <c r="D5" s="1">
        <f>-SUMIFS(表_事件[数据1],表_事件[列_团队],值_财务表选组,表_事件[事件名称],D4,表_事件[事件年],值_财务表选年)</f>
        <v>0</v>
      </c>
      <c r="E5" s="1">
        <f>-SUMIFS(表_事件[数据1],表_事件[列_团队],值_财务表选组,表_事件[事件名称],E4,表_事件[事件年],值_财务表选年)</f>
        <v>0</v>
      </c>
      <c r="F5" s="1">
        <f>-SUMIFS(表_事件[数据1],表_事件[列_团队],值_财务表选组,表_事件[事件名称],F4,表_事件[事件年],值_财务表选年)</f>
        <v>0</v>
      </c>
      <c r="G5" s="1">
        <f>-SUMIFS(表_事件[数据1],表_事件[列_团队],值_财务表选组,表_事件[事件名称],G4,表_事件[事件年],值_财务表选年)</f>
        <v>0</v>
      </c>
      <c r="H5" s="5"/>
      <c r="I5" s="1">
        <f ca="1">-SUMIFS(表_事件[数据5],表_事件[列_团队],值_财务表选组,表_事件[事件名称],I4,表_事件[事件年],值_财务表选年)</f>
        <v>-4</v>
      </c>
      <c r="J5" s="1">
        <f>-SUMIFS(表_事件[数据5],表_事件[列_团队],值_财务表选组,表_事件[事件名称],J4,表_事件[事件年],值_财务表选年)</f>
        <v>0</v>
      </c>
      <c r="K5" s="1">
        <f ca="1">SUM(I5:J5)</f>
        <v>-4</v>
      </c>
      <c r="L5" s="1">
        <f>-SUMIFS(表_事件[数据3],表_事件[列_团队],值_财务表选组,表_事件[事件名称],"长贷还息",表_事件[事件年],值_财务表选年)</f>
        <v>-2</v>
      </c>
      <c r="M5" s="1">
        <f>-SUMIFS(表_事件[数据3],表_事件[列_团队],值_财务表选组,表_事件[事件名称],"贴现费用",表_事件[事件年],值_财务表选年)</f>
        <v>0</v>
      </c>
      <c r="N5" s="1"/>
    </row>
    <row r="8" spans="1:14">
      <c r="A8" s="1"/>
      <c r="B8" s="1" t="s">
        <v>163</v>
      </c>
      <c r="C8" s="1" t="s">
        <v>103</v>
      </c>
      <c r="D8" s="1" t="s">
        <v>108</v>
      </c>
      <c r="E8" s="1" t="s">
        <v>110</v>
      </c>
      <c r="F8" s="3" t="s">
        <v>211</v>
      </c>
      <c r="G8" s="58"/>
      <c r="I8" s="1"/>
      <c r="J8" s="1" t="s">
        <v>168</v>
      </c>
      <c r="K8" s="1" t="s">
        <v>163</v>
      </c>
      <c r="L8" s="1" t="s">
        <v>103</v>
      </c>
      <c r="M8" s="1" t="s">
        <v>108</v>
      </c>
      <c r="N8" s="1" t="s">
        <v>110</v>
      </c>
    </row>
    <row r="9" spans="1:14">
      <c r="A9" s="1" t="s">
        <v>164</v>
      </c>
      <c r="B9" s="1"/>
      <c r="C9" s="1"/>
      <c r="D9" s="1"/>
      <c r="E9" s="1"/>
      <c r="F9" s="1"/>
      <c r="G9" s="5"/>
      <c r="I9" s="1" t="s">
        <v>169</v>
      </c>
      <c r="J9" s="1" t="s">
        <v>170</v>
      </c>
      <c r="K9" s="1"/>
      <c r="L9" s="1"/>
      <c r="M9" s="1"/>
      <c r="N9" s="1"/>
    </row>
    <row r="10" spans="1:14">
      <c r="A10" s="1" t="s">
        <v>165</v>
      </c>
      <c r="B10" s="1"/>
      <c r="C10" s="1"/>
      <c r="D10" s="1"/>
      <c r="E10" s="1"/>
      <c r="F10" s="1"/>
      <c r="G10" s="5"/>
      <c r="I10" s="1"/>
      <c r="J10" s="1" t="s">
        <v>171</v>
      </c>
      <c r="K10" s="1"/>
      <c r="L10" s="1"/>
      <c r="M10" s="1"/>
      <c r="N10" s="1"/>
    </row>
    <row r="11" spans="1:14">
      <c r="A11" s="1" t="s">
        <v>166</v>
      </c>
      <c r="B11" s="1"/>
      <c r="C11" s="1"/>
      <c r="D11" s="1"/>
      <c r="E11" s="1"/>
      <c r="F11" s="1"/>
      <c r="G11" s="5"/>
      <c r="I11" s="1" t="s">
        <v>172</v>
      </c>
      <c r="J11" s="1" t="s">
        <v>173</v>
      </c>
      <c r="K11" s="1"/>
      <c r="L11" s="1"/>
      <c r="M11" s="1"/>
      <c r="N11" s="1"/>
    </row>
    <row r="12" spans="1:14">
      <c r="A12" s="3" t="s">
        <v>212</v>
      </c>
      <c r="B12" s="1"/>
      <c r="C12" s="1"/>
      <c r="D12" s="1"/>
      <c r="E12" s="1"/>
      <c r="F12" s="1"/>
      <c r="G12" s="5"/>
      <c r="I12" s="1"/>
      <c r="J12" s="1" t="s">
        <v>174</v>
      </c>
      <c r="K12" s="1"/>
      <c r="L12" s="1"/>
      <c r="M12" s="1"/>
      <c r="N12" s="1"/>
    </row>
    <row r="13" spans="1:14">
      <c r="I13" s="1" t="s">
        <v>175</v>
      </c>
      <c r="J13" s="1" t="s">
        <v>170</v>
      </c>
      <c r="K13" s="1"/>
      <c r="L13" s="1"/>
      <c r="M13" s="1"/>
      <c r="N13" s="1"/>
    </row>
    <row r="14" spans="1:14">
      <c r="I14" s="1"/>
      <c r="J14" s="1" t="s">
        <v>174</v>
      </c>
      <c r="K14" s="1"/>
      <c r="L14" s="1"/>
      <c r="M14" s="1"/>
      <c r="N14" s="1"/>
    </row>
    <row r="15" spans="1:14" ht="15" thickBot="1"/>
    <row r="16" spans="1:14">
      <c r="I16" s="84" t="s">
        <v>189</v>
      </c>
      <c r="J16" s="85"/>
      <c r="K16" s="85"/>
      <c r="L16" s="85"/>
      <c r="M16" s="85"/>
      <c r="N16" s="86"/>
    </row>
    <row r="17" spans="2:14">
      <c r="B17" s="83" t="s">
        <v>177</v>
      </c>
      <c r="C17" s="83"/>
      <c r="D17" s="83"/>
      <c r="I17" s="80" t="s">
        <v>190</v>
      </c>
      <c r="J17" s="81"/>
      <c r="K17" s="82"/>
      <c r="L17" s="87" t="s">
        <v>200</v>
      </c>
      <c r="M17" s="81"/>
      <c r="N17" s="88"/>
    </row>
    <row r="18" spans="2:14">
      <c r="B18" s="15" t="s">
        <v>178</v>
      </c>
      <c r="C18" s="16"/>
      <c r="D18" s="1">
        <f>SUMIFS(表_事件[数据3],表_事件[列_团队],值_财务表选组,表_事件[事件名称],"订单交付")</f>
        <v>20</v>
      </c>
      <c r="I18" s="4" t="s">
        <v>191</v>
      </c>
      <c r="J18" s="5"/>
      <c r="K18" s="5">
        <f ca="1">SUMIFS(表_现金状态[当前现金],表_现金状态[科目],"现金",表_现金状态[列_团队],值_财务表选组)</f>
        <v>20</v>
      </c>
      <c r="L18" s="5" t="s">
        <v>500</v>
      </c>
      <c r="M18" s="5"/>
      <c r="N18" s="6">
        <f>SUMIFS(表_流动资金[对应档期金额],表_流动资金[种类],'电子沙盘-财务表格'!L18)</f>
        <v>0</v>
      </c>
    </row>
    <row r="19" spans="2:14">
      <c r="B19" s="15" t="s">
        <v>179</v>
      </c>
      <c r="C19" s="16"/>
      <c r="D19" s="1">
        <f>-SUMIFS(表_订单[交付成本],表_订单[列_团队],值_财务表选组,表_订单[交付年度],值_财务表选年)</f>
        <v>-4</v>
      </c>
      <c r="I19" s="4" t="s">
        <v>192</v>
      </c>
      <c r="J19" s="5"/>
      <c r="K19" s="5">
        <f ca="1">SUMIFS(表_流动资金[对应档期金额],表_流动资金[列_团队],值_财务表选组,表_流动资金[种类],'电子沙盘-财务表格'!I19)</f>
        <v>20</v>
      </c>
      <c r="L19" s="5" t="s">
        <v>201</v>
      </c>
      <c r="M19" s="5"/>
      <c r="N19" s="6">
        <f>SUMIFS(表_流动资金[对应档期金额],表_流动资金[种类],'电子沙盘-财务表格'!L19)</f>
        <v>0</v>
      </c>
    </row>
    <row r="20" spans="2:14">
      <c r="B20" s="15" t="s">
        <v>180</v>
      </c>
      <c r="C20" s="16"/>
      <c r="D20" s="2">
        <f>SUM(D18:D19)</f>
        <v>16</v>
      </c>
      <c r="I20" s="4" t="s">
        <v>193</v>
      </c>
      <c r="J20" s="5"/>
      <c r="K20" s="5"/>
      <c r="L20" s="5" t="s">
        <v>202</v>
      </c>
      <c r="M20" s="5"/>
      <c r="N20" s="6">
        <f ca="1">-D28</f>
        <v>2</v>
      </c>
    </row>
    <row r="21" spans="2:14">
      <c r="B21" s="15" t="s">
        <v>93</v>
      </c>
      <c r="C21" s="16"/>
      <c r="D21" s="1">
        <f>SUM(A5:G5)</f>
        <v>-4</v>
      </c>
      <c r="I21" s="7" t="s">
        <v>169</v>
      </c>
      <c r="J21" s="5"/>
      <c r="K21" s="5">
        <f>SUMIFS(表_库存[总金额],表_库存[列_团队],值_财务表选组,表_库存[仓库],I21)</f>
        <v>6</v>
      </c>
      <c r="L21" s="5" t="s">
        <v>501</v>
      </c>
      <c r="M21" s="5"/>
      <c r="N21" s="6">
        <f>SUMIFS(表_流动资金[对应档期金额],表_流动资金[列_团队],值_财务表选组,表_流动资金[种类],'电子沙盘-财务表格'!L21)</f>
        <v>40</v>
      </c>
    </row>
    <row r="22" spans="2:14">
      <c r="B22" s="15" t="s">
        <v>181</v>
      </c>
      <c r="C22" s="16"/>
      <c r="D22" s="2">
        <f>SUM(D20:D21)</f>
        <v>12</v>
      </c>
      <c r="I22" s="7" t="s">
        <v>172</v>
      </c>
      <c r="J22" s="5"/>
      <c r="K22" s="5">
        <f ca="1">SUMIFS(表_生产线[在制品价值],表_生产线[列_团队],值_财务表选组)</f>
        <v>8</v>
      </c>
      <c r="L22" s="5"/>
      <c r="M22" s="5"/>
      <c r="N22" s="6"/>
    </row>
    <row r="23" spans="2:14">
      <c r="B23" s="15" t="s">
        <v>182</v>
      </c>
      <c r="C23" s="16"/>
      <c r="D23" s="1">
        <f ca="1">K5</f>
        <v>-4</v>
      </c>
      <c r="I23" s="7" t="s">
        <v>175</v>
      </c>
      <c r="J23" s="5"/>
      <c r="K23" s="5">
        <f>SUMIFS(表_库存[总金额],表_库存[列_团队],值_财务表选组,表_库存[仓库],I23)</f>
        <v>1</v>
      </c>
      <c r="L23" s="5" t="s">
        <v>204</v>
      </c>
      <c r="M23" s="5"/>
      <c r="N23" s="8">
        <f ca="1">SUM(N18:N21)</f>
        <v>42</v>
      </c>
    </row>
    <row r="24" spans="2:14">
      <c r="B24" s="15" t="s">
        <v>184</v>
      </c>
      <c r="C24" s="16"/>
      <c r="D24" s="2">
        <f ca="1">SUM(D22:D23)</f>
        <v>8</v>
      </c>
      <c r="I24" s="9" t="s">
        <v>194</v>
      </c>
      <c r="J24" s="5"/>
      <c r="K24" s="10">
        <f ca="1">SUM(K18:K23)</f>
        <v>55</v>
      </c>
      <c r="L24" s="87" t="s">
        <v>205</v>
      </c>
      <c r="M24" s="81"/>
      <c r="N24" s="88"/>
    </row>
    <row r="25" spans="2:14">
      <c r="B25" s="15" t="s">
        <v>183</v>
      </c>
      <c r="C25" s="16"/>
      <c r="D25" s="1">
        <f>SUM(L5:M5)</f>
        <v>-2</v>
      </c>
      <c r="I25" s="80" t="s">
        <v>195</v>
      </c>
      <c r="J25" s="81"/>
      <c r="K25" s="82"/>
      <c r="L25" s="5" t="s">
        <v>206</v>
      </c>
      <c r="M25" s="5"/>
      <c r="N25" s="6">
        <f>SUMIFS(表_事件[数据1],表_事件[列_团队],值_财务表选组,表_事件[事件名称],"现金增资")</f>
        <v>45</v>
      </c>
    </row>
    <row r="26" spans="2:14">
      <c r="B26" s="15" t="s">
        <v>185</v>
      </c>
      <c r="C26" s="16"/>
      <c r="D26" s="3">
        <v>0</v>
      </c>
      <c r="I26" s="9" t="s">
        <v>196</v>
      </c>
      <c r="J26" s="5"/>
      <c r="K26" s="5">
        <f>SUMIF(表_厂房[列_团队],值_财务表选组,表_厂房[价值])</f>
        <v>32</v>
      </c>
      <c r="L26" s="5" t="s">
        <v>207</v>
      </c>
      <c r="M26" s="5"/>
      <c r="N26" s="6">
        <f>SUMIFS(表_事件[数据1],表_事件[列_团队],值_财务表选组,表_事件[事件名称],"利润留存")</f>
        <v>15</v>
      </c>
    </row>
    <row r="27" spans="2:14">
      <c r="B27" s="15" t="s">
        <v>188</v>
      </c>
      <c r="C27" s="16"/>
      <c r="D27" s="2">
        <f ca="1">SUM(D24:D26)</f>
        <v>6</v>
      </c>
      <c r="I27" s="4" t="s">
        <v>197</v>
      </c>
      <c r="J27" s="5"/>
      <c r="K27" s="5">
        <f ca="1">SUMIF(表_生产线[列_团队],值_财务表选组,表_生产线[残值])</f>
        <v>19</v>
      </c>
      <c r="L27" s="5" t="s">
        <v>208</v>
      </c>
      <c r="M27" s="5"/>
      <c r="N27" s="6">
        <f ca="1">D29</f>
        <v>4</v>
      </c>
    </row>
    <row r="28" spans="2:14">
      <c r="B28" s="15" t="s">
        <v>186</v>
      </c>
      <c r="C28" s="16"/>
      <c r="D28" s="1">
        <f ca="1">-ROUNDUP(D27*值_税率,0)</f>
        <v>-2</v>
      </c>
      <c r="I28" s="9" t="s">
        <v>198</v>
      </c>
      <c r="J28" s="5"/>
      <c r="K28" s="10">
        <f ca="1">SUM(K26:K27)</f>
        <v>51</v>
      </c>
      <c r="L28" s="5" t="s">
        <v>209</v>
      </c>
      <c r="M28" s="5"/>
      <c r="N28" s="8">
        <f ca="1">SUM(N25:N27)</f>
        <v>64</v>
      </c>
    </row>
    <row r="29" spans="2:14" ht="15" thickBot="1">
      <c r="B29" s="15" t="s">
        <v>187</v>
      </c>
      <c r="C29" s="16"/>
      <c r="D29" s="2">
        <f ca="1">SUM(D27:D28)</f>
        <v>4</v>
      </c>
      <c r="I29" s="11" t="s">
        <v>199</v>
      </c>
      <c r="J29" s="12"/>
      <c r="K29" s="13">
        <f ca="1">SUM(K24,K28)</f>
        <v>106</v>
      </c>
      <c r="L29" s="12" t="s">
        <v>210</v>
      </c>
      <c r="M29" s="12"/>
      <c r="N29" s="14">
        <f ca="1">SUM(N23+N28)</f>
        <v>106</v>
      </c>
    </row>
  </sheetData>
  <mergeCells count="7">
    <mergeCell ref="I25:K25"/>
    <mergeCell ref="L3:M3"/>
    <mergeCell ref="I16:N16"/>
    <mergeCell ref="B17:D17"/>
    <mergeCell ref="I17:K17"/>
    <mergeCell ref="L17:N17"/>
    <mergeCell ref="L24:N24"/>
  </mergeCells>
  <phoneticPr fontId="1" type="noConversion"/>
  <dataValidations count="1">
    <dataValidation type="list" allowBlank="1" showInputMessage="1" showErrorMessage="1" sqref="D2">
      <formula1>列_团队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Y200"/>
  <sheetViews>
    <sheetView tabSelected="1" zoomScale="80" zoomScaleNormal="80" workbookViewId="0">
      <selection activeCell="F42" sqref="F42"/>
    </sheetView>
  </sheetViews>
  <sheetFormatPr defaultRowHeight="14.25"/>
  <cols>
    <col min="1" max="1" width="6.25" customWidth="1"/>
    <col min="2" max="2" width="1.625" customWidth="1"/>
    <col min="3" max="3" width="13.875" bestFit="1" customWidth="1"/>
    <col min="4" max="4" width="15.75" bestFit="1" customWidth="1"/>
    <col min="5" max="5" width="13.875" bestFit="1" customWidth="1"/>
    <col min="6" max="6" width="20.125" bestFit="1" customWidth="1"/>
    <col min="7" max="12" width="15.125" bestFit="1" customWidth="1"/>
    <col min="13" max="13" width="9.125" customWidth="1"/>
    <col min="14" max="17" width="10.75" customWidth="1"/>
    <col min="18" max="22" width="11" bestFit="1" customWidth="1"/>
    <col min="23" max="23" width="13" bestFit="1" customWidth="1"/>
  </cols>
  <sheetData>
    <row r="2" spans="1:14">
      <c r="A2" t="s">
        <v>551</v>
      </c>
      <c r="C2" t="s">
        <v>428</v>
      </c>
      <c r="D2" t="s">
        <v>429</v>
      </c>
      <c r="E2" t="s">
        <v>313</v>
      </c>
      <c r="F2" s="30" t="s">
        <v>410</v>
      </c>
      <c r="G2" t="s">
        <v>312</v>
      </c>
      <c r="H2" t="s">
        <v>431</v>
      </c>
      <c r="I2" t="s">
        <v>432</v>
      </c>
      <c r="J2" t="s">
        <v>433</v>
      </c>
      <c r="K2" t="s">
        <v>434</v>
      </c>
      <c r="L2" t="s">
        <v>456</v>
      </c>
      <c r="M2" s="110" t="s">
        <v>453</v>
      </c>
      <c r="N2" t="s">
        <v>385</v>
      </c>
    </row>
    <row r="3" spans="1:14">
      <c r="C3" t="s">
        <v>704</v>
      </c>
      <c r="E3" t="str">
        <f>VLOOKUP(表_事件[[#This Row],[行动分类]],表_事件状态机[],MATCH("事件名称",表_事件状态机[#Headers],0),FALSE)</f>
        <v>现金增资</v>
      </c>
      <c r="F3" t="s">
        <v>400</v>
      </c>
      <c r="G3">
        <v>-3</v>
      </c>
      <c r="H3">
        <v>45</v>
      </c>
      <c r="M3">
        <f>QtoY(表_事件[[#This Row],[时间]])</f>
        <v>-1</v>
      </c>
    </row>
    <row r="4" spans="1:14">
      <c r="C4" t="s">
        <v>724</v>
      </c>
      <c r="E4" t="str">
        <f>VLOOKUP(表_事件[[#This Row],[行动分类]],表_事件状态机[],MATCH("事件名称",表_事件状态机[#Headers],0),FALSE)</f>
        <v>利润留存</v>
      </c>
      <c r="F4" t="s">
        <v>316</v>
      </c>
      <c r="G4">
        <v>-3</v>
      </c>
      <c r="H4">
        <v>15</v>
      </c>
      <c r="J4" s="31"/>
      <c r="K4" s="31"/>
      <c r="L4" s="31"/>
      <c r="M4" s="31">
        <f>QtoY(表_事件[[#This Row],[时间]])</f>
        <v>-1</v>
      </c>
    </row>
    <row r="5" spans="1:14">
      <c r="C5" t="s">
        <v>747</v>
      </c>
      <c r="E5" t="str">
        <f>VLOOKUP(表_事件[[#This Row],[行动分类]],表_事件状态机[],MATCH("事件名称",表_事件状态机[#Headers],0),FALSE)</f>
        <v>厂房购买</v>
      </c>
      <c r="F5" t="s">
        <v>395</v>
      </c>
      <c r="G5">
        <v>-3</v>
      </c>
      <c r="H5" t="s">
        <v>396</v>
      </c>
      <c r="I5" s="28">
        <f>VLOOKUP(表_事件[[#This Row],[数据1]],表_厂房属性[],MATCH("购买价格",表_厂房属性[#Headers],0),FALSE)</f>
        <v>32</v>
      </c>
      <c r="M5">
        <f>QtoY(表_事件[[#This Row],[时间]])</f>
        <v>-1</v>
      </c>
      <c r="N5" t="s">
        <v>679</v>
      </c>
    </row>
    <row r="6" spans="1:14">
      <c r="C6" t="s">
        <v>473</v>
      </c>
      <c r="E6" t="str">
        <f>VLOOKUP(表_事件[[#This Row],[行动分类]],表_事件状态机[],MATCH("事件名称",表_事件状态机[#Headers],0),FALSE)</f>
        <v>产线投资</v>
      </c>
      <c r="F6" t="s">
        <v>395</v>
      </c>
      <c r="G6">
        <v>-3</v>
      </c>
      <c r="H6" t="s">
        <v>436</v>
      </c>
      <c r="I6" t="s">
        <v>437</v>
      </c>
      <c r="J6" s="28">
        <f>VLOOKUP(表_事件[[#This Row],[数据2]],表_生产线属性[],MATCH("购买价格",表_厂房属性[#Headers],0),FALSE)</f>
        <v>5</v>
      </c>
      <c r="M6">
        <f>QtoY(表_事件[[#This Row],[时间]])</f>
        <v>-1</v>
      </c>
      <c r="N6" t="s">
        <v>680</v>
      </c>
    </row>
    <row r="7" spans="1:14">
      <c r="C7" t="s">
        <v>473</v>
      </c>
      <c r="E7" t="str">
        <f>VLOOKUP(表_事件[[#This Row],[行动分类]],表_事件状态机[],MATCH("事件名称",表_事件状态机[#Headers],0),FALSE)</f>
        <v>产线投资</v>
      </c>
      <c r="F7" t="s">
        <v>395</v>
      </c>
      <c r="G7">
        <v>-3</v>
      </c>
      <c r="H7" t="s">
        <v>442</v>
      </c>
      <c r="I7" t="s">
        <v>437</v>
      </c>
      <c r="J7" s="28">
        <f>VLOOKUP(表_事件[[#This Row],[数据2]],表_生产线属性[],MATCH("购买价格",表_厂房属性[#Headers],0),FALSE)</f>
        <v>5</v>
      </c>
      <c r="M7">
        <f>QtoY(表_事件[[#This Row],[时间]])</f>
        <v>-1</v>
      </c>
      <c r="N7" t="s">
        <v>680</v>
      </c>
    </row>
    <row r="8" spans="1:14">
      <c r="C8" t="s">
        <v>473</v>
      </c>
      <c r="E8" t="str">
        <f>VLOOKUP(表_事件[[#This Row],[行动分类]],表_事件状态机[],MATCH("事件名称",表_事件状态机[#Headers],0),FALSE)</f>
        <v>产线投资</v>
      </c>
      <c r="F8" t="s">
        <v>395</v>
      </c>
      <c r="G8">
        <v>-3</v>
      </c>
      <c r="H8" t="s">
        <v>342</v>
      </c>
      <c r="I8" t="s">
        <v>437</v>
      </c>
      <c r="J8" s="28">
        <f>VLOOKUP(表_事件[[#This Row],[数据2]],表_生产线属性[],MATCH("购买价格",表_厂房属性[#Headers],0),FALSE)</f>
        <v>5</v>
      </c>
      <c r="M8">
        <f>QtoY(表_事件[[#This Row],[时间]])</f>
        <v>-1</v>
      </c>
      <c r="N8" t="s">
        <v>680</v>
      </c>
    </row>
    <row r="9" spans="1:14">
      <c r="C9" t="s">
        <v>473</v>
      </c>
      <c r="E9" t="str">
        <f>VLOOKUP(表_事件[[#This Row],[行动分类]],表_事件状态机[],MATCH("事件名称",表_事件状态机[#Headers],0),FALSE)</f>
        <v>产线投资</v>
      </c>
      <c r="F9" t="s">
        <v>395</v>
      </c>
      <c r="G9">
        <v>-3</v>
      </c>
      <c r="H9" t="s">
        <v>343</v>
      </c>
      <c r="I9" t="s">
        <v>479</v>
      </c>
      <c r="J9" s="28">
        <f>VLOOKUP(表_事件[[#This Row],[数据2]],表_生产线属性[],MATCH("购买价格",表_厂房属性[#Headers],0),FALSE)</f>
        <v>8</v>
      </c>
      <c r="K9" s="31"/>
      <c r="L9" s="31"/>
      <c r="M9" s="31">
        <f>QtoY(表_事件[[#This Row],[时间]])</f>
        <v>-1</v>
      </c>
      <c r="N9" t="s">
        <v>680</v>
      </c>
    </row>
    <row r="10" spans="1:14">
      <c r="C10" t="s">
        <v>733</v>
      </c>
      <c r="E10" t="str">
        <f>VLOOKUP(表_事件[[#This Row],[行动分类]],表_事件状态机[],MATCH("事件名称",表_事件状态机[#Headers],0),FALSE)</f>
        <v>长期借贷</v>
      </c>
      <c r="F10" t="s">
        <v>444</v>
      </c>
      <c r="G10">
        <v>-3</v>
      </c>
      <c r="H10">
        <v>20</v>
      </c>
      <c r="I10">
        <v>20</v>
      </c>
      <c r="J10" s="33">
        <f>ROUNDDOWN(表_事件[[#This Row],[时间]]/4,0)*4+表_事件[[#This Row],[数据1]]</f>
        <v>20</v>
      </c>
      <c r="M10">
        <f>QtoY(表_事件[[#This Row],[时间]])</f>
        <v>-1</v>
      </c>
      <c r="N10" t="s">
        <v>459</v>
      </c>
    </row>
    <row r="11" spans="1:14">
      <c r="C11" t="s">
        <v>733</v>
      </c>
      <c r="E11" t="str">
        <f>VLOOKUP(表_事件[[#This Row],[行动分类]],表_事件状态机[],MATCH("事件名称",表_事件状态机[#Headers],0),FALSE)</f>
        <v>长期借贷</v>
      </c>
      <c r="F11" t="s">
        <v>444</v>
      </c>
      <c r="G11">
        <v>-3</v>
      </c>
      <c r="H11">
        <v>16</v>
      </c>
      <c r="I11">
        <v>20</v>
      </c>
      <c r="J11" s="33">
        <f>ROUNDDOWN(表_事件[[#This Row],[时间]]/4,0)*4+表_事件[[#This Row],[数据1]]</f>
        <v>16</v>
      </c>
      <c r="M11">
        <f>QtoY(表_事件[[#This Row],[时间]])</f>
        <v>-1</v>
      </c>
      <c r="N11" t="s">
        <v>459</v>
      </c>
    </row>
    <row r="12" spans="1:14">
      <c r="C12" t="s">
        <v>695</v>
      </c>
      <c r="E12" t="str">
        <f>VLOOKUP(表_事件[[#This Row],[行动分类]],表_事件状态机[],MATCH("事件名称",表_事件状态机[#Headers],0),FALSE)</f>
        <v>长贷还息</v>
      </c>
      <c r="F12" t="s">
        <v>460</v>
      </c>
      <c r="G12">
        <v>0</v>
      </c>
      <c r="H12" s="28">
        <f>SUMIFS($I$3:I39,F3:F39,表_事件[[#This Row],[列_团队]],E3:E39,"长期借贷")</f>
        <v>40</v>
      </c>
      <c r="I12" s="28">
        <f>SUMIFS($I$3:I39,F3:F39,表_事件[[#This Row],[列_团队]],E3:E39,"长期借贷还款")</f>
        <v>0</v>
      </c>
      <c r="J12" s="33">
        <f>(表_事件[[#This Row],[数据1]]-表_事件[[#This Row],[数据2]])*VLOOKUP("长期借贷",表_资金属性[],MATCH("利息",表_资金属性[#Headers],0),FALSE)</f>
        <v>2</v>
      </c>
      <c r="K12" s="31"/>
      <c r="L12" s="31"/>
      <c r="M12" s="31">
        <f>QtoY(表_事件[[#This Row],[时间]])</f>
        <v>-1</v>
      </c>
      <c r="N12" t="s">
        <v>711</v>
      </c>
    </row>
    <row r="13" spans="1:14">
      <c r="C13" t="s">
        <v>451</v>
      </c>
      <c r="E13" t="str">
        <f>VLOOKUP(表_事件[[#This Row],[行动分类]],表_事件状态机[],MATCH("事件名称",表_事件状态机[#Headers],0),FALSE)</f>
        <v>设备维护</v>
      </c>
      <c r="F13" t="s">
        <v>444</v>
      </c>
      <c r="G13">
        <v>0</v>
      </c>
      <c r="H13" s="28">
        <f>COUNTIFS($F$3:F12,表_事件[[#This Row],[列_团队]],$I$3:I12,"手工生产线",$E$3:E12,"产线投资")</f>
        <v>3</v>
      </c>
      <c r="I13" s="28">
        <f>COUNTIFS($F$3:F12,表_事件[[#This Row],[列_团队]],$I$3:I12,"半自动产线",$E$3:E12,"产线投资")</f>
        <v>1</v>
      </c>
      <c r="J13" s="33">
        <f>COUNTIFS($F$3:F12,表_事件[[#This Row],[列_团队]],$I$3:I12,"全自动产线",$E$3:E12,"产线投资")</f>
        <v>0</v>
      </c>
      <c r="K13" s="28">
        <f>表_事件[[#This Row],[数据1]]*VLOOKUP("手工生产线",表_生产线属性[],MATCH("维护费用",表_生产线属性[#Headers],0),FALSE)+表_事件[[#This Row],[数据2]]*VLOOKUP("半自动产线",表_生产线属性[],MATCH("维护费用",表_生产线属性[#Headers],0),FALSE)+表_事件[[#This Row],[数据3]]*VLOOKUP("全自动产线",表_生产线属性[],MATCH("维护费用",表_生产线属性[#Headers],0),FALSE)</f>
        <v>4</v>
      </c>
      <c r="M13">
        <f>QtoY(表_事件[[#This Row],[时间]])</f>
        <v>-1</v>
      </c>
      <c r="N13" t="s">
        <v>514</v>
      </c>
    </row>
    <row r="14" spans="1:14">
      <c r="C14" t="s">
        <v>686</v>
      </c>
      <c r="E14" t="str">
        <f>VLOOKUP(表_事件[[#This Row],[行动分类]],表_事件状态机[],MATCH("事件名称",表_事件状态机[#Headers],0),FALSE)</f>
        <v>产线折旧</v>
      </c>
      <c r="F14" t="s">
        <v>452</v>
      </c>
      <c r="G14">
        <v>0</v>
      </c>
      <c r="H14" t="s">
        <v>436</v>
      </c>
      <c r="I14" s="28" t="str">
        <f ca="1">vLookup2(表_事件[[#This Row],[数据1]],表_事件[[#This Row],[列_团队]],表_生产线[],MATCH("生产线种类",表_生产线[#Headers],0))</f>
        <v>手工生产线</v>
      </c>
      <c r="J14" s="33">
        <f>SUMIFS($L$3:L13,$H$3:H13,表_事件[[#This Row],[数据1]],$E$3:E13,表_事件[[#This Row],[事件名称]],$F$3:F13,表_事件[[#This Row],[列_团队]])</f>
        <v>0</v>
      </c>
      <c r="K14" s="28">
        <f ca="1">VLOOKUP(表_事件[[#This Row],[数据2]],表_生产线属性[],MATCH("累积折旧限额",表_生产线属性[#Headers],0),FALSE)</f>
        <v>4</v>
      </c>
      <c r="L14" s="28">
        <f ca="1">MIN(VLOOKUP(表_事件[[#This Row],[数据2]],表_生产线属性[],MATCH("折旧费用",表_生产线属性[#Headers],0),FALSE),表_事件[[#This Row],[数据4]]-表_事件[[#This Row],[数据3]])</f>
        <v>1</v>
      </c>
      <c r="M14">
        <f>QtoY(表_事件[[#This Row],[时间]])</f>
        <v>-1</v>
      </c>
      <c r="N14" t="s">
        <v>458</v>
      </c>
    </row>
    <row r="15" spans="1:14">
      <c r="C15" t="s">
        <v>686</v>
      </c>
      <c r="E15" t="str">
        <f>VLOOKUP(表_事件[[#This Row],[行动分类]],表_事件状态机[],MATCH("事件名称",表_事件状态机[#Headers],0),FALSE)</f>
        <v>产线折旧</v>
      </c>
      <c r="F15" t="s">
        <v>452</v>
      </c>
      <c r="G15">
        <v>0</v>
      </c>
      <c r="H15" t="s">
        <v>341</v>
      </c>
      <c r="I15" s="28" t="str">
        <f ca="1">vLookup2(表_事件[[#This Row],[数据1]],表_事件[[#This Row],[列_团队]],表_生产线[],MATCH("生产线种类",表_生产线[#Headers],0))</f>
        <v>手工生产线</v>
      </c>
      <c r="J15" s="33">
        <f>SUMIFS($L$3:L14,$H$3:H14,表_事件[[#This Row],[数据1]],$E$3:E14,表_事件[[#This Row],[事件名称]],$F$3:F14,表_事件[[#This Row],[列_团队]])</f>
        <v>0</v>
      </c>
      <c r="K15" s="28">
        <f ca="1">VLOOKUP(表_事件[[#This Row],[数据2]],表_生产线属性[],MATCH("累积折旧限额",表_生产线属性[#Headers],0),FALSE)</f>
        <v>4</v>
      </c>
      <c r="L15" s="28">
        <f ca="1">MIN(VLOOKUP(表_事件[[#This Row],[数据2]],表_生产线属性[],MATCH("折旧费用",表_生产线属性[#Headers],0),FALSE),表_事件[[#This Row],[数据4]]-表_事件[[#This Row],[数据3]])</f>
        <v>1</v>
      </c>
      <c r="M15">
        <f>QtoY(表_事件[[#This Row],[时间]])</f>
        <v>-1</v>
      </c>
      <c r="N15" t="s">
        <v>458</v>
      </c>
    </row>
    <row r="16" spans="1:14">
      <c r="C16" t="s">
        <v>686</v>
      </c>
      <c r="E16" t="str">
        <f>VLOOKUP(表_事件[[#This Row],[行动分类]],表_事件状态机[],MATCH("事件名称",表_事件状态机[#Headers],0),FALSE)</f>
        <v>产线折旧</v>
      </c>
      <c r="F16" t="s">
        <v>452</v>
      </c>
      <c r="G16">
        <v>0</v>
      </c>
      <c r="H16" t="s">
        <v>342</v>
      </c>
      <c r="I16" s="28" t="str">
        <f ca="1">vLookup2(表_事件[[#This Row],[数据1]],表_事件[[#This Row],[列_团队]],表_生产线[],MATCH("生产线种类",表_生产线[#Headers],0))</f>
        <v>手工生产线</v>
      </c>
      <c r="J16" s="33">
        <f>SUMIFS($L$3:L15,$H$3:H15,表_事件[[#This Row],[数据1]],$E$3:E15,表_事件[[#This Row],[事件名称]],$F$3:F15,表_事件[[#This Row],[列_团队]])</f>
        <v>0</v>
      </c>
      <c r="K16" s="28">
        <f ca="1">VLOOKUP(表_事件[[#This Row],[数据2]],表_生产线属性[],MATCH("累积折旧限额",表_生产线属性[#Headers],0),FALSE)</f>
        <v>4</v>
      </c>
      <c r="L16" s="28">
        <f ca="1">MIN(VLOOKUP(表_事件[[#This Row],[数据2]],表_生产线属性[],MATCH("折旧费用",表_生产线属性[#Headers],0),FALSE),表_事件[[#This Row],[数据4]]-表_事件[[#This Row],[数据3]])</f>
        <v>1</v>
      </c>
      <c r="M16">
        <f>QtoY(表_事件[[#This Row],[时间]])</f>
        <v>-1</v>
      </c>
      <c r="N16" t="s">
        <v>458</v>
      </c>
    </row>
    <row r="17" spans="3:14">
      <c r="C17" t="s">
        <v>686</v>
      </c>
      <c r="E17" t="str">
        <f>VLOOKUP(表_事件[[#This Row],[行动分类]],表_事件状态机[],MATCH("事件名称",表_事件状态机[#Headers],0),FALSE)</f>
        <v>产线折旧</v>
      </c>
      <c r="F17" t="s">
        <v>452</v>
      </c>
      <c r="G17">
        <v>0</v>
      </c>
      <c r="H17" t="s">
        <v>480</v>
      </c>
      <c r="I17" s="28" t="str">
        <f ca="1">vLookup2(表_事件[[#This Row],[数据1]],表_事件[[#This Row],[列_团队]],表_生产线[],MATCH("生产线种类",表_生产线[#Headers],0))</f>
        <v>半自动产线</v>
      </c>
      <c r="J17" s="33">
        <f>SUMIFS($L$3:L16,$H$3:H16,表_事件[[#This Row],[数据1]],$E$3:E16,表_事件[[#This Row],[事件名称]],$F$3:F16,表_事件[[#This Row],[列_团队]])</f>
        <v>0</v>
      </c>
      <c r="K17" s="28">
        <f ca="1">VLOOKUP(表_事件[[#This Row],[数据2]],表_生产线属性[],MATCH("累积折旧限额",表_生产线属性[#Headers],0),FALSE)</f>
        <v>7</v>
      </c>
      <c r="L17" s="28">
        <f ca="1">MIN(VLOOKUP(表_事件[[#This Row],[数据2]],表_生产线属性[],MATCH("折旧费用",表_生产线属性[#Headers],0),FALSE),表_事件[[#This Row],[数据4]]-表_事件[[#This Row],[数据3]])</f>
        <v>1</v>
      </c>
      <c r="M17">
        <f>QtoY(表_事件[[#This Row],[时间]])</f>
        <v>-1</v>
      </c>
      <c r="N17" t="s">
        <v>458</v>
      </c>
    </row>
    <row r="18" spans="3:14">
      <c r="C18" t="s">
        <v>734</v>
      </c>
      <c r="E18" t="str">
        <f>VLOOKUP(表_事件[[#This Row],[行动分类]],表_事件状态机[],MATCH("事件名称",表_事件状态机[#Headers],0),FALSE)</f>
        <v>厂房折旧</v>
      </c>
      <c r="F18" t="s">
        <v>452</v>
      </c>
      <c r="G18">
        <v>0</v>
      </c>
      <c r="H18" t="s">
        <v>396</v>
      </c>
      <c r="J18" s="33">
        <f>SUMIFS($L$3:L17,$H$3:H17,表_事件[[#This Row],[数据1]],$E$3:E17,表_事件[[#This Row],[事件名称]],$F$3:F17,表_事件[[#This Row],[列_团队]])</f>
        <v>0</v>
      </c>
      <c r="K18" s="28">
        <f>VLOOKUP(表_事件[[#This Row],[数据1]],表_厂房属性[],MATCH("累积折旧限额",表_厂房属性[#Headers],0),FALSE)</f>
        <v>29</v>
      </c>
      <c r="L18" s="28">
        <f>MIN(VLOOKUP(表_事件[[#This Row],[数据1]],表_厂房属性[],MATCH("折旧费用",表_厂房属性[#Headers],0),FALSE),表_事件[[#This Row],[数据4]]-表_事件[[#This Row],[数据3]])</f>
        <v>0</v>
      </c>
      <c r="M18">
        <f>QtoY(表_事件[[#This Row],[时间]])</f>
        <v>-1</v>
      </c>
      <c r="N18" t="s">
        <v>458</v>
      </c>
    </row>
    <row r="19" spans="3:14">
      <c r="C19" t="s">
        <v>475</v>
      </c>
      <c r="E19" t="str">
        <f>VLOOKUP(表_事件[[#This Row],[行动分类]],表_事件状态机[],MATCH("事件名称",表_事件状态机[#Headers],0),FALSE)</f>
        <v>材料采购</v>
      </c>
      <c r="F19" t="s">
        <v>452</v>
      </c>
      <c r="G19">
        <v>-3</v>
      </c>
      <c r="H19" t="s">
        <v>471</v>
      </c>
      <c r="I19">
        <v>8</v>
      </c>
      <c r="J19" s="33">
        <f>VLOOKUP(表_事件[[#This Row],[数据1]],表_原料价格[],2,FALSE)*表_事件[[#This Row],[数据2]]</f>
        <v>8</v>
      </c>
      <c r="K19" s="31"/>
      <c r="L19" s="31"/>
      <c r="M19" s="31">
        <f>QtoY(表_事件[[#This Row],[时间]])</f>
        <v>-1</v>
      </c>
      <c r="N19" t="s">
        <v>472</v>
      </c>
    </row>
    <row r="20" spans="3:14">
      <c r="C20" t="s">
        <v>616</v>
      </c>
      <c r="E20" t="str">
        <f>VLOOKUP(表_事件[[#This Row],[行动分类]],表_事件状态机[],MATCH("事件名称",表_事件状态机[#Headers],0),FALSE)</f>
        <v>新的生产</v>
      </c>
      <c r="F20" t="s">
        <v>474</v>
      </c>
      <c r="G20">
        <v>-4</v>
      </c>
      <c r="H20" t="s">
        <v>476</v>
      </c>
      <c r="I20" t="s">
        <v>485</v>
      </c>
      <c r="J20" s="33" t="str">
        <f>VLOOKUP(表_事件[[#This Row],[数据1]],表_产品属性[],MATCH("原料",表_产品属性[#Headers],0),FALSE)</f>
        <v>R1</v>
      </c>
      <c r="K20" s="31"/>
      <c r="L20" s="31"/>
      <c r="M20" s="31">
        <f>QtoY(表_事件[[#This Row],[时间]])</f>
        <v>-2</v>
      </c>
      <c r="N20" t="s">
        <v>681</v>
      </c>
    </row>
    <row r="21" spans="3:14">
      <c r="C21" t="s">
        <v>616</v>
      </c>
      <c r="E21" t="str">
        <f>VLOOKUP(表_事件[[#This Row],[行动分类]],表_事件状态机[],MATCH("事件名称",表_事件状态机[#Headers],0),FALSE)</f>
        <v>新的生产</v>
      </c>
      <c r="F21" t="s">
        <v>474</v>
      </c>
      <c r="G21">
        <v>-3</v>
      </c>
      <c r="H21" t="s">
        <v>476</v>
      </c>
      <c r="I21" t="s">
        <v>481</v>
      </c>
      <c r="J21" s="33" t="str">
        <f>VLOOKUP(表_事件[[#This Row],[数据1]],表_产品属性[],MATCH("原料",表_产品属性[#Headers],0),FALSE)</f>
        <v>R1</v>
      </c>
      <c r="K21" s="31"/>
      <c r="L21" s="31"/>
      <c r="M21" s="31">
        <f>QtoY(表_事件[[#This Row],[时间]])</f>
        <v>-1</v>
      </c>
      <c r="N21" t="s">
        <v>681</v>
      </c>
    </row>
    <row r="22" spans="3:14">
      <c r="C22" t="s">
        <v>616</v>
      </c>
      <c r="E22" t="str">
        <f>VLOOKUP(表_事件[[#This Row],[行动分类]],表_事件状态机[],MATCH("事件名称",表_事件状态机[#Headers],0),FALSE)</f>
        <v>新的生产</v>
      </c>
      <c r="F22" t="s">
        <v>474</v>
      </c>
      <c r="G22">
        <v>-2</v>
      </c>
      <c r="H22" t="s">
        <v>476</v>
      </c>
      <c r="I22" t="s">
        <v>435</v>
      </c>
      <c r="J22" s="33" t="str">
        <f>VLOOKUP(表_事件[[#This Row],[数据1]],表_产品属性[],MATCH("原料",表_产品属性[#Headers],0),FALSE)</f>
        <v>R1</v>
      </c>
      <c r="K22" s="31"/>
      <c r="L22" s="31"/>
      <c r="M22" s="31">
        <f>QtoY(表_事件[[#This Row],[时间]])</f>
        <v>-1</v>
      </c>
      <c r="N22" t="s">
        <v>681</v>
      </c>
    </row>
    <row r="23" spans="3:14">
      <c r="C23" t="s">
        <v>616</v>
      </c>
      <c r="E23" t="str">
        <f>VLOOKUP(表_事件[[#This Row],[行动分类]],表_事件状态机[],MATCH("事件名称",表_事件状态机[#Headers],0),FALSE)</f>
        <v>新的生产</v>
      </c>
      <c r="F23" t="s">
        <v>474</v>
      </c>
      <c r="G23">
        <v>-2</v>
      </c>
      <c r="H23" t="s">
        <v>476</v>
      </c>
      <c r="I23" t="s">
        <v>480</v>
      </c>
      <c r="J23" s="33" t="str">
        <f>VLOOKUP(表_事件[[#This Row],[数据1]],表_产品属性[],MATCH("原料",表_产品属性[#Headers],0),FALSE)</f>
        <v>R1</v>
      </c>
      <c r="K23" s="31"/>
      <c r="L23" s="31"/>
      <c r="M23" s="31">
        <f>QtoY(表_事件[[#This Row],[时间]])</f>
        <v>-1</v>
      </c>
      <c r="N23" t="s">
        <v>681</v>
      </c>
    </row>
    <row r="24" spans="3:14">
      <c r="C24" t="s">
        <v>419</v>
      </c>
      <c r="E24" t="str">
        <f>VLOOKUP(表_事件[[#This Row],[行动分类]],表_事件状态机[],MATCH("事件名称",表_事件状态机[#Headers],0),FALSE)</f>
        <v>生产入库</v>
      </c>
      <c r="F24" t="s">
        <v>482</v>
      </c>
      <c r="G24">
        <v>-1</v>
      </c>
      <c r="H24" t="s">
        <v>483</v>
      </c>
      <c r="I24" t="s">
        <v>442</v>
      </c>
      <c r="J24" s="31"/>
      <c r="K24" s="31"/>
      <c r="L24" s="31"/>
      <c r="M24" s="31">
        <f>QtoY(表_事件[[#This Row],[时间]])</f>
        <v>-1</v>
      </c>
    </row>
    <row r="25" spans="3:14">
      <c r="C25" t="s">
        <v>616</v>
      </c>
      <c r="E25" t="str">
        <f>VLOOKUP(表_事件[[#This Row],[行动分类]],表_事件状态机[],MATCH("事件名称",表_事件状态机[#Headers],0),FALSE)</f>
        <v>新的生产</v>
      </c>
      <c r="F25" t="s">
        <v>474</v>
      </c>
      <c r="G25">
        <v>-1</v>
      </c>
      <c r="H25" t="s">
        <v>476</v>
      </c>
      <c r="I25" t="s">
        <v>477</v>
      </c>
      <c r="J25" s="33" t="str">
        <f>VLOOKUP(表_事件[[#This Row],[数据1]],表_产品属性[],MATCH("原料",表_产品属性[#Headers],0),FALSE)</f>
        <v>R1</v>
      </c>
      <c r="K25" s="31"/>
      <c r="L25" s="31"/>
      <c r="M25" s="31">
        <f>QtoY(表_事件[[#This Row],[时间]])</f>
        <v>-1</v>
      </c>
      <c r="N25" t="s">
        <v>681</v>
      </c>
    </row>
    <row r="26" spans="3:14">
      <c r="C26" t="s">
        <v>419</v>
      </c>
      <c r="E26" t="str">
        <f>VLOOKUP(表_事件[[#This Row],[行动分类]],表_事件状态机[],MATCH("事件名称",表_事件状态机[#Headers],0),FALSE)</f>
        <v>生产入库</v>
      </c>
      <c r="F26" t="s">
        <v>482</v>
      </c>
      <c r="G26">
        <v>0</v>
      </c>
      <c r="H26" t="s">
        <v>483</v>
      </c>
      <c r="I26" t="s">
        <v>481</v>
      </c>
      <c r="J26" s="31"/>
      <c r="K26" s="31"/>
      <c r="L26" s="31"/>
      <c r="M26" s="31">
        <f>QtoY(表_事件[[#This Row],[时间]])</f>
        <v>-1</v>
      </c>
    </row>
    <row r="27" spans="3:14">
      <c r="C27" t="s">
        <v>419</v>
      </c>
      <c r="E27" t="str">
        <f>VLOOKUP(表_事件[[#This Row],[行动分类]],表_事件状态机[],MATCH("事件名称",表_事件状态机[#Headers],0),FALSE)</f>
        <v>生产入库</v>
      </c>
      <c r="F27" t="s">
        <v>482</v>
      </c>
      <c r="G27">
        <v>0</v>
      </c>
      <c r="H27" t="s">
        <v>483</v>
      </c>
      <c r="I27" t="s">
        <v>484</v>
      </c>
      <c r="J27" s="31"/>
      <c r="K27" s="31"/>
      <c r="L27" s="31"/>
      <c r="M27" s="31">
        <f>QtoY(表_事件[[#This Row],[时间]])</f>
        <v>-1</v>
      </c>
    </row>
    <row r="28" spans="3:14">
      <c r="C28" t="s">
        <v>616</v>
      </c>
      <c r="E28" t="str">
        <f>VLOOKUP(表_事件[[#This Row],[行动分类]],表_事件状态机[],MATCH("事件名称",表_事件状态机[#Headers],0),FALSE)</f>
        <v>新的生产</v>
      </c>
      <c r="F28" t="s">
        <v>474</v>
      </c>
      <c r="G28">
        <v>0</v>
      </c>
      <c r="H28" t="s">
        <v>476</v>
      </c>
      <c r="I28" t="s">
        <v>478</v>
      </c>
      <c r="J28" s="33" t="str">
        <f>VLOOKUP(表_事件[[#This Row],[数据1]],表_产品属性[],MATCH("原料",表_产品属性[#Headers],0),FALSE)</f>
        <v>R1</v>
      </c>
      <c r="K28" s="31"/>
      <c r="L28" s="31"/>
      <c r="M28" s="31">
        <f>QtoY(表_事件[[#This Row],[时间]])</f>
        <v>-1</v>
      </c>
      <c r="N28" t="s">
        <v>681</v>
      </c>
    </row>
    <row r="29" spans="3:14">
      <c r="C29" t="s">
        <v>616</v>
      </c>
      <c r="E29" t="str">
        <f>VLOOKUP(表_事件[[#This Row],[行动分类]],表_事件状态机[],MATCH("事件名称",表_事件状态机[#Headers],0),FALSE)</f>
        <v>新的生产</v>
      </c>
      <c r="F29" t="s">
        <v>474</v>
      </c>
      <c r="G29">
        <v>0</v>
      </c>
      <c r="H29" t="s">
        <v>476</v>
      </c>
      <c r="I29" t="s">
        <v>480</v>
      </c>
      <c r="J29" s="33" t="str">
        <f>VLOOKUP(表_事件[[#This Row],[数据1]],表_产品属性[],MATCH("原料",表_产品属性[#Headers],0),FALSE)</f>
        <v>R1</v>
      </c>
      <c r="K29" s="31"/>
      <c r="L29" s="31"/>
      <c r="M29" s="31">
        <f>QtoY(表_事件[[#This Row],[时间]])</f>
        <v>-1</v>
      </c>
      <c r="N29" t="s">
        <v>681</v>
      </c>
    </row>
    <row r="30" spans="3:14">
      <c r="C30" t="s">
        <v>475</v>
      </c>
      <c r="E30" t="str">
        <f>VLOOKUP(表_事件[[#This Row],[行动分类]],表_事件状态机[],MATCH("事件名称",表_事件状态机[#Headers],0),FALSE)</f>
        <v>材料采购</v>
      </c>
      <c r="F30" t="s">
        <v>452</v>
      </c>
      <c r="G30">
        <v>0</v>
      </c>
      <c r="H30" t="s">
        <v>471</v>
      </c>
      <c r="I30">
        <v>2</v>
      </c>
      <c r="J30" s="33">
        <f>VLOOKUP(表_事件[[#This Row],[数据1]],表_原料价格[],2,FALSE)*表_事件[[#This Row],[数据2]]</f>
        <v>2</v>
      </c>
      <c r="K30" s="31"/>
      <c r="L30" s="31"/>
      <c r="M30" s="31">
        <f>QtoY(表_事件[[#This Row],[时间]])</f>
        <v>-1</v>
      </c>
      <c r="N30" t="s">
        <v>682</v>
      </c>
    </row>
    <row r="31" spans="3:14">
      <c r="C31" t="s">
        <v>616</v>
      </c>
      <c r="E31" t="str">
        <f>VLOOKUP(表_事件[[#This Row],[行动分类]],表_事件状态机[],MATCH("事件名称",表_事件状态机[#Headers],0),FALSE)</f>
        <v>新的生产</v>
      </c>
      <c r="F31" t="s">
        <v>474</v>
      </c>
      <c r="G31">
        <v>0</v>
      </c>
      <c r="H31" t="s">
        <v>476</v>
      </c>
      <c r="I31" t="s">
        <v>489</v>
      </c>
      <c r="J31" s="33" t="str">
        <f>VLOOKUP(表_事件[[#This Row],[数据1]],表_产品属性[],MATCH("原料",表_产品属性[#Headers],0),FALSE)</f>
        <v>R1</v>
      </c>
      <c r="K31" s="31"/>
      <c r="L31" s="31"/>
      <c r="M31" s="31">
        <f>QtoY(表_事件[[#This Row],[时间]])</f>
        <v>-1</v>
      </c>
      <c r="N31" t="s">
        <v>681</v>
      </c>
    </row>
    <row r="32" spans="3:14">
      <c r="C32" t="s">
        <v>419</v>
      </c>
      <c r="E32" t="str">
        <f>VLOOKUP(表_事件[[#This Row],[行动分类]],表_事件状态机[],MATCH("事件名称",表_事件状态机[#Headers],0),FALSE)</f>
        <v>生产入库</v>
      </c>
      <c r="F32" t="s">
        <v>482</v>
      </c>
      <c r="G32">
        <v>0</v>
      </c>
      <c r="H32" t="s">
        <v>483</v>
      </c>
      <c r="I32" t="s">
        <v>489</v>
      </c>
      <c r="J32" s="31"/>
      <c r="K32" s="31"/>
      <c r="L32" s="31"/>
      <c r="M32" s="31">
        <f>QtoY(表_事件[[#This Row],[时间]])</f>
        <v>-1</v>
      </c>
    </row>
    <row r="33" spans="1:14">
      <c r="C33" t="s">
        <v>490</v>
      </c>
      <c r="E33" t="str">
        <f>VLOOKUP(表_事件[[#This Row],[行动分类]],表_事件状态机[],MATCH("事件名称",表_事件状态机[#Headers],0),FALSE)</f>
        <v>订单交付</v>
      </c>
      <c r="F33" t="s">
        <v>492</v>
      </c>
      <c r="G33">
        <v>0</v>
      </c>
      <c r="H33" t="s">
        <v>493</v>
      </c>
      <c r="I33" t="s">
        <v>494</v>
      </c>
      <c r="J33" s="33">
        <f>VLOOKUP(表_事件[[#This Row],[数据2]],表_订单[],MATCH("订单总金额",表_订单[#Headers],0),FALSE)</f>
        <v>10</v>
      </c>
      <c r="K33" s="33">
        <f>VLOOKUP(表_事件[[#This Row],[数据2]],表_订单[],MATCH("账期",表_订单[#Headers],0),FALSE)+表_事件[[#This Row],[时间]]</f>
        <v>4</v>
      </c>
      <c r="L33" s="31"/>
      <c r="M33" s="31">
        <f>QtoY(表_事件[[#This Row],[时间]])</f>
        <v>-1</v>
      </c>
      <c r="N33" t="s">
        <v>509</v>
      </c>
    </row>
    <row r="34" spans="1:14">
      <c r="C34" t="s">
        <v>616</v>
      </c>
      <c r="E34" t="str">
        <f>VLOOKUP(表_事件[[#This Row],[行动分类]],表_事件状态机[],MATCH("事件名称",表_事件状态机[#Headers],0),FALSE)</f>
        <v>新的生产</v>
      </c>
      <c r="F34" t="s">
        <v>474</v>
      </c>
      <c r="G34">
        <v>0</v>
      </c>
      <c r="H34" t="s">
        <v>476</v>
      </c>
      <c r="I34" t="s">
        <v>489</v>
      </c>
      <c r="J34" s="33" t="str">
        <f>VLOOKUP(表_事件[[#This Row],[数据1]],表_产品属性[],MATCH("原料",表_产品属性[#Headers],0),FALSE)</f>
        <v>R1</v>
      </c>
      <c r="K34" s="31"/>
      <c r="L34" s="31"/>
      <c r="M34" s="31">
        <f>QtoY(表_事件[[#This Row],[时间]])</f>
        <v>-1</v>
      </c>
      <c r="N34" t="s">
        <v>681</v>
      </c>
    </row>
    <row r="35" spans="1:14">
      <c r="C35" t="s">
        <v>419</v>
      </c>
      <c r="E35" t="str">
        <f>VLOOKUP(表_事件[[#This Row],[行动分类]],表_事件状态机[],MATCH("事件名称",表_事件状态机[#Headers],0),FALSE)</f>
        <v>生产入库</v>
      </c>
      <c r="F35" t="s">
        <v>482</v>
      </c>
      <c r="G35">
        <v>0</v>
      </c>
      <c r="H35" t="s">
        <v>483</v>
      </c>
      <c r="I35" t="s">
        <v>489</v>
      </c>
      <c r="J35" s="31"/>
      <c r="K35" s="31"/>
      <c r="L35" s="31"/>
      <c r="M35" s="31">
        <f>QtoY(表_事件[[#This Row],[时间]])</f>
        <v>-1</v>
      </c>
    </row>
    <row r="36" spans="1:14">
      <c r="C36" t="s">
        <v>490</v>
      </c>
      <c r="E36" t="str">
        <f>VLOOKUP(表_事件[[#This Row],[行动分类]],表_事件状态机[],MATCH("事件名称",表_事件状态机[#Headers],0),FALSE)</f>
        <v>订单交付</v>
      </c>
      <c r="F36" t="s">
        <v>492</v>
      </c>
      <c r="G36">
        <v>0</v>
      </c>
      <c r="H36" t="s">
        <v>493</v>
      </c>
      <c r="I36" t="s">
        <v>495</v>
      </c>
      <c r="J36" s="33">
        <f>VLOOKUP(表_事件[[#This Row],[数据2]],表_订单[],MATCH("订单总金额",表_订单[#Headers],0),FALSE)</f>
        <v>10</v>
      </c>
      <c r="K36" s="33">
        <f>VLOOKUP(表_事件[[#This Row],[数据2]],表_订单[],MATCH("账期",表_订单[#Headers],0),FALSE)+表_事件[[#This Row],[时间]]</f>
        <v>3</v>
      </c>
      <c r="L36" s="31"/>
      <c r="M36" s="31">
        <f>QtoY(表_事件[[#This Row],[时间]])</f>
        <v>-1</v>
      </c>
      <c r="N36" t="s">
        <v>683</v>
      </c>
    </row>
    <row r="37" spans="1:14">
      <c r="C37" t="s">
        <v>736</v>
      </c>
      <c r="E37" t="s">
        <v>590</v>
      </c>
      <c r="F37" t="s">
        <v>591</v>
      </c>
      <c r="G37">
        <v>0</v>
      </c>
      <c r="H37">
        <v>64</v>
      </c>
      <c r="J37" s="31"/>
      <c r="K37" s="31"/>
      <c r="L37" s="31"/>
      <c r="M37" s="31">
        <f>QtoY(表_事件[[#This Row],[时间]])</f>
        <v>-1</v>
      </c>
    </row>
    <row r="38" spans="1:14">
      <c r="C38" t="s">
        <v>737</v>
      </c>
      <c r="E38" t="s">
        <v>594</v>
      </c>
      <c r="F38" t="s">
        <v>498</v>
      </c>
      <c r="G38">
        <v>0</v>
      </c>
      <c r="H38">
        <v>19</v>
      </c>
      <c r="J38" s="31"/>
      <c r="K38" s="31"/>
      <c r="L38" s="31"/>
      <c r="M38" s="31">
        <f>QtoY(表_事件[[#This Row],[时间]])</f>
        <v>-1</v>
      </c>
    </row>
    <row r="39" spans="1:14">
      <c r="C39" t="s">
        <v>738</v>
      </c>
      <c r="E39" t="s">
        <v>596</v>
      </c>
      <c r="F39" t="s">
        <v>513</v>
      </c>
      <c r="G39">
        <v>0</v>
      </c>
      <c r="H39">
        <v>2</v>
      </c>
      <c r="J39" s="31"/>
      <c r="K39" s="31"/>
      <c r="L39" s="31"/>
      <c r="M39" s="31">
        <f>QtoY(表_事件[[#This Row],[时间]])</f>
        <v>-1</v>
      </c>
    </row>
    <row r="42" spans="1:14">
      <c r="A42" t="s">
        <v>307</v>
      </c>
      <c r="C42" t="s">
        <v>308</v>
      </c>
      <c r="D42" t="s">
        <v>309</v>
      </c>
    </row>
    <row r="43" spans="1:14">
      <c r="C43" t="s">
        <v>314</v>
      </c>
      <c r="D43">
        <v>1</v>
      </c>
    </row>
    <row r="44" spans="1:14">
      <c r="C44" t="s">
        <v>764</v>
      </c>
      <c r="D44">
        <v>1</v>
      </c>
    </row>
    <row r="45" spans="1:14">
      <c r="C45" t="s">
        <v>762</v>
      </c>
      <c r="D45">
        <v>1</v>
      </c>
    </row>
    <row r="46" spans="1:14">
      <c r="C46" t="s">
        <v>759</v>
      </c>
      <c r="D46">
        <v>1</v>
      </c>
    </row>
    <row r="47" spans="1:14">
      <c r="C47" t="s">
        <v>763</v>
      </c>
      <c r="D47">
        <v>1</v>
      </c>
    </row>
    <row r="48" spans="1:14">
      <c r="C48" t="s">
        <v>761</v>
      </c>
      <c r="D48">
        <v>1</v>
      </c>
    </row>
    <row r="49" spans="1:8">
      <c r="C49" t="s">
        <v>765</v>
      </c>
      <c r="D49">
        <v>1</v>
      </c>
    </row>
    <row r="50" spans="1:8">
      <c r="C50" t="s">
        <v>315</v>
      </c>
      <c r="D50" s="27">
        <f>QtoY(值_季度)</f>
        <v>0</v>
      </c>
    </row>
    <row r="51" spans="1:8">
      <c r="C51" t="s">
        <v>516</v>
      </c>
      <c r="D51" s="34">
        <v>0.25</v>
      </c>
    </row>
    <row r="53" spans="1:8">
      <c r="A53" t="s">
        <v>253</v>
      </c>
      <c r="C53" t="s">
        <v>255</v>
      </c>
      <c r="D53" s="30" t="s">
        <v>398</v>
      </c>
      <c r="E53" t="s">
        <v>317</v>
      </c>
      <c r="F53" t="s">
        <v>254</v>
      </c>
    </row>
    <row r="54" spans="1:8">
      <c r="C54" t="s">
        <v>589</v>
      </c>
      <c r="D54" t="s">
        <v>316</v>
      </c>
      <c r="E54">
        <v>-1</v>
      </c>
      <c r="F54">
        <f>SUMIFS(表_事件[数据1],表_事件[列_团队],表_财务数据[列_团队],表_事件[事件年],表_财务数据[年度],表_事件[事件名称],"登记"&amp;表_财务数据[财务科目])</f>
        <v>64</v>
      </c>
    </row>
    <row r="55" spans="1:8">
      <c r="C55" t="s">
        <v>592</v>
      </c>
      <c r="D55" t="s">
        <v>593</v>
      </c>
      <c r="E55">
        <v>-1</v>
      </c>
      <c r="F55">
        <f>SUMIFS(表_事件[数据1],表_事件[列_团队],表_财务数据[列_团队],表_事件[事件年],表_财务数据[年度],表_事件[事件名称],"登记"&amp;表_财务数据[财务科目])</f>
        <v>19</v>
      </c>
    </row>
    <row r="56" spans="1:8">
      <c r="C56" t="s">
        <v>595</v>
      </c>
      <c r="D56" t="s">
        <v>316</v>
      </c>
      <c r="E56">
        <v>-1</v>
      </c>
      <c r="F56">
        <f>SUMIFS(表_事件[数据1],表_事件[列_团队],表_财务数据[列_团队],表_事件[事件年],表_财务数据[年度],表_事件[事件名称],"登记"&amp;表_财务数据[财务科目])</f>
        <v>2</v>
      </c>
    </row>
    <row r="58" spans="1:8">
      <c r="A58" t="s">
        <v>258</v>
      </c>
      <c r="C58" t="s">
        <v>259</v>
      </c>
      <c r="D58" s="30" t="s">
        <v>398</v>
      </c>
      <c r="E58" t="s">
        <v>318</v>
      </c>
      <c r="F58" s="28" t="s">
        <v>260</v>
      </c>
      <c r="G58" s="28" t="s">
        <v>261</v>
      </c>
      <c r="H58" t="s">
        <v>282</v>
      </c>
    </row>
    <row r="59" spans="1:8">
      <c r="C59" t="s">
        <v>319</v>
      </c>
      <c r="D59" t="s">
        <v>316</v>
      </c>
      <c r="E59" t="s">
        <v>175</v>
      </c>
      <c r="F59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1</v>
      </c>
      <c r="G59">
        <f>VLOOKUP(表_库存[[#This Row],[种类]],表_原料价格[],2,FALSE)</f>
        <v>1</v>
      </c>
      <c r="H59">
        <f>表_库存[[#This Row],[数量]]*表_库存[[#This Row],[单价]]</f>
        <v>1</v>
      </c>
    </row>
    <row r="60" spans="1:8">
      <c r="C60" t="s">
        <v>320</v>
      </c>
      <c r="D60" t="s">
        <v>316</v>
      </c>
      <c r="E60" t="s">
        <v>175</v>
      </c>
      <c r="F60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0</v>
      </c>
      <c r="G60">
        <f>VLOOKUP(表_库存[[#This Row],[种类]],表_原料价格[],2,FALSE)</f>
        <v>2</v>
      </c>
      <c r="H60">
        <f>表_库存[[#This Row],[数量]]*表_库存[[#This Row],[单价]]</f>
        <v>0</v>
      </c>
    </row>
    <row r="61" spans="1:8">
      <c r="C61" t="s">
        <v>321</v>
      </c>
      <c r="D61" t="s">
        <v>316</v>
      </c>
      <c r="E61" t="s">
        <v>175</v>
      </c>
      <c r="F61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0</v>
      </c>
      <c r="G61">
        <f>VLOOKUP(表_库存[[#This Row],[种类]],表_原料价格[],2,FALSE)</f>
        <v>3</v>
      </c>
      <c r="H61">
        <f>表_库存[[#This Row],[数量]]*表_库存[[#This Row],[单价]]</f>
        <v>0</v>
      </c>
    </row>
    <row r="62" spans="1:8">
      <c r="C62" t="s">
        <v>322</v>
      </c>
      <c r="D62" t="s">
        <v>316</v>
      </c>
      <c r="E62" t="s">
        <v>175</v>
      </c>
      <c r="F62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0</v>
      </c>
      <c r="G62">
        <f>VLOOKUP(表_库存[[#This Row],[种类]],表_原料价格[],2,FALSE)</f>
        <v>4</v>
      </c>
      <c r="H62">
        <f>表_库存[[#This Row],[数量]]*表_库存[[#This Row],[单价]]</f>
        <v>0</v>
      </c>
    </row>
    <row r="63" spans="1:8">
      <c r="C63" t="s">
        <v>323</v>
      </c>
      <c r="D63" t="s">
        <v>316</v>
      </c>
      <c r="E63" t="s">
        <v>505</v>
      </c>
      <c r="F63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3</v>
      </c>
      <c r="G63">
        <f>VLOOKUP(表_库存[[#This Row],[种类]],表_产品属性[],MATCH(表_产品属性[[#Headers],[总成本]],表_产品属性[#Headers],0),FALSE)</f>
        <v>2</v>
      </c>
      <c r="H63">
        <f>表_库存[[#This Row],[数量]]*表_库存[[#This Row],[单价]]</f>
        <v>6</v>
      </c>
    </row>
    <row r="64" spans="1:8">
      <c r="C64" t="s">
        <v>103</v>
      </c>
      <c r="D64" t="s">
        <v>316</v>
      </c>
      <c r="E64" t="s">
        <v>505</v>
      </c>
      <c r="F64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0</v>
      </c>
      <c r="G64">
        <f>VLOOKUP(表_库存[[#This Row],[种类]],表_产品属性[],MATCH(表_产品属性[[#Headers],[总成本]],表_产品属性[#Headers],0),FALSE)</f>
        <v>3</v>
      </c>
      <c r="H64">
        <f>表_库存[[#This Row],[数量]]*表_库存[[#This Row],[单价]]</f>
        <v>0</v>
      </c>
    </row>
    <row r="65" spans="1:10">
      <c r="C65" t="s">
        <v>108</v>
      </c>
      <c r="D65" t="s">
        <v>316</v>
      </c>
      <c r="E65" t="s">
        <v>505</v>
      </c>
      <c r="F65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0</v>
      </c>
      <c r="G65">
        <f>VLOOKUP(表_库存[[#This Row],[种类]],表_产品属性[],MATCH(表_产品属性[[#Headers],[总成本]],表_产品属性[#Headers],0),FALSE)</f>
        <v>4</v>
      </c>
      <c r="H65">
        <f>表_库存[[#This Row],[数量]]*表_库存[[#This Row],[单价]]</f>
        <v>0</v>
      </c>
    </row>
    <row r="66" spans="1:10">
      <c r="C66" t="s">
        <v>110</v>
      </c>
      <c r="D66" t="s">
        <v>316</v>
      </c>
      <c r="E66" t="s">
        <v>505</v>
      </c>
      <c r="F66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0</v>
      </c>
      <c r="G66">
        <f>VLOOKUP(表_库存[[#This Row],[种类]],表_产品属性[],MATCH(表_产品属性[[#Headers],[总成本]],表_产品属性[#Headers],0),FALSE)</f>
        <v>5</v>
      </c>
      <c r="H66">
        <f>表_库存[[#This Row],[数量]]*表_库存[[#This Row],[单价]]</f>
        <v>0</v>
      </c>
    </row>
    <row r="68" spans="1:10">
      <c r="A68" t="s">
        <v>281</v>
      </c>
      <c r="C68" s="30" t="s">
        <v>287</v>
      </c>
      <c r="D68" s="30" t="s">
        <v>398</v>
      </c>
      <c r="E68" s="28" t="s">
        <v>330</v>
      </c>
      <c r="F68" s="28" t="s">
        <v>339</v>
      </c>
      <c r="G68" s="28" t="s">
        <v>274</v>
      </c>
      <c r="H68" s="28" t="s">
        <v>356</v>
      </c>
      <c r="I68" s="28" t="s">
        <v>358</v>
      </c>
      <c r="J68" s="28" t="s">
        <v>357</v>
      </c>
    </row>
    <row r="69" spans="1:10">
      <c r="C69" t="s">
        <v>104</v>
      </c>
    </row>
    <row r="70" spans="1:10">
      <c r="C70" t="s">
        <v>328</v>
      </c>
    </row>
    <row r="71" spans="1:10">
      <c r="C71" t="s">
        <v>329</v>
      </c>
    </row>
    <row r="73" spans="1:10">
      <c r="A73" t="s">
        <v>273</v>
      </c>
      <c r="C73" t="s">
        <v>266</v>
      </c>
      <c r="D73" t="s">
        <v>398</v>
      </c>
      <c r="E73" t="s">
        <v>393</v>
      </c>
      <c r="F73" t="s">
        <v>267</v>
      </c>
      <c r="G73" t="s">
        <v>268</v>
      </c>
      <c r="H73" t="s">
        <v>269</v>
      </c>
      <c r="I73" t="s">
        <v>270</v>
      </c>
      <c r="J73" t="s">
        <v>271</v>
      </c>
    </row>
    <row r="74" spans="1:10">
      <c r="D74" t="s">
        <v>331</v>
      </c>
      <c r="E74">
        <v>1</v>
      </c>
    </row>
    <row r="75" spans="1:10">
      <c r="D75" t="s">
        <v>332</v>
      </c>
      <c r="E75">
        <v>1</v>
      </c>
    </row>
    <row r="76" spans="1:10">
      <c r="D76" t="s">
        <v>333</v>
      </c>
      <c r="E76">
        <v>1</v>
      </c>
    </row>
    <row r="77" spans="1:10">
      <c r="D77" t="s">
        <v>334</v>
      </c>
      <c r="E77">
        <v>0</v>
      </c>
    </row>
    <row r="78" spans="1:10">
      <c r="D78" t="s">
        <v>335</v>
      </c>
      <c r="E78">
        <v>0</v>
      </c>
    </row>
    <row r="79" spans="1:10">
      <c r="D79" t="s">
        <v>336</v>
      </c>
      <c r="E79">
        <v>0</v>
      </c>
    </row>
    <row r="81" spans="1:20">
      <c r="A81" t="s">
        <v>303</v>
      </c>
      <c r="C81" s="30" t="s">
        <v>399</v>
      </c>
      <c r="D81" s="30" t="s">
        <v>398</v>
      </c>
      <c r="E81" s="28" t="s">
        <v>304</v>
      </c>
      <c r="F81" s="28" t="s">
        <v>340</v>
      </c>
      <c r="G81" s="28" t="s">
        <v>379</v>
      </c>
      <c r="H81" s="28" t="s">
        <v>441</v>
      </c>
      <c r="I81" s="28" t="s">
        <v>438</v>
      </c>
      <c r="J81" s="28" t="s">
        <v>359</v>
      </c>
      <c r="K81" s="28" t="s">
        <v>507</v>
      </c>
      <c r="L81" s="28" t="s">
        <v>447</v>
      </c>
    </row>
    <row r="82" spans="1:20">
      <c r="C82" t="s">
        <v>325</v>
      </c>
      <c r="D82" t="s">
        <v>326</v>
      </c>
      <c r="E82">
        <f>IF(表_厂房[[#This Row],[获取状态]]="购买",VLOOKUP(表_厂房[[#This Row],[列_厂房名称]],表_厂房属性[],MATCH(表_厂房属性[[#Headers],[购买价格]],表_厂房属性[#Headers],0),FALSE)+表_厂房[[#This Row],[厂房累计折旧]],0)</f>
        <v>32</v>
      </c>
      <c r="F82">
        <f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f>
        <v>0</v>
      </c>
      <c r="G82">
        <f>IF(值_季度&gt;=表_厂房[[#This Row],[启用时间]],1,0)</f>
        <v>1</v>
      </c>
      <c r="H82" t="str">
        <f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f>
        <v>购买</v>
      </c>
      <c r="I82">
        <f>SUMIFS(表_事件[时间],表_事件[列_团队],表_厂房[[#This Row],[列_团队]],表_事件[数据1],表_厂房[[#This Row],[列_厂房名称]],表_事件[事件名称],CONCATENATE("厂房",表_厂房[[#This Row],[获取状态]]))</f>
        <v>-3</v>
      </c>
      <c r="J82">
        <f>SUMIFS(表_事件[数据5],表_事件[列_团队],表_厂房[[#This Row],[列_团队]],表_事件[数据1],表_厂房[[#This Row],[列_厂房名称]],表_事件[事件名称],"厂房折旧",表_事件[事件年],VLOOKUP("当前年数",表_全局数据[],2,FALSE))</f>
        <v>0</v>
      </c>
      <c r="K82">
        <f>SUMIFS(表_事件[数据5],表_事件[列_团队],表_厂房[[#This Row],[列_团队]],表_事件[数据1],表_厂房[[#This Row],[列_厂房名称]],表_事件[事件名称],"厂房折旧")</f>
        <v>0</v>
      </c>
      <c r="L82" s="31"/>
    </row>
    <row r="83" spans="1:20">
      <c r="C83" t="s">
        <v>337</v>
      </c>
      <c r="D83" t="s">
        <v>326</v>
      </c>
      <c r="E83">
        <f>IF(表_厂房[[#This Row],[获取状态]]="购买",VLOOKUP(表_厂房[[#This Row],[列_厂房名称]],表_厂房属性[],MATCH(表_厂房属性[[#Headers],[购买价格]],表_厂房属性[#Headers],0),FALSE)+表_厂房[[#This Row],[厂房累计折旧]],0)</f>
        <v>0</v>
      </c>
      <c r="F83">
        <f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f>
        <v>999</v>
      </c>
      <c r="G83">
        <f>IF(值_季度&gt;=表_厂房[[#This Row],[启用时间]],1,0)</f>
        <v>0</v>
      </c>
      <c r="H83" t="str">
        <f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f>
        <v>未使用</v>
      </c>
      <c r="I83">
        <f>SUMIFS(表_事件[时间],表_事件[列_团队],表_厂房[[#This Row],[列_团队]],表_事件[数据1],表_厂房[[#This Row],[列_厂房名称]],表_事件[事件名称],CONCATENATE("厂房",表_厂房[[#This Row],[获取状态]]))</f>
        <v>0</v>
      </c>
      <c r="J83">
        <f>SUMIFS(表_事件[数据5],表_事件[列_团队],表_厂房[[#This Row],[列_团队]],表_事件[数据1],表_厂房[[#This Row],[列_厂房名称]],表_事件[事件名称],"厂房折旧",表_事件[事件年],VLOOKUP("当前年数",表_全局数据[],2,FALSE))</f>
        <v>0</v>
      </c>
      <c r="K83">
        <f>SUMIFS(表_事件[数据5],表_事件[列_团队],表_厂房[[#This Row],[列_团队]],表_事件[数据1],表_厂房[[#This Row],[列_厂房名称]],表_事件[事件名称],"厂房折旧")</f>
        <v>0</v>
      </c>
      <c r="L83" s="31"/>
    </row>
    <row r="84" spans="1:20">
      <c r="C84" t="s">
        <v>338</v>
      </c>
      <c r="D84" t="s">
        <v>326</v>
      </c>
      <c r="E84">
        <f>IF(表_厂房[[#This Row],[获取状态]]="购买",VLOOKUP(表_厂房[[#This Row],[列_厂房名称]],表_厂房属性[],MATCH(表_厂房属性[[#Headers],[购买价格]],表_厂房属性[#Headers],0),FALSE)+表_厂房[[#This Row],[厂房累计折旧]],0)</f>
        <v>0</v>
      </c>
      <c r="F84">
        <f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f>
        <v>999</v>
      </c>
      <c r="G84">
        <f>IF(值_季度&gt;=表_厂房[[#This Row],[启用时间]],1,0)</f>
        <v>0</v>
      </c>
      <c r="H84" t="str">
        <f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f>
        <v>未使用</v>
      </c>
      <c r="I84">
        <f>SUMIFS(表_事件[时间],表_事件[列_团队],表_厂房[[#This Row],[列_团队]],表_事件[数据1],表_厂房[[#This Row],[列_厂房名称]],表_事件[事件名称],CONCATENATE("厂房",表_厂房[[#This Row],[获取状态]]))</f>
        <v>0</v>
      </c>
      <c r="J84">
        <f>SUMIFS(表_事件[数据5],表_事件[列_团队],表_厂房[[#This Row],[列_团队]],表_事件[数据1],表_厂房[[#This Row],[列_厂房名称]],表_事件[事件名称],"厂房折旧",表_事件[事件年],VLOOKUP("当前年数",表_全局数据[],2,FALSE))</f>
        <v>0</v>
      </c>
      <c r="K84">
        <f>SUMIFS(表_事件[数据5],表_事件[列_团队],表_厂房[[#This Row],[列_团队]],表_事件[数据1],表_厂房[[#This Row],[列_厂房名称]],表_事件[事件名称],"厂房折旧")</f>
        <v>0</v>
      </c>
      <c r="L84" s="31"/>
    </row>
    <row r="86" spans="1:20">
      <c r="A86" t="s">
        <v>263</v>
      </c>
      <c r="C86" t="s">
        <v>264</v>
      </c>
      <c r="D86" s="30" t="s">
        <v>398</v>
      </c>
      <c r="E86" s="30" t="s">
        <v>399</v>
      </c>
      <c r="F86" s="28" t="s">
        <v>289</v>
      </c>
      <c r="G86" s="28" t="s">
        <v>324</v>
      </c>
      <c r="H86" s="28" t="s">
        <v>305</v>
      </c>
      <c r="I86" s="28" t="s">
        <v>508</v>
      </c>
      <c r="J86" s="28" t="s">
        <v>448</v>
      </c>
      <c r="K86" s="28" t="s">
        <v>354</v>
      </c>
      <c r="L86" s="28" t="s">
        <v>306</v>
      </c>
      <c r="M86" s="28" t="s">
        <v>470</v>
      </c>
      <c r="N86" s="28" t="s">
        <v>758</v>
      </c>
      <c r="O86" s="28" t="s">
        <v>757</v>
      </c>
      <c r="P86" s="28" t="s">
        <v>756</v>
      </c>
      <c r="Q86" s="28" t="s">
        <v>103</v>
      </c>
      <c r="R86" s="28" t="s">
        <v>108</v>
      </c>
      <c r="S86" s="28" t="s">
        <v>110</v>
      </c>
      <c r="T86" s="28" t="s">
        <v>506</v>
      </c>
    </row>
    <row r="87" spans="1:20">
      <c r="C87" t="s">
        <v>487</v>
      </c>
      <c r="D87" t="s">
        <v>443</v>
      </c>
      <c r="E87" t="s">
        <v>488</v>
      </c>
      <c r="F87" t="str">
        <f ca="1">getEventValue("产线投资",表_生产线[[#This Row],[列_团队]],MATCH("数据2",表_事件[#Headers],0),,,,表_生产线[[#This Row],[生产线名称]],,,,"未使用",TRUE)</f>
        <v>未使用</v>
      </c>
      <c r="G87" t="str">
        <f ca="1">getEventValue("产线投资",表_生产线[[#This Row],[列_团队]],MATCH("时间",表_事件[#Headers],0),,,,表_生产线[[#This Row],[生产线名称]],,,,999,FALSE)</f>
        <v>999</v>
      </c>
      <c r="H87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87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87">
        <f>SUMIFS(表_事件[数据5],表_事件[列_团队],表_生产线[[#This Row],[列_团队]],表_事件[数据1],表_生产线[[#This Row],[生产线名称]],表_事件[事件名称],"产线折旧")</f>
        <v>0</v>
      </c>
      <c r="K87">
        <f ca="1">IFERROR(VLOOKUP(表_生产线[[#This Row],[生产线种类]],表_生产线属性[],MATCH("生产周期",表_生产线属性[#Headers],0),FALSE),0)</f>
        <v>0</v>
      </c>
      <c r="L87">
        <f ca="1">表_生产线[[#This Row],[购买价格]]-表_生产线[[#This Row],[累计折旧]]</f>
        <v>0</v>
      </c>
      <c r="M87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87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87" t="str">
        <f ca="1">IFERROR(OFFSET(表_生产线[[#Headers],[在产品]],0,MATCH(1,表_生产线[[#This Row],[P1]:[P4]],0)),"未生产")</f>
        <v>未生产</v>
      </c>
      <c r="P87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87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87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87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87">
        <f ca="1">IFERROR(IF(表_生产线[[#This Row],[生产线种类]]&lt;&gt;"未使用",VLOOKUP(表_生产线[[#This Row],[在产品]],表_产品属性[],MATCH("总成本",表_产品属性[#Headers],0),FALSE),0),0)</f>
        <v>0</v>
      </c>
    </row>
    <row r="88" spans="1:20">
      <c r="C88" t="s">
        <v>435</v>
      </c>
      <c r="D88" t="s">
        <v>350</v>
      </c>
      <c r="E88" t="s">
        <v>325</v>
      </c>
      <c r="F88" t="str">
        <f ca="1">getEventValue("产线投资",表_生产线[[#This Row],[列_团队]],MATCH("数据2",表_事件[#Headers],0),,,,表_生产线[[#This Row],[生产线名称]],,,,"未使用",TRUE)</f>
        <v>手工生产线</v>
      </c>
      <c r="G88">
        <f ca="1">getEventValue("产线投资",表_生产线[[#This Row],[列_团队]],MATCH("时间",表_事件[#Headers],0),,,,表_生产线[[#This Row],[生产线名称]],,,,999,FALSE)</f>
        <v>-3</v>
      </c>
      <c r="H88">
        <f ca="1">IF(表_生产线[[#This Row],[生产线种类]]="未使用",,VLOOKUP(表_生产线[[#This Row],[生产线种类]],表_生产线属性[],MATCH(表_生产线属性[[#Headers],[购买价格]],表_生产线属性[#Headers],0),FALSE))</f>
        <v>5</v>
      </c>
      <c r="I88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88">
        <f ca="1">SUMIFS(表_事件[数据5],表_事件[列_团队],表_生产线[[#This Row],[列_团队]],表_事件[数据1],表_生产线[[#This Row],[生产线名称]],表_事件[事件名称],"产线折旧")</f>
        <v>1</v>
      </c>
      <c r="K88">
        <f ca="1">IFERROR(VLOOKUP(表_生产线[[#This Row],[生产线种类]],表_生产线属性[],MATCH("生产周期",表_生产线属性[#Headers],0),FALSE),0)</f>
        <v>3</v>
      </c>
      <c r="L88">
        <f ca="1">表_生产线[[#This Row],[购买价格]]-表_生产线[[#This Row],[累计折旧]]</f>
        <v>4</v>
      </c>
      <c r="M88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-2</v>
      </c>
      <c r="N88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1</v>
      </c>
      <c r="O88" t="str">
        <f ca="1">IFERROR(OFFSET(表_生产线[[#Headers],[在产品]],0,MATCH(1,表_生产线[[#This Row],[P1]:[P4]],0)),"未生产")</f>
        <v>P1</v>
      </c>
      <c r="P88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88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88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88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88">
        <f ca="1">IFERROR(IF(表_生产线[[#This Row],[生产线种类]]&lt;&gt;"未使用",VLOOKUP(表_生产线[[#This Row],[在产品]],表_产品属性[],MATCH("总成本",表_产品属性[#Headers],0),FALSE),0),0)</f>
        <v>2</v>
      </c>
    </row>
    <row r="89" spans="1:20">
      <c r="C89" t="s">
        <v>341</v>
      </c>
      <c r="D89" t="s">
        <v>350</v>
      </c>
      <c r="E89" t="s">
        <v>325</v>
      </c>
      <c r="F89" t="str">
        <f ca="1">getEventValue("产线投资",表_生产线[[#This Row],[列_团队]],MATCH("数据2",表_事件[#Headers],0),,,,表_生产线[[#This Row],[生产线名称]],,,,"未使用",TRUE)</f>
        <v>手工生产线</v>
      </c>
      <c r="G89">
        <f ca="1">getEventValue("产线投资",表_生产线[[#This Row],[列_团队]],MATCH("时间",表_事件[#Headers],0),,,,表_生产线[[#This Row],[生产线名称]],,,,999,FALSE)</f>
        <v>-3</v>
      </c>
      <c r="H89">
        <f ca="1">IF(表_生产线[[#This Row],[生产线种类]]="未使用",,VLOOKUP(表_生产线[[#This Row],[生产线种类]],表_生产线属性[],MATCH(表_生产线属性[[#Headers],[购买价格]],表_生产线属性[#Headers],0),FALSE))</f>
        <v>5</v>
      </c>
      <c r="I89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89">
        <f ca="1">SUMIFS(表_事件[数据5],表_事件[列_团队],表_生产线[[#This Row],[列_团队]],表_事件[数据1],表_生产线[[#This Row],[生产线名称]],表_事件[事件名称],"产线折旧")</f>
        <v>1</v>
      </c>
      <c r="K89">
        <f ca="1">IFERROR(VLOOKUP(表_生产线[[#This Row],[生产线种类]],表_生产线属性[],MATCH("生产周期",表_生产线属性[#Headers],0),FALSE),0)</f>
        <v>3</v>
      </c>
      <c r="L89">
        <f ca="1">表_生产线[[#This Row],[购买价格]]-表_生产线[[#This Row],[累计折旧]]</f>
        <v>4</v>
      </c>
      <c r="M89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-1</v>
      </c>
      <c r="N89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2</v>
      </c>
      <c r="O89" t="str">
        <f ca="1">IFERROR(OFFSET(表_生产线[[#Headers],[在产品]],0,MATCH(1,表_生产线[[#This Row],[P1]:[P4]],0)),"未生产")</f>
        <v>P1</v>
      </c>
      <c r="P89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89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89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89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89">
        <f ca="1">IFERROR(IF(表_生产线[[#This Row],[生产线种类]]&lt;&gt;"未使用",VLOOKUP(表_生产线[[#This Row],[在产品]],表_产品属性[],MATCH("总成本",表_产品属性[#Headers],0),FALSE),0),0)</f>
        <v>2</v>
      </c>
    </row>
    <row r="90" spans="1:20">
      <c r="C90" t="s">
        <v>342</v>
      </c>
      <c r="D90" t="s">
        <v>350</v>
      </c>
      <c r="E90" t="s">
        <v>325</v>
      </c>
      <c r="F90" t="str">
        <f ca="1">getEventValue("产线投资",表_生产线[[#This Row],[列_团队]],MATCH("数据2",表_事件[#Headers],0),,,,表_生产线[[#This Row],[生产线名称]],,,,"未使用",TRUE)</f>
        <v>手工生产线</v>
      </c>
      <c r="G90">
        <f ca="1">getEventValue("产线投资",表_生产线[[#This Row],[列_团队]],MATCH("时间",表_事件[#Headers],0),,,,表_生产线[[#This Row],[生产线名称]],,,,999,FALSE)</f>
        <v>-3</v>
      </c>
      <c r="H90">
        <f ca="1">IF(表_生产线[[#This Row],[生产线种类]]="未使用",,VLOOKUP(表_生产线[[#This Row],[生产线种类]],表_生产线属性[],MATCH(表_生产线属性[[#Headers],[购买价格]],表_生产线属性[#Headers],0),FALSE))</f>
        <v>5</v>
      </c>
      <c r="I90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0">
        <f ca="1">SUMIFS(表_事件[数据5],表_事件[列_团队],表_生产线[[#This Row],[列_团队]],表_事件[数据1],表_生产线[[#This Row],[生产线名称]],表_事件[事件名称],"产线折旧")</f>
        <v>1</v>
      </c>
      <c r="K90">
        <f ca="1">IFERROR(VLOOKUP(表_生产线[[#This Row],[生产线种类]],表_生产线属性[],MATCH("生产周期",表_生产线属性[#Headers],0),FALSE),0)</f>
        <v>3</v>
      </c>
      <c r="L90">
        <f ca="1">表_生产线[[#This Row],[购买价格]]-表_生产线[[#This Row],[累计折旧]]</f>
        <v>4</v>
      </c>
      <c r="M90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0</v>
      </c>
      <c r="N90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3</v>
      </c>
      <c r="O90" t="str">
        <f ca="1">IFERROR(OFFSET(表_生产线[[#Headers],[在产品]],0,MATCH(1,表_生产线[[#This Row],[P1]:[P4]],0)),"未生产")</f>
        <v>P1</v>
      </c>
      <c r="P90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90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0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0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0">
        <f ca="1">IFERROR(IF(表_生产线[[#This Row],[生产线种类]]&lt;&gt;"未使用",VLOOKUP(表_生产线[[#This Row],[在产品]],表_产品属性[],MATCH("总成本",表_产品属性[#Headers],0),FALSE),0),0)</f>
        <v>2</v>
      </c>
    </row>
    <row r="91" spans="1:20">
      <c r="C91" t="s">
        <v>343</v>
      </c>
      <c r="D91" t="s">
        <v>350</v>
      </c>
      <c r="E91" t="s">
        <v>325</v>
      </c>
      <c r="F91" t="str">
        <f ca="1">getEventValue("产线投资",表_生产线[[#This Row],[列_团队]],MATCH("数据2",表_事件[#Headers],0),,,,表_生产线[[#This Row],[生产线名称]],,,,"未使用",TRUE)</f>
        <v>半自动产线</v>
      </c>
      <c r="G91">
        <f ca="1">getEventValue("产线投资",表_生产线[[#This Row],[列_团队]],MATCH("时间",表_事件[#Headers],0),,,,表_生产线[[#This Row],[生产线名称]],,,,999,FALSE)</f>
        <v>-3</v>
      </c>
      <c r="H91">
        <f ca="1">IF(表_生产线[[#This Row],[生产线种类]]="未使用",,VLOOKUP(表_生产线[[#This Row],[生产线种类]],表_生产线属性[],MATCH(表_生产线属性[[#Headers],[购买价格]],表_生产线属性[#Headers],0),FALSE))</f>
        <v>8</v>
      </c>
      <c r="I91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1">
        <f ca="1">SUMIFS(表_事件[数据5],表_事件[列_团队],表_生产线[[#This Row],[列_团队]],表_事件[数据1],表_生产线[[#This Row],[生产线名称]],表_事件[事件名称],"产线折旧")</f>
        <v>1</v>
      </c>
      <c r="K91">
        <f ca="1">IFERROR(VLOOKUP(表_生产线[[#This Row],[生产线种类]],表_生产线属性[],MATCH("生产周期",表_生产线属性[#Headers],0),FALSE),0)</f>
        <v>2</v>
      </c>
      <c r="L91">
        <f ca="1">表_生产线[[#This Row],[购买价格]]-表_生产线[[#This Row],[累计折旧]]</f>
        <v>7</v>
      </c>
      <c r="M91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0</v>
      </c>
      <c r="N91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2</v>
      </c>
      <c r="O91" t="str">
        <f ca="1">IFERROR(OFFSET(表_生产线[[#Headers],[在产品]],0,MATCH(1,表_生产线[[#This Row],[P1]:[P4]],0)),"未生产")</f>
        <v>P1</v>
      </c>
      <c r="P91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91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1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1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1">
        <f ca="1">IFERROR(IF(表_生产线[[#This Row],[生产线种类]]&lt;&gt;"未使用",VLOOKUP(表_生产线[[#This Row],[在产品]],表_产品属性[],MATCH("总成本",表_产品属性[#Headers],0),FALSE),0),0)</f>
        <v>2</v>
      </c>
    </row>
    <row r="92" spans="1:20">
      <c r="C92" t="s">
        <v>344</v>
      </c>
      <c r="D92" t="s">
        <v>350</v>
      </c>
      <c r="E92" t="s">
        <v>337</v>
      </c>
      <c r="F92" t="str">
        <f ca="1">getEventValue("产线投资",表_生产线[[#This Row],[列_团队]],MATCH("数据2",表_事件[#Headers],0),,,,表_生产线[[#This Row],[生产线名称]],,,,"未使用",TRUE)</f>
        <v>未使用</v>
      </c>
      <c r="G92" t="str">
        <f ca="1">getEventValue("产线投资",表_生产线[[#This Row],[列_团队]],MATCH("时间",表_事件[#Headers],0),,,,表_生产线[[#This Row],[生产线名称]],,,,999,FALSE)</f>
        <v>999</v>
      </c>
      <c r="H92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2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2">
        <f>SUMIFS(表_事件[数据5],表_事件[列_团队],表_生产线[[#This Row],[列_团队]],表_事件[数据1],表_生产线[[#This Row],[生产线名称]],表_事件[事件名称],"产线折旧")</f>
        <v>0</v>
      </c>
      <c r="K92">
        <f ca="1">IFERROR(VLOOKUP(表_生产线[[#This Row],[生产线种类]],表_生产线属性[],MATCH("生产周期",表_生产线属性[#Headers],0),FALSE),0)</f>
        <v>0</v>
      </c>
      <c r="L92">
        <f ca="1">表_生产线[[#This Row],[购买价格]]-表_生产线[[#This Row],[累计折旧]]</f>
        <v>0</v>
      </c>
      <c r="M92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2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2" t="str">
        <f ca="1">IFERROR(OFFSET(表_生产线[[#Headers],[在产品]],0,MATCH(1,表_生产线[[#This Row],[P1]:[P4]],0)),"未生产")</f>
        <v>未生产</v>
      </c>
      <c r="P92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2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2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2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2">
        <f ca="1">IFERROR(IF(表_生产线[[#This Row],[生产线种类]]&lt;&gt;"未使用",VLOOKUP(表_生产线[[#This Row],[在产品]],表_产品属性[],MATCH("总成本",表_产品属性[#Headers],0),FALSE),0),0)</f>
        <v>0</v>
      </c>
    </row>
    <row r="93" spans="1:20">
      <c r="C93" t="s">
        <v>345</v>
      </c>
      <c r="D93" t="s">
        <v>350</v>
      </c>
      <c r="E93" t="s">
        <v>337</v>
      </c>
      <c r="F93" t="str">
        <f ca="1">getEventValue("产线投资",表_生产线[[#This Row],[列_团队]],MATCH("数据2",表_事件[#Headers],0),,,,表_生产线[[#This Row],[生产线名称]],,,,"未使用",TRUE)</f>
        <v>未使用</v>
      </c>
      <c r="G93" t="str">
        <f ca="1">getEventValue("产线投资",表_生产线[[#This Row],[列_团队]],MATCH("时间",表_事件[#Headers],0),,,,表_生产线[[#This Row],[生产线名称]],,,,999,FALSE)</f>
        <v>999</v>
      </c>
      <c r="H93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3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3">
        <f>SUMIFS(表_事件[数据5],表_事件[列_团队],表_生产线[[#This Row],[列_团队]],表_事件[数据1],表_生产线[[#This Row],[生产线名称]],表_事件[事件名称],"产线折旧")</f>
        <v>0</v>
      </c>
      <c r="K93">
        <f ca="1">IFERROR(VLOOKUP(表_生产线[[#This Row],[生产线种类]],表_生产线属性[],MATCH("生产周期",表_生产线属性[#Headers],0),FALSE),0)</f>
        <v>0</v>
      </c>
      <c r="L93">
        <f ca="1">表_生产线[[#This Row],[购买价格]]-表_生产线[[#This Row],[累计折旧]]</f>
        <v>0</v>
      </c>
      <c r="M93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3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3" t="str">
        <f ca="1">IFERROR(OFFSET(表_生产线[[#Headers],[在产品]],0,MATCH(1,表_生产线[[#This Row],[P1]:[P4]],0)),"未生产")</f>
        <v>未生产</v>
      </c>
      <c r="P93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3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3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3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3">
        <f ca="1">IFERROR(IF(表_生产线[[#This Row],[生产线种类]]&lt;&gt;"未使用",VLOOKUP(表_生产线[[#This Row],[在产品]],表_产品属性[],MATCH("总成本",表_产品属性[#Headers],0),FALSE),0),0)</f>
        <v>0</v>
      </c>
    </row>
    <row r="94" spans="1:20">
      <c r="C94" t="s">
        <v>346</v>
      </c>
      <c r="D94" t="s">
        <v>350</v>
      </c>
      <c r="E94" t="s">
        <v>337</v>
      </c>
      <c r="F94" t="str">
        <f ca="1">getEventValue("产线投资",表_生产线[[#This Row],[列_团队]],MATCH("数据2",表_事件[#Headers],0),,,,表_生产线[[#This Row],[生产线名称]],,,,"未使用",TRUE)</f>
        <v>未使用</v>
      </c>
      <c r="G94" t="str">
        <f ca="1">getEventValue("产线投资",表_生产线[[#This Row],[列_团队]],MATCH("时间",表_事件[#Headers],0),,,,表_生产线[[#This Row],[生产线名称]],,,,999,FALSE)</f>
        <v>999</v>
      </c>
      <c r="H94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4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4">
        <f>SUMIFS(表_事件[数据5],表_事件[列_团队],表_生产线[[#This Row],[列_团队]],表_事件[数据1],表_生产线[[#This Row],[生产线名称]],表_事件[事件名称],"产线折旧")</f>
        <v>0</v>
      </c>
      <c r="K94">
        <f ca="1">IFERROR(VLOOKUP(表_生产线[[#This Row],[生产线种类]],表_生产线属性[],MATCH("生产周期",表_生产线属性[#Headers],0),FALSE),0)</f>
        <v>0</v>
      </c>
      <c r="L94">
        <f ca="1">表_生产线[[#This Row],[购买价格]]-表_生产线[[#This Row],[累计折旧]]</f>
        <v>0</v>
      </c>
      <c r="M94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4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4" t="str">
        <f ca="1">IFERROR(OFFSET(表_生产线[[#Headers],[在产品]],0,MATCH(1,表_生产线[[#This Row],[P1]:[P4]],0)),"未生产")</f>
        <v>未生产</v>
      </c>
      <c r="P94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4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4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4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4">
        <f ca="1">IFERROR(IF(表_生产线[[#This Row],[生产线种类]]&lt;&gt;"未使用",VLOOKUP(表_生产线[[#This Row],[在产品]],表_产品属性[],MATCH("总成本",表_产品属性[#Headers],0),FALSE),0),0)</f>
        <v>0</v>
      </c>
    </row>
    <row r="95" spans="1:20">
      <c r="C95" t="s">
        <v>347</v>
      </c>
      <c r="D95" t="s">
        <v>350</v>
      </c>
      <c r="E95" t="s">
        <v>338</v>
      </c>
      <c r="F95" t="str">
        <f ca="1">getEventValue("产线投资",表_生产线[[#This Row],[列_团队]],MATCH("数据2",表_事件[#Headers],0),,,,表_生产线[[#This Row],[生产线名称]],,,,"未使用",TRUE)</f>
        <v>未使用</v>
      </c>
      <c r="G95" t="str">
        <f ca="1">getEventValue("产线投资",表_生产线[[#This Row],[列_团队]],MATCH("时间",表_事件[#Headers],0),,,,表_生产线[[#This Row],[生产线名称]],,,,999,FALSE)</f>
        <v>999</v>
      </c>
      <c r="H95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5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5">
        <f>SUMIFS(表_事件[数据5],表_事件[列_团队],表_生产线[[#This Row],[列_团队]],表_事件[数据1],表_生产线[[#This Row],[生产线名称]],表_事件[事件名称],"产线折旧")</f>
        <v>0</v>
      </c>
      <c r="K95">
        <f ca="1">IFERROR(VLOOKUP(表_生产线[[#This Row],[生产线种类]],表_生产线属性[],MATCH("生产周期",表_生产线属性[#Headers],0),FALSE),0)</f>
        <v>0</v>
      </c>
      <c r="L95">
        <f ca="1">表_生产线[[#This Row],[购买价格]]-表_生产线[[#This Row],[累计折旧]]</f>
        <v>0</v>
      </c>
      <c r="M95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5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5" t="str">
        <f ca="1">IFERROR(OFFSET(表_生产线[[#Headers],[在产品]],0,MATCH(1,表_生产线[[#This Row],[P1]:[P4]],0)),"未生产")</f>
        <v>未生产</v>
      </c>
      <c r="P95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5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5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5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5">
        <f ca="1">IFERROR(IF(表_生产线[[#This Row],[生产线种类]]&lt;&gt;"未使用",VLOOKUP(表_生产线[[#This Row],[在产品]],表_产品属性[],MATCH("总成本",表_产品属性[#Headers],0),FALSE),0),0)</f>
        <v>0</v>
      </c>
    </row>
    <row r="97" spans="1:7">
      <c r="A97" t="s">
        <v>348</v>
      </c>
      <c r="C97" t="s">
        <v>275</v>
      </c>
      <c r="D97" s="30" t="s">
        <v>398</v>
      </c>
      <c r="E97" s="29" t="s">
        <v>355</v>
      </c>
      <c r="F97" s="28" t="s">
        <v>445</v>
      </c>
      <c r="G97" s="28" t="s">
        <v>446</v>
      </c>
    </row>
    <row r="98" spans="1:7">
      <c r="C98" t="s">
        <v>349</v>
      </c>
      <c r="D98" t="s">
        <v>316</v>
      </c>
      <c r="E98">
        <v>4</v>
      </c>
    </row>
    <row r="99" spans="1:7">
      <c r="C99" t="s">
        <v>499</v>
      </c>
      <c r="D99" t="s">
        <v>316</v>
      </c>
      <c r="E99">
        <v>3</v>
      </c>
    </row>
    <row r="100" spans="1:7">
      <c r="C100" t="s">
        <v>349</v>
      </c>
      <c r="D100" t="s">
        <v>316</v>
      </c>
      <c r="E100">
        <v>2</v>
      </c>
    </row>
    <row r="101" spans="1:7">
      <c r="C101" t="s">
        <v>349</v>
      </c>
      <c r="D101" t="s">
        <v>316</v>
      </c>
      <c r="E101">
        <v>1</v>
      </c>
    </row>
    <row r="102" spans="1:7">
      <c r="C102" t="s">
        <v>727</v>
      </c>
      <c r="D102" t="s">
        <v>316</v>
      </c>
      <c r="E102">
        <v>24</v>
      </c>
      <c r="F102" s="31">
        <f>表_流动资金[[#This Row],[总借款金额]]-G103</f>
        <v>0</v>
      </c>
      <c r="G102">
        <f>SUMIFS(表_事件[数据2],表_事件[数据3],"&lt;="&amp;(表_流动资金[[#This Row],[剩余周期]]+值_季度),表_事件[事件名称],表_流动资金[[#This Row],[种类]],表_事件[列_团队],表_流动资金[[#This Row],[列_团队]])</f>
        <v>40</v>
      </c>
    </row>
    <row r="103" spans="1:7">
      <c r="C103" t="s">
        <v>727</v>
      </c>
      <c r="D103" t="s">
        <v>316</v>
      </c>
      <c r="E103">
        <v>20</v>
      </c>
      <c r="F103" s="31">
        <f>表_流动资金[[#This Row],[总借款金额]]-G104</f>
        <v>20</v>
      </c>
      <c r="G103">
        <f>SUMIFS(表_事件[数据2],表_事件[数据3],"&lt;="&amp;(表_流动资金[[#This Row],[剩余周期]]+值_季度),表_事件[事件名称],表_流动资金[[#This Row],[种类]],表_事件[列_团队],表_流动资金[[#This Row],[列_团队]])</f>
        <v>40</v>
      </c>
    </row>
    <row r="104" spans="1:7">
      <c r="C104" t="s">
        <v>731</v>
      </c>
      <c r="D104" t="s">
        <v>316</v>
      </c>
      <c r="E104">
        <v>16</v>
      </c>
      <c r="F104" s="31">
        <f>表_流动资金[[#This Row],[总借款金额]]-G105</f>
        <v>20</v>
      </c>
      <c r="G104">
        <f>SUMIFS(表_事件[数据2],表_事件[数据3],"&lt;="&amp;(表_流动资金[[#This Row],[剩余周期]]+值_季度),表_事件[事件名称],表_流动资金[[#This Row],[种类]],表_事件[列_团队],表_流动资金[[#This Row],[列_团队]])</f>
        <v>20</v>
      </c>
    </row>
    <row r="105" spans="1:7">
      <c r="C105" t="s">
        <v>727</v>
      </c>
      <c r="D105" t="s">
        <v>316</v>
      </c>
      <c r="E105">
        <v>12</v>
      </c>
      <c r="F105" s="31">
        <f>表_流动资金[[#This Row],[总借款金额]]-G106</f>
        <v>0</v>
      </c>
      <c r="G105">
        <f>SUMIFS(表_事件[数据2],表_事件[数据3],"&lt;="&amp;(表_流动资金[[#This Row],[剩余周期]]+值_季度),表_事件[事件名称],表_流动资金[[#This Row],[种类]],表_事件[列_团队],表_流动资金[[#This Row],[列_团队]])</f>
        <v>0</v>
      </c>
    </row>
    <row r="106" spans="1:7">
      <c r="C106" t="s">
        <v>727</v>
      </c>
      <c r="D106" t="s">
        <v>316</v>
      </c>
      <c r="E106">
        <v>8</v>
      </c>
      <c r="F106" s="31">
        <f>表_流动资金[[#This Row],[总借款金额]]-G107</f>
        <v>0</v>
      </c>
      <c r="G106">
        <f>SUMIFS(表_事件[数据2],表_事件[数据3],"&lt;="&amp;(表_流动资金[[#This Row],[剩余周期]]+值_季度),表_事件[事件名称],表_流动资金[[#This Row],[种类]],表_事件[列_团队],表_流动资金[[#This Row],[列_团队]])</f>
        <v>0</v>
      </c>
    </row>
    <row r="107" spans="1:7">
      <c r="C107" t="s">
        <v>727</v>
      </c>
      <c r="D107" t="s">
        <v>316</v>
      </c>
      <c r="E107">
        <v>4</v>
      </c>
      <c r="F107" s="31">
        <f>表_流动资金[[#This Row],[总借款金额]]-G108</f>
        <v>0</v>
      </c>
      <c r="G107">
        <f>SUMIFS(表_事件[数据2],表_事件[数据3],"&lt;="&amp;(表_流动资金[[#This Row],[剩余周期]]+值_季度),表_事件[事件名称],表_流动资金[[#This Row],[种类]],表_事件[列_团队],表_流动资金[[#This Row],[列_团队]])</f>
        <v>0</v>
      </c>
    </row>
    <row r="108" spans="1:7">
      <c r="C108" t="s">
        <v>760</v>
      </c>
      <c r="D108" t="s">
        <v>443</v>
      </c>
      <c r="E108">
        <v>0</v>
      </c>
      <c r="F108" s="31"/>
      <c r="G108" s="31">
        <f>SUMIFS(表_事件[数据2],表_事件[事件名称],表_流动资金[[#This Row],[种类]],表_事件[列_团队],表_流动资金[[#This Row],[列_团队]])</f>
        <v>0</v>
      </c>
    </row>
    <row r="109" spans="1:7">
      <c r="C109" t="s">
        <v>201</v>
      </c>
      <c r="D109" t="s">
        <v>316</v>
      </c>
      <c r="E109">
        <v>4</v>
      </c>
    </row>
    <row r="110" spans="1:7">
      <c r="C110" t="s">
        <v>201</v>
      </c>
      <c r="D110" t="s">
        <v>316</v>
      </c>
      <c r="E110">
        <v>3</v>
      </c>
    </row>
    <row r="111" spans="1:7">
      <c r="C111" t="s">
        <v>201</v>
      </c>
      <c r="D111" t="s">
        <v>316</v>
      </c>
      <c r="E111">
        <v>2</v>
      </c>
    </row>
    <row r="112" spans="1:7">
      <c r="C112" t="s">
        <v>201</v>
      </c>
      <c r="D112" t="s">
        <v>316</v>
      </c>
      <c r="E112">
        <v>1</v>
      </c>
    </row>
    <row r="113" spans="1:25">
      <c r="C113" t="s">
        <v>192</v>
      </c>
      <c r="D113" t="s">
        <v>316</v>
      </c>
      <c r="E113">
        <v>4</v>
      </c>
      <c r="F113" s="31">
        <f ca="1">表_流动资金[[#This Row],[总借款金额]]-G114</f>
        <v>0</v>
      </c>
      <c r="G113">
        <f ca="1">SUMIFS(表_事件[数据3],表_事件[数据4],"&lt;="&amp;(表_流动资金[[#This Row],[剩余周期]]+值_季度),表_事件[事件名称],"订单交付",表_事件[列_团队],表_流动资金[[#This Row],[列_团队]])</f>
        <v>20</v>
      </c>
    </row>
    <row r="114" spans="1:25">
      <c r="C114" t="s">
        <v>192</v>
      </c>
      <c r="D114" t="s">
        <v>316</v>
      </c>
      <c r="E114">
        <v>3</v>
      </c>
      <c r="F114" s="31">
        <f ca="1">表_流动资金[[#This Row],[总借款金额]]-G115</f>
        <v>10</v>
      </c>
      <c r="G114">
        <f ca="1">SUMIFS(表_事件[数据3],表_事件[数据4],"&lt;="&amp;(表_流动资金[[#This Row],[剩余周期]]+值_季度),表_事件[事件名称],"订单交付",表_事件[列_团队],表_流动资金[[#This Row],[列_团队]])</f>
        <v>20</v>
      </c>
    </row>
    <row r="115" spans="1:25">
      <c r="C115" t="s">
        <v>192</v>
      </c>
      <c r="D115" t="s">
        <v>316</v>
      </c>
      <c r="E115">
        <v>2</v>
      </c>
      <c r="F115" s="31">
        <f ca="1">表_流动资金[[#This Row],[总借款金额]]-G116</f>
        <v>10</v>
      </c>
      <c r="G115">
        <f ca="1">SUMIFS(表_事件[数据3],表_事件[数据4],"&lt;="&amp;(表_流动资金[[#This Row],[剩余周期]]+值_季度),表_事件[事件名称],"订单交付",表_事件[列_团队],表_流动资金[[#This Row],[列_团队]])</f>
        <v>10</v>
      </c>
    </row>
    <row r="116" spans="1:25">
      <c r="C116" t="s">
        <v>192</v>
      </c>
      <c r="D116" t="s">
        <v>316</v>
      </c>
      <c r="E116">
        <v>1</v>
      </c>
      <c r="F116" s="31">
        <f ca="1">表_流动资金[[#This Row],[总借款金额]]-G117</f>
        <v>0</v>
      </c>
      <c r="G116">
        <f ca="1">SUMIFS(表_事件[数据3],表_事件[数据4],"&lt;="&amp;(表_流动资金[[#This Row],[剩余周期]]+值_季度),表_事件[事件名称],"订单交付",表_事件[列_团队],表_流动资金[[#This Row],[列_团队]])</f>
        <v>0</v>
      </c>
    </row>
    <row r="117" spans="1:25">
      <c r="C117" t="s">
        <v>496</v>
      </c>
      <c r="D117" t="s">
        <v>316</v>
      </c>
      <c r="E117">
        <v>0</v>
      </c>
      <c r="F117" s="31"/>
      <c r="G117">
        <f ca="1">SUMIFS(表_事件[数据3],表_事件[数据4],"&lt;="&amp;(表_流动资金[[#This Row],[剩余周期]]+值_季度),表_事件[事件名称],"订单交付",表_事件[列_团队],表_流动资金[[#This Row],[列_团队]])</f>
        <v>0</v>
      </c>
    </row>
    <row r="118" spans="1:25">
      <c r="C118" t="s">
        <v>360</v>
      </c>
      <c r="D118" t="s">
        <v>361</v>
      </c>
      <c r="E118">
        <v>0</v>
      </c>
      <c r="F118">
        <f ca="1">SUMIF(表_现金状态[列_团队],表_流动资金[[#This Row],[列_团队]],表_现金状态[当前现金])</f>
        <v>20</v>
      </c>
    </row>
    <row r="120" spans="1:25">
      <c r="A120" t="s">
        <v>409</v>
      </c>
      <c r="C120" t="s">
        <v>401</v>
      </c>
      <c r="D120" s="30" t="s">
        <v>410</v>
      </c>
      <c r="E120" s="28" t="s">
        <v>402</v>
      </c>
      <c r="F120" s="28" t="s">
        <v>403</v>
      </c>
      <c r="G120" s="28" t="s">
        <v>497</v>
      </c>
      <c r="H120" t="s">
        <v>404</v>
      </c>
      <c r="I120" t="s">
        <v>405</v>
      </c>
      <c r="J120" t="s">
        <v>406</v>
      </c>
      <c r="K120" s="28" t="s">
        <v>729</v>
      </c>
      <c r="L120" t="s">
        <v>728</v>
      </c>
      <c r="M120" t="s">
        <v>407</v>
      </c>
      <c r="N120" s="28" t="s">
        <v>408</v>
      </c>
      <c r="O120" s="28" t="s">
        <v>94</v>
      </c>
      <c r="P120" t="s">
        <v>95</v>
      </c>
      <c r="Q120" s="28" t="s">
        <v>96</v>
      </c>
      <c r="R120" t="s">
        <v>97</v>
      </c>
      <c r="S120" s="28" t="s">
        <v>715</v>
      </c>
      <c r="T120" s="28" t="s">
        <v>684</v>
      </c>
      <c r="U120" s="28" t="s">
        <v>720</v>
      </c>
      <c r="V120" s="28" t="s">
        <v>717</v>
      </c>
      <c r="W120" s="28" t="s">
        <v>100</v>
      </c>
      <c r="X120" t="s">
        <v>101</v>
      </c>
      <c r="Y120" t="s">
        <v>102</v>
      </c>
    </row>
    <row r="121" spans="1:25">
      <c r="C121" t="s">
        <v>411</v>
      </c>
      <c r="D121" t="s">
        <v>400</v>
      </c>
      <c r="E121">
        <f ca="1">SUM(表_现金状态[[股东投资]:[上年所得税]])</f>
        <v>20</v>
      </c>
      <c r="F121">
        <f>SUMIFS(表_事件[数据1],表_事件[列_团队],表_现金状态[[#This Row],[列_团队]],表_事件[事件名称],"现金增资")</f>
        <v>45</v>
      </c>
      <c r="G121">
        <f>SUMIFS(表_事件[数据1],表_事件[列_团队],表_现金状态[[#This Row],[列_团队]],表_事件[事件名称],表_现金状态[[#Headers],[利润留存]])</f>
        <v>15</v>
      </c>
      <c r="K121">
        <f>SUMIFS(表_事件[数据2],表_事件[事件名称],"长期借贷")</f>
        <v>40</v>
      </c>
      <c r="N121">
        <f ca="1">VLOOKUP("变现应收",表_流动资金[],MATCH("总借款金额",表_流动资金[#Headers],0),FALSE)</f>
        <v>0</v>
      </c>
      <c r="O121">
        <f>-SUMIFS(表_事件[数据1],表_事件[列_团队],表_现金状态[列_团队],表_事件[事件名称],表_现金状态[[#Headers],[行政费用]])</f>
        <v>0</v>
      </c>
      <c r="Q121">
        <f>-SUMIFS(表_事件[数据4],表_事件[列_团队],表_现金状态[列_团队],表_事件[事件名称],表_现金状态[[#Headers],[设备维护]])</f>
        <v>-4</v>
      </c>
      <c r="S121">
        <f>-SUMIFS(表_事件[数据2],表_事件[列_团队],表_现金状态[列_团队],表_事件[事件名称],表_现金状态[[#Headers],[材料采购]])</f>
        <v>-10</v>
      </c>
      <c r="T121">
        <f>-COUNTIFS(表_事件[列_团队],表_现金状态[列_团队],表_事件[事件名称],"新的生产")</f>
        <v>-9</v>
      </c>
      <c r="U121">
        <f>-SUMIFS(表_事件[数据2],表_事件[列_团队],表_现金状态[列_团队],表_事件[事件名称],表_现金状态[[#Headers],[厂房购买]])</f>
        <v>-32</v>
      </c>
      <c r="V121">
        <f>-SUMIFS(表_事件[数据3],表_事件[列_团队],表_现金状态[列_团队],表_事件[事件名称],表_现金状态[[#Headers],[产线投资]])</f>
        <v>-23</v>
      </c>
      <c r="W121">
        <f>-SUMIFS(表_事件[数据3],表_事件[事件名称],"长贷还息",表_事件[列_团队],表_现金状态[列_团队])</f>
        <v>-2</v>
      </c>
    </row>
    <row r="123" spans="1:25">
      <c r="A123" t="s">
        <v>293</v>
      </c>
      <c r="C123" s="30" t="s">
        <v>294</v>
      </c>
      <c r="D123" s="30" t="s">
        <v>398</v>
      </c>
      <c r="E123" s="28" t="s">
        <v>339</v>
      </c>
    </row>
    <row r="124" spans="1:25">
      <c r="C124" t="s">
        <v>113</v>
      </c>
      <c r="D124" t="s">
        <v>372</v>
      </c>
      <c r="E124">
        <v>999</v>
      </c>
    </row>
    <row r="125" spans="1:25">
      <c r="C125" t="s">
        <v>114</v>
      </c>
      <c r="D125" t="s">
        <v>372</v>
      </c>
      <c r="E125">
        <v>999</v>
      </c>
    </row>
    <row r="126" spans="1:25">
      <c r="C126" t="s">
        <v>370</v>
      </c>
      <c r="D126" t="s">
        <v>372</v>
      </c>
      <c r="E126">
        <v>999</v>
      </c>
    </row>
    <row r="127" spans="1:25">
      <c r="C127" t="s">
        <v>116</v>
      </c>
      <c r="D127" t="s">
        <v>372</v>
      </c>
      <c r="E127">
        <v>999</v>
      </c>
    </row>
    <row r="128" spans="1:25">
      <c r="C128" t="s">
        <v>140</v>
      </c>
      <c r="D128" t="s">
        <v>372</v>
      </c>
      <c r="E128">
        <v>1</v>
      </c>
    </row>
    <row r="130" spans="1:16">
      <c r="A130" t="s">
        <v>298</v>
      </c>
      <c r="C130" s="30" t="s">
        <v>299</v>
      </c>
      <c r="D130" s="30" t="s">
        <v>398</v>
      </c>
      <c r="E130" s="28" t="s">
        <v>339</v>
      </c>
    </row>
    <row r="131" spans="1:16">
      <c r="C131" t="s">
        <v>373</v>
      </c>
      <c r="D131" t="s">
        <v>361</v>
      </c>
      <c r="E131">
        <v>999</v>
      </c>
    </row>
    <row r="132" spans="1:16">
      <c r="C132" t="s">
        <v>374</v>
      </c>
      <c r="D132" t="s">
        <v>326</v>
      </c>
      <c r="E132">
        <v>999</v>
      </c>
    </row>
    <row r="134" spans="1:16">
      <c r="A134" t="s">
        <v>278</v>
      </c>
      <c r="C134" t="s">
        <v>279</v>
      </c>
      <c r="D134" s="30" t="s">
        <v>398</v>
      </c>
      <c r="E134" t="s">
        <v>366</v>
      </c>
      <c r="F134" s="28" t="s">
        <v>365</v>
      </c>
      <c r="G134" s="30" t="s">
        <v>368</v>
      </c>
      <c r="H134" s="30" t="s">
        <v>286</v>
      </c>
      <c r="I134" t="s">
        <v>363</v>
      </c>
      <c r="J134" t="s">
        <v>364</v>
      </c>
      <c r="K134" t="s">
        <v>276</v>
      </c>
      <c r="L134" s="28" t="s">
        <v>367</v>
      </c>
      <c r="M134" s="28" t="s">
        <v>280</v>
      </c>
      <c r="N134" s="28" t="s">
        <v>369</v>
      </c>
      <c r="O134" s="28" t="s">
        <v>511</v>
      </c>
      <c r="P134" s="28" t="s">
        <v>510</v>
      </c>
    </row>
    <row r="135" spans="1:16">
      <c r="C135" t="s">
        <v>386</v>
      </c>
      <c r="D135" t="s">
        <v>443</v>
      </c>
      <c r="E135">
        <v>1</v>
      </c>
      <c r="F135">
        <f>QtoY(表_订单[[#This Row],[发布后季度]])</f>
        <v>0</v>
      </c>
      <c r="G135" t="s">
        <v>371</v>
      </c>
      <c r="H135" t="s">
        <v>362</v>
      </c>
      <c r="I135">
        <v>5.5</v>
      </c>
      <c r="J135">
        <v>6</v>
      </c>
      <c r="K135">
        <v>3</v>
      </c>
      <c r="L135">
        <f>ROUND(I135*J135,0)</f>
        <v>33</v>
      </c>
      <c r="M135">
        <f>COUNTIFS(表_事件[列_团队],表_订单[[#This Row],[列_团队]],表_事件[事件名称],"订单交付",表_事件[数据2],表_订单[[#This Row],[订单号]])</f>
        <v>0</v>
      </c>
      <c r="N135">
        <f>表_订单[[#This Row],[年份]]*4</f>
        <v>0</v>
      </c>
      <c r="O135">
        <f>SUMIFS(表_事件[事件年],表_事件[列_团队],表_订单[[#This Row],[列_团队]],表_事件[事件名称],"订单交付",表_事件[数据2],表_订单[[#This Row],[订单号]])</f>
        <v>0</v>
      </c>
      <c r="P135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36" spans="1:16">
      <c r="C136" t="s">
        <v>387</v>
      </c>
      <c r="D136" t="s">
        <v>443</v>
      </c>
      <c r="E136">
        <v>0</v>
      </c>
      <c r="F136">
        <f>QtoY(表_订单[[#This Row],[发布后季度]])</f>
        <v>-1</v>
      </c>
      <c r="G136" t="s">
        <v>371</v>
      </c>
      <c r="H136" t="s">
        <v>362</v>
      </c>
      <c r="I136">
        <v>10</v>
      </c>
      <c r="J136">
        <v>1</v>
      </c>
      <c r="K136">
        <v>4</v>
      </c>
      <c r="L136">
        <f>ROUND(I136*J136,0)</f>
        <v>10</v>
      </c>
      <c r="M136">
        <f>COUNTIFS(表_事件[列_团队],表_订单[[#This Row],[列_团队]],表_事件[事件名称],"订单交付",表_事件[数据2],表_订单[[#This Row],[订单号]])</f>
        <v>1</v>
      </c>
      <c r="N136">
        <f>表_订单[[#This Row],[年份]]*4</f>
        <v>-4</v>
      </c>
      <c r="O136">
        <f>SUMIFS(表_事件[事件年],表_事件[列_团队],表_订单[[#This Row],[列_团队]],表_事件[事件名称],"订单交付",表_事件[数据2],表_订单[[#This Row],[订单号]])</f>
        <v>-1</v>
      </c>
      <c r="P136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2</v>
      </c>
    </row>
    <row r="137" spans="1:16">
      <c r="C137" t="s">
        <v>388</v>
      </c>
      <c r="D137" t="s">
        <v>486</v>
      </c>
      <c r="E137">
        <v>0</v>
      </c>
      <c r="F137">
        <f>QtoY(表_订单[[#This Row],[发布后季度]])</f>
        <v>-1</v>
      </c>
      <c r="G137" t="s">
        <v>371</v>
      </c>
      <c r="H137" t="s">
        <v>362</v>
      </c>
      <c r="I137">
        <v>10</v>
      </c>
      <c r="J137">
        <v>1</v>
      </c>
      <c r="K137">
        <v>3</v>
      </c>
      <c r="L137">
        <f>ROUND(I137*J137,0)</f>
        <v>10</v>
      </c>
      <c r="M137">
        <f>COUNTIFS(表_事件[列_团队],表_订单[[#This Row],[列_团队]],表_事件[事件名称],"订单交付",表_事件[数据2],表_订单[[#This Row],[订单号]])</f>
        <v>1</v>
      </c>
      <c r="N137">
        <f>表_订单[[#This Row],[年份]]*4</f>
        <v>-4</v>
      </c>
      <c r="O137">
        <f>SUMIFS(表_事件[事件年],表_事件[列_团队],表_订单[[#This Row],[列_团队]],表_事件[事件名称],"订单交付",表_事件[数据2],表_订单[[#This Row],[订单号]])</f>
        <v>-1</v>
      </c>
      <c r="P137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2</v>
      </c>
    </row>
    <row r="138" spans="1:16">
      <c r="C138" t="s">
        <v>389</v>
      </c>
      <c r="M138">
        <f>COUNTIFS(表_事件[列_团队],表_订单[[#This Row],[列_团队]],表_事件[事件名称],"订单交付",表_事件[数据2],表_订单[[#This Row],[订单号]])</f>
        <v>0</v>
      </c>
      <c r="O138">
        <f>SUMIFS(表_事件[事件年],表_事件[列_团队],表_订单[[#This Row],[列_团队]],表_事件[事件名称],"订单交付",表_事件[数据2],表_订单[[#This Row],[订单号]])</f>
        <v>0</v>
      </c>
      <c r="P138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39" spans="1:16">
      <c r="C139" t="s">
        <v>390</v>
      </c>
      <c r="M139">
        <f>COUNTIFS(表_事件[列_团队],表_订单[[#This Row],[列_团队]],表_事件[事件名称],"订单交付",表_事件[数据2],表_订单[[#This Row],[订单号]])</f>
        <v>0</v>
      </c>
      <c r="O139">
        <f>SUMIFS(表_事件[事件年],表_事件[列_团队],表_订单[[#This Row],[列_团队]],表_事件[事件名称],"订单交付",表_事件[数据2],表_订单[[#This Row],[订单号]])</f>
        <v>0</v>
      </c>
      <c r="P139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40" spans="1:16">
      <c r="C140" t="s">
        <v>391</v>
      </c>
      <c r="M140">
        <f>COUNTIFS(表_事件[列_团队],表_订单[[#This Row],[列_团队]],表_事件[事件名称],"订单交付",表_事件[数据2],表_订单[[#This Row],[订单号]])</f>
        <v>0</v>
      </c>
      <c r="O140">
        <f>SUMIFS(表_事件[事件年],表_事件[列_团队],表_订单[[#This Row],[列_团队]],表_事件[事件名称],"订单交付",表_事件[数据2],表_订单[[#This Row],[订单号]])</f>
        <v>0</v>
      </c>
      <c r="P140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41" spans="1:16">
      <c r="C141" t="s">
        <v>392</v>
      </c>
      <c r="M141">
        <f>COUNTIFS(表_事件[列_团队],表_订单[[#This Row],[列_团队]],表_事件[事件名称],"订单交付",表_事件[数据2],表_订单[[#This Row],[订单号]])</f>
        <v>0</v>
      </c>
      <c r="O141">
        <f>SUMIFS(表_事件[事件年],表_事件[列_团队],表_订单[[#This Row],[列_团队]],表_事件[事件名称],"订单交付",表_事件[数据2],表_订单[[#This Row],[订单号]])</f>
        <v>0</v>
      </c>
      <c r="P141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43" spans="1:16">
      <c r="A143" t="s">
        <v>272</v>
      </c>
      <c r="C143" t="s">
        <v>256</v>
      </c>
      <c r="D143" t="s">
        <v>257</v>
      </c>
    </row>
    <row r="144" spans="1:16">
      <c r="C144" t="s">
        <v>375</v>
      </c>
      <c r="D144">
        <v>1</v>
      </c>
    </row>
    <row r="145" spans="1:9">
      <c r="C145" t="s">
        <v>320</v>
      </c>
      <c r="D145">
        <v>2</v>
      </c>
    </row>
    <row r="146" spans="1:9">
      <c r="C146" t="s">
        <v>321</v>
      </c>
      <c r="D146">
        <v>3</v>
      </c>
    </row>
    <row r="147" spans="1:9">
      <c r="C147" t="s">
        <v>322</v>
      </c>
      <c r="D147">
        <v>4</v>
      </c>
    </row>
    <row r="149" spans="1:9">
      <c r="A149" t="s">
        <v>277</v>
      </c>
      <c r="C149" s="29" t="s">
        <v>275</v>
      </c>
      <c r="D149" s="29" t="s">
        <v>276</v>
      </c>
      <c r="E149" s="29" t="s">
        <v>463</v>
      </c>
      <c r="F149" s="29" t="s">
        <v>464</v>
      </c>
    </row>
    <row r="150" spans="1:9">
      <c r="C150" t="s">
        <v>461</v>
      </c>
      <c r="D150" t="s">
        <v>462</v>
      </c>
      <c r="E150" s="32">
        <v>0.1</v>
      </c>
      <c r="F150" t="s">
        <v>467</v>
      </c>
    </row>
    <row r="151" spans="1:9">
      <c r="C151" t="s">
        <v>727</v>
      </c>
      <c r="D151" t="s">
        <v>465</v>
      </c>
      <c r="E151" s="32">
        <v>0.05</v>
      </c>
      <c r="F151" t="s">
        <v>467</v>
      </c>
    </row>
    <row r="152" spans="1:9">
      <c r="C152" t="s">
        <v>466</v>
      </c>
      <c r="E152" s="57">
        <f>1/7</f>
        <v>0.14285714285714285</v>
      </c>
      <c r="F152" t="s">
        <v>468</v>
      </c>
    </row>
    <row r="157" spans="1:9">
      <c r="A157" t="s">
        <v>284</v>
      </c>
      <c r="C157" t="s">
        <v>262</v>
      </c>
      <c r="D157" t="s">
        <v>283</v>
      </c>
      <c r="E157" t="s">
        <v>285</v>
      </c>
      <c r="F157" t="s">
        <v>288</v>
      </c>
      <c r="G157" s="28" t="s">
        <v>502</v>
      </c>
      <c r="H157" s="28" t="s">
        <v>503</v>
      </c>
      <c r="I157" s="28" t="s">
        <v>504</v>
      </c>
    </row>
    <row r="158" spans="1:9">
      <c r="C158" t="s">
        <v>122</v>
      </c>
      <c r="D158" t="s">
        <v>376</v>
      </c>
      <c r="E158">
        <v>0</v>
      </c>
      <c r="F158">
        <v>0</v>
      </c>
      <c r="G158">
        <f>VLOOKUP(表_产品属性[[#This Row],[原料]],表_原料价格[],2,FALSE)</f>
        <v>1</v>
      </c>
      <c r="H158">
        <v>1</v>
      </c>
      <c r="I158">
        <f>SUM(表_产品属性[[#This Row],[原料成本]:[人工成本]])</f>
        <v>2</v>
      </c>
    </row>
    <row r="159" spans="1:9">
      <c r="C159" t="s">
        <v>377</v>
      </c>
      <c r="D159" t="s">
        <v>378</v>
      </c>
      <c r="E159">
        <v>6</v>
      </c>
      <c r="F159">
        <v>1</v>
      </c>
      <c r="G159">
        <f>VLOOKUP(表_产品属性[[#This Row],[原料]],表_原料价格[],2,FALSE)</f>
        <v>2</v>
      </c>
      <c r="H159">
        <v>1</v>
      </c>
      <c r="I159">
        <f>SUM(表_产品属性[[#This Row],[原料成本]:[人工成本]])</f>
        <v>3</v>
      </c>
    </row>
    <row r="160" spans="1:9">
      <c r="C160" t="s">
        <v>108</v>
      </c>
      <c r="D160" t="s">
        <v>321</v>
      </c>
      <c r="E160">
        <v>6</v>
      </c>
      <c r="F160">
        <v>2</v>
      </c>
      <c r="G160">
        <f>VLOOKUP(表_产品属性[[#This Row],[原料]],表_原料价格[],2,FALSE)</f>
        <v>3</v>
      </c>
      <c r="H160">
        <v>1</v>
      </c>
      <c r="I160">
        <f>SUM(表_产品属性[[#This Row],[原料成本]:[人工成本]])</f>
        <v>4</v>
      </c>
    </row>
    <row r="161" spans="1:11">
      <c r="C161" t="s">
        <v>110</v>
      </c>
      <c r="D161" t="s">
        <v>322</v>
      </c>
      <c r="E161">
        <v>6</v>
      </c>
      <c r="F161">
        <v>3</v>
      </c>
      <c r="G161">
        <f>VLOOKUP(表_产品属性[[#This Row],[原料]],表_原料价格[],2,FALSE)</f>
        <v>4</v>
      </c>
      <c r="H161">
        <v>1</v>
      </c>
      <c r="I161">
        <f>SUM(表_产品属性[[#This Row],[原料成本]:[人工成本]])</f>
        <v>5</v>
      </c>
    </row>
    <row r="163" spans="1:11">
      <c r="A163" t="s">
        <v>394</v>
      </c>
      <c r="C163" t="s">
        <v>289</v>
      </c>
      <c r="D163" t="s">
        <v>265</v>
      </c>
      <c r="E163" t="s">
        <v>27</v>
      </c>
      <c r="F163" t="s">
        <v>290</v>
      </c>
      <c r="G163" t="s">
        <v>291</v>
      </c>
      <c r="H163" t="s">
        <v>292</v>
      </c>
      <c r="I163" t="s">
        <v>454</v>
      </c>
      <c r="J163" t="s">
        <v>457</v>
      </c>
    </row>
    <row r="164" spans="1:11">
      <c r="C164" t="s">
        <v>351</v>
      </c>
      <c r="D164">
        <v>5</v>
      </c>
      <c r="E164">
        <v>1</v>
      </c>
      <c r="F164">
        <v>1</v>
      </c>
      <c r="G164">
        <v>3</v>
      </c>
      <c r="H164">
        <v>1</v>
      </c>
      <c r="I164">
        <v>1</v>
      </c>
      <c r="J164">
        <f>表_生产线属性[[#This Row],[购买价格]]-表_生产线属性[[#This Row],[终值]]</f>
        <v>4</v>
      </c>
    </row>
    <row r="165" spans="1:11">
      <c r="C165" t="s">
        <v>352</v>
      </c>
      <c r="D165">
        <v>8</v>
      </c>
      <c r="E165">
        <v>1</v>
      </c>
      <c r="F165">
        <v>1</v>
      </c>
      <c r="G165">
        <v>2</v>
      </c>
      <c r="H165">
        <v>1</v>
      </c>
      <c r="I165">
        <v>1</v>
      </c>
      <c r="J165">
        <f>表_生产线属性[[#This Row],[购买价格]]-表_生产线属性[[#This Row],[终值]]</f>
        <v>7</v>
      </c>
    </row>
    <row r="166" spans="1:11">
      <c r="C166" t="s">
        <v>353</v>
      </c>
      <c r="D166">
        <v>16</v>
      </c>
      <c r="E166">
        <v>1</v>
      </c>
      <c r="F166">
        <v>3</v>
      </c>
      <c r="G166">
        <v>1</v>
      </c>
      <c r="H166">
        <v>1</v>
      </c>
      <c r="I166">
        <v>2</v>
      </c>
      <c r="J166">
        <f>表_生产线属性[[#This Row],[购买价格]]-表_生产线属性[[#This Row],[终值]]</f>
        <v>14</v>
      </c>
    </row>
    <row r="168" spans="1:11">
      <c r="A168" t="s">
        <v>397</v>
      </c>
      <c r="C168" t="s">
        <v>399</v>
      </c>
      <c r="D168" t="s">
        <v>310</v>
      </c>
      <c r="E168" t="s">
        <v>311</v>
      </c>
      <c r="F168" t="s">
        <v>327</v>
      </c>
      <c r="G168" t="s">
        <v>439</v>
      </c>
      <c r="H168" t="s">
        <v>440</v>
      </c>
      <c r="I168" t="s">
        <v>455</v>
      </c>
      <c r="J168" t="s">
        <v>457</v>
      </c>
      <c r="K168" t="s">
        <v>10</v>
      </c>
    </row>
    <row r="169" spans="1:11">
      <c r="C169" t="s">
        <v>325</v>
      </c>
      <c r="D169">
        <v>32</v>
      </c>
      <c r="E169">
        <v>4</v>
      </c>
      <c r="F169">
        <v>4</v>
      </c>
      <c r="G169">
        <v>3</v>
      </c>
      <c r="H169">
        <v>0</v>
      </c>
      <c r="I169">
        <v>3</v>
      </c>
      <c r="J169">
        <v>29</v>
      </c>
      <c r="K169">
        <v>0</v>
      </c>
    </row>
    <row r="170" spans="1:11">
      <c r="C170" t="s">
        <v>337</v>
      </c>
      <c r="D170">
        <v>24</v>
      </c>
      <c r="E170">
        <v>3</v>
      </c>
      <c r="F170">
        <v>3</v>
      </c>
      <c r="G170">
        <v>3</v>
      </c>
      <c r="H170">
        <v>0</v>
      </c>
      <c r="I170">
        <v>2</v>
      </c>
      <c r="J170">
        <v>22</v>
      </c>
      <c r="K170">
        <v>0</v>
      </c>
    </row>
    <row r="171" spans="1:11">
      <c r="C171" t="s">
        <v>380</v>
      </c>
      <c r="D171">
        <v>12</v>
      </c>
      <c r="E171">
        <v>2</v>
      </c>
      <c r="F171">
        <v>1</v>
      </c>
      <c r="G171">
        <v>3</v>
      </c>
      <c r="H171">
        <v>0</v>
      </c>
      <c r="I171">
        <v>1</v>
      </c>
      <c r="J171">
        <v>11</v>
      </c>
      <c r="K171">
        <v>0</v>
      </c>
    </row>
    <row r="173" spans="1:11">
      <c r="A173" t="s">
        <v>120</v>
      </c>
      <c r="C173" t="s">
        <v>296</v>
      </c>
      <c r="D173" t="s">
        <v>295</v>
      </c>
      <c r="E173" t="s">
        <v>297</v>
      </c>
    </row>
    <row r="174" spans="1:11">
      <c r="C174" t="s">
        <v>381</v>
      </c>
      <c r="D174">
        <v>4</v>
      </c>
      <c r="E174">
        <v>1</v>
      </c>
    </row>
    <row r="175" spans="1:11">
      <c r="C175" t="s">
        <v>382</v>
      </c>
      <c r="D175">
        <v>3</v>
      </c>
      <c r="E175">
        <v>1</v>
      </c>
    </row>
    <row r="176" spans="1:11">
      <c r="C176" t="s">
        <v>383</v>
      </c>
      <c r="D176">
        <v>2</v>
      </c>
      <c r="E176">
        <v>1</v>
      </c>
    </row>
    <row r="177" spans="1:14">
      <c r="C177" t="s">
        <v>384</v>
      </c>
      <c r="D177">
        <v>1</v>
      </c>
      <c r="E177">
        <v>1</v>
      </c>
    </row>
    <row r="179" spans="1:14">
      <c r="A179" t="s">
        <v>300</v>
      </c>
      <c r="C179" t="s">
        <v>301</v>
      </c>
      <c r="D179" t="s">
        <v>302</v>
      </c>
    </row>
    <row r="180" spans="1:14">
      <c r="C180" t="s">
        <v>373</v>
      </c>
      <c r="D180">
        <v>1</v>
      </c>
    </row>
    <row r="181" spans="1:14">
      <c r="C181" t="s">
        <v>374</v>
      </c>
      <c r="D181">
        <v>1</v>
      </c>
    </row>
    <row r="185" spans="1:14">
      <c r="A185" t="s">
        <v>528</v>
      </c>
      <c r="C185" t="s">
        <v>529</v>
      </c>
      <c r="D185" t="s">
        <v>530</v>
      </c>
      <c r="E185" t="s">
        <v>531</v>
      </c>
      <c r="F185" t="s">
        <v>398</v>
      </c>
      <c r="G185" t="s">
        <v>532</v>
      </c>
      <c r="H185" t="s">
        <v>533</v>
      </c>
      <c r="I185" t="s">
        <v>432</v>
      </c>
      <c r="J185" t="s">
        <v>433</v>
      </c>
      <c r="K185" t="s">
        <v>434</v>
      </c>
      <c r="L185" t="s">
        <v>456</v>
      </c>
      <c r="M185" t="s">
        <v>534</v>
      </c>
      <c r="N185" t="s">
        <v>535</v>
      </c>
    </row>
    <row r="186" spans="1:14">
      <c r="C186" t="s">
        <v>725</v>
      </c>
      <c r="E186" t="str">
        <f>VLOOKUP(表_事件类型[[#This Row],[行动分类]],表_事件状态机[],MATCH("事件名称",表_事件状态机[#Headers],0),FALSE)</f>
        <v>现金增资</v>
      </c>
      <c r="F186" s="35" t="s">
        <v>316</v>
      </c>
      <c r="G186" s="35">
        <v>-3</v>
      </c>
      <c r="H186" s="35">
        <v>45</v>
      </c>
      <c r="M186" s="28">
        <f>QtoY(表_事件类型[[#This Row],[时间]])</f>
        <v>-1</v>
      </c>
    </row>
    <row r="187" spans="1:14">
      <c r="C187" t="s">
        <v>724</v>
      </c>
      <c r="E187" t="str">
        <f>VLOOKUP(表_事件类型[[#This Row],[行动分类]],表_事件状态机[],MATCH("事件名称",表_事件状态机[#Headers],0),FALSE)</f>
        <v>利润留存</v>
      </c>
      <c r="F187" s="35" t="s">
        <v>536</v>
      </c>
      <c r="G187" s="35">
        <v>-3</v>
      </c>
      <c r="H187" s="35">
        <v>15</v>
      </c>
      <c r="J187" s="31"/>
      <c r="K187" s="31"/>
      <c r="L187" s="31"/>
      <c r="M187" s="33">
        <f>QtoY(表_事件类型[[#This Row],[时间]])</f>
        <v>-1</v>
      </c>
    </row>
    <row r="188" spans="1:14">
      <c r="C188" t="s">
        <v>719</v>
      </c>
      <c r="E188" t="str">
        <f>VLOOKUP(表_事件类型[[#This Row],[行动分类]],表_事件状态机[],MATCH("事件名称",表_事件状态机[#Headers],0),FALSE)</f>
        <v>厂房购买</v>
      </c>
      <c r="F188" s="35" t="s">
        <v>521</v>
      </c>
      <c r="G188" s="35">
        <v>-3</v>
      </c>
      <c r="H188" s="35" t="s">
        <v>537</v>
      </c>
      <c r="I188" s="28">
        <f>VLOOKUP(表_事件类型[[#This Row],[数据1]],表_厂房属性[],MATCH("购买价格",表_厂房属性[#Headers],0),FALSE)</f>
        <v>32</v>
      </c>
      <c r="M188" s="28">
        <f>QtoY(表_事件类型[[#This Row],[时间]])</f>
        <v>-1</v>
      </c>
    </row>
    <row r="189" spans="1:14">
      <c r="C189" t="s">
        <v>518</v>
      </c>
      <c r="E189" t="str">
        <f>VLOOKUP(表_事件类型[[#This Row],[行动分类]],表_事件状态机[],MATCH("事件名称",表_事件状态机[#Headers],0),FALSE)</f>
        <v>产线投资</v>
      </c>
      <c r="F189" s="35" t="s">
        <v>538</v>
      </c>
      <c r="G189" s="35">
        <v>-3</v>
      </c>
      <c r="H189" s="35" t="s">
        <v>539</v>
      </c>
      <c r="I189" s="35" t="s">
        <v>540</v>
      </c>
      <c r="J189" s="28">
        <f>VLOOKUP(表_事件类型[[#This Row],[数据2]],表_生产线属性[],MATCH("购买价格",表_厂房属性[#Headers],0),FALSE)</f>
        <v>5</v>
      </c>
      <c r="M189" s="28">
        <f>QtoY(表_事件类型[[#This Row],[时间]])</f>
        <v>-1</v>
      </c>
    </row>
    <row r="190" spans="1:14">
      <c r="C190" t="s">
        <v>546</v>
      </c>
      <c r="E190" t="str">
        <f>VLOOKUP(表_事件类型[[#This Row],[行动分类]],表_事件状态机[],MATCH("事件名称",表_事件状态机[#Headers],0),FALSE)</f>
        <v>材料采购</v>
      </c>
      <c r="F190" s="35" t="s">
        <v>521</v>
      </c>
      <c r="G190" s="35">
        <v>-3</v>
      </c>
      <c r="H190" s="35" t="s">
        <v>547</v>
      </c>
      <c r="I190" s="35">
        <v>8</v>
      </c>
      <c r="J190" s="33">
        <f>VLOOKUP(表_事件类型[[#This Row],[数据1]],表_原料价格[],2,FALSE)*表_事件类型[[#This Row],[数据2]]</f>
        <v>8</v>
      </c>
      <c r="K190" s="31"/>
      <c r="L190" s="31"/>
      <c r="M190" s="33">
        <f>QtoY(表_事件类型[[#This Row],[时间]])</f>
        <v>-1</v>
      </c>
      <c r="N190" t="s">
        <v>548</v>
      </c>
    </row>
    <row r="191" spans="1:14">
      <c r="C191" t="s">
        <v>713</v>
      </c>
      <c r="E191" t="str">
        <f>VLOOKUP(表_事件类型[[#This Row],[行动分类]],表_事件状态机[],MATCH("事件名称",表_事件状态机[#Headers],0),FALSE)</f>
        <v>生产入库</v>
      </c>
      <c r="F191" s="35" t="s">
        <v>486</v>
      </c>
      <c r="G191" s="35">
        <v>-1</v>
      </c>
      <c r="H191" s="35" t="s">
        <v>549</v>
      </c>
      <c r="I191" s="35" t="s">
        <v>519</v>
      </c>
      <c r="J191" s="31"/>
      <c r="K191" s="31"/>
      <c r="L191" s="31"/>
      <c r="M191" s="33">
        <f>QtoY(表_事件类型[[#This Row],[时间]])</f>
        <v>-1</v>
      </c>
    </row>
    <row r="192" spans="1:14">
      <c r="C192" t="s">
        <v>714</v>
      </c>
      <c r="E192" t="str">
        <f>VLOOKUP(表_事件类型[[#This Row],[行动分类]],表_事件状态机[],MATCH("事件名称",表_事件状态机[#Headers],0),FALSE)</f>
        <v>新的生产</v>
      </c>
      <c r="F192" s="35" t="s">
        <v>523</v>
      </c>
      <c r="G192" s="35">
        <v>-2</v>
      </c>
      <c r="H192" s="35" t="s">
        <v>549</v>
      </c>
      <c r="I192" s="35" t="s">
        <v>524</v>
      </c>
      <c r="J192" s="33" t="str">
        <f>VLOOKUP(表_事件类型[[#This Row],[数据1]],表_产品属性[],MATCH("原料",表_产品属性[#Headers],0),FALSE)</f>
        <v>R1</v>
      </c>
      <c r="K192" s="31"/>
      <c r="L192" s="31"/>
      <c r="M192" s="33">
        <f>QtoY(表_事件类型[[#This Row],[时间]])</f>
        <v>-1</v>
      </c>
    </row>
    <row r="193" spans="3:14">
      <c r="C193" t="s">
        <v>550</v>
      </c>
      <c r="E193" t="str">
        <f>VLOOKUP(表_事件类型[[#This Row],[行动分类]],表_事件状态机[],MATCH("事件名称",表_事件状态机[#Headers],0),FALSE)</f>
        <v>订单交付</v>
      </c>
      <c r="F193" s="35" t="s">
        <v>521</v>
      </c>
      <c r="G193" s="35">
        <v>0</v>
      </c>
      <c r="H193" s="35" t="s">
        <v>525</v>
      </c>
      <c r="I193" s="35" t="s">
        <v>526</v>
      </c>
      <c r="J193" s="33">
        <f>VLOOKUP(表_事件类型[[#This Row],[数据2]],表_订单[],MATCH("订单总金额",表_订单[#Headers],0),FALSE)</f>
        <v>10</v>
      </c>
      <c r="K193" s="33">
        <f>VLOOKUP(表_事件类型[[#This Row],[数据2]],表_订单[],MATCH("账期",表_订单[#Headers],0),FALSE)+表_事件类型[[#This Row],[时间]]</f>
        <v>4</v>
      </c>
      <c r="L193" s="31"/>
      <c r="M193" s="33">
        <f>QtoY(表_事件类型[[#This Row],[时间]])</f>
        <v>-1</v>
      </c>
      <c r="N193" t="s">
        <v>527</v>
      </c>
    </row>
    <row r="194" spans="3:14">
      <c r="C194" t="s">
        <v>712</v>
      </c>
      <c r="E194" t="str">
        <f>VLOOKUP(表_事件类型[[#This Row],[行动分类]],表_事件状态机[],MATCH("事件名称",表_事件状态机[#Headers],0),FALSE)</f>
        <v>行政费用</v>
      </c>
      <c r="F194" s="35" t="s">
        <v>521</v>
      </c>
      <c r="G194" s="35">
        <v>0</v>
      </c>
      <c r="H194" s="35">
        <v>1</v>
      </c>
      <c r="J194" s="31"/>
      <c r="K194" s="31"/>
      <c r="L194" s="31"/>
      <c r="M194" s="33">
        <f>QtoY(表_事件类型[[#This Row],[时间]])</f>
        <v>-1</v>
      </c>
    </row>
    <row r="195" spans="3:14">
      <c r="C195" t="s">
        <v>709</v>
      </c>
      <c r="E195" t="str">
        <f>VLOOKUP(表_事件类型[[#This Row],[行动分类]],表_事件状态机[],MATCH("事件名称",表_事件状态机[#Headers],0),FALSE)</f>
        <v>长贷还息</v>
      </c>
      <c r="F195" s="35" t="s">
        <v>541</v>
      </c>
      <c r="G195" s="35">
        <v>0</v>
      </c>
      <c r="H195" s="28">
        <f ca="1">SUMIFS($J$3:J194,F$3:F194,表_事件类型[[#This Row],[列_团队]],E$3:E194,"长期借贷")</f>
        <v>36</v>
      </c>
      <c r="I195" s="28">
        <f ca="1">SUMIFS($J$3:J194,F$3:F194,表_事件类型[[#This Row],[列_团队]],E$3:E194,"长期借贷还款")</f>
        <v>0</v>
      </c>
      <c r="J195" s="33">
        <f ca="1">(表_事件类型[[#This Row],[数据1]]-表_事件类型[[#This Row],[数据2]])*VLOOKUP("长期借贷",表_资金属性[],MATCH("利息",表_资金属性[#Headers],0),FALSE)</f>
        <v>1.8</v>
      </c>
      <c r="K195" s="31"/>
      <c r="L195" s="31"/>
      <c r="M195" s="33">
        <f>QtoY(表_事件类型[[#This Row],[时间]])</f>
        <v>-1</v>
      </c>
      <c r="N195" t="s">
        <v>730</v>
      </c>
    </row>
    <row r="196" spans="3:14">
      <c r="C196" t="s">
        <v>710</v>
      </c>
      <c r="E196" t="str">
        <f>VLOOKUP(表_事件类型[[#This Row],[行动分类]],表_事件状态机[],MATCH("事件名称",表_事件状态机[#Headers],0),FALSE)</f>
        <v>长期借贷</v>
      </c>
      <c r="F196" s="35" t="s">
        <v>521</v>
      </c>
      <c r="G196" s="35">
        <v>-3</v>
      </c>
      <c r="H196" s="35">
        <v>16</v>
      </c>
      <c r="I196" s="35">
        <v>20</v>
      </c>
      <c r="J196" s="33">
        <f>ROUNDDOWN(表_事件类型[[#This Row],[时间]]/4,0)*4+表_事件类型[[#This Row],[数据1]]</f>
        <v>16</v>
      </c>
      <c r="M196" s="28">
        <f>QtoY(表_事件类型[[#This Row],[时间]])</f>
        <v>-1</v>
      </c>
      <c r="N196" t="s">
        <v>520</v>
      </c>
    </row>
    <row r="197" spans="3:14">
      <c r="C197" t="s">
        <v>542</v>
      </c>
      <c r="E197" t="str">
        <f>VLOOKUP(表_事件类型[[#This Row],[行动分类]],表_事件状态机[],MATCH("事件名称",表_事件状态机[#Headers],0),FALSE)</f>
        <v>设备维护</v>
      </c>
      <c r="F197" s="35" t="s">
        <v>521</v>
      </c>
      <c r="G197" s="35">
        <v>0</v>
      </c>
      <c r="H197" s="28">
        <f ca="1">COUNTIFS($F$3:F196,表_事件类型[[#This Row],[列_团队]],$I$3:I196,"手工生产线",$E$3:E196,"产线投资")</f>
        <v>4</v>
      </c>
      <c r="I197" s="28">
        <f ca="1">COUNTIFS($F$3:F196,表_事件类型[[#This Row],[列_团队]],$I$3:I196,"半自动产线",$E$3:E196,"产线投资")</f>
        <v>1</v>
      </c>
      <c r="J197" s="33">
        <f ca="1">COUNTIFS($F$3:F196,表_事件类型[[#This Row],[列_团队]],$I$3:I196,"全自动产线",$E$3:E196,"产线投资")</f>
        <v>0</v>
      </c>
      <c r="K197" s="28">
        <f ca="1">表_事件类型[[#This Row],[数据1]]*VLOOKUP("手工生产线",表_生产线属性[],MATCH("维护费用",表_生产线属性[#Headers],0),FALSE)+表_事件类型[[#This Row],[数据2]]*VLOOKUP("半自动产线",表_生产线属性[],MATCH("维护费用",表_生产线属性[#Headers],0),FALSE)+表_事件类型[[#This Row],[数据3]]*VLOOKUP("全自动产线",表_生产线属性[],MATCH("维护费用",表_生产线属性[#Headers],0),FALSE)</f>
        <v>5</v>
      </c>
      <c r="M197" s="28">
        <f>QtoY(表_事件类型[[#This Row],[时间]])</f>
        <v>-1</v>
      </c>
      <c r="N197" t="s">
        <v>543</v>
      </c>
    </row>
    <row r="198" spans="3:14">
      <c r="C198" t="s">
        <v>707</v>
      </c>
      <c r="E198" t="str">
        <f>VLOOKUP(表_事件类型[[#This Row],[行动分类]],表_事件状态机[],MATCH("事件名称",表_事件状态机[#Headers],0),FALSE)</f>
        <v>产线折旧</v>
      </c>
      <c r="F198" s="35" t="s">
        <v>316</v>
      </c>
      <c r="G198" s="35">
        <v>0</v>
      </c>
      <c r="H198" s="35" t="s">
        <v>524</v>
      </c>
      <c r="I198" s="28" t="str">
        <f ca="1">vLookup2(表_事件类型[[#This Row],[数据1]],表_事件类型[[#This Row],[列_团队]],表_生产线[],MATCH("生产线种类",表_生产线[#Headers],0))</f>
        <v>手工生产线</v>
      </c>
      <c r="J198" s="33">
        <f ca="1">SUMIFS($M$3:M197,$I$3:I197,表_事件类型[[#This Row],[数据1]],$E$3:E197,表_事件类型[[#This Row],[事件名称]],$F$3:F197,表_事件类型[[#This Row],[列_团队]])</f>
        <v>0</v>
      </c>
      <c r="K198" s="28">
        <f ca="1">VLOOKUP(表_事件类型[[#This Row],[数据2]],表_生产线属性[],MATCH("累积折旧限额",表_生产线属性[#Headers],0),FALSE)</f>
        <v>4</v>
      </c>
      <c r="L198" s="28">
        <f ca="1">MIN(VLOOKUP(表_事件类型[[#This Row],[数据2]],表_生产线属性[],MATCH("折旧费用",表_生产线属性[#Headers],0),FALSE),表_事件类型[[#This Row],[数据4]]-表_事件类型[[#This Row],[数据3]])</f>
        <v>1</v>
      </c>
      <c r="M198" s="28">
        <f>QtoY(表_事件类型[[#This Row],[时间]])</f>
        <v>-1</v>
      </c>
      <c r="N198" t="s">
        <v>544</v>
      </c>
    </row>
    <row r="199" spans="3:14">
      <c r="C199" t="s">
        <v>708</v>
      </c>
      <c r="E199" t="str">
        <f>VLOOKUP(表_事件类型[[#This Row],[行动分类]],表_事件状态机[],MATCH("事件名称",表_事件状态机[#Headers],0),FALSE)</f>
        <v>厂房折旧</v>
      </c>
      <c r="F199" s="35" t="s">
        <v>316</v>
      </c>
      <c r="G199" s="35">
        <v>0</v>
      </c>
      <c r="H199" s="35" t="s">
        <v>545</v>
      </c>
      <c r="J199" s="33">
        <f ca="1">SUMIFS($M$3:M198,$I$3:I198,表_事件类型[[#This Row],[数据1]],$E$3:E198,表_事件类型[[#This Row],[事件名称]],$F$3:F198,表_事件类型[[#This Row],[列_团队]])</f>
        <v>0</v>
      </c>
      <c r="K199" s="28">
        <f>VLOOKUP(表_事件类型[[#This Row],[数据1]],表_厂房属性[],MATCH("累积折旧限额",表_厂房属性[#Headers],0),FALSE)</f>
        <v>29</v>
      </c>
      <c r="L199" s="28">
        <f ca="1">MIN(VLOOKUP(表_事件类型[[#This Row],[数据1]],表_厂房属性[],MATCH("折旧费用",表_厂房属性[#Headers],0),FALSE),表_事件类型[[#This Row],[数据4]]-表_事件类型[[#This Row],[数据3]])</f>
        <v>0</v>
      </c>
      <c r="M199" s="28">
        <f>QtoY(表_事件类型[[#This Row],[时间]])</f>
        <v>-1</v>
      </c>
      <c r="N199" t="s">
        <v>522</v>
      </c>
    </row>
    <row r="200" spans="3:14">
      <c r="C200" t="s">
        <v>685</v>
      </c>
      <c r="E200" t="str">
        <f>VLOOKUP(表_事件类型[[#This Row],[行动分类]],表_事件状态机[],MATCH("事件名称",表_事件状态机[#Headers],0),FALSE)</f>
        <v>付所得税</v>
      </c>
      <c r="F200" s="35"/>
      <c r="G200" s="35"/>
      <c r="I200" s="28"/>
      <c r="J200" s="33"/>
      <c r="K200" s="28"/>
      <c r="M200" s="33">
        <f>QtoY(表_事件类型[[#This Row],[时间]])</f>
        <v>-1</v>
      </c>
    </row>
  </sheetData>
  <phoneticPr fontId="1" type="noConversion"/>
  <dataValidations count="2">
    <dataValidation type="list" allowBlank="1" showInputMessage="1" showErrorMessage="1" sqref="D54:D56 D59:D66 D69:D71 D82:D84 D87:D95 D121 D124:D128 D135:D141 D98:D118">
      <formula1>列_团队</formula1>
    </dataValidation>
    <dataValidation type="list" allowBlank="1" showInputMessage="1" showErrorMessage="1" sqref="C82:C84 E87:E95">
      <formula1>列_厂房名称</formula1>
    </dataValidation>
  </dataValidations>
  <pageMargins left="0.7" right="0.7" top="0.75" bottom="0.75" header="0.3" footer="0.3"/>
  <pageSetup paperSize="9" orientation="portrait" horizontalDpi="4294967293" verticalDpi="1200" r:id="rId1"/>
  <ignoredErrors>
    <ignoredError sqref="F113:F116" calculatedColumn="1"/>
    <ignoredError sqref="J30" formula="1"/>
  </ignoredErrors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I5"/>
  <sheetViews>
    <sheetView workbookViewId="0">
      <selection activeCell="B6" sqref="B6"/>
    </sheetView>
  </sheetViews>
  <sheetFormatPr defaultRowHeight="14.25"/>
  <cols>
    <col min="2" max="3" width="10.25" customWidth="1"/>
    <col min="4" max="4" width="15" bestFit="1" customWidth="1"/>
    <col min="5" max="6" width="15.875" bestFit="1" customWidth="1"/>
    <col min="7" max="8" width="15" bestFit="1" customWidth="1"/>
    <col min="9" max="9" width="11" bestFit="1" customWidth="1"/>
  </cols>
  <sheetData>
    <row r="2" spans="2:9">
      <c r="B2" t="s">
        <v>788</v>
      </c>
      <c r="C2" s="28" t="s">
        <v>789</v>
      </c>
      <c r="D2" t="s">
        <v>793</v>
      </c>
      <c r="E2" t="s">
        <v>795</v>
      </c>
      <c r="F2" t="s">
        <v>796</v>
      </c>
      <c r="G2" t="s">
        <v>790</v>
      </c>
      <c r="H2" t="s">
        <v>797</v>
      </c>
      <c r="I2" t="s">
        <v>791</v>
      </c>
    </row>
    <row r="3" spans="2:9">
      <c r="B3" t="s">
        <v>792</v>
      </c>
      <c r="C3" t="str">
        <f>VLOOKUP(表_事件数据[事件代码],表_事件状态机[],MATCH("事件名称",表_事件状态机[#Headers],0),FALSE)</f>
        <v>现金增资</v>
      </c>
      <c r="D3" t="s">
        <v>794</v>
      </c>
      <c r="E3" t="s">
        <v>799</v>
      </c>
      <c r="F3" t="s">
        <v>798</v>
      </c>
    </row>
    <row r="4" spans="2:9">
      <c r="B4" t="s">
        <v>792</v>
      </c>
      <c r="C4" t="str">
        <f>VLOOKUP(表_事件数据[事件代码],表_事件状态机[],MATCH("事件名称",表_事件状态机[#Headers],0),FALSE)</f>
        <v>现金增资</v>
      </c>
      <c r="D4" t="s">
        <v>800</v>
      </c>
      <c r="E4" t="s">
        <v>801</v>
      </c>
      <c r="F4" t="s">
        <v>802</v>
      </c>
    </row>
    <row r="5" spans="2:9">
      <c r="B5" t="s">
        <v>792</v>
      </c>
      <c r="C5" t="str">
        <f>VLOOKUP(表_事件数据[事件代码],表_事件状态机[],MATCH("事件名称",表_事件状态机[#Headers],0),FALSE)</f>
        <v>现金增资</v>
      </c>
      <c r="D5" t="s">
        <v>803</v>
      </c>
      <c r="E5" t="s">
        <v>804</v>
      </c>
      <c r="F5" t="s">
        <v>805</v>
      </c>
      <c r="H5" t="s">
        <v>806</v>
      </c>
      <c r="I5" t="s">
        <v>807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H34"/>
  <sheetViews>
    <sheetView workbookViewId="0">
      <selection activeCell="G4" sqref="G4"/>
    </sheetView>
  </sheetViews>
  <sheetFormatPr defaultRowHeight="14.25"/>
  <cols>
    <col min="2" max="3" width="11" bestFit="1" customWidth="1"/>
    <col min="4" max="4" width="27.125" bestFit="1" customWidth="1"/>
    <col min="5" max="5" width="27.75" bestFit="1" customWidth="1"/>
    <col min="6" max="6" width="10.75" bestFit="1" customWidth="1"/>
    <col min="7" max="7" width="11" bestFit="1" customWidth="1"/>
    <col min="8" max="8" width="46.375" bestFit="1" customWidth="1"/>
  </cols>
  <sheetData>
    <row r="2" spans="2:8">
      <c r="B2" t="s">
        <v>768</v>
      </c>
      <c r="C2" t="s">
        <v>769</v>
      </c>
      <c r="D2" t="s">
        <v>597</v>
      </c>
      <c r="E2" t="s">
        <v>598</v>
      </c>
      <c r="F2" t="s">
        <v>677</v>
      </c>
      <c r="G2" t="s">
        <v>634</v>
      </c>
      <c r="H2" t="s">
        <v>635</v>
      </c>
    </row>
    <row r="3" spans="2:8">
      <c r="B3" s="28" t="s">
        <v>704</v>
      </c>
      <c r="C3" s="29" t="s">
        <v>787</v>
      </c>
      <c r="D3" t="s">
        <v>722</v>
      </c>
      <c r="E3" t="s">
        <v>723</v>
      </c>
      <c r="G3" t="s">
        <v>705</v>
      </c>
    </row>
    <row r="4" spans="2:8">
      <c r="B4" s="28" t="s">
        <v>770</v>
      </c>
      <c r="C4" s="29" t="s">
        <v>771</v>
      </c>
      <c r="D4" t="s">
        <v>723</v>
      </c>
      <c r="E4" t="s">
        <v>599</v>
      </c>
      <c r="G4" t="s">
        <v>706</v>
      </c>
    </row>
    <row r="5" spans="2:8">
      <c r="B5" t="s">
        <v>638</v>
      </c>
      <c r="C5" s="29" t="s">
        <v>772</v>
      </c>
      <c r="D5" t="s">
        <v>599</v>
      </c>
      <c r="E5" t="s">
        <v>637</v>
      </c>
      <c r="G5" t="s">
        <v>639</v>
      </c>
      <c r="H5" t="s">
        <v>640</v>
      </c>
    </row>
    <row r="6" spans="2:8">
      <c r="B6" t="s">
        <v>601</v>
      </c>
      <c r="C6" s="29" t="s">
        <v>413</v>
      </c>
      <c r="D6" t="s">
        <v>637</v>
      </c>
      <c r="E6" t="s">
        <v>614</v>
      </c>
      <c r="G6" t="s">
        <v>675</v>
      </c>
      <c r="H6" t="s">
        <v>600</v>
      </c>
    </row>
    <row r="7" spans="2:8">
      <c r="B7" t="s">
        <v>602</v>
      </c>
      <c r="C7" s="29" t="s">
        <v>773</v>
      </c>
      <c r="D7" t="s">
        <v>614</v>
      </c>
      <c r="E7" t="s">
        <v>603</v>
      </c>
      <c r="G7" t="s">
        <v>636</v>
      </c>
      <c r="H7" t="s">
        <v>642</v>
      </c>
    </row>
    <row r="8" spans="2:8">
      <c r="B8" t="s">
        <v>700</v>
      </c>
      <c r="C8" s="29" t="s">
        <v>774</v>
      </c>
      <c r="D8" t="s">
        <v>604</v>
      </c>
      <c r="E8" t="s">
        <v>605</v>
      </c>
      <c r="G8" t="s">
        <v>641</v>
      </c>
      <c r="H8" t="s">
        <v>643</v>
      </c>
    </row>
    <row r="9" spans="2:8">
      <c r="B9" t="s">
        <v>701</v>
      </c>
      <c r="C9" s="29" t="s">
        <v>775</v>
      </c>
      <c r="D9" t="s">
        <v>605</v>
      </c>
      <c r="E9" t="s">
        <v>606</v>
      </c>
      <c r="G9" t="s">
        <v>644</v>
      </c>
      <c r="H9" t="s">
        <v>645</v>
      </c>
    </row>
    <row r="10" spans="2:8">
      <c r="B10" t="s">
        <v>626</v>
      </c>
      <c r="C10" s="29" t="s">
        <v>776</v>
      </c>
      <c r="D10" t="s">
        <v>606</v>
      </c>
      <c r="E10" t="s">
        <v>627</v>
      </c>
      <c r="G10" t="s">
        <v>646</v>
      </c>
      <c r="H10" t="s">
        <v>647</v>
      </c>
    </row>
    <row r="11" spans="2:8">
      <c r="B11" t="s">
        <v>702</v>
      </c>
      <c r="C11" s="29" t="s">
        <v>777</v>
      </c>
      <c r="D11" t="s">
        <v>627</v>
      </c>
      <c r="E11" t="s">
        <v>628</v>
      </c>
      <c r="G11" t="s">
        <v>648</v>
      </c>
      <c r="H11" t="s">
        <v>649</v>
      </c>
    </row>
    <row r="12" spans="2:8">
      <c r="B12" t="s">
        <v>703</v>
      </c>
      <c r="C12" s="29" t="s">
        <v>416</v>
      </c>
      <c r="D12" t="s">
        <v>628</v>
      </c>
      <c r="E12" t="s">
        <v>608</v>
      </c>
      <c r="G12" t="s">
        <v>650</v>
      </c>
      <c r="H12" t="s">
        <v>651</v>
      </c>
    </row>
    <row r="13" spans="2:8">
      <c r="B13" t="s">
        <v>607</v>
      </c>
      <c r="C13" s="29" t="s">
        <v>417</v>
      </c>
      <c r="D13" t="s">
        <v>608</v>
      </c>
      <c r="E13" t="s">
        <v>609</v>
      </c>
      <c r="G13" t="s">
        <v>554</v>
      </c>
      <c r="H13" t="s">
        <v>652</v>
      </c>
    </row>
    <row r="14" spans="2:8">
      <c r="B14" t="s">
        <v>610</v>
      </c>
      <c r="C14" s="29" t="s">
        <v>418</v>
      </c>
      <c r="D14" t="s">
        <v>609</v>
      </c>
      <c r="E14" t="s">
        <v>611</v>
      </c>
      <c r="G14" t="s">
        <v>89</v>
      </c>
      <c r="H14" t="s">
        <v>653</v>
      </c>
    </row>
    <row r="15" spans="2:8">
      <c r="B15" s="28" t="s">
        <v>612</v>
      </c>
      <c r="C15" s="29" t="s">
        <v>419</v>
      </c>
      <c r="D15" t="s">
        <v>611</v>
      </c>
      <c r="E15" t="s">
        <v>613</v>
      </c>
      <c r="G15" t="s">
        <v>716</v>
      </c>
      <c r="H15" t="s">
        <v>654</v>
      </c>
    </row>
    <row r="16" spans="2:8">
      <c r="B16" s="28" t="s">
        <v>735</v>
      </c>
      <c r="C16" s="29" t="s">
        <v>420</v>
      </c>
      <c r="D16" t="s">
        <v>613</v>
      </c>
      <c r="E16" t="s">
        <v>615</v>
      </c>
      <c r="G16" t="s">
        <v>655</v>
      </c>
      <c r="H16" t="s">
        <v>656</v>
      </c>
    </row>
    <row r="17" spans="2:8">
      <c r="B17" s="28" t="s">
        <v>616</v>
      </c>
      <c r="C17" s="29" t="s">
        <v>421</v>
      </c>
      <c r="D17" t="s">
        <v>615</v>
      </c>
      <c r="E17" t="s">
        <v>617</v>
      </c>
      <c r="G17" t="s">
        <v>657</v>
      </c>
      <c r="H17" t="s">
        <v>658</v>
      </c>
    </row>
    <row r="18" spans="2:8">
      <c r="B18" s="28" t="s">
        <v>618</v>
      </c>
      <c r="C18" s="29" t="s">
        <v>422</v>
      </c>
      <c r="D18" t="s">
        <v>617</v>
      </c>
      <c r="E18" t="s">
        <v>619</v>
      </c>
      <c r="G18" t="s">
        <v>718</v>
      </c>
      <c r="H18" t="s">
        <v>659</v>
      </c>
    </row>
    <row r="19" spans="2:8">
      <c r="B19" s="28" t="s">
        <v>620</v>
      </c>
      <c r="C19" s="29" t="s">
        <v>778</v>
      </c>
      <c r="D19" t="s">
        <v>619</v>
      </c>
      <c r="E19" t="s">
        <v>621</v>
      </c>
      <c r="G19" t="s">
        <v>491</v>
      </c>
      <c r="H19" t="s">
        <v>660</v>
      </c>
    </row>
    <row r="20" spans="2:8">
      <c r="B20" t="s">
        <v>676</v>
      </c>
      <c r="C20" s="29" t="s">
        <v>775</v>
      </c>
      <c r="D20" t="s">
        <v>621</v>
      </c>
      <c r="E20" t="s">
        <v>606</v>
      </c>
      <c r="G20" t="s">
        <v>661</v>
      </c>
      <c r="H20" t="s">
        <v>662</v>
      </c>
    </row>
    <row r="21" spans="2:8">
      <c r="B21" t="s">
        <v>676</v>
      </c>
      <c r="C21" s="29" t="s">
        <v>779</v>
      </c>
      <c r="D21" t="s">
        <v>621</v>
      </c>
      <c r="E21" t="s">
        <v>622</v>
      </c>
      <c r="G21" t="s">
        <v>661</v>
      </c>
      <c r="H21" t="s">
        <v>663</v>
      </c>
    </row>
    <row r="22" spans="2:8">
      <c r="B22" s="28" t="s">
        <v>695</v>
      </c>
      <c r="C22" s="29" t="s">
        <v>780</v>
      </c>
      <c r="D22" t="s">
        <v>622</v>
      </c>
      <c r="E22" t="s">
        <v>623</v>
      </c>
      <c r="G22" t="s">
        <v>666</v>
      </c>
      <c r="H22" t="s">
        <v>667</v>
      </c>
    </row>
    <row r="23" spans="2:8">
      <c r="B23" t="s">
        <v>696</v>
      </c>
      <c r="C23" s="29" t="s">
        <v>781</v>
      </c>
      <c r="D23" t="s">
        <v>623</v>
      </c>
      <c r="E23" t="s">
        <v>624</v>
      </c>
      <c r="G23" t="s">
        <v>664</v>
      </c>
      <c r="H23" t="s">
        <v>665</v>
      </c>
    </row>
    <row r="24" spans="2:8">
      <c r="B24" s="28" t="s">
        <v>697</v>
      </c>
      <c r="C24" s="29" t="s">
        <v>425</v>
      </c>
      <c r="D24" t="s">
        <v>624</v>
      </c>
      <c r="E24" t="s">
        <v>625</v>
      </c>
      <c r="G24" t="s">
        <v>732</v>
      </c>
      <c r="H24" t="s">
        <v>668</v>
      </c>
    </row>
    <row r="25" spans="2:8">
      <c r="B25" t="s">
        <v>629</v>
      </c>
      <c r="C25" s="29" t="s">
        <v>782</v>
      </c>
      <c r="D25" t="s">
        <v>625</v>
      </c>
      <c r="E25" t="s">
        <v>630</v>
      </c>
      <c r="G25" t="s">
        <v>669</v>
      </c>
      <c r="H25" t="s">
        <v>670</v>
      </c>
    </row>
    <row r="26" spans="2:8">
      <c r="B26" s="28" t="s">
        <v>631</v>
      </c>
      <c r="C26" s="29" t="s">
        <v>783</v>
      </c>
      <c r="D26" t="s">
        <v>630</v>
      </c>
      <c r="E26" t="s">
        <v>693</v>
      </c>
      <c r="G26" t="s">
        <v>671</v>
      </c>
      <c r="H26" t="s">
        <v>672</v>
      </c>
    </row>
    <row r="27" spans="2:8">
      <c r="B27" s="28" t="s">
        <v>686</v>
      </c>
      <c r="C27" s="29" t="s">
        <v>687</v>
      </c>
      <c r="D27" t="s">
        <v>693</v>
      </c>
      <c r="E27" t="s">
        <v>694</v>
      </c>
      <c r="G27" t="s">
        <v>688</v>
      </c>
      <c r="H27" t="s">
        <v>690</v>
      </c>
    </row>
    <row r="28" spans="2:8">
      <c r="B28" s="28" t="s">
        <v>687</v>
      </c>
      <c r="C28" s="29" t="s">
        <v>784</v>
      </c>
      <c r="D28" t="s">
        <v>694</v>
      </c>
      <c r="E28" t="s">
        <v>692</v>
      </c>
      <c r="G28" t="s">
        <v>689</v>
      </c>
      <c r="H28" t="s">
        <v>691</v>
      </c>
    </row>
    <row r="29" spans="2:8">
      <c r="B29" t="s">
        <v>698</v>
      </c>
      <c r="C29" s="29" t="s">
        <v>785</v>
      </c>
      <c r="D29" t="s">
        <v>632</v>
      </c>
      <c r="E29" t="s">
        <v>752</v>
      </c>
      <c r="G29" t="s">
        <v>678</v>
      </c>
      <c r="H29" t="s">
        <v>673</v>
      </c>
    </row>
    <row r="30" spans="2:8">
      <c r="B30" s="28" t="s">
        <v>699</v>
      </c>
      <c r="C30" s="29" t="s">
        <v>749</v>
      </c>
      <c r="D30" t="s">
        <v>753</v>
      </c>
      <c r="E30" t="s">
        <v>751</v>
      </c>
      <c r="G30" t="s">
        <v>721</v>
      </c>
      <c r="H30" t="s">
        <v>674</v>
      </c>
    </row>
    <row r="31" spans="2:8">
      <c r="B31" t="s">
        <v>749</v>
      </c>
      <c r="C31" s="29" t="s">
        <v>786</v>
      </c>
      <c r="D31" t="s">
        <v>751</v>
      </c>
      <c r="E31" t="s">
        <v>750</v>
      </c>
      <c r="G31" t="s">
        <v>754</v>
      </c>
      <c r="H31" t="s">
        <v>755</v>
      </c>
    </row>
    <row r="32" spans="2:8">
      <c r="B32" s="28" t="s">
        <v>736</v>
      </c>
      <c r="C32" s="29" t="s">
        <v>737</v>
      </c>
      <c r="D32" t="s">
        <v>739</v>
      </c>
      <c r="E32" t="s">
        <v>743</v>
      </c>
      <c r="G32" t="s">
        <v>740</v>
      </c>
      <c r="H32" t="s">
        <v>745</v>
      </c>
    </row>
    <row r="33" spans="2:8">
      <c r="B33" s="28" t="s">
        <v>737</v>
      </c>
      <c r="C33" s="29" t="s">
        <v>738</v>
      </c>
      <c r="D33" t="s">
        <v>743</v>
      </c>
      <c r="E33" t="s">
        <v>744</v>
      </c>
      <c r="G33" t="s">
        <v>741</v>
      </c>
      <c r="H33" t="s">
        <v>748</v>
      </c>
    </row>
    <row r="34" spans="2:8">
      <c r="B34" s="28" t="s">
        <v>738</v>
      </c>
      <c r="C34" s="29" t="s">
        <v>771</v>
      </c>
      <c r="D34" t="s">
        <v>744</v>
      </c>
      <c r="E34" t="s">
        <v>633</v>
      </c>
      <c r="G34" t="s">
        <v>742</v>
      </c>
      <c r="H34" t="s">
        <v>746</v>
      </c>
    </row>
  </sheetData>
  <phoneticPr fontId="1" type="noConversion"/>
  <dataValidations count="1">
    <dataValidation type="list" allowBlank="1" showInputMessage="1" showErrorMessage="1" sqref="C3:C34">
      <formula1>列_事件代码</formula1>
    </dataValidation>
  </dataValidations>
  <pageMargins left="0.7" right="0.7" top="0.75" bottom="0.75" header="0.3" footer="0.3"/>
  <ignoredErrors>
    <ignoredError sqref="C3:C34" calculatedColumn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3"/>
  <sheetViews>
    <sheetView workbookViewId="0">
      <selection activeCell="A4" sqref="A4"/>
    </sheetView>
  </sheetViews>
  <sheetFormatPr defaultRowHeight="14.25"/>
  <cols>
    <col min="1" max="1" width="48.375" bestFit="1" customWidth="1"/>
  </cols>
  <sheetData>
    <row r="2" spans="1:1">
      <c r="A2" t="s">
        <v>766</v>
      </c>
    </row>
    <row r="3" spans="1:1">
      <c r="A3" t="s">
        <v>767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workbookViewId="0">
      <selection activeCell="M4" sqref="M4"/>
    </sheetView>
  </sheetViews>
  <sheetFormatPr defaultRowHeight="14.25"/>
  <sheetData>
    <row r="1" spans="1:18">
      <c r="B1" t="s">
        <v>98</v>
      </c>
      <c r="C1" t="s">
        <v>93</v>
      </c>
      <c r="E1" t="s">
        <v>112</v>
      </c>
      <c r="F1" t="s">
        <v>118</v>
      </c>
      <c r="M1" t="s">
        <v>120</v>
      </c>
      <c r="N1" t="s">
        <v>118</v>
      </c>
      <c r="R1" t="s">
        <v>121</v>
      </c>
    </row>
    <row r="2" spans="1:18">
      <c r="E2" t="s">
        <v>106</v>
      </c>
      <c r="F2" t="s">
        <v>107</v>
      </c>
      <c r="G2" t="s">
        <v>33</v>
      </c>
      <c r="H2" t="s">
        <v>20</v>
      </c>
      <c r="I2" t="s">
        <v>105</v>
      </c>
      <c r="J2" t="s">
        <v>25</v>
      </c>
      <c r="K2" t="s">
        <v>104</v>
      </c>
      <c r="M2" t="s">
        <v>113</v>
      </c>
      <c r="N2" t="s">
        <v>114</v>
      </c>
      <c r="O2" t="s">
        <v>115</v>
      </c>
      <c r="P2" t="s">
        <v>116</v>
      </c>
      <c r="R2" t="s">
        <v>122</v>
      </c>
    </row>
    <row r="3" spans="1:18">
      <c r="B3" t="s">
        <v>99</v>
      </c>
      <c r="C3" t="s">
        <v>94</v>
      </c>
      <c r="M3" t="s">
        <v>119</v>
      </c>
      <c r="N3" t="s">
        <v>119</v>
      </c>
      <c r="O3" t="s">
        <v>119</v>
      </c>
      <c r="P3" t="s">
        <v>119</v>
      </c>
    </row>
    <row r="4" spans="1:18">
      <c r="B4" t="s">
        <v>100</v>
      </c>
      <c r="C4" t="s">
        <v>95</v>
      </c>
      <c r="E4" t="s">
        <v>106</v>
      </c>
      <c r="F4" t="s">
        <v>107</v>
      </c>
      <c r="G4" t="s">
        <v>33</v>
      </c>
      <c r="H4" t="s">
        <v>20</v>
      </c>
      <c r="I4" t="s">
        <v>105</v>
      </c>
      <c r="J4" t="s">
        <v>25</v>
      </c>
      <c r="K4" t="s">
        <v>109</v>
      </c>
      <c r="M4" t="s">
        <v>82</v>
      </c>
      <c r="N4" t="s">
        <v>82</v>
      </c>
      <c r="O4" t="s">
        <v>82</v>
      </c>
      <c r="R4" t="s">
        <v>104</v>
      </c>
    </row>
    <row r="5" spans="1:18">
      <c r="B5" t="s">
        <v>101</v>
      </c>
      <c r="C5" t="s">
        <v>96</v>
      </c>
      <c r="E5" t="s">
        <v>106</v>
      </c>
      <c r="F5" t="s">
        <v>107</v>
      </c>
      <c r="G5" t="s">
        <v>33</v>
      </c>
      <c r="H5" t="s">
        <v>20</v>
      </c>
      <c r="I5" t="s">
        <v>105</v>
      </c>
      <c r="J5" t="s">
        <v>25</v>
      </c>
      <c r="M5" t="s">
        <v>83</v>
      </c>
      <c r="N5" t="s">
        <v>83</v>
      </c>
    </row>
    <row r="6" spans="1:18">
      <c r="B6" t="s">
        <v>102</v>
      </c>
      <c r="C6" t="s">
        <v>97</v>
      </c>
      <c r="M6" t="s">
        <v>84</v>
      </c>
      <c r="R6" t="s">
        <v>123</v>
      </c>
    </row>
    <row r="7" spans="1:18">
      <c r="E7" t="s">
        <v>106</v>
      </c>
      <c r="F7" t="s">
        <v>107</v>
      </c>
      <c r="G7" t="s">
        <v>33</v>
      </c>
      <c r="H7" t="s">
        <v>20</v>
      </c>
      <c r="I7" t="s">
        <v>105</v>
      </c>
      <c r="J7" t="s">
        <v>25</v>
      </c>
      <c r="K7" t="s">
        <v>111</v>
      </c>
    </row>
    <row r="8" spans="1:18">
      <c r="E8" t="s">
        <v>106</v>
      </c>
      <c r="F8" t="s">
        <v>107</v>
      </c>
      <c r="G8" t="s">
        <v>33</v>
      </c>
      <c r="H8" t="s">
        <v>20</v>
      </c>
      <c r="I8" t="s">
        <v>105</v>
      </c>
      <c r="J8" t="s">
        <v>25</v>
      </c>
      <c r="M8" t="s">
        <v>117</v>
      </c>
      <c r="N8" t="s">
        <v>118</v>
      </c>
      <c r="R8" t="s">
        <v>124</v>
      </c>
    </row>
    <row r="9" spans="1:18">
      <c r="E9" t="s">
        <v>106</v>
      </c>
      <c r="F9" t="s">
        <v>107</v>
      </c>
      <c r="G9" t="s">
        <v>33</v>
      </c>
      <c r="H9" t="s">
        <v>20</v>
      </c>
      <c r="I9" t="s">
        <v>105</v>
      </c>
      <c r="J9" t="s">
        <v>25</v>
      </c>
    </row>
    <row r="10" spans="1:18" ht="15" thickBot="1"/>
    <row r="11" spans="1:18">
      <c r="A11" t="s">
        <v>89</v>
      </c>
      <c r="B11" t="s">
        <v>90</v>
      </c>
      <c r="C11" t="s">
        <v>91</v>
      </c>
      <c r="D11" t="s">
        <v>22</v>
      </c>
      <c r="E11" t="s">
        <v>24</v>
      </c>
      <c r="G11" s="89" t="s">
        <v>92</v>
      </c>
      <c r="H11" s="90"/>
      <c r="I11" s="90"/>
      <c r="J11" s="91"/>
      <c r="N11" t="s">
        <v>24</v>
      </c>
      <c r="O11" t="s">
        <v>22</v>
      </c>
      <c r="P11" t="s">
        <v>20</v>
      </c>
      <c r="Q11" t="s">
        <v>87</v>
      </c>
      <c r="R11" t="s">
        <v>88</v>
      </c>
    </row>
    <row r="12" spans="1:18">
      <c r="B12" t="s">
        <v>90</v>
      </c>
      <c r="C12" t="s">
        <v>91</v>
      </c>
      <c r="D12" t="s">
        <v>22</v>
      </c>
      <c r="E12" t="s">
        <v>24</v>
      </c>
      <c r="G12" s="92"/>
      <c r="H12" s="93"/>
      <c r="I12" s="93"/>
      <c r="J12" s="94"/>
      <c r="N12" t="s">
        <v>24</v>
      </c>
      <c r="O12" t="s">
        <v>22</v>
      </c>
      <c r="P12" t="s">
        <v>20</v>
      </c>
      <c r="Q12" t="s">
        <v>87</v>
      </c>
    </row>
    <row r="13" spans="1:18">
      <c r="G13" s="92"/>
      <c r="H13" s="93"/>
      <c r="I13" s="93"/>
      <c r="J13" s="94"/>
      <c r="N13" t="s">
        <v>24</v>
      </c>
      <c r="O13" t="s">
        <v>22</v>
      </c>
      <c r="P13" t="s">
        <v>20</v>
      </c>
      <c r="Q13" t="s">
        <v>87</v>
      </c>
      <c r="R13" t="s">
        <v>86</v>
      </c>
    </row>
    <row r="14" spans="1:18">
      <c r="G14" s="92"/>
      <c r="H14" s="93"/>
      <c r="I14" s="93"/>
      <c r="J14" s="94"/>
      <c r="N14" t="s">
        <v>24</v>
      </c>
      <c r="O14" t="s">
        <v>22</v>
      </c>
      <c r="P14" t="s">
        <v>20</v>
      </c>
      <c r="Q14" t="s">
        <v>87</v>
      </c>
    </row>
    <row r="15" spans="1:18" ht="15" thickBot="1">
      <c r="G15" s="95"/>
      <c r="H15" s="96"/>
      <c r="I15" s="96"/>
      <c r="J15" s="97"/>
      <c r="L15" t="s">
        <v>81</v>
      </c>
      <c r="M15" t="s">
        <v>82</v>
      </c>
      <c r="N15" t="s">
        <v>83</v>
      </c>
      <c r="O15" t="s">
        <v>84</v>
      </c>
      <c r="P15" t="s">
        <v>85</v>
      </c>
      <c r="Q15" t="s">
        <v>80</v>
      </c>
      <c r="R15" t="s">
        <v>79</v>
      </c>
    </row>
    <row r="16" spans="1:18">
      <c r="L16" t="s">
        <v>81</v>
      </c>
      <c r="M16" t="s">
        <v>82</v>
      </c>
      <c r="N16" t="s">
        <v>83</v>
      </c>
      <c r="O16" t="s">
        <v>84</v>
      </c>
      <c r="P16" t="s">
        <v>85</v>
      </c>
      <c r="Q16" t="s">
        <v>80</v>
      </c>
    </row>
    <row r="17" spans="1:16">
      <c r="A17" t="s">
        <v>64</v>
      </c>
      <c r="B17" t="s">
        <v>65</v>
      </c>
      <c r="C17" t="s">
        <v>66</v>
      </c>
      <c r="E17" t="s">
        <v>67</v>
      </c>
    </row>
    <row r="18" spans="1:16">
      <c r="B18" t="s">
        <v>68</v>
      </c>
      <c r="C18" t="s">
        <v>69</v>
      </c>
      <c r="E18" t="s">
        <v>70</v>
      </c>
    </row>
    <row r="19" spans="1:16">
      <c r="B19" t="s">
        <v>71</v>
      </c>
      <c r="C19" t="s">
        <v>69</v>
      </c>
      <c r="E19" t="s">
        <v>72</v>
      </c>
    </row>
    <row r="20" spans="1:16">
      <c r="B20" t="s">
        <v>73</v>
      </c>
      <c r="C20" t="s">
        <v>74</v>
      </c>
      <c r="E20" t="s">
        <v>75</v>
      </c>
    </row>
    <row r="21" spans="1:16">
      <c r="B21" t="s">
        <v>76</v>
      </c>
      <c r="C21" t="s">
        <v>77</v>
      </c>
      <c r="E21" t="s">
        <v>78</v>
      </c>
    </row>
    <row r="23" spans="1:16">
      <c r="B23" t="s">
        <v>60</v>
      </c>
      <c r="F23" t="s">
        <v>61</v>
      </c>
      <c r="J23" t="s">
        <v>62</v>
      </c>
      <c r="N23" t="s">
        <v>63</v>
      </c>
    </row>
    <row r="27" spans="1:16">
      <c r="C27" t="s">
        <v>37</v>
      </c>
      <c r="I27" t="s">
        <v>47</v>
      </c>
      <c r="N27" t="s">
        <v>49</v>
      </c>
      <c r="P27" t="s">
        <v>58</v>
      </c>
    </row>
    <row r="28" spans="1:16">
      <c r="B28" t="s">
        <v>38</v>
      </c>
      <c r="C28" t="s">
        <v>43</v>
      </c>
      <c r="D28" t="s">
        <v>44</v>
      </c>
      <c r="E28" t="s">
        <v>45</v>
      </c>
      <c r="F28" t="s">
        <v>46</v>
      </c>
      <c r="H28" t="s">
        <v>51</v>
      </c>
      <c r="I28" t="s">
        <v>48</v>
      </c>
      <c r="J28" t="s">
        <v>44</v>
      </c>
      <c r="K28" t="s">
        <v>45</v>
      </c>
      <c r="M28" t="s">
        <v>51</v>
      </c>
      <c r="N28" t="s">
        <v>50</v>
      </c>
      <c r="P28" t="s">
        <v>59</v>
      </c>
    </row>
    <row r="31" spans="1:16">
      <c r="B31" t="s">
        <v>39</v>
      </c>
      <c r="H31" t="s">
        <v>52</v>
      </c>
      <c r="M31" t="s">
        <v>52</v>
      </c>
    </row>
    <row r="32" spans="1:16">
      <c r="B32" t="s">
        <v>40</v>
      </c>
      <c r="H32" t="s">
        <v>53</v>
      </c>
      <c r="M32" t="s">
        <v>56</v>
      </c>
    </row>
    <row r="33" spans="1:14">
      <c r="A33" t="s">
        <v>4</v>
      </c>
    </row>
    <row r="34" spans="1:14">
      <c r="B34" t="s">
        <v>41</v>
      </c>
      <c r="H34" t="s">
        <v>54</v>
      </c>
      <c r="M34" t="s">
        <v>54</v>
      </c>
    </row>
    <row r="35" spans="1:14">
      <c r="B35" t="s">
        <v>42</v>
      </c>
      <c r="H35" t="s">
        <v>55</v>
      </c>
      <c r="M35" t="s">
        <v>57</v>
      </c>
    </row>
    <row r="37" spans="1:14">
      <c r="B37" t="s">
        <v>5</v>
      </c>
      <c r="I37" t="s">
        <v>11</v>
      </c>
    </row>
    <row r="38" spans="1:14">
      <c r="B38" t="s">
        <v>6</v>
      </c>
      <c r="C38" t="s">
        <v>7</v>
      </c>
      <c r="D38" t="s">
        <v>8</v>
      </c>
      <c r="E38" t="s">
        <v>9</v>
      </c>
      <c r="F38" t="s">
        <v>27</v>
      </c>
      <c r="G38" t="s">
        <v>10</v>
      </c>
      <c r="I38" t="s">
        <v>12</v>
      </c>
      <c r="J38" t="s">
        <v>13</v>
      </c>
    </row>
    <row r="39" spans="1:14">
      <c r="B39" t="s">
        <v>14</v>
      </c>
      <c r="C39" t="s">
        <v>17</v>
      </c>
      <c r="D39" t="s">
        <v>21</v>
      </c>
      <c r="E39" t="s">
        <v>26</v>
      </c>
      <c r="F39" t="s">
        <v>28</v>
      </c>
      <c r="G39" t="s">
        <v>29</v>
      </c>
      <c r="I39" t="s">
        <v>32</v>
      </c>
      <c r="J39" t="s">
        <v>25</v>
      </c>
    </row>
    <row r="40" spans="1:14">
      <c r="B40" t="s">
        <v>15</v>
      </c>
      <c r="C40" t="s">
        <v>18</v>
      </c>
      <c r="D40" t="s">
        <v>23</v>
      </c>
      <c r="E40" t="s">
        <v>26</v>
      </c>
      <c r="F40" t="s">
        <v>28</v>
      </c>
      <c r="G40" t="s">
        <v>30</v>
      </c>
      <c r="I40" t="s">
        <v>34</v>
      </c>
      <c r="J40" t="s">
        <v>22</v>
      </c>
    </row>
    <row r="41" spans="1:14">
      <c r="B41" t="s">
        <v>16</v>
      </c>
      <c r="C41" t="s">
        <v>19</v>
      </c>
      <c r="D41" t="s">
        <v>25</v>
      </c>
      <c r="E41" t="s">
        <v>26</v>
      </c>
      <c r="F41" t="s">
        <v>28</v>
      </c>
      <c r="G41" t="s">
        <v>31</v>
      </c>
      <c r="I41" t="s">
        <v>36</v>
      </c>
      <c r="J41" t="s">
        <v>20</v>
      </c>
    </row>
    <row r="42" spans="1:14">
      <c r="I42" t="s">
        <v>35</v>
      </c>
      <c r="J42" t="s">
        <v>33</v>
      </c>
    </row>
    <row r="44" spans="1:14">
      <c r="B44" t="s">
        <v>0</v>
      </c>
      <c r="F44" t="s">
        <v>1</v>
      </c>
      <c r="J44" t="s">
        <v>2</v>
      </c>
      <c r="N44" t="s">
        <v>3</v>
      </c>
    </row>
  </sheetData>
  <mergeCells count="1">
    <mergeCell ref="G11:J15"/>
  </mergeCells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19"/>
  <sheetViews>
    <sheetView workbookViewId="0">
      <selection activeCell="B9" sqref="B9"/>
    </sheetView>
  </sheetViews>
  <sheetFormatPr defaultRowHeight="14.25"/>
  <sheetData>
    <row r="2" spans="1:12">
      <c r="B2" t="s">
        <v>125</v>
      </c>
    </row>
    <row r="3" spans="1:12">
      <c r="B3" t="s">
        <v>126</v>
      </c>
      <c r="C3" t="s">
        <v>127</v>
      </c>
    </row>
    <row r="4" spans="1:12">
      <c r="B4" t="s">
        <v>128</v>
      </c>
      <c r="C4" t="s">
        <v>129</v>
      </c>
    </row>
    <row r="5" spans="1:12">
      <c r="B5" t="s">
        <v>130</v>
      </c>
      <c r="C5">
        <v>6</v>
      </c>
    </row>
    <row r="6" spans="1:12">
      <c r="B6" t="s">
        <v>131</v>
      </c>
      <c r="C6">
        <v>5.4</v>
      </c>
    </row>
    <row r="7" spans="1:12">
      <c r="B7" t="s">
        <v>132</v>
      </c>
      <c r="C7">
        <v>33</v>
      </c>
    </row>
    <row r="8" spans="1:12">
      <c r="B8" t="s">
        <v>133</v>
      </c>
    </row>
    <row r="9" spans="1:12">
      <c r="B9" t="s">
        <v>134</v>
      </c>
      <c r="C9">
        <v>2</v>
      </c>
    </row>
    <row r="10" spans="1:12">
      <c r="B10" t="s">
        <v>135</v>
      </c>
    </row>
    <row r="13" spans="1:12">
      <c r="A13" t="s">
        <v>136</v>
      </c>
    </row>
    <row r="14" spans="1:12">
      <c r="B14" t="s">
        <v>143</v>
      </c>
      <c r="H14" t="s">
        <v>144</v>
      </c>
    </row>
    <row r="15" spans="1:12">
      <c r="B15" t="s">
        <v>141</v>
      </c>
      <c r="C15" t="s">
        <v>137</v>
      </c>
      <c r="D15" t="s">
        <v>138</v>
      </c>
      <c r="E15" t="s">
        <v>139</v>
      </c>
      <c r="F15" t="s">
        <v>140</v>
      </c>
      <c r="H15" t="s">
        <v>142</v>
      </c>
      <c r="I15" t="s">
        <v>137</v>
      </c>
      <c r="J15" t="s">
        <v>138</v>
      </c>
      <c r="K15" t="s">
        <v>139</v>
      </c>
      <c r="L15" t="s">
        <v>140</v>
      </c>
    </row>
    <row r="16" spans="1:12">
      <c r="B16" t="s">
        <v>129</v>
      </c>
      <c r="H16" t="s">
        <v>129</v>
      </c>
    </row>
    <row r="17" spans="2:8">
      <c r="B17" t="s">
        <v>103</v>
      </c>
      <c r="H17" t="s">
        <v>103</v>
      </c>
    </row>
    <row r="18" spans="2:8">
      <c r="B18" t="s">
        <v>108</v>
      </c>
      <c r="H18" t="s">
        <v>108</v>
      </c>
    </row>
    <row r="19" spans="2:8">
      <c r="B19" t="s">
        <v>110</v>
      </c>
      <c r="H19" t="s">
        <v>110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29"/>
  <sheetViews>
    <sheetView workbookViewId="0">
      <selection activeCell="K26" sqref="K26"/>
    </sheetView>
  </sheetViews>
  <sheetFormatPr defaultRowHeight="14.25"/>
  <sheetData>
    <row r="2" spans="1:13">
      <c r="D2" t="s">
        <v>149</v>
      </c>
      <c r="E2" t="s">
        <v>150</v>
      </c>
      <c r="J2" t="s">
        <v>143</v>
      </c>
    </row>
    <row r="3" spans="1:13">
      <c r="A3" t="s">
        <v>151</v>
      </c>
      <c r="K3" s="83" t="s">
        <v>159</v>
      </c>
      <c r="L3" s="83"/>
    </row>
    <row r="4" spans="1:13">
      <c r="A4" s="1" t="s">
        <v>152</v>
      </c>
      <c r="B4" s="1" t="s">
        <v>153</v>
      </c>
      <c r="C4" s="1" t="s">
        <v>154</v>
      </c>
      <c r="D4" s="1" t="s">
        <v>155</v>
      </c>
      <c r="E4" s="1" t="s">
        <v>156</v>
      </c>
      <c r="F4" s="1" t="s">
        <v>157</v>
      </c>
      <c r="G4" s="1" t="s">
        <v>158</v>
      </c>
      <c r="H4" s="5"/>
      <c r="J4" s="1" t="s">
        <v>160</v>
      </c>
      <c r="K4" s="1" t="s">
        <v>161</v>
      </c>
      <c r="L4" s="1" t="s">
        <v>162</v>
      </c>
      <c r="M4" s="1" t="s">
        <v>102</v>
      </c>
    </row>
    <row r="5" spans="1:13">
      <c r="A5" s="1"/>
      <c r="B5" s="1"/>
      <c r="C5" s="1"/>
      <c r="D5" s="1"/>
      <c r="E5" s="1"/>
      <c r="F5" s="1"/>
      <c r="G5" s="1"/>
      <c r="H5" s="5"/>
      <c r="J5" s="1"/>
      <c r="K5" s="1"/>
      <c r="L5" s="1"/>
      <c r="M5" s="1"/>
    </row>
    <row r="8" spans="1:13">
      <c r="A8" s="1"/>
      <c r="B8" s="1" t="s">
        <v>163</v>
      </c>
      <c r="C8" s="1" t="s">
        <v>103</v>
      </c>
      <c r="D8" s="1" t="s">
        <v>108</v>
      </c>
      <c r="E8" s="1" t="s">
        <v>110</v>
      </c>
      <c r="F8" s="3" t="s">
        <v>211</v>
      </c>
      <c r="H8" s="1"/>
      <c r="I8" s="1" t="s">
        <v>168</v>
      </c>
      <c r="J8" s="1" t="s">
        <v>167</v>
      </c>
      <c r="K8" s="1" t="s">
        <v>103</v>
      </c>
      <c r="L8" s="1" t="s">
        <v>108</v>
      </c>
      <c r="M8" s="1" t="s">
        <v>110</v>
      </c>
    </row>
    <row r="9" spans="1:13">
      <c r="A9" s="1" t="s">
        <v>164</v>
      </c>
      <c r="B9" s="1"/>
      <c r="C9" s="1"/>
      <c r="D9" s="1"/>
      <c r="E9" s="1"/>
      <c r="F9" s="1"/>
      <c r="H9" s="1" t="s">
        <v>169</v>
      </c>
      <c r="I9" s="1" t="s">
        <v>170</v>
      </c>
      <c r="J9" s="1"/>
      <c r="K9" s="1"/>
      <c r="L9" s="1"/>
      <c r="M9" s="1"/>
    </row>
    <row r="10" spans="1:13">
      <c r="A10" s="1" t="s">
        <v>165</v>
      </c>
      <c r="B10" s="1"/>
      <c r="C10" s="1"/>
      <c r="D10" s="1"/>
      <c r="E10" s="1"/>
      <c r="F10" s="1"/>
      <c r="H10" s="1"/>
      <c r="I10" s="1" t="s">
        <v>171</v>
      </c>
      <c r="J10" s="1"/>
      <c r="K10" s="1"/>
      <c r="L10" s="1"/>
      <c r="M10" s="1"/>
    </row>
    <row r="11" spans="1:13">
      <c r="A11" s="1" t="s">
        <v>166</v>
      </c>
      <c r="B11" s="1"/>
      <c r="C11" s="1"/>
      <c r="D11" s="1"/>
      <c r="E11" s="1"/>
      <c r="F11" s="1"/>
      <c r="H11" s="1" t="s">
        <v>172</v>
      </c>
      <c r="I11" s="1" t="s">
        <v>173</v>
      </c>
      <c r="J11" s="1"/>
      <c r="K11" s="1"/>
      <c r="L11" s="1"/>
      <c r="M11" s="1"/>
    </row>
    <row r="12" spans="1:13">
      <c r="A12" s="3" t="s">
        <v>212</v>
      </c>
      <c r="B12" s="1"/>
      <c r="C12" s="1"/>
      <c r="D12" s="1"/>
      <c r="E12" s="1"/>
      <c r="F12" s="1"/>
      <c r="H12" s="1"/>
      <c r="I12" s="1" t="s">
        <v>174</v>
      </c>
      <c r="J12" s="1"/>
      <c r="K12" s="1"/>
      <c r="L12" s="1"/>
      <c r="M12" s="1"/>
    </row>
    <row r="13" spans="1:13">
      <c r="H13" s="1" t="s">
        <v>175</v>
      </c>
      <c r="I13" s="1" t="s">
        <v>176</v>
      </c>
      <c r="J13" s="1"/>
      <c r="K13" s="1"/>
      <c r="L13" s="1"/>
      <c r="M13" s="1"/>
    </row>
    <row r="14" spans="1:13">
      <c r="H14" s="1"/>
      <c r="I14" s="1" t="s">
        <v>174</v>
      </c>
      <c r="J14" s="1"/>
      <c r="K14" s="1"/>
      <c r="L14" s="1"/>
      <c r="M14" s="1"/>
    </row>
    <row r="15" spans="1:13" ht="15" thickBot="1"/>
    <row r="16" spans="1:13">
      <c r="H16" s="84" t="s">
        <v>189</v>
      </c>
      <c r="I16" s="85"/>
      <c r="J16" s="85"/>
      <c r="K16" s="85"/>
      <c r="L16" s="85"/>
      <c r="M16" s="86"/>
    </row>
    <row r="17" spans="2:13">
      <c r="B17" s="83" t="s">
        <v>177</v>
      </c>
      <c r="C17" s="83"/>
      <c r="D17" s="83"/>
      <c r="H17" s="80" t="s">
        <v>190</v>
      </c>
      <c r="I17" s="81"/>
      <c r="J17" s="82"/>
      <c r="K17" s="87" t="s">
        <v>200</v>
      </c>
      <c r="L17" s="81"/>
      <c r="M17" s="88"/>
    </row>
    <row r="18" spans="2:13">
      <c r="B18" s="15" t="s">
        <v>178</v>
      </c>
      <c r="C18" s="16"/>
      <c r="D18" s="1">
        <v>33</v>
      </c>
      <c r="H18" s="4" t="s">
        <v>191</v>
      </c>
      <c r="I18" s="5"/>
      <c r="J18" s="5">
        <v>45</v>
      </c>
      <c r="K18" s="5" t="s">
        <v>71</v>
      </c>
      <c r="L18" s="5"/>
      <c r="M18" s="6">
        <v>0</v>
      </c>
    </row>
    <row r="19" spans="2:13">
      <c r="B19" s="15" t="s">
        <v>179</v>
      </c>
      <c r="C19" s="16"/>
      <c r="D19" s="1">
        <v>-12</v>
      </c>
      <c r="H19" s="4" t="s">
        <v>192</v>
      </c>
      <c r="I19" s="5"/>
      <c r="J19" s="5">
        <v>0</v>
      </c>
      <c r="K19" s="5" t="s">
        <v>201</v>
      </c>
      <c r="L19" s="5"/>
      <c r="M19" s="6">
        <v>0</v>
      </c>
    </row>
    <row r="20" spans="2:13">
      <c r="B20" s="15" t="s">
        <v>180</v>
      </c>
      <c r="C20" s="16"/>
      <c r="D20" s="2">
        <f>SUM(D18:D19)</f>
        <v>21</v>
      </c>
      <c r="H20" s="4" t="s">
        <v>193</v>
      </c>
      <c r="I20" s="5"/>
      <c r="J20" s="5"/>
      <c r="K20" s="5" t="s">
        <v>202</v>
      </c>
      <c r="L20" s="5"/>
      <c r="M20" s="6">
        <v>2</v>
      </c>
    </row>
    <row r="21" spans="2:13">
      <c r="B21" s="15" t="s">
        <v>151</v>
      </c>
      <c r="C21" s="16"/>
      <c r="D21" s="1">
        <v>-8</v>
      </c>
      <c r="H21" s="7" t="s">
        <v>169</v>
      </c>
      <c r="I21" s="5"/>
      <c r="J21" s="5">
        <v>6</v>
      </c>
      <c r="K21" s="5" t="s">
        <v>203</v>
      </c>
      <c r="L21" s="5"/>
      <c r="M21" s="6">
        <v>40</v>
      </c>
    </row>
    <row r="22" spans="2:13">
      <c r="B22" s="15" t="s">
        <v>181</v>
      </c>
      <c r="C22" s="16"/>
      <c r="D22" s="2">
        <f>SUM(D20:D21)</f>
        <v>13</v>
      </c>
      <c r="H22" s="7" t="s">
        <v>172</v>
      </c>
      <c r="I22" s="5"/>
      <c r="J22" s="5">
        <v>8</v>
      </c>
      <c r="K22" s="5"/>
      <c r="L22" s="5"/>
      <c r="M22" s="6"/>
    </row>
    <row r="23" spans="2:13">
      <c r="B23" s="15" t="s">
        <v>182</v>
      </c>
      <c r="C23" s="16"/>
      <c r="D23" s="1">
        <v>-4</v>
      </c>
      <c r="H23" s="7" t="s">
        <v>175</v>
      </c>
      <c r="I23" s="5"/>
      <c r="J23" s="5">
        <v>2</v>
      </c>
      <c r="K23" s="5" t="s">
        <v>204</v>
      </c>
      <c r="L23" s="5"/>
      <c r="M23" s="8">
        <f>SUM(M18:M21)</f>
        <v>42</v>
      </c>
    </row>
    <row r="24" spans="2:13">
      <c r="B24" s="15" t="s">
        <v>184</v>
      </c>
      <c r="C24" s="16"/>
      <c r="D24" s="2">
        <f>SUM(D22:D23)</f>
        <v>9</v>
      </c>
      <c r="H24" s="9" t="s">
        <v>194</v>
      </c>
      <c r="I24" s="5"/>
      <c r="J24" s="10">
        <f>SUM(J18:J23)</f>
        <v>61</v>
      </c>
      <c r="K24" s="87" t="s">
        <v>205</v>
      </c>
      <c r="L24" s="81"/>
      <c r="M24" s="88"/>
    </row>
    <row r="25" spans="2:13">
      <c r="B25" s="15" t="s">
        <v>183</v>
      </c>
      <c r="C25" s="16"/>
      <c r="D25" s="1">
        <v>-2</v>
      </c>
      <c r="H25" s="80" t="s">
        <v>195</v>
      </c>
      <c r="I25" s="81"/>
      <c r="J25" s="82"/>
      <c r="K25" s="5" t="s">
        <v>206</v>
      </c>
      <c r="L25" s="5"/>
      <c r="M25" s="6">
        <v>45</v>
      </c>
    </row>
    <row r="26" spans="2:13">
      <c r="B26" s="15" t="s">
        <v>185</v>
      </c>
      <c r="C26" s="16"/>
      <c r="D26" s="3">
        <v>0</v>
      </c>
      <c r="H26" s="9" t="s">
        <v>196</v>
      </c>
      <c r="I26" s="5"/>
      <c r="J26" s="5">
        <v>32</v>
      </c>
      <c r="K26" s="5" t="s">
        <v>207</v>
      </c>
      <c r="L26" s="5"/>
      <c r="M26" s="6">
        <v>13</v>
      </c>
    </row>
    <row r="27" spans="2:13">
      <c r="B27" s="15" t="s">
        <v>188</v>
      </c>
      <c r="C27" s="16"/>
      <c r="D27" s="2">
        <f>SUM(D24:D26)</f>
        <v>7</v>
      </c>
      <c r="H27" s="4" t="s">
        <v>197</v>
      </c>
      <c r="I27" s="5"/>
      <c r="J27" s="5">
        <v>12</v>
      </c>
      <c r="K27" s="5" t="s">
        <v>208</v>
      </c>
      <c r="L27" s="5"/>
      <c r="M27" s="6">
        <v>5</v>
      </c>
    </row>
    <row r="28" spans="2:13">
      <c r="B28" s="15" t="s">
        <v>186</v>
      </c>
      <c r="C28" s="16"/>
      <c r="D28" s="1">
        <v>-2</v>
      </c>
      <c r="H28" s="9" t="s">
        <v>198</v>
      </c>
      <c r="I28" s="5"/>
      <c r="J28" s="10">
        <f>SUM(J26:J27)</f>
        <v>44</v>
      </c>
      <c r="K28" s="5" t="s">
        <v>209</v>
      </c>
      <c r="L28" s="5"/>
      <c r="M28" s="8">
        <f>SUM(M25:M27)</f>
        <v>63</v>
      </c>
    </row>
    <row r="29" spans="2:13" ht="15" thickBot="1">
      <c r="B29" s="15" t="s">
        <v>187</v>
      </c>
      <c r="C29" s="16"/>
      <c r="D29" s="2">
        <f>SUM(D27:D28)</f>
        <v>5</v>
      </c>
      <c r="H29" s="11" t="s">
        <v>199</v>
      </c>
      <c r="I29" s="12"/>
      <c r="J29" s="13">
        <f>SUM(J24,J28)</f>
        <v>105</v>
      </c>
      <c r="K29" s="12" t="s">
        <v>210</v>
      </c>
      <c r="L29" s="12"/>
      <c r="M29" s="14">
        <f>SUM(M23+M28)</f>
        <v>105</v>
      </c>
    </row>
  </sheetData>
  <mergeCells count="7">
    <mergeCell ref="H25:J25"/>
    <mergeCell ref="B17:D17"/>
    <mergeCell ref="K3:L3"/>
    <mergeCell ref="H16:M16"/>
    <mergeCell ref="H17:J17"/>
    <mergeCell ref="K17:M17"/>
    <mergeCell ref="K24:M2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23"/>
  <sheetViews>
    <sheetView workbookViewId="0">
      <selection activeCell="G10" sqref="G10"/>
    </sheetView>
  </sheetViews>
  <sheetFormatPr defaultRowHeight="14.25"/>
  <cols>
    <col min="2" max="2" width="28.875" customWidth="1"/>
    <col min="3" max="6" width="2.75" customWidth="1"/>
    <col min="7" max="7" width="44.875" style="17" customWidth="1"/>
  </cols>
  <sheetData>
    <row r="2" spans="1:7" ht="15" thickBot="1">
      <c r="B2" s="26" t="s">
        <v>213</v>
      </c>
      <c r="G2" t="s">
        <v>214</v>
      </c>
    </row>
    <row r="3" spans="1:7" ht="15" thickBot="1">
      <c r="B3" s="24" t="s">
        <v>215</v>
      </c>
      <c r="C3" s="25"/>
      <c r="D3" s="98" t="s">
        <v>245</v>
      </c>
      <c r="E3" s="98"/>
      <c r="F3" s="98"/>
      <c r="G3" s="99"/>
    </row>
    <row r="4" spans="1:7">
      <c r="A4" t="s">
        <v>412</v>
      </c>
      <c r="B4" s="18" t="s">
        <v>216</v>
      </c>
      <c r="C4" s="19"/>
      <c r="D4" s="100" t="s">
        <v>246</v>
      </c>
      <c r="E4" s="100"/>
      <c r="F4" s="100"/>
      <c r="G4" s="101"/>
    </row>
    <row r="5" spans="1:7">
      <c r="A5" t="s">
        <v>413</v>
      </c>
      <c r="B5" s="20" t="s">
        <v>217</v>
      </c>
      <c r="C5" s="1"/>
      <c r="D5" s="102" t="s">
        <v>247</v>
      </c>
      <c r="E5" s="102"/>
      <c r="F5" s="102"/>
      <c r="G5" s="103"/>
    </row>
    <row r="6" spans="1:7" ht="27.75" customHeight="1">
      <c r="A6" t="s">
        <v>414</v>
      </c>
      <c r="B6" s="20" t="s">
        <v>218</v>
      </c>
      <c r="C6" s="1"/>
      <c r="D6" s="102" t="s">
        <v>229</v>
      </c>
      <c r="E6" s="102"/>
      <c r="F6" s="102"/>
      <c r="G6" s="103"/>
    </row>
    <row r="7" spans="1:7" ht="42.75">
      <c r="A7" t="s">
        <v>415</v>
      </c>
      <c r="B7" s="20" t="s">
        <v>219</v>
      </c>
      <c r="C7" s="1"/>
      <c r="D7" s="1"/>
      <c r="E7" s="1"/>
      <c r="F7" s="1"/>
      <c r="G7" s="21" t="s">
        <v>230</v>
      </c>
    </row>
    <row r="8" spans="1:7" ht="28.5">
      <c r="A8" t="s">
        <v>416</v>
      </c>
      <c r="B8" s="20" t="s">
        <v>220</v>
      </c>
      <c r="C8" s="1"/>
      <c r="D8" s="1"/>
      <c r="E8" s="1"/>
      <c r="F8" s="1"/>
      <c r="G8" s="21" t="s">
        <v>231</v>
      </c>
    </row>
    <row r="9" spans="1:7" ht="28.5">
      <c r="A9" t="s">
        <v>417</v>
      </c>
      <c r="B9" s="20" t="s">
        <v>221</v>
      </c>
      <c r="C9" s="1"/>
      <c r="D9" s="1"/>
      <c r="E9" s="1"/>
      <c r="F9" s="1"/>
      <c r="G9" s="21" t="s">
        <v>232</v>
      </c>
    </row>
    <row r="10" spans="1:7" ht="28.5">
      <c r="A10" t="s">
        <v>418</v>
      </c>
      <c r="B10" s="20" t="s">
        <v>222</v>
      </c>
      <c r="C10" s="1"/>
      <c r="D10" s="1"/>
      <c r="E10" s="1"/>
      <c r="F10" s="1"/>
      <c r="G10" s="21" t="s">
        <v>233</v>
      </c>
    </row>
    <row r="11" spans="1:7">
      <c r="A11" t="s">
        <v>419</v>
      </c>
      <c r="B11" s="20" t="s">
        <v>223</v>
      </c>
      <c r="C11" s="1"/>
      <c r="D11" s="1"/>
      <c r="E11" s="1"/>
      <c r="F11" s="1"/>
      <c r="G11" s="21" t="s">
        <v>234</v>
      </c>
    </row>
    <row r="12" spans="1:7" ht="28.5">
      <c r="A12" t="s">
        <v>420</v>
      </c>
      <c r="B12" s="20" t="s">
        <v>225</v>
      </c>
      <c r="C12" s="1"/>
      <c r="D12" s="1"/>
      <c r="E12" s="1"/>
      <c r="F12" s="1"/>
      <c r="G12" s="21" t="s">
        <v>236</v>
      </c>
    </row>
    <row r="13" spans="1:7" ht="42.75">
      <c r="A13" t="s">
        <v>421</v>
      </c>
      <c r="B13" s="20" t="s">
        <v>224</v>
      </c>
      <c r="C13" s="1"/>
      <c r="D13" s="1"/>
      <c r="E13" s="1"/>
      <c r="F13" s="1"/>
      <c r="G13" s="21" t="s">
        <v>235</v>
      </c>
    </row>
    <row r="14" spans="1:7" ht="28.5">
      <c r="A14" t="s">
        <v>422</v>
      </c>
      <c r="B14" s="20" t="s">
        <v>237</v>
      </c>
      <c r="C14" s="1"/>
      <c r="D14" s="1"/>
      <c r="E14" s="1"/>
      <c r="F14" s="1"/>
      <c r="G14" s="21" t="s">
        <v>238</v>
      </c>
    </row>
    <row r="15" spans="1:7">
      <c r="A15" t="s">
        <v>423</v>
      </c>
      <c r="B15" s="20" t="s">
        <v>226</v>
      </c>
      <c r="C15" s="1"/>
      <c r="D15" s="1"/>
      <c r="E15" s="1"/>
      <c r="F15" s="1"/>
      <c r="G15" s="21" t="s">
        <v>239</v>
      </c>
    </row>
    <row r="16" spans="1:7" ht="42.75">
      <c r="A16" t="s">
        <v>424</v>
      </c>
      <c r="B16" s="104" t="s">
        <v>227</v>
      </c>
      <c r="C16" s="105"/>
      <c r="D16" s="105"/>
      <c r="E16" s="106"/>
      <c r="F16" s="1"/>
      <c r="G16" s="21" t="s">
        <v>240</v>
      </c>
    </row>
    <row r="17" spans="1:7">
      <c r="A17" t="s">
        <v>425</v>
      </c>
      <c r="B17" s="104" t="s">
        <v>248</v>
      </c>
      <c r="C17" s="105"/>
      <c r="D17" s="105"/>
      <c r="E17" s="106"/>
      <c r="F17" s="1"/>
      <c r="G17" s="21" t="s">
        <v>241</v>
      </c>
    </row>
    <row r="18" spans="1:7" ht="42.75">
      <c r="A18" t="s">
        <v>449</v>
      </c>
      <c r="B18" s="104" t="s">
        <v>249</v>
      </c>
      <c r="C18" s="105"/>
      <c r="D18" s="105"/>
      <c r="E18" s="106"/>
      <c r="F18" s="1"/>
      <c r="G18" s="21" t="s">
        <v>450</v>
      </c>
    </row>
    <row r="19" spans="1:7" ht="28.5">
      <c r="A19" t="s">
        <v>426</v>
      </c>
      <c r="B19" s="104" t="s">
        <v>250</v>
      </c>
      <c r="C19" s="105"/>
      <c r="D19" s="105"/>
      <c r="E19" s="106"/>
      <c r="F19" s="1"/>
      <c r="G19" s="21" t="s">
        <v>242</v>
      </c>
    </row>
    <row r="20" spans="1:7" ht="28.5">
      <c r="A20" t="s">
        <v>430</v>
      </c>
      <c r="B20" s="104" t="s">
        <v>251</v>
      </c>
      <c r="C20" s="105"/>
      <c r="D20" s="105"/>
      <c r="E20" s="106"/>
      <c r="F20" s="1"/>
      <c r="G20" s="21" t="s">
        <v>243</v>
      </c>
    </row>
    <row r="21" spans="1:7" ht="15" thickBot="1">
      <c r="A21" t="s">
        <v>427</v>
      </c>
      <c r="B21" s="107" t="s">
        <v>252</v>
      </c>
      <c r="C21" s="108"/>
      <c r="D21" s="108"/>
      <c r="E21" s="109"/>
      <c r="F21" s="22"/>
      <c r="G21" s="23" t="s">
        <v>244</v>
      </c>
    </row>
    <row r="23" spans="1:7">
      <c r="B23" t="s">
        <v>228</v>
      </c>
    </row>
  </sheetData>
  <mergeCells count="10">
    <mergeCell ref="B18:E18"/>
    <mergeCell ref="B19:E19"/>
    <mergeCell ref="B20:E20"/>
    <mergeCell ref="B21:E21"/>
    <mergeCell ref="D6:G6"/>
    <mergeCell ref="D3:G3"/>
    <mergeCell ref="D4:G4"/>
    <mergeCell ref="D5:G5"/>
    <mergeCell ref="B16:E16"/>
    <mergeCell ref="B17:E17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25" sqref="B25"/>
    </sheetView>
  </sheetViews>
  <sheetFormatPr defaultRowHeight="14.25"/>
  <sheetData>
    <row r="2" spans="1:5">
      <c r="A2" t="s">
        <v>145</v>
      </c>
    </row>
    <row r="4" spans="1:5">
      <c r="A4" t="s">
        <v>143</v>
      </c>
    </row>
    <row r="5" spans="1:5">
      <c r="A5" t="s">
        <v>146</v>
      </c>
      <c r="B5" t="s">
        <v>137</v>
      </c>
      <c r="C5" t="s">
        <v>138</v>
      </c>
      <c r="D5" t="s">
        <v>139</v>
      </c>
      <c r="E5" t="s">
        <v>140</v>
      </c>
    </row>
    <row r="6" spans="1:5">
      <c r="A6" t="s">
        <v>129</v>
      </c>
    </row>
    <row r="7" spans="1:5">
      <c r="A7" t="s">
        <v>103</v>
      </c>
    </row>
    <row r="8" spans="1:5">
      <c r="A8" t="s">
        <v>108</v>
      </c>
    </row>
    <row r="9" spans="1:5">
      <c r="A9" t="s">
        <v>110</v>
      </c>
    </row>
    <row r="11" spans="1:5">
      <c r="A11" t="s">
        <v>147</v>
      </c>
      <c r="B11" t="s">
        <v>137</v>
      </c>
      <c r="C11" t="s">
        <v>138</v>
      </c>
      <c r="D11" t="s">
        <v>139</v>
      </c>
      <c r="E11" t="s">
        <v>140</v>
      </c>
    </row>
    <row r="12" spans="1:5">
      <c r="A12" t="s">
        <v>129</v>
      </c>
    </row>
    <row r="13" spans="1:5">
      <c r="A13" t="s">
        <v>103</v>
      </c>
    </row>
    <row r="14" spans="1:5">
      <c r="A14" t="s">
        <v>108</v>
      </c>
    </row>
    <row r="15" spans="1:5">
      <c r="A15" t="s">
        <v>110</v>
      </c>
    </row>
    <row r="17" spans="1:5">
      <c r="A17" t="s">
        <v>148</v>
      </c>
      <c r="B17" t="s">
        <v>137</v>
      </c>
      <c r="C17" t="s">
        <v>138</v>
      </c>
      <c r="D17" t="s">
        <v>139</v>
      </c>
      <c r="E17" t="s">
        <v>140</v>
      </c>
    </row>
    <row r="18" spans="1:5">
      <c r="A18" t="s">
        <v>129</v>
      </c>
    </row>
    <row r="19" spans="1:5">
      <c r="A19" t="s">
        <v>103</v>
      </c>
    </row>
    <row r="20" spans="1:5">
      <c r="A20" t="s">
        <v>108</v>
      </c>
    </row>
    <row r="21" spans="1:5">
      <c r="A21" t="s">
        <v>110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17</vt:i4>
      </vt:variant>
    </vt:vector>
  </HeadingPairs>
  <TitlesOfParts>
    <vt:vector size="28" baseType="lpstr">
      <vt:lpstr>电子沙盘-盘面</vt:lpstr>
      <vt:lpstr>电子沙盘-财务表格</vt:lpstr>
      <vt:lpstr>电子沙盘-数据库</vt:lpstr>
      <vt:lpstr>电子沙盘-事件数据</vt:lpstr>
      <vt:lpstr>电子沙盘-状态机</vt:lpstr>
      <vt:lpstr>电子沙盘-需求</vt:lpstr>
      <vt:lpstr>斯隆沙盘-盘面</vt:lpstr>
      <vt:lpstr>斯隆沙盘-订单信息</vt:lpstr>
      <vt:lpstr>斯隆沙盘-财务表格</vt:lpstr>
      <vt:lpstr>斯隆沙盘-行动表格</vt:lpstr>
      <vt:lpstr>斯隆沙盘-年度计划</vt:lpstr>
      <vt:lpstr>列_产线种类</vt:lpstr>
      <vt:lpstr>列_厂房名称</vt:lpstr>
      <vt:lpstr>列_事件代码</vt:lpstr>
      <vt:lpstr>列_团队</vt:lpstr>
      <vt:lpstr>值_财务表选年</vt:lpstr>
      <vt:lpstr>值_财务表选组</vt:lpstr>
      <vt:lpstr>值_短贷季度</vt:lpstr>
      <vt:lpstr>值_季度</vt:lpstr>
      <vt:lpstr>值_年度</vt:lpstr>
      <vt:lpstr>值_生产季度</vt:lpstr>
      <vt:lpstr>值_税率</vt:lpstr>
      <vt:lpstr>值_所有者权益</vt:lpstr>
      <vt:lpstr>值_维保季度</vt:lpstr>
      <vt:lpstr>值_应付季度</vt:lpstr>
      <vt:lpstr>值_应收季度</vt:lpstr>
      <vt:lpstr>值_长贷季度</vt:lpstr>
      <vt:lpstr>值_主板选组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Gang MA</cp:lastModifiedBy>
  <dcterms:created xsi:type="dcterms:W3CDTF">2019-01-09T06:14:39Z</dcterms:created>
  <dcterms:modified xsi:type="dcterms:W3CDTF">2019-03-03T14:23:56Z</dcterms:modified>
</cp:coreProperties>
</file>
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#WORKSHOP\gitSync\"/>
    </mc:Choice>
  </mc:AlternateContent>
  <bookViews>
    <workbookView xWindow="0" yWindow="0" windowWidth="20400" windowHeight="7275" activeTab="8"/>
  </bookViews>
  <sheets>
    <sheet name="总表" sheetId="8" r:id="rId1"/>
    <sheet name="仪表" sheetId="10" r:id="rId2"/>
    <sheet name="打卡" sheetId="13" r:id="rId3"/>
    <sheet name="目标" sheetId="2" r:id="rId4"/>
    <sheet name="日志" sheetId="5" r:id="rId5"/>
    <sheet name="任务" sheetId="4" r:id="rId6"/>
    <sheet name="检查" sheetId="6" r:id="rId7"/>
    <sheet name="原则" sheetId="14" r:id="rId8"/>
    <sheet name="工作日志" sheetId="15" r:id="rId9"/>
    <sheet name="@草图" sheetId="1" r:id="rId10"/>
    <sheet name="@设置" sheetId="7" r:id="rId11"/>
  </sheets>
  <functionGroups builtInGroupCount="18"/>
  <definedNames>
    <definedName name="_xlcn.WorksheetConnection_SELFCONSTRUCTIONV2.xlsxTABLE_行动1" hidden="1">TABLE_行动[]</definedName>
    <definedName name="_xlcn.WorksheetConnection_SELFCONSTRUCTIONV2.xlsxTABLE_日志1" hidden="1">TABLE_日志[]</definedName>
    <definedName name="BUT_REFRESH">打卡!$C$9</definedName>
    <definedName name="BUT_SUBMIT">打卡!$I$7</definedName>
    <definedName name="BUT_TIMER">打卡!$H$7</definedName>
    <definedName name="INFO_FREQ">打卡!$A$10</definedName>
    <definedName name="LIST_单位">TABLE_单位[单位]</definedName>
    <definedName name="LIST_目标编号">TABLE_目标[目标编号]</definedName>
    <definedName name="LIST_判定">TABLE_判定[判定]</definedName>
    <definedName name="LIST_频度">TABLE_频度[频度]</definedName>
    <definedName name="POS_1STOBJ">打卡!$A$12</definedName>
    <definedName name="POS_LineObj">打卡!$A$7</definedName>
  </definedNames>
  <calcPr calcId="162913"/>
  <pivotCaches>
    <pivotCache cacheId="7" r:id="rId12"/>
    <pivotCache cacheId="8" r:id="rId1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_日志" name="TABLE_日志" connection="WorksheetConnection_SELFCONSTRUCTION-V2.xlsx!TABLE_日志"/>
          <x15:modelTable id="TABLE_行动" name="TABLE_行动" connection="WorksheetConnection_SELFCONSTRUCTION-V2.xlsx!TABLE_行动"/>
        </x15:modelTables>
      </x15:dataModel>
    </ext>
  </extLst>
</workbook>
</file>

<file path=xl/calcChain.xml><?xml version="1.0" encoding="utf-8"?>
<calcChain xmlns="http://schemas.openxmlformats.org/spreadsheetml/2006/main">
  <c r="A14" i="15" l="1"/>
  <c r="B13" i="13" l="1"/>
  <c r="B14" i="13"/>
  <c r="B15" i="13"/>
  <c r="B16" i="13"/>
  <c r="B17" i="13"/>
  <c r="B18" i="13"/>
  <c r="C13" i="13"/>
  <c r="C14" i="13"/>
  <c r="C15" i="13"/>
  <c r="C16" i="13"/>
  <c r="C17" i="13"/>
  <c r="C18" i="13"/>
  <c r="D13" i="13"/>
  <c r="D14" i="13"/>
  <c r="D15" i="13"/>
  <c r="D16" i="13"/>
  <c r="D17" i="13"/>
  <c r="D18" i="13"/>
  <c r="G7" i="13"/>
  <c r="F7" i="13"/>
  <c r="E7" i="13"/>
  <c r="B10" i="13" l="1"/>
  <c r="D12" i="13"/>
  <c r="D7" i="13" s="1"/>
  <c r="C12" i="13"/>
  <c r="C7" i="13" s="1"/>
  <c r="B12" i="13"/>
  <c r="B7" i="13" s="1"/>
  <c r="D65" i="5" l="1"/>
  <c r="E65" i="5"/>
  <c r="F65" i="5"/>
  <c r="G65" i="5"/>
  <c r="J65" i="5"/>
  <c r="M65" i="5"/>
  <c r="N65" i="5" s="1"/>
  <c r="D64" i="5"/>
  <c r="E64" i="5"/>
  <c r="F64" i="5"/>
  <c r="G64" i="5"/>
  <c r="J64" i="5"/>
  <c r="M64" i="5"/>
  <c r="N64" i="5" s="1"/>
  <c r="B3" i="13" l="1"/>
  <c r="A3" i="13"/>
  <c r="D53" i="5"/>
  <c r="D54" i="5"/>
  <c r="D55" i="5"/>
  <c r="D56" i="5"/>
  <c r="D52" i="5"/>
  <c r="D57" i="5"/>
  <c r="D58" i="5"/>
  <c r="D59" i="5"/>
  <c r="D60" i="5"/>
  <c r="D61" i="5"/>
  <c r="D62" i="5"/>
  <c r="D63" i="5"/>
  <c r="E53" i="5"/>
  <c r="E54" i="5"/>
  <c r="E55" i="5"/>
  <c r="E56" i="5"/>
  <c r="E52" i="5"/>
  <c r="E57" i="5"/>
  <c r="E58" i="5"/>
  <c r="E59" i="5"/>
  <c r="E60" i="5"/>
  <c r="E61" i="5"/>
  <c r="E62" i="5"/>
  <c r="E63" i="5"/>
  <c r="F53" i="5"/>
  <c r="F54" i="5"/>
  <c r="F55" i="5"/>
  <c r="F56" i="5"/>
  <c r="F52" i="5"/>
  <c r="F57" i="5"/>
  <c r="F58" i="5"/>
  <c r="F59" i="5"/>
  <c r="F60" i="5"/>
  <c r="F61" i="5"/>
  <c r="F62" i="5"/>
  <c r="F63" i="5"/>
  <c r="G53" i="5"/>
  <c r="G54" i="5"/>
  <c r="G55" i="5"/>
  <c r="G56" i="5"/>
  <c r="G52" i="5"/>
  <c r="G57" i="5"/>
  <c r="G58" i="5"/>
  <c r="G59" i="5"/>
  <c r="G60" i="5"/>
  <c r="G61" i="5"/>
  <c r="G62" i="5"/>
  <c r="G63" i="5"/>
  <c r="J53" i="5"/>
  <c r="J54" i="5"/>
  <c r="J55" i="5"/>
  <c r="J56" i="5"/>
  <c r="J52" i="5"/>
  <c r="J57" i="5"/>
  <c r="J58" i="5"/>
  <c r="J59" i="5"/>
  <c r="J60" i="5"/>
  <c r="J61" i="5"/>
  <c r="J62" i="5"/>
  <c r="J63" i="5"/>
  <c r="M53" i="5"/>
  <c r="N53" i="5" s="1"/>
  <c r="M54" i="5"/>
  <c r="N54" i="5" s="1"/>
  <c r="M55" i="5"/>
  <c r="N55" i="5" s="1"/>
  <c r="M56" i="5"/>
  <c r="N56" i="5" s="1"/>
  <c r="M52" i="5"/>
  <c r="M57" i="5"/>
  <c r="N57" i="5" s="1"/>
  <c r="M58" i="5"/>
  <c r="N58" i="5" s="1"/>
  <c r="M59" i="5"/>
  <c r="N59" i="5" s="1"/>
  <c r="M60" i="5"/>
  <c r="N60" i="5" s="1"/>
  <c r="M61" i="5"/>
  <c r="N61" i="5" s="1"/>
  <c r="M62" i="5"/>
  <c r="N62" i="5" s="1"/>
  <c r="M63" i="5"/>
  <c r="N63" i="5" s="1"/>
  <c r="N52" i="5"/>
  <c r="D51" i="5"/>
  <c r="E51" i="5"/>
  <c r="F51" i="5"/>
  <c r="G51" i="5"/>
  <c r="J51" i="5"/>
  <c r="M51" i="5"/>
  <c r="N51" i="5" s="1"/>
  <c r="D40" i="5" l="1"/>
  <c r="E40" i="5"/>
  <c r="F40" i="5"/>
  <c r="G40" i="5"/>
  <c r="J40" i="5"/>
  <c r="M40" i="5"/>
  <c r="N40" i="5" s="1"/>
  <c r="D39" i="5" l="1"/>
  <c r="E39" i="5"/>
  <c r="F39" i="5"/>
  <c r="G39" i="5"/>
  <c r="J39" i="5"/>
  <c r="M39" i="5"/>
  <c r="N39" i="5" s="1"/>
  <c r="D38" i="5"/>
  <c r="E38" i="5"/>
  <c r="F38" i="5"/>
  <c r="G38" i="5"/>
  <c r="J38" i="5"/>
  <c r="M38" i="5"/>
  <c r="N38" i="5" s="1"/>
  <c r="D49" i="5"/>
  <c r="E49" i="5"/>
  <c r="F49" i="5"/>
  <c r="G49" i="5"/>
  <c r="J49" i="5"/>
  <c r="M49" i="5"/>
  <c r="N49" i="5" s="1"/>
  <c r="D34" i="5"/>
  <c r="E34" i="5"/>
  <c r="F34" i="5"/>
  <c r="G34" i="5"/>
  <c r="J34" i="5"/>
  <c r="M34" i="5"/>
  <c r="N34" i="5" s="1"/>
  <c r="D50" i="5"/>
  <c r="E50" i="5"/>
  <c r="F50" i="5"/>
  <c r="G50" i="5"/>
  <c r="J50" i="5"/>
  <c r="M50" i="5"/>
  <c r="N50" i="5" s="1"/>
  <c r="D28" i="5"/>
  <c r="E28" i="5"/>
  <c r="F28" i="5"/>
  <c r="G28" i="5"/>
  <c r="J28" i="5"/>
  <c r="M28" i="5"/>
  <c r="N28" i="5" s="1"/>
  <c r="D46" i="5"/>
  <c r="D47" i="5"/>
  <c r="D48" i="5"/>
  <c r="D37" i="5"/>
  <c r="E46" i="5"/>
  <c r="E47" i="5"/>
  <c r="E48" i="5"/>
  <c r="E37" i="5"/>
  <c r="F46" i="5"/>
  <c r="F47" i="5"/>
  <c r="F48" i="5"/>
  <c r="F37" i="5"/>
  <c r="G46" i="5"/>
  <c r="G47" i="5"/>
  <c r="G48" i="5"/>
  <c r="G37" i="5"/>
  <c r="J46" i="5"/>
  <c r="J47" i="5"/>
  <c r="J48" i="5"/>
  <c r="J37" i="5"/>
  <c r="M46" i="5"/>
  <c r="M47" i="5"/>
  <c r="N47" i="5" s="1"/>
  <c r="M48" i="5"/>
  <c r="N48" i="5" s="1"/>
  <c r="M37" i="5"/>
  <c r="N37" i="5" s="1"/>
  <c r="N46" i="5"/>
  <c r="D42" i="5"/>
  <c r="D43" i="5"/>
  <c r="D44" i="5"/>
  <c r="D36" i="5"/>
  <c r="D45" i="5"/>
  <c r="E42" i="5"/>
  <c r="E43" i="5"/>
  <c r="E44" i="5"/>
  <c r="E36" i="5"/>
  <c r="E45" i="5"/>
  <c r="F42" i="5"/>
  <c r="F43" i="5"/>
  <c r="F44" i="5"/>
  <c r="F36" i="5"/>
  <c r="F45" i="5"/>
  <c r="G42" i="5"/>
  <c r="G43" i="5"/>
  <c r="G44" i="5"/>
  <c r="G36" i="5"/>
  <c r="G45" i="5"/>
  <c r="J42" i="5"/>
  <c r="J43" i="5"/>
  <c r="J44" i="5"/>
  <c r="J36" i="5"/>
  <c r="J45" i="5"/>
  <c r="M42" i="5"/>
  <c r="N42" i="5" s="1"/>
  <c r="M43" i="5"/>
  <c r="N43" i="5" s="1"/>
  <c r="M44" i="5"/>
  <c r="N44" i="5" s="1"/>
  <c r="M36" i="5"/>
  <c r="N36" i="5" s="1"/>
  <c r="M45" i="5"/>
  <c r="N45" i="5" s="1"/>
  <c r="D41" i="5"/>
  <c r="E41" i="5"/>
  <c r="F41" i="5"/>
  <c r="G41" i="5"/>
  <c r="J41" i="5"/>
  <c r="M41" i="5"/>
  <c r="N41" i="5" s="1"/>
  <c r="D25" i="5"/>
  <c r="E25" i="5"/>
  <c r="F25" i="5"/>
  <c r="G25" i="5"/>
  <c r="J25" i="5"/>
  <c r="M25" i="5"/>
  <c r="N25" i="5" s="1"/>
  <c r="D33" i="5"/>
  <c r="D35" i="5"/>
  <c r="E33" i="5"/>
  <c r="E35" i="5"/>
  <c r="F33" i="5"/>
  <c r="F35" i="5"/>
  <c r="G33" i="5"/>
  <c r="G35" i="5"/>
  <c r="J33" i="5"/>
  <c r="J35" i="5"/>
  <c r="M33" i="5"/>
  <c r="N33" i="5" s="1"/>
  <c r="M35" i="5"/>
  <c r="N35" i="5" s="1"/>
  <c r="D32" i="5"/>
  <c r="E32" i="5"/>
  <c r="F32" i="5"/>
  <c r="G32" i="5"/>
  <c r="J32" i="5"/>
  <c r="M32" i="5"/>
  <c r="N32" i="5" s="1"/>
  <c r="D31" i="5"/>
  <c r="E31" i="5"/>
  <c r="F31" i="5"/>
  <c r="G31" i="5"/>
  <c r="J31" i="5"/>
  <c r="M31" i="5"/>
  <c r="N31" i="5" s="1"/>
  <c r="D30" i="5"/>
  <c r="E30" i="5"/>
  <c r="F30" i="5"/>
  <c r="G30" i="5"/>
  <c r="J30" i="5"/>
  <c r="M30" i="5"/>
  <c r="N30" i="5" s="1"/>
  <c r="D29" i="5"/>
  <c r="E29" i="5"/>
  <c r="F29" i="5"/>
  <c r="G29" i="5"/>
  <c r="J29" i="5"/>
  <c r="M29" i="5"/>
  <c r="N29" i="5" s="1"/>
  <c r="D27" i="5"/>
  <c r="E27" i="5"/>
  <c r="F27" i="5"/>
  <c r="G27" i="5"/>
  <c r="J27" i="5"/>
  <c r="M27" i="5"/>
  <c r="N27" i="5" s="1"/>
  <c r="D26" i="5"/>
  <c r="E26" i="5"/>
  <c r="F26" i="5"/>
  <c r="G26" i="5"/>
  <c r="J26" i="5"/>
  <c r="M26" i="5"/>
  <c r="N26" i="5" s="1"/>
  <c r="R1" i="5"/>
  <c r="D22" i="5"/>
  <c r="E22" i="5"/>
  <c r="F22" i="5"/>
  <c r="G22" i="5"/>
  <c r="J22" i="5"/>
  <c r="M22" i="5"/>
  <c r="N22" i="5" s="1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3" i="5"/>
  <c r="G24" i="5"/>
  <c r="M3" i="5"/>
  <c r="N3" i="5" s="1"/>
  <c r="M4" i="5"/>
  <c r="N4" i="5" s="1"/>
  <c r="M5" i="5"/>
  <c r="N5" i="5" s="1"/>
  <c r="M6" i="5"/>
  <c r="N6" i="5" s="1"/>
  <c r="M7" i="5"/>
  <c r="N7" i="5" s="1"/>
  <c r="M8" i="5"/>
  <c r="N8" i="5" s="1"/>
  <c r="M9" i="5"/>
  <c r="N9" i="5" s="1"/>
  <c r="M10" i="5"/>
  <c r="N10" i="5" s="1"/>
  <c r="M11" i="5"/>
  <c r="N11" i="5" s="1"/>
  <c r="M12" i="5"/>
  <c r="N12" i="5" s="1"/>
  <c r="M13" i="5"/>
  <c r="N13" i="5" s="1"/>
  <c r="M14" i="5"/>
  <c r="N14" i="5" s="1"/>
  <c r="M15" i="5"/>
  <c r="N15" i="5" s="1"/>
  <c r="M16" i="5"/>
  <c r="N16" i="5" s="1"/>
  <c r="M17" i="5"/>
  <c r="N17" i="5" s="1"/>
  <c r="M18" i="5"/>
  <c r="N18" i="5" s="1"/>
  <c r="M19" i="5"/>
  <c r="N19" i="5" s="1"/>
  <c r="M20" i="5"/>
  <c r="N20" i="5" s="1"/>
  <c r="M21" i="5"/>
  <c r="N21" i="5" s="1"/>
  <c r="M23" i="5"/>
  <c r="N23" i="5" s="1"/>
  <c r="M24" i="5"/>
  <c r="N24" i="5" s="1"/>
  <c r="M2" i="5"/>
  <c r="N2" i="5" s="1"/>
  <c r="J2" i="5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3" i="5"/>
  <c r="J24" i="5"/>
  <c r="D24" i="5"/>
  <c r="E24" i="5"/>
  <c r="F24" i="5"/>
  <c r="D12" i="5"/>
  <c r="D13" i="5"/>
  <c r="E12" i="5"/>
  <c r="E13" i="5"/>
  <c r="F12" i="5"/>
  <c r="F13" i="5"/>
  <c r="D23" i="5"/>
  <c r="E23" i="5"/>
  <c r="F23" i="5"/>
  <c r="F2" i="5"/>
  <c r="F3" i="5"/>
  <c r="F4" i="5"/>
  <c r="F5" i="5"/>
  <c r="F6" i="5"/>
  <c r="F9" i="5"/>
  <c r="F7" i="5"/>
  <c r="F8" i="5"/>
  <c r="F10" i="5"/>
  <c r="F11" i="5"/>
  <c r="F14" i="5"/>
  <c r="F15" i="5"/>
  <c r="F16" i="5"/>
  <c r="F17" i="5"/>
  <c r="F19" i="5"/>
  <c r="F18" i="5"/>
  <c r="F20" i="5"/>
  <c r="F21" i="5"/>
  <c r="E2" i="5"/>
  <c r="E3" i="5"/>
  <c r="E4" i="5"/>
  <c r="E5" i="5"/>
  <c r="E6" i="5"/>
  <c r="E9" i="5"/>
  <c r="E7" i="5"/>
  <c r="E8" i="5"/>
  <c r="E10" i="5"/>
  <c r="E11" i="5"/>
  <c r="E14" i="5"/>
  <c r="E15" i="5"/>
  <c r="E16" i="5"/>
  <c r="E17" i="5"/>
  <c r="E19" i="5"/>
  <c r="E18" i="5"/>
  <c r="E20" i="5"/>
  <c r="E21" i="5"/>
  <c r="D11" i="5"/>
  <c r="D9" i="5"/>
  <c r="D21" i="5"/>
  <c r="B3" i="6"/>
  <c r="D2" i="5" l="1"/>
  <c r="D3" i="5"/>
  <c r="D4" i="5"/>
  <c r="D5" i="5"/>
  <c r="D6" i="5"/>
  <c r="D7" i="5"/>
  <c r="D8" i="5"/>
  <c r="D10" i="5"/>
  <c r="D14" i="5"/>
  <c r="D15" i="5"/>
  <c r="D16" i="5"/>
  <c r="D17" i="5"/>
  <c r="D19" i="5"/>
  <c r="D18" i="5"/>
  <c r="D20" i="5"/>
  <c r="B1" i="6" l="1"/>
  <c r="K1" i="4"/>
</calcChain>
</file>

<file path=xl/connections.xml><?xml version="1.0" encoding="utf-8"?>
<connections xmlns="http://schemas.openxmlformats.org/spreadsheetml/2006/main">
  <connection id="1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SELFCONSTRUCTION-V2.xlsx!TABLE_行动" type="102" refreshedVersion="6" minRefreshableVersion="5">
    <extLst>
      <ext xmlns:x15="http://schemas.microsoft.com/office/spreadsheetml/2010/11/main" uri="{DE250136-89BD-433C-8126-D09CA5730AF9}">
        <x15:connection id="TABLE_行动">
          <x15:rangePr sourceName="_xlcn.WorksheetConnection_SELFCONSTRUCTIONV2.xlsxTABLE_行动1"/>
        </x15:connection>
      </ext>
    </extLst>
  </connection>
  <connection id="3" name="WorksheetConnection_SELFCONSTRUCTION-V2.xlsx!TABLE_日志" type="102" refreshedVersion="6" minRefreshableVersion="5">
    <extLst>
      <ext xmlns:x15="http://schemas.microsoft.com/office/spreadsheetml/2010/11/main" uri="{DE250136-89BD-433C-8126-D09CA5730AF9}">
        <x15:connection id="TABLE_日志" autoDelete="1">
          <x15:rangePr sourceName="_xlcn.WorksheetConnection_SELFCONSTRUCTIONV2.xlsxTABLE_日志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">
    <s v="ThisWorkbookDataModel"/>
    <s v="{[TABLE_日志].[频度].&amp;[每日]}"/>
  </metadataStrings>
  <mdxMetadata count="1">
    <mdx n="0" f="s">
      <ms ns="1" c="0"/>
    </mdx>
  </mdxMetadata>
  <valueMetadata count="1">
    <bk>
      <rc t="1" v="0"/>
    </bk>
  </valueMetadata>
</metadata>
</file>

<file path=xl/sharedStrings.xml><?xml version="1.0" encoding="utf-8"?>
<sst xmlns="http://schemas.openxmlformats.org/spreadsheetml/2006/main" count="763" uniqueCount="519">
  <si>
    <t>健康</t>
    <phoneticPr fontId="1" type="noConversion"/>
  </si>
  <si>
    <t>家庭</t>
    <phoneticPr fontId="1" type="noConversion"/>
  </si>
  <si>
    <t>事业</t>
    <phoneticPr fontId="1" type="noConversion"/>
  </si>
  <si>
    <t>财务</t>
    <phoneticPr fontId="1" type="noConversion"/>
  </si>
  <si>
    <t>社会</t>
    <phoneticPr fontId="1" type="noConversion"/>
  </si>
  <si>
    <t>主观</t>
    <phoneticPr fontId="1" type="noConversion"/>
  </si>
  <si>
    <t>我想要成为什么人？</t>
    <phoneticPr fontId="1" type="noConversion"/>
  </si>
  <si>
    <t>健康活到90岁</t>
    <phoneticPr fontId="1" type="noConversion"/>
  </si>
  <si>
    <t>家庭成员健康、快乐</t>
    <phoneticPr fontId="1" type="noConversion"/>
  </si>
  <si>
    <t>自洽</t>
    <phoneticPr fontId="1" type="noConversion"/>
  </si>
  <si>
    <t>自控</t>
    <phoneticPr fontId="1" type="noConversion"/>
  </si>
  <si>
    <t>建立完善的世界观</t>
    <phoneticPr fontId="1" type="noConversion"/>
  </si>
  <si>
    <t>建立有效的方法论</t>
    <phoneticPr fontId="1" type="noConversion"/>
  </si>
  <si>
    <t>开发能够承载方法论的系统</t>
    <phoneticPr fontId="1" type="noConversion"/>
  </si>
  <si>
    <t>将世界观与方法论成书</t>
    <phoneticPr fontId="1" type="noConversion"/>
  </si>
  <si>
    <t>吃穿住行维持中上水平</t>
    <phoneticPr fontId="1" type="noConversion"/>
  </si>
  <si>
    <t>对他人有贡献</t>
    <phoneticPr fontId="1" type="noConversion"/>
  </si>
  <si>
    <t>我的现状？</t>
    <phoneticPr fontId="1" type="noConversion"/>
  </si>
  <si>
    <t>疾病：美尼尔、痔疮、手臂骨折、眼睛</t>
    <phoneticPr fontId="1" type="noConversion"/>
  </si>
  <si>
    <t>总体而言基本健康</t>
    <phoneticPr fontId="1" type="noConversion"/>
  </si>
  <si>
    <t>关系融洽</t>
    <phoneticPr fontId="1" type="noConversion"/>
  </si>
  <si>
    <t>能够与家人在一起</t>
    <phoneticPr fontId="1" type="noConversion"/>
  </si>
  <si>
    <t>贝妞成长与学习有些担心</t>
    <phoneticPr fontId="1" type="noConversion"/>
  </si>
  <si>
    <t>小母牛身体、心理健康有些担心</t>
    <phoneticPr fontId="1" type="noConversion"/>
  </si>
  <si>
    <t>对父母关心不够</t>
    <phoneticPr fontId="1" type="noConversion"/>
  </si>
  <si>
    <t>不觉得自己在做自己想做的事情</t>
    <phoneticPr fontId="1" type="noConversion"/>
  </si>
  <si>
    <t>不够好</t>
    <phoneticPr fontId="1" type="noConversion"/>
  </si>
  <si>
    <t>有深刻感悟，有全面的框架</t>
    <phoneticPr fontId="1" type="noConversion"/>
  </si>
  <si>
    <t>不丰满、不够说服力、缺乏事实正向支持</t>
    <phoneticPr fontId="1" type="noConversion"/>
  </si>
  <si>
    <t>有零碎的方法论</t>
    <phoneticPr fontId="1" type="noConversion"/>
  </si>
  <si>
    <t>不够坚实</t>
    <phoneticPr fontId="1" type="noConversion"/>
  </si>
  <si>
    <t>不成体系</t>
    <phoneticPr fontId="1" type="noConversion"/>
  </si>
  <si>
    <t>从事医疗器械行业。</t>
    <phoneticPr fontId="1" type="noConversion"/>
  </si>
  <si>
    <t>质量工作：（医疗）专业度不够</t>
    <phoneticPr fontId="1" type="noConversion"/>
  </si>
  <si>
    <t>综合管理：缺乏实践机会</t>
    <phoneticPr fontId="1" type="noConversion"/>
  </si>
  <si>
    <t>年收入80万（税后）</t>
    <phoneticPr fontId="1" type="noConversion"/>
  </si>
  <si>
    <t>对科威有一定贡献</t>
    <phoneticPr fontId="1" type="noConversion"/>
  </si>
  <si>
    <t>对朋友有一定贡献</t>
    <phoneticPr fontId="1" type="noConversion"/>
  </si>
  <si>
    <t>对社会缴纳税金，没有其他贡献</t>
    <phoneticPr fontId="1" type="noConversion"/>
  </si>
  <si>
    <t>非目标导向的动机有哪些？</t>
    <phoneticPr fontId="1" type="noConversion"/>
  </si>
  <si>
    <t>生理愉悦（食色）</t>
    <phoneticPr fontId="1" type="noConversion"/>
  </si>
  <si>
    <t>娱乐（电影、音乐等）</t>
    <phoneticPr fontId="1" type="noConversion"/>
  </si>
  <si>
    <t>休息（偷懒）</t>
    <phoneticPr fontId="1" type="noConversion"/>
  </si>
  <si>
    <t>恐惧（失败、伤痛）</t>
    <phoneticPr fontId="1" type="noConversion"/>
  </si>
  <si>
    <t>顾虑他人看法、想法</t>
    <phoneticPr fontId="1" type="noConversion"/>
  </si>
  <si>
    <t>不被认可</t>
    <phoneticPr fontId="1" type="noConversion"/>
  </si>
  <si>
    <t>本能、直觉</t>
    <phoneticPr fontId="1" type="noConversion"/>
  </si>
  <si>
    <t>贫穷</t>
    <phoneticPr fontId="1" type="noConversion"/>
  </si>
  <si>
    <t>引导问题</t>
    <phoneticPr fontId="1" type="noConversion"/>
  </si>
  <si>
    <t>理想的我</t>
    <phoneticPr fontId="1" type="noConversion"/>
  </si>
  <si>
    <t>现在的我</t>
    <phoneticPr fontId="1" type="noConversion"/>
  </si>
  <si>
    <t>非目标导向的动机有哪些</t>
    <phoneticPr fontId="1" type="noConversion"/>
  </si>
  <si>
    <t>如何衡量好与不好</t>
    <phoneticPr fontId="1" type="noConversion"/>
  </si>
  <si>
    <t>关键活动群</t>
    <phoneticPr fontId="1" type="noConversion"/>
  </si>
  <si>
    <t>未决问题</t>
    <phoneticPr fontId="1" type="noConversion"/>
  </si>
  <si>
    <t>如何建设“我”=&gt;“非我”界面？</t>
    <phoneticPr fontId="1" type="noConversion"/>
  </si>
  <si>
    <t>如何建设模型跟进此项活动？</t>
    <phoneticPr fontId="1" type="noConversion"/>
  </si>
  <si>
    <t>自我决策的一般方法</t>
    <phoneticPr fontId="1" type="noConversion"/>
  </si>
  <si>
    <t>关键指标</t>
    <phoneticPr fontId="1" type="noConversion"/>
  </si>
  <si>
    <t>能够健康活到90岁</t>
    <phoneticPr fontId="1" type="noConversion"/>
  </si>
  <si>
    <t>体重控制在85-88KG</t>
    <phoneticPr fontId="1" type="noConversion"/>
  </si>
  <si>
    <t>每周，日均骑行不少于30KM，或者步行5KM</t>
  </si>
  <si>
    <t>每周，日均骑行不少于30KM，或者步行5KM</t>
    <phoneticPr fontId="1" type="noConversion"/>
  </si>
  <si>
    <t>每周，日均仰卧起坐不少于50个</t>
  </si>
  <si>
    <t>如何系统地获取信息、知识？</t>
    <phoneticPr fontId="1" type="noConversion"/>
  </si>
  <si>
    <t>每周，日均仰卧起坐不少于50个</t>
    <phoneticPr fontId="1" type="noConversion"/>
  </si>
  <si>
    <t>每周，日均锻炼手臂不少于20分钟</t>
  </si>
  <si>
    <t>每周，日均锻炼手臂不少于20分钟</t>
    <phoneticPr fontId="1" type="noConversion"/>
  </si>
  <si>
    <t>每周，日均阅读时间不少于45分钟</t>
  </si>
  <si>
    <t>每周，日均阅读时间不少于45分钟</t>
    <phoneticPr fontId="1" type="noConversion"/>
  </si>
  <si>
    <t>每周，留出4个小时完整地时间思考整理（关键问题，方法论建设，审阅此表）</t>
  </si>
  <si>
    <t>每周，留出4个小时完整地时间思考整理（关键问题，方法论建设，审阅此表）</t>
    <phoneticPr fontId="1" type="noConversion"/>
  </si>
  <si>
    <t>行动</t>
    <phoneticPr fontId="1" type="noConversion"/>
  </si>
  <si>
    <t>建立阅读书目</t>
  </si>
  <si>
    <t>建立阅读书目</t>
    <phoneticPr fontId="1" type="noConversion"/>
  </si>
  <si>
    <t>建立演进此表的方法论</t>
  </si>
  <si>
    <t>建立演进此表的方法论</t>
    <phoneticPr fontId="1" type="noConversion"/>
  </si>
  <si>
    <t>建立基本生活原则</t>
  </si>
  <si>
    <t>建立基本生活原则</t>
    <phoneticPr fontId="1" type="noConversion"/>
  </si>
  <si>
    <t>建立周时间计划</t>
  </si>
  <si>
    <t>建立周时间计划</t>
    <phoneticPr fontId="1" type="noConversion"/>
  </si>
  <si>
    <t>启动回京计划</t>
    <phoneticPr fontId="1" type="noConversion"/>
  </si>
  <si>
    <t>花费时间的目标相关度</t>
    <phoneticPr fontId="1" type="noConversion"/>
  </si>
  <si>
    <t>行为与原则背离程度</t>
    <phoneticPr fontId="1" type="noConversion"/>
  </si>
  <si>
    <t>计划与非计划的比例</t>
    <phoneticPr fontId="1" type="noConversion"/>
  </si>
  <si>
    <t>目标描述</t>
    <phoneticPr fontId="1" type="noConversion"/>
  </si>
  <si>
    <t>目标编号</t>
    <phoneticPr fontId="1" type="noConversion"/>
  </si>
  <si>
    <t>行动名称</t>
    <phoneticPr fontId="1" type="noConversion"/>
  </si>
  <si>
    <t>备注</t>
    <phoneticPr fontId="1" type="noConversion"/>
  </si>
  <si>
    <t>行动编号</t>
    <phoneticPr fontId="1" type="noConversion"/>
  </si>
  <si>
    <t>行动描述</t>
    <phoneticPr fontId="1" type="noConversion"/>
  </si>
  <si>
    <t>状态</t>
    <phoneticPr fontId="1" type="noConversion"/>
  </si>
  <si>
    <t>结果</t>
    <phoneticPr fontId="1" type="noConversion"/>
  </si>
  <si>
    <t>开始</t>
    <phoneticPr fontId="1" type="noConversion"/>
  </si>
  <si>
    <t>结束</t>
    <phoneticPr fontId="1" type="noConversion"/>
  </si>
  <si>
    <t>备注</t>
    <phoneticPr fontId="1" type="noConversion"/>
  </si>
  <si>
    <t>关联目标</t>
    <phoneticPr fontId="1" type="noConversion"/>
  </si>
  <si>
    <t>不说打击贝妞的话</t>
    <phoneticPr fontId="1" type="noConversion"/>
  </si>
  <si>
    <t>与孩子沟通10分钟</t>
    <phoneticPr fontId="1" type="noConversion"/>
  </si>
  <si>
    <t>与小母牛沟通10分钟</t>
    <phoneticPr fontId="1" type="noConversion"/>
  </si>
  <si>
    <t>每天</t>
    <phoneticPr fontId="1" type="noConversion"/>
  </si>
  <si>
    <t>晚上11点以前睡觉</t>
    <phoneticPr fontId="1" type="noConversion"/>
  </si>
  <si>
    <t>早上6点以前起床</t>
    <phoneticPr fontId="1" type="noConversion"/>
  </si>
  <si>
    <t>每天晚上刷牙</t>
    <phoneticPr fontId="1" type="noConversion"/>
  </si>
  <si>
    <t>每周</t>
  </si>
  <si>
    <t>每周</t>
    <phoneticPr fontId="1" type="noConversion"/>
  </si>
  <si>
    <t>每周给父母一个电话</t>
    <phoneticPr fontId="1" type="noConversion"/>
  </si>
  <si>
    <t>每周日更新此表</t>
    <phoneticPr fontId="1" type="noConversion"/>
  </si>
  <si>
    <t>每月</t>
    <phoneticPr fontId="1" type="noConversion"/>
  </si>
  <si>
    <t>每年</t>
    <phoneticPr fontId="1" type="noConversion"/>
  </si>
  <si>
    <t>每天睡眠总时间达到8小时</t>
    <phoneticPr fontId="1" type="noConversion"/>
  </si>
  <si>
    <t>计划内</t>
    <phoneticPr fontId="1" type="noConversion"/>
  </si>
  <si>
    <t>创建此表</t>
    <phoneticPr fontId="1" type="noConversion"/>
  </si>
  <si>
    <t>A_0001</t>
    <phoneticPr fontId="1" type="noConversion"/>
  </si>
  <si>
    <t>期望结果</t>
    <phoneticPr fontId="1" type="noConversion"/>
  </si>
  <si>
    <t>备注</t>
    <phoneticPr fontId="1" type="noConversion"/>
  </si>
  <si>
    <t>达成时间</t>
    <phoneticPr fontId="1" type="noConversion"/>
  </si>
  <si>
    <t>开始时间</t>
    <phoneticPr fontId="1" type="noConversion"/>
  </si>
  <si>
    <t>每天晚上睡前更新此表</t>
    <phoneticPr fontId="1" type="noConversion"/>
  </si>
  <si>
    <t>详细</t>
    <phoneticPr fontId="1" type="noConversion"/>
  </si>
  <si>
    <t>测量频度</t>
    <phoneticPr fontId="1" type="noConversion"/>
  </si>
  <si>
    <t>每日</t>
  </si>
  <si>
    <t>每日</t>
    <phoneticPr fontId="1" type="noConversion"/>
  </si>
  <si>
    <t>每周</t>
    <phoneticPr fontId="1" type="noConversion"/>
  </si>
  <si>
    <t>每年</t>
    <phoneticPr fontId="1" type="noConversion"/>
  </si>
  <si>
    <t>频度</t>
    <phoneticPr fontId="1" type="noConversion"/>
  </si>
  <si>
    <t>单次</t>
    <phoneticPr fontId="1" type="noConversion"/>
  </si>
  <si>
    <t>其他</t>
    <phoneticPr fontId="1" type="noConversion"/>
  </si>
  <si>
    <t>每周完成O_0001至O_0006</t>
    <phoneticPr fontId="1" type="noConversion"/>
  </si>
  <si>
    <t>单位</t>
    <phoneticPr fontId="1" type="noConversion"/>
  </si>
  <si>
    <t>m</t>
    <phoneticPr fontId="1" type="noConversion"/>
  </si>
  <si>
    <t>km</t>
    <phoneticPr fontId="1" type="noConversion"/>
  </si>
  <si>
    <t>g</t>
    <phoneticPr fontId="1" type="noConversion"/>
  </si>
  <si>
    <t>kg</t>
    <phoneticPr fontId="1" type="noConversion"/>
  </si>
  <si>
    <t>hr</t>
    <phoneticPr fontId="1" type="noConversion"/>
  </si>
  <si>
    <t>min</t>
  </si>
  <si>
    <t>min</t>
    <phoneticPr fontId="1" type="noConversion"/>
  </si>
  <si>
    <t>sec</t>
    <phoneticPr fontId="1" type="noConversion"/>
  </si>
  <si>
    <t>day</t>
    <phoneticPr fontId="1" type="noConversion"/>
  </si>
  <si>
    <t>week</t>
    <phoneticPr fontId="1" type="noConversion"/>
  </si>
  <si>
    <t>month</t>
    <phoneticPr fontId="1" type="noConversion"/>
  </si>
  <si>
    <t>year</t>
    <phoneticPr fontId="1" type="noConversion"/>
  </si>
  <si>
    <t>cal</t>
    <phoneticPr fontId="1" type="noConversion"/>
  </si>
  <si>
    <t>kcal</t>
    <phoneticPr fontId="1" type="noConversion"/>
  </si>
  <si>
    <t>%</t>
    <phoneticPr fontId="1" type="noConversion"/>
  </si>
  <si>
    <t>A_0002</t>
  </si>
  <si>
    <t>A_0003</t>
  </si>
  <si>
    <t>A_0004</t>
  </si>
  <si>
    <t>A_0005</t>
  </si>
  <si>
    <t>启动回京计划</t>
    <phoneticPr fontId="1" type="noConversion"/>
  </si>
  <si>
    <t>与董方达电话</t>
    <phoneticPr fontId="1" type="noConversion"/>
  </si>
  <si>
    <t>聊到了使用外部资源来丰富ICANI学习内容库的可能性，需要进一步跟进。</t>
    <phoneticPr fontId="1" type="noConversion"/>
  </si>
  <si>
    <t>与小母牛电话</t>
    <phoneticPr fontId="1" type="noConversion"/>
  </si>
  <si>
    <t>骑行</t>
    <phoneticPr fontId="1" type="noConversion"/>
  </si>
  <si>
    <t>判定</t>
    <phoneticPr fontId="1" type="noConversion"/>
  </si>
  <si>
    <t>合格</t>
    <phoneticPr fontId="1" type="noConversion"/>
  </si>
  <si>
    <t>不合格</t>
    <phoneticPr fontId="1" type="noConversion"/>
  </si>
  <si>
    <t>不适用</t>
  </si>
  <si>
    <t>不适用</t>
    <phoneticPr fontId="1" type="noConversion"/>
  </si>
  <si>
    <t>锻炼手臂</t>
    <phoneticPr fontId="1" type="noConversion"/>
  </si>
  <si>
    <t>目标描述</t>
    <phoneticPr fontId="1" type="noConversion"/>
  </si>
  <si>
    <t>仰卧起坐</t>
    <phoneticPr fontId="1" type="noConversion"/>
  </si>
  <si>
    <t>阅读</t>
    <phoneticPr fontId="1" type="noConversion"/>
  </si>
  <si>
    <t>睡觉</t>
    <phoneticPr fontId="1" type="noConversion"/>
  </si>
  <si>
    <t>早餐</t>
    <phoneticPr fontId="1" type="noConversion"/>
  </si>
  <si>
    <t>自己做粽子与年糕</t>
    <phoneticPr fontId="1" type="noConversion"/>
  </si>
  <si>
    <t>移动</t>
    <phoneticPr fontId="1" type="noConversion"/>
  </si>
  <si>
    <t>更新此表</t>
    <phoneticPr fontId="1" type="noConversion"/>
  </si>
  <si>
    <t>time</t>
  </si>
  <si>
    <t>time</t>
    <phoneticPr fontId="1" type="noConversion"/>
  </si>
  <si>
    <t>休整</t>
    <phoneticPr fontId="1" type="noConversion"/>
  </si>
  <si>
    <t>爱因斯坦《相对论》</t>
    <phoneticPr fontId="1" type="noConversion"/>
  </si>
  <si>
    <t>与妈电话</t>
    <phoneticPr fontId="1" type="noConversion"/>
  </si>
  <si>
    <t>kg</t>
  </si>
  <si>
    <t>hr</t>
  </si>
  <si>
    <t>不合格</t>
  </si>
  <si>
    <t>每周</t>
    <phoneticPr fontId="1" type="noConversion"/>
  </si>
  <si>
    <t>与贝妞电话</t>
    <phoneticPr fontId="1" type="noConversion"/>
  </si>
  <si>
    <t>目标单位</t>
    <phoneticPr fontId="1" type="noConversion"/>
  </si>
  <si>
    <t>目标值</t>
    <phoneticPr fontId="1" type="noConversion"/>
  </si>
  <si>
    <t>km</t>
    <phoneticPr fontId="1" type="noConversion"/>
  </si>
  <si>
    <t>%</t>
  </si>
  <si>
    <t>花在与目标相关事件的时间</t>
    <phoneticPr fontId="1" type="noConversion"/>
  </si>
  <si>
    <t>每日达成目标的比例</t>
    <phoneticPr fontId="1" type="noConversion"/>
  </si>
  <si>
    <t>%</t>
    <phoneticPr fontId="1" type="noConversion"/>
  </si>
  <si>
    <t>每周，给父母打一个电话</t>
    <phoneticPr fontId="1" type="noConversion"/>
  </si>
  <si>
    <t>每周，体重控制在85-88KG</t>
    <phoneticPr fontId="1" type="noConversion"/>
  </si>
  <si>
    <t>计划事件与所有事件（包括非计划事件）所花费时间比例</t>
    <phoneticPr fontId="1" type="noConversion"/>
  </si>
  <si>
    <t>time</t>
    <phoneticPr fontId="1" type="noConversion"/>
  </si>
  <si>
    <t>time</t>
    <phoneticPr fontId="1" type="noConversion"/>
  </si>
  <si>
    <t>time</t>
    <phoneticPr fontId="1" type="noConversion"/>
  </si>
  <si>
    <t>hr</t>
    <phoneticPr fontId="1" type="noConversion"/>
  </si>
  <si>
    <t>包括午睡时间</t>
    <phoneticPr fontId="1" type="noConversion"/>
  </si>
  <si>
    <t>每日</t>
    <phoneticPr fontId="1" type="noConversion"/>
  </si>
  <si>
    <t>每日</t>
    <phoneticPr fontId="1" type="noConversion"/>
  </si>
  <si>
    <t>每日</t>
    <phoneticPr fontId="1" type="noConversion"/>
  </si>
  <si>
    <t>min</t>
    <phoneticPr fontId="1" type="noConversion"/>
  </si>
  <si>
    <t>min</t>
    <phoneticPr fontId="1" type="noConversion"/>
  </si>
  <si>
    <t>每天，花费时间的目标相关度</t>
    <phoneticPr fontId="1" type="noConversion"/>
  </si>
  <si>
    <t>每天，行为与原则背离程度</t>
    <phoneticPr fontId="1" type="noConversion"/>
  </si>
  <si>
    <t>每天，计划与非计划的比例</t>
    <phoneticPr fontId="1" type="noConversion"/>
  </si>
  <si>
    <t>每天，不说打击贝妞的话</t>
    <phoneticPr fontId="1" type="noConversion"/>
  </si>
  <si>
    <t>每天，与孩子沟通10分钟</t>
    <phoneticPr fontId="1" type="noConversion"/>
  </si>
  <si>
    <t>每天，与小母牛沟通10分钟</t>
    <phoneticPr fontId="1" type="noConversion"/>
  </si>
  <si>
    <t>每天，晚上11点以前睡觉</t>
    <phoneticPr fontId="1" type="noConversion"/>
  </si>
  <si>
    <t>每天，早上6点以前起床</t>
    <phoneticPr fontId="1" type="noConversion"/>
  </si>
  <si>
    <t>每天，每天晚上刷牙</t>
    <phoneticPr fontId="1" type="noConversion"/>
  </si>
  <si>
    <t>每天，骑行30KM，或者步行5KM</t>
    <phoneticPr fontId="1" type="noConversion"/>
  </si>
  <si>
    <t>每天，仰卧起坐不少于50个</t>
    <phoneticPr fontId="1" type="noConversion"/>
  </si>
  <si>
    <t>每天，锻炼手臂不少于20分钟</t>
    <phoneticPr fontId="1" type="noConversion"/>
  </si>
  <si>
    <t>每天，阅读时间不少于45分钟</t>
    <phoneticPr fontId="1" type="noConversion"/>
  </si>
  <si>
    <t>O_W001_控制体重</t>
  </si>
  <si>
    <t>O_W001_控制体重</t>
    <phoneticPr fontId="1" type="noConversion"/>
  </si>
  <si>
    <t>O_W002_骑行</t>
    <phoneticPr fontId="1" type="noConversion"/>
  </si>
  <si>
    <t>O_W003_腹肌</t>
  </si>
  <si>
    <t>O_W003_腹肌</t>
    <phoneticPr fontId="1" type="noConversion"/>
  </si>
  <si>
    <t>O_W004_手臂</t>
    <phoneticPr fontId="1" type="noConversion"/>
  </si>
  <si>
    <t>O_W005_阅读</t>
    <phoneticPr fontId="1" type="noConversion"/>
  </si>
  <si>
    <t>O_W006_思考</t>
    <phoneticPr fontId="1" type="noConversion"/>
  </si>
  <si>
    <t>O_D0001_目标相关</t>
    <phoneticPr fontId="1" type="noConversion"/>
  </si>
  <si>
    <t>O_D0002_原则背离</t>
    <phoneticPr fontId="1" type="noConversion"/>
  </si>
  <si>
    <t>O_D0003_按照计划</t>
    <phoneticPr fontId="1" type="noConversion"/>
  </si>
  <si>
    <t>O_D0004_鼓励孩子</t>
  </si>
  <si>
    <t>O_D0004_鼓励孩子</t>
    <phoneticPr fontId="1" type="noConversion"/>
  </si>
  <si>
    <t>O_D0005_孩子沟通</t>
  </si>
  <si>
    <t>O_D0005_孩子沟通</t>
    <phoneticPr fontId="1" type="noConversion"/>
  </si>
  <si>
    <t>O_D0006_老婆沟通</t>
  </si>
  <si>
    <t>O_D0006_老婆沟通</t>
    <phoneticPr fontId="1" type="noConversion"/>
  </si>
  <si>
    <t>O_D0008_起床</t>
  </si>
  <si>
    <t>O_D0008_起床</t>
    <phoneticPr fontId="1" type="noConversion"/>
  </si>
  <si>
    <t>O_D0009_晚刷牙</t>
  </si>
  <si>
    <t>O_D0009_晚刷牙</t>
    <phoneticPr fontId="1" type="noConversion"/>
  </si>
  <si>
    <t>O_D0010_睡眠时间</t>
  </si>
  <si>
    <t>O_D0010_睡眠时间</t>
    <phoneticPr fontId="1" type="noConversion"/>
  </si>
  <si>
    <t>O_D0007_睡眠按时</t>
  </si>
  <si>
    <t>O_D0007_睡眠按时</t>
    <phoneticPr fontId="1" type="noConversion"/>
  </si>
  <si>
    <t>O_D0011_骑行</t>
  </si>
  <si>
    <t>O_D0011_骑行</t>
    <phoneticPr fontId="1" type="noConversion"/>
  </si>
  <si>
    <t>O_D0012_腹肌</t>
  </si>
  <si>
    <t>O_D0012_腹肌</t>
    <phoneticPr fontId="1" type="noConversion"/>
  </si>
  <si>
    <t>O_D0013_手臂</t>
  </si>
  <si>
    <t>O_D0013_手臂</t>
    <phoneticPr fontId="1" type="noConversion"/>
  </si>
  <si>
    <t>O_D0014_阅读</t>
  </si>
  <si>
    <t>O_D0014_阅读</t>
    <phoneticPr fontId="1" type="noConversion"/>
  </si>
  <si>
    <t>晚上休憩</t>
    <phoneticPr fontId="1" type="noConversion"/>
  </si>
  <si>
    <t>O_W007_父母沟通</t>
  </si>
  <si>
    <t>O_W007_父母沟通</t>
    <phoneticPr fontId="1" type="noConversion"/>
  </si>
  <si>
    <t>称体重</t>
    <phoneticPr fontId="1" type="noConversion"/>
  </si>
  <si>
    <t>O_D0015_表更新</t>
  </si>
  <si>
    <t>O_D0015_表更新</t>
    <phoneticPr fontId="1" type="noConversion"/>
  </si>
  <si>
    <t>每天，确保本表的更新</t>
    <phoneticPr fontId="1" type="noConversion"/>
  </si>
  <si>
    <t>time</t>
    <phoneticPr fontId="1" type="noConversion"/>
  </si>
  <si>
    <t>单位</t>
    <phoneticPr fontId="1" type="noConversion"/>
  </si>
  <si>
    <t>目标</t>
    <phoneticPr fontId="1" type="noConversion"/>
  </si>
  <si>
    <t>日志编号</t>
    <phoneticPr fontId="1" type="noConversion"/>
  </si>
  <si>
    <t>活动名称</t>
    <phoneticPr fontId="1" type="noConversion"/>
  </si>
  <si>
    <t>L_00001</t>
    <phoneticPr fontId="1" type="noConversion"/>
  </si>
  <si>
    <t>L_00002</t>
  </si>
  <si>
    <t>L_00003</t>
  </si>
  <si>
    <t>L_00004</t>
  </si>
  <si>
    <t>L_00005</t>
  </si>
  <si>
    <t>L_00006</t>
  </si>
  <si>
    <t>L_00007</t>
  </si>
  <si>
    <t>L_00008</t>
  </si>
  <si>
    <t>L_00009</t>
  </si>
  <si>
    <t>L_00010</t>
  </si>
  <si>
    <t>L_00011</t>
  </si>
  <si>
    <t>L_00012</t>
  </si>
  <si>
    <t>L_00013</t>
  </si>
  <si>
    <t>L_00014</t>
  </si>
  <si>
    <t>L_00015</t>
  </si>
  <si>
    <t>L_00016</t>
  </si>
  <si>
    <t>L_00017</t>
  </si>
  <si>
    <t>L_00018</t>
  </si>
  <si>
    <t>L_00019</t>
  </si>
  <si>
    <t>每天，前一天睡眠总时间达到7小时</t>
    <phoneticPr fontId="1" type="noConversion"/>
  </si>
  <si>
    <t>每日检查点</t>
    <phoneticPr fontId="1" type="noConversion"/>
  </si>
  <si>
    <t>每日检查点</t>
    <phoneticPr fontId="1" type="noConversion"/>
  </si>
  <si>
    <t>L_00020</t>
  </si>
  <si>
    <t>L_00021</t>
  </si>
  <si>
    <t>每日检查点</t>
    <phoneticPr fontId="1" type="noConversion"/>
  </si>
  <si>
    <t>L_00022</t>
  </si>
  <si>
    <t>判定</t>
    <phoneticPr fontId="1" type="noConversion"/>
  </si>
  <si>
    <t>合格</t>
  </si>
  <si>
    <t>日期</t>
    <phoneticPr fontId="1" type="noConversion"/>
  </si>
  <si>
    <t>时长</t>
    <phoneticPr fontId="1" type="noConversion"/>
  </si>
  <si>
    <t>行标签</t>
  </si>
  <si>
    <t>总计</t>
  </si>
  <si>
    <t>列标签</t>
  </si>
  <si>
    <t>计数项:活动名称</t>
  </si>
  <si>
    <t>频度</t>
  </si>
  <si>
    <t>频度</t>
    <phoneticPr fontId="1" type="noConversion"/>
  </si>
  <si>
    <t>占比</t>
    <phoneticPr fontId="1" type="noConversion"/>
  </si>
  <si>
    <t>以下项目的总和:占比</t>
  </si>
  <si>
    <t>更新此表</t>
    <phoneticPr fontId="1" type="noConversion"/>
  </si>
  <si>
    <t>L_00023</t>
  </si>
  <si>
    <t>ICANI资料准备</t>
    <phoneticPr fontId="1" type="noConversion"/>
  </si>
  <si>
    <t>O_C01_ICANI系统</t>
    <phoneticPr fontId="1" type="noConversion"/>
  </si>
  <si>
    <t>将ICANI打造为可以销售的系统</t>
    <phoneticPr fontId="1" type="noConversion"/>
  </si>
  <si>
    <t>其他</t>
  </si>
  <si>
    <t>其他</t>
    <phoneticPr fontId="1" type="noConversion"/>
  </si>
  <si>
    <t>L_00024</t>
  </si>
  <si>
    <t>L_00025</t>
  </si>
  <si>
    <t>合格</t>
    <phoneticPr fontId="1" type="noConversion"/>
  </si>
  <si>
    <t>仰卧起坐</t>
    <phoneticPr fontId="1" type="noConversion"/>
  </si>
  <si>
    <t>午睡</t>
    <phoneticPr fontId="1" type="noConversion"/>
  </si>
  <si>
    <t>不合格</t>
    <phoneticPr fontId="1" type="noConversion"/>
  </si>
  <si>
    <t>L_00026</t>
  </si>
  <si>
    <t>L_00027</t>
  </si>
  <si>
    <t>L_00028</t>
  </si>
  <si>
    <t>L_00029</t>
  </si>
  <si>
    <t>L_00030</t>
  </si>
  <si>
    <t>L_00031</t>
  </si>
  <si>
    <t>L_00032</t>
  </si>
  <si>
    <t>L_00033</t>
  </si>
  <si>
    <t>L_00034</t>
  </si>
  <si>
    <t>L_00035</t>
  </si>
  <si>
    <t>L_00036</t>
  </si>
  <si>
    <t>L_00037</t>
  </si>
  <si>
    <t>L_00038</t>
  </si>
  <si>
    <t>L_00039</t>
  </si>
  <si>
    <t>L_00040</t>
  </si>
  <si>
    <t>L_00041</t>
  </si>
  <si>
    <t>L_00042</t>
  </si>
  <si>
    <t>L_00043</t>
  </si>
  <si>
    <t>L_00044</t>
  </si>
  <si>
    <t>L_00045</t>
  </si>
  <si>
    <t>L_00046</t>
  </si>
  <si>
    <t>合格</t>
    <phoneticPr fontId="1" type="noConversion"/>
  </si>
  <si>
    <t>L_00047</t>
  </si>
  <si>
    <t>O_C01-01_ICANI中文介绍XM</t>
  </si>
  <si>
    <t>O_C01-01_ICANI中文介绍XM</t>
    <phoneticPr fontId="1" type="noConversion"/>
  </si>
  <si>
    <t>制作中文版资料，为了3/20演示</t>
    <phoneticPr fontId="1" type="noConversion"/>
  </si>
  <si>
    <t>科威工作</t>
    <phoneticPr fontId="1" type="noConversion"/>
  </si>
  <si>
    <t>L_00048</t>
  </si>
  <si>
    <t>L_00049</t>
  </si>
  <si>
    <t>不合格</t>
    <phoneticPr fontId="1" type="noConversion"/>
  </si>
  <si>
    <t>合格</t>
    <phoneticPr fontId="1" type="noConversion"/>
  </si>
  <si>
    <t>合格</t>
    <phoneticPr fontId="1" type="noConversion"/>
  </si>
  <si>
    <t>合格</t>
    <phoneticPr fontId="1" type="noConversion"/>
  </si>
  <si>
    <t>L_00050</t>
  </si>
  <si>
    <t>每日检查点</t>
  </si>
  <si>
    <t>L_00051</t>
  </si>
  <si>
    <t>L_00052</t>
  </si>
  <si>
    <t>L_00053</t>
  </si>
  <si>
    <t>L_00054</t>
  </si>
  <si>
    <t>L_00055</t>
  </si>
  <si>
    <t>L_00056</t>
  </si>
  <si>
    <t>L_00057</t>
  </si>
  <si>
    <t>L_00058</t>
  </si>
  <si>
    <t>L_00059</t>
  </si>
  <si>
    <t>L_00060</t>
  </si>
  <si>
    <t>L_00061</t>
  </si>
  <si>
    <t>L_00062</t>
  </si>
  <si>
    <t>下雨</t>
    <phoneticPr fontId="1" type="noConversion"/>
  </si>
  <si>
    <t>下雨</t>
    <phoneticPr fontId="1" type="noConversion"/>
  </si>
  <si>
    <t>目标描述</t>
  </si>
  <si>
    <t>目标编号</t>
  </si>
  <si>
    <t>目标值</t>
  </si>
  <si>
    <t>目标单位</t>
  </si>
  <si>
    <t>结束时间</t>
    <phoneticPr fontId="1" type="noConversion"/>
  </si>
  <si>
    <t>结果</t>
    <phoneticPr fontId="1" type="noConversion"/>
  </si>
  <si>
    <t>今天</t>
    <phoneticPr fontId="1" type="noConversion"/>
  </si>
  <si>
    <t>现在</t>
    <phoneticPr fontId="1" type="noConversion"/>
  </si>
  <si>
    <t>目标列表</t>
    <phoneticPr fontId="1" type="noConversion"/>
  </si>
  <si>
    <t>选中目标</t>
    <phoneticPr fontId="1" type="noConversion"/>
  </si>
  <si>
    <t>打卡</t>
    <phoneticPr fontId="1" type="noConversion"/>
  </si>
  <si>
    <t>提交结果</t>
    <phoneticPr fontId="1" type="noConversion"/>
  </si>
  <si>
    <t>刷新列表</t>
    <phoneticPr fontId="1" type="noConversion"/>
  </si>
  <si>
    <t>L_00063</t>
  </si>
  <si>
    <t>构建此表（编程）</t>
    <phoneticPr fontId="1" type="noConversion"/>
  </si>
  <si>
    <t>制作打卡功能</t>
    <phoneticPr fontId="1" type="noConversion"/>
  </si>
  <si>
    <t>O_W002_骑行</t>
  </si>
  <si>
    <t>O_W004_手臂</t>
  </si>
  <si>
    <t>O_W005_阅读</t>
  </si>
  <si>
    <t>O_W006_思考</t>
  </si>
  <si>
    <t>O_W001_控制体重</t>
    <phoneticPr fontId="1" type="noConversion"/>
  </si>
  <si>
    <t>O_Janice_暑期提升_复习</t>
    <phoneticPr fontId="1" type="noConversion"/>
  </si>
  <si>
    <t>O_Janice_暑期提升_身心</t>
    <phoneticPr fontId="1" type="noConversion"/>
  </si>
  <si>
    <t>通过锻炼与学习，形成自制力</t>
    <phoneticPr fontId="1" type="noConversion"/>
  </si>
  <si>
    <t>O_Janice_暑期提升_电脑</t>
    <phoneticPr fontId="1" type="noConversion"/>
  </si>
  <si>
    <t>学会打字、学会简单编程</t>
    <phoneticPr fontId="1" type="noConversion"/>
  </si>
  <si>
    <t>A_0005_1</t>
    <phoneticPr fontId="1" type="noConversion"/>
  </si>
  <si>
    <t>找工作</t>
    <phoneticPr fontId="1" type="noConversion"/>
  </si>
  <si>
    <t>在北京找工作</t>
    <phoneticPr fontId="1" type="noConversion"/>
  </si>
  <si>
    <t>能够在9月份入职，符合自己的下阶段职业规划需求。</t>
    <phoneticPr fontId="1" type="noConversion"/>
  </si>
  <si>
    <t>进行中</t>
    <phoneticPr fontId="1" type="noConversion"/>
  </si>
  <si>
    <t>A_0005_2</t>
  </si>
  <si>
    <t>沟通</t>
    <phoneticPr fontId="1" type="noConversion"/>
  </si>
  <si>
    <t>1.与张洋沟通；
2.与几道沟通；
3.与微创+科威沟通。</t>
    <phoneticPr fontId="1" type="noConversion"/>
  </si>
  <si>
    <t>4月底前完成1、2；5月中旬完成3</t>
    <phoneticPr fontId="1" type="noConversion"/>
  </si>
  <si>
    <t>A_0005_3</t>
    <phoneticPr fontId="1" type="noConversion"/>
  </si>
  <si>
    <t>进行中</t>
    <phoneticPr fontId="1" type="noConversion"/>
  </si>
  <si>
    <t>在科威的交接工作</t>
    <phoneticPr fontId="1" type="noConversion"/>
  </si>
  <si>
    <t>A_0005_4</t>
  </si>
  <si>
    <t>搬家</t>
    <phoneticPr fontId="1" type="noConversion"/>
  </si>
  <si>
    <t>6月底前所有物品搬回北京</t>
    <phoneticPr fontId="1" type="noConversion"/>
  </si>
  <si>
    <t>A_0006</t>
    <phoneticPr fontId="1" type="noConversion"/>
  </si>
  <si>
    <t>未开始</t>
    <phoneticPr fontId="1" type="noConversion"/>
  </si>
  <si>
    <t>进行中</t>
    <phoneticPr fontId="1" type="noConversion"/>
  </si>
  <si>
    <t>1.与友富交接体系、品质，帮助友富与屈斌交接
2.与信鑫交接注册临床
3.与张洋交接采购</t>
    <phoneticPr fontId="1" type="noConversion"/>
  </si>
  <si>
    <t>贝妞提升</t>
    <phoneticPr fontId="1" type="noConversion"/>
  </si>
  <si>
    <t>A_0006_1</t>
    <phoneticPr fontId="1" type="noConversion"/>
  </si>
  <si>
    <t>贝妞学习资料整理</t>
    <phoneticPr fontId="1" type="noConversion"/>
  </si>
  <si>
    <t>未开始</t>
    <phoneticPr fontId="1" type="noConversion"/>
  </si>
  <si>
    <t>1.初一数学；初二数学预习
2.初一英语；英语词汇量突破
3.初一语文；需要考虑
4.电脑编程；使用编程解决简单问题
5.打字练习；熟练盲打</t>
    <phoneticPr fontId="1" type="noConversion"/>
  </si>
  <si>
    <t>将初一的语数英主要知识进行提炼、巩固和升级；对初二知识进行一定程度预习。</t>
    <phoneticPr fontId="1" type="noConversion"/>
  </si>
  <si>
    <t>种类</t>
    <phoneticPr fontId="1" type="noConversion"/>
  </si>
  <si>
    <t>内容</t>
    <phoneticPr fontId="1" type="noConversion"/>
  </si>
  <si>
    <t>编号</t>
    <phoneticPr fontId="1" type="noConversion"/>
  </si>
  <si>
    <t>说明</t>
    <phoneticPr fontId="1" type="noConversion"/>
  </si>
  <si>
    <t>A</t>
    <phoneticPr fontId="1" type="noConversion"/>
  </si>
  <si>
    <t>建立行为指导原则，遵守并改进之</t>
    <phoneticPr fontId="1" type="noConversion"/>
  </si>
  <si>
    <t>【目的】
自我行为指导原则（简称原则），是一个桥梁。在内在自我与外在行为之间，在短期自我与长期自我之间。
【适用范围、触发条件】
终身、任何场合
【行为选择】
A类原则，个人终极原则。适用于所有情况所有时间。对自己有终极指导意义的行为选择的原则，都应该记录；
B类原则，个人生活场景原则。适用于特定生活场合、特定时间阶段的原则。有助于实现自我终极目标，符合或有利于遵从A类原则的行为选择方式，都应该记录；
C类原则，个人工作原则。适用于特定工作场景，特定时间阶段的原则。有助于实现自我终极目标，符合或有利于遵从A类原则的行为选择方式，都应该记录。
【实施方法】
自我对话、外紧内松、持续改善</t>
    <phoneticPr fontId="1" type="noConversion"/>
  </si>
  <si>
    <t>A.2</t>
    <phoneticPr fontId="1" type="noConversion"/>
  </si>
  <si>
    <t>事实是一切认识的基础</t>
    <phoneticPr fontId="1" type="noConversion"/>
  </si>
  <si>
    <t>保持对自身行为的高度意识</t>
    <phoneticPr fontId="1" type="noConversion"/>
  </si>
  <si>
    <t>A.1.2</t>
    <phoneticPr fontId="1" type="noConversion"/>
  </si>
  <si>
    <t>建立自我秩序</t>
    <phoneticPr fontId="1" type="noConversion"/>
  </si>
  <si>
    <t>A.3</t>
    <phoneticPr fontId="1" type="noConversion"/>
  </si>
  <si>
    <t>掌握时间，不被时间掌握</t>
    <phoneticPr fontId="1" type="noConversion"/>
  </si>
  <si>
    <t>A.1</t>
    <phoneticPr fontId="1" type="noConversion"/>
  </si>
  <si>
    <t>A.1.1</t>
    <phoneticPr fontId="1" type="noConversion"/>
  </si>
  <si>
    <t>自我=&gt;愿景=&gt;目标=&gt;行为</t>
    <phoneticPr fontId="1" type="noConversion"/>
  </si>
  <si>
    <t>计划先于行动</t>
    <phoneticPr fontId="1" type="noConversion"/>
  </si>
  <si>
    <t>A.4</t>
    <phoneticPr fontId="1" type="noConversion"/>
  </si>
  <si>
    <t>建立认识世界的模型并不断实践、改进</t>
    <phoneticPr fontId="1" type="noConversion"/>
  </si>
  <si>
    <t>记录日期</t>
    <phoneticPr fontId="1" type="noConversion"/>
  </si>
  <si>
    <t>标题</t>
    <phoneticPr fontId="1" type="noConversion"/>
  </si>
  <si>
    <t>内容</t>
    <phoneticPr fontId="1" type="noConversion"/>
  </si>
  <si>
    <t>类别</t>
    <phoneticPr fontId="1" type="noConversion"/>
  </si>
  <si>
    <t>备注</t>
    <phoneticPr fontId="1" type="noConversion"/>
  </si>
  <si>
    <t>购买天眼查</t>
  </si>
  <si>
    <t>跟进冠昊，赛莱拉签订NDA</t>
  </si>
  <si>
    <t>下次调查公司时启动购买</t>
    <phoneticPr fontId="1" type="noConversion"/>
  </si>
  <si>
    <t>休眠</t>
    <phoneticPr fontId="1" type="noConversion"/>
  </si>
  <si>
    <t>行动</t>
    <phoneticPr fontId="1" type="noConversion"/>
  </si>
  <si>
    <t>行动跟进</t>
    <phoneticPr fontId="1" type="noConversion"/>
  </si>
  <si>
    <t>时间</t>
    <phoneticPr fontId="1" type="noConversion"/>
  </si>
  <si>
    <t>下次跟进时间，3月4日</t>
    <phoneticPr fontId="1" type="noConversion"/>
  </si>
  <si>
    <t>撰写横井协助需求列表</t>
    <phoneticPr fontId="1" type="noConversion"/>
  </si>
  <si>
    <t>发送横井协助需求列表</t>
    <phoneticPr fontId="1" type="noConversion"/>
  </si>
  <si>
    <t>赛格房租跟进</t>
    <phoneticPr fontId="1" type="noConversion"/>
  </si>
  <si>
    <t>培养基基本信息收集表（邮件以及记入跟进表）</t>
    <phoneticPr fontId="1" type="noConversion"/>
  </si>
  <si>
    <t>跟进集佳的调查审批（计入跟进表）</t>
    <phoneticPr fontId="1" type="noConversion"/>
  </si>
  <si>
    <t>一月份月报</t>
    <phoneticPr fontId="1" type="noConversion"/>
  </si>
  <si>
    <t>待机</t>
    <phoneticPr fontId="1" type="noConversion"/>
  </si>
  <si>
    <t>整理培养基相关知识</t>
    <phoneticPr fontId="1" type="noConversion"/>
  </si>
  <si>
    <t>筹划第一次中日沟通会议</t>
    <phoneticPr fontId="1" type="noConversion"/>
  </si>
  <si>
    <t>进行</t>
    <phoneticPr fontId="1" type="noConversion"/>
  </si>
  <si>
    <t>完成</t>
    <phoneticPr fontId="1" type="noConversion"/>
  </si>
  <si>
    <t>完成</t>
    <phoneticPr fontId="1" type="noConversion"/>
  </si>
  <si>
    <t>五家公司专利调查</t>
    <phoneticPr fontId="1" type="noConversion"/>
  </si>
  <si>
    <t>完成</t>
    <phoneticPr fontId="1" type="noConversion"/>
  </si>
  <si>
    <t>B</t>
    <phoneticPr fontId="1" type="noConversion"/>
  </si>
  <si>
    <t>B.1</t>
    <phoneticPr fontId="1" type="noConversion"/>
  </si>
  <si>
    <t>B.1.1</t>
    <phoneticPr fontId="1" type="noConversion"/>
  </si>
  <si>
    <t>一年之计在于春、一日之计在于晨
每天早上Review原则；每天早上安排一天要做的事情。
每周周一早上安排一周的主要活动与目标
每月第一天或者第一个周一上午，安排当月的主要目标和活动</t>
    <phoneticPr fontId="1" type="noConversion"/>
  </si>
  <si>
    <t>C</t>
    <phoneticPr fontId="1" type="noConversion"/>
  </si>
  <si>
    <t>A</t>
    <phoneticPr fontId="1" type="noConversion"/>
  </si>
  <si>
    <t>与小母牛分享所有信息、感受，对小母牛保持全透明</t>
    <phoneticPr fontId="1" type="noConversion"/>
  </si>
  <si>
    <t>忠实对待自己的欲望，与小母牛进行开放沟通</t>
    <phoneticPr fontId="1" type="noConversion"/>
  </si>
  <si>
    <t>行动后总结反思</t>
    <phoneticPr fontId="1" type="noConversion"/>
  </si>
  <si>
    <t>A</t>
    <phoneticPr fontId="1" type="noConversion"/>
  </si>
  <si>
    <t>B.2</t>
    <phoneticPr fontId="1" type="noConversion"/>
  </si>
  <si>
    <t>B.3</t>
    <phoneticPr fontId="1" type="noConversion"/>
  </si>
  <si>
    <t>保持锻炼身体</t>
    <phoneticPr fontId="1" type="noConversion"/>
  </si>
  <si>
    <t>每天晚上睡觉前对一天的活动进行回顾，并反思原则，找到正例，寻求改善</t>
    <phoneticPr fontId="1" type="noConversion"/>
  </si>
  <si>
    <t>A.3.1</t>
    <phoneticPr fontId="1" type="noConversion"/>
  </si>
  <si>
    <t>A.3.2</t>
  </si>
  <si>
    <t>控制饮食</t>
    <phoneticPr fontId="1" type="noConversion"/>
  </si>
  <si>
    <t>B.4</t>
    <phoneticPr fontId="1" type="noConversion"/>
  </si>
  <si>
    <t>控制自己的负面情绪</t>
    <phoneticPr fontId="1" type="noConversion"/>
  </si>
  <si>
    <t>每次看、下载小电影之前，先告诉老婆</t>
    <phoneticPr fontId="1" type="noConversion"/>
  </si>
  <si>
    <t>通过计划、事实、回顾的方式，将抽象的目标、愿望具体化，通过实施并分析，不断地进行螺旋式的改进。</t>
    <phoneticPr fontId="1" type="noConversion"/>
  </si>
  <si>
    <t>C.1</t>
    <phoneticPr fontId="1" type="noConversion"/>
  </si>
  <si>
    <t>保持沟通顺畅</t>
    <phoneticPr fontId="1" type="noConversion"/>
  </si>
  <si>
    <t>C.2</t>
    <phoneticPr fontId="1" type="noConversion"/>
  </si>
  <si>
    <t>在工作中掌控节奏</t>
    <phoneticPr fontId="1" type="noConversion"/>
  </si>
  <si>
    <t>C.3</t>
    <phoneticPr fontId="1" type="noConversion"/>
  </si>
  <si>
    <t>构建工作中的知识模型</t>
    <phoneticPr fontId="1" type="noConversion"/>
  </si>
  <si>
    <t>C.3.1</t>
    <phoneticPr fontId="1" type="noConversion"/>
  </si>
  <si>
    <t>C.3.2</t>
    <phoneticPr fontId="1" type="noConversion"/>
  </si>
  <si>
    <t>构建工作中的逻辑模型</t>
    <phoneticPr fontId="1" type="noConversion"/>
  </si>
  <si>
    <t>构建工作模型，将之与工作原则协同</t>
    <phoneticPr fontId="1" type="noConversion"/>
  </si>
  <si>
    <t>完成</t>
    <phoneticPr fontId="1" type="noConversion"/>
  </si>
  <si>
    <t>完成</t>
    <phoneticPr fontId="1" type="noConversion"/>
  </si>
  <si>
    <t>完成</t>
    <phoneticPr fontId="1" type="noConversion"/>
  </si>
  <si>
    <t>为3月13日与冠昊会议准备</t>
    <phoneticPr fontId="1" type="noConversion"/>
  </si>
  <si>
    <t>3月5日前提出具体方案</t>
    <phoneticPr fontId="1" type="noConversion"/>
  </si>
  <si>
    <t>整理完近期的几个公司在地图中的位置</t>
    <phoneticPr fontId="1" type="noConversion"/>
  </si>
  <si>
    <t>行动</t>
    <phoneticPr fontId="1" type="noConversion"/>
  </si>
  <si>
    <t>2月份月报</t>
    <phoneticPr fontId="1" type="noConversion"/>
  </si>
  <si>
    <t>进行</t>
    <phoneticPr fontId="1" type="noConversion"/>
  </si>
  <si>
    <t>行动</t>
    <phoneticPr fontId="1" type="noConversion"/>
  </si>
  <si>
    <t>在上海参加咨询访谈</t>
    <phoneticPr fontId="1" type="noConversion"/>
  </si>
  <si>
    <t>尝试联系北京大学人民医院关节病诊疗研究中心</t>
    <phoneticPr fontId="1" type="noConversion"/>
  </si>
  <si>
    <t>人脐带间充质干细胞治疗膝关节骨性关节炎的临床试验</t>
    <phoneticPr fontId="1" type="noConversion"/>
  </si>
  <si>
    <t>3月10日広州出張航空券予約</t>
    <phoneticPr fontId="1" type="noConversion"/>
  </si>
  <si>
    <t>整理1月-2月报销发票</t>
    <phoneticPr fontId="1" type="noConversion"/>
  </si>
  <si>
    <t>前期报销明细-验算</t>
    <phoneticPr fontId="1" type="noConversion"/>
  </si>
  <si>
    <t>完成</t>
    <phoneticPr fontId="1" type="noConversion"/>
  </si>
  <si>
    <t>完成</t>
    <phoneticPr fontId="1" type="noConversion"/>
  </si>
  <si>
    <t>完成</t>
    <phoneticPr fontId="1" type="noConversion"/>
  </si>
  <si>
    <t>访问药渡</t>
    <phoneticPr fontId="1" type="noConversion"/>
  </si>
  <si>
    <t>访问汉氏联合</t>
    <phoneticPr fontId="1" type="noConversion"/>
  </si>
  <si>
    <t>访问九芝堂</t>
    <phoneticPr fontId="1" type="noConversion"/>
  </si>
  <si>
    <t>访问昱龙盛世</t>
    <phoneticPr fontId="1" type="noConversion"/>
  </si>
  <si>
    <t>联系黑主任，讨论5月访问的可能性</t>
    <phoneticPr fontId="1" type="noConversion"/>
  </si>
  <si>
    <t>整理公司、医院等机构信息</t>
    <phoneticPr fontId="1" type="noConversion"/>
  </si>
  <si>
    <t>TBD</t>
    <phoneticPr fontId="1" type="noConversion"/>
  </si>
  <si>
    <t>待机</t>
    <phoneticPr fontId="1" type="noConversion"/>
  </si>
  <si>
    <t>再生医疗事业方案（技术转让、国内投资）</t>
    <phoneticPr fontId="1" type="noConversion"/>
  </si>
  <si>
    <t>整理报销</t>
    <phoneticPr fontId="1" type="noConversion"/>
  </si>
  <si>
    <t>建立公司评估准则</t>
    <phoneticPr fontId="1" type="noConversion"/>
  </si>
  <si>
    <t>学习Python</t>
    <phoneticPr fontId="1" type="noConversion"/>
  </si>
  <si>
    <t>制定细胞学习计划</t>
    <phoneticPr fontId="1" type="noConversion"/>
  </si>
  <si>
    <t>社保延长一个月</t>
    <phoneticPr fontId="1" type="noConversion"/>
  </si>
  <si>
    <t>联系302医院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</si>
</sst>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 * #,##0.00_ ;_ * \-#,##0.00_ ;_ * &quot;-&quot;??_ ;_ @_ "/>
    <numFmt numFmtId="176" formatCode="m/d;@"/>
    <numFmt numFmtId="177" formatCode="h:mm;@"/>
  </numFmts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28">
    <xf numFmtId="0" fontId="0" fillId="0" borderId="0" xfId="0"/>
    <xf numFmtId="22" fontId="0" fillId="0" borderId="0" xfId="0" applyNumberFormat="1"/>
    <xf numFmtId="14" fontId="0" fillId="0" borderId="0" xfId="0" applyNumberFormat="1"/>
    <xf numFmtId="0" fontId="0" fillId="0" borderId="0" xfId="0" applyAlignment="1">
      <alignment wrapText="1"/>
    </xf>
    <xf numFmtId="176" fontId="0" fillId="0" borderId="0" xfId="0" applyNumberFormat="1"/>
    <xf numFmtId="0" fontId="2" fillId="0" borderId="0" xfId="1"/>
    <xf numFmtId="0" fontId="2" fillId="0" borderId="0" xfId="1" applyNumberFormat="1"/>
    <xf numFmtId="0" fontId="2" fillId="0" borderId="0" xfId="1" applyAlignment="1">
      <alignment wrapText="1"/>
    </xf>
    <xf numFmtId="0" fontId="0" fillId="0" borderId="0" xfId="0" applyNumberFormat="1"/>
    <xf numFmtId="0" fontId="0" fillId="0" borderId="0" xfId="1" applyFont="1" applyAlignment="1">
      <alignment wrapText="1"/>
    </xf>
    <xf numFmtId="9" fontId="0" fillId="0" borderId="0" xfId="3" applyFont="1" applyAlignment="1"/>
    <xf numFmtId="0" fontId="0" fillId="0" borderId="0" xfId="1" applyFont="1"/>
    <xf numFmtId="43" fontId="0" fillId="0" borderId="0" xfId="2" applyNumberFormat="1" applyFont="1" applyAlignment="1"/>
    <xf numFmtId="177" fontId="0" fillId="0" borderId="0" xfId="0" applyNumberFormat="1"/>
    <xf numFmtId="177" fontId="0" fillId="0" borderId="0" xfId="2" applyNumberFormat="1" applyFont="1" applyAlignment="1"/>
    <xf numFmtId="0" fontId="0" fillId="2" borderId="0" xfId="0" applyFill="1"/>
    <xf numFmtId="43" fontId="0" fillId="2" borderId="0" xfId="2" applyNumberFormat="1" applyFont="1" applyFill="1" applyAlignment="1"/>
    <xf numFmtId="0" fontId="0" fillId="0" borderId="0" xfId="0" pivotButton="1"/>
    <xf numFmtId="176" fontId="0" fillId="0" borderId="0" xfId="0" applyNumberFormat="1" applyAlignment="1">
      <alignment horizontal="left"/>
    </xf>
    <xf numFmtId="10" fontId="0" fillId="0" borderId="0" xfId="0" applyNumberFormat="1"/>
    <xf numFmtId="0" fontId="0" fillId="0" borderId="0" xfId="0" applyAlignment="1">
      <alignment horizontal="left"/>
    </xf>
    <xf numFmtId="9" fontId="0" fillId="0" borderId="0" xfId="0" applyNumberFormat="1"/>
    <xf numFmtId="177" fontId="3" fillId="0" borderId="0" xfId="2" applyNumberFormat="1" applyFont="1" applyAlignment="1"/>
    <xf numFmtId="9" fontId="3" fillId="0" borderId="0" xfId="3" applyFont="1" applyAlignment="1"/>
    <xf numFmtId="21" fontId="0" fillId="0" borderId="0" xfId="0" applyNumberFormat="1"/>
    <xf numFmtId="177" fontId="4" fillId="0" borderId="0" xfId="2" applyNumberFormat="1" applyFont="1" applyAlignment="1"/>
    <xf numFmtId="9" fontId="4" fillId="0" borderId="0" xfId="3" applyFont="1" applyAlignment="1"/>
    <xf numFmtId="0" fontId="0" fillId="0" borderId="1" xfId="0" applyBorder="1"/>
  </cellXfs>
  <cellStyles count="4">
    <cellStyle name="百分比" xfId="3" builtinId="5"/>
    <cellStyle name="常规" xfId="0" builtinId="0"/>
    <cellStyle name="常规 2" xfId="1"/>
    <cellStyle name="千位分隔" xfId="2" builtinId="3"/>
  </cellStyles>
  <dxfs count="24">
    <dxf>
      <numFmt numFmtId="19" formatCode="yyyy/m/d"/>
    </dxf>
    <dxf>
      <numFmt numFmtId="19" formatCode="yyyy/m/d"/>
    </dxf>
    <dxf>
      <alignment horizontal="general" vertical="bottom" textRotation="0" wrapText="1" indent="0" justifyLastLine="0" shrinkToFit="0" readingOrder="0"/>
    </dxf>
    <dxf>
      <fill>
        <patternFill>
          <bgColor rgb="FF92D050"/>
        </patternFill>
      </fill>
    </dxf>
    <dxf>
      <fill>
        <patternFill>
          <bgColor rgb="FFFF6600"/>
        </patternFill>
      </fill>
    </dxf>
    <dxf>
      <fill>
        <patternFill>
          <bgColor rgb="FF92D050"/>
        </patternFill>
      </fill>
    </dxf>
    <dxf>
      <fill>
        <patternFill>
          <bgColor rgb="FFFF6600"/>
        </patternFill>
      </fill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numFmt numFmtId="177" formatCode="h:mm;@"/>
      <alignment horizontal="general" vertical="bottom" textRotation="0" wrapText="0" indent="0" justifyLastLine="0" shrinkToFit="0" readingOrder="0"/>
    </dxf>
    <dxf>
      <numFmt numFmtId="178" formatCode="[$-409]yyyy/m/d\ h:mm\ AM/PM;@"/>
    </dxf>
    <dxf>
      <numFmt numFmtId="176" formatCode="m/d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35" formatCode="_ * #,##0.00_ ;_ * \-#,##0.00_ ;_ * &quot;-&quot;??_ ;_ @_ "/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[SELFCONSTRUCTION.xlsm]仪表!数据透视表1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仪表!$B$2:$B$3</c:f>
              <c:strCache>
                <c:ptCount val="1"/>
                <c:pt idx="0">
                  <c:v>不合格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仪表!$A$4:$A$8</c:f>
              <c:strCache>
                <c:ptCount val="4"/>
                <c:pt idx="0">
                  <c:v>3/17</c:v>
                </c:pt>
                <c:pt idx="1">
                  <c:v>3/18</c:v>
                </c:pt>
                <c:pt idx="2">
                  <c:v>3/19</c:v>
                </c:pt>
                <c:pt idx="3">
                  <c:v>3/20</c:v>
                </c:pt>
              </c:strCache>
            </c:strRef>
          </c:cat>
          <c:val>
            <c:numRef>
              <c:f>仪表!$B$4:$B$8</c:f>
              <c:numCache>
                <c:formatCode>0.00%</c:formatCode>
                <c:ptCount val="4"/>
                <c:pt idx="0">
                  <c:v>0.18181818181818182</c:v>
                </c:pt>
                <c:pt idx="1">
                  <c:v>0.27272727272727271</c:v>
                </c:pt>
                <c:pt idx="2">
                  <c:v>0.25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5A-4100-BD74-FFF07775A492}"/>
            </c:ext>
          </c:extLst>
        </c:ser>
        <c:ser>
          <c:idx val="1"/>
          <c:order val="1"/>
          <c:tx>
            <c:strRef>
              <c:f>仪表!$C$2:$C$3</c:f>
              <c:strCache>
                <c:ptCount val="1"/>
                <c:pt idx="0">
                  <c:v>合格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仪表!$A$4:$A$8</c:f>
              <c:strCache>
                <c:ptCount val="4"/>
                <c:pt idx="0">
                  <c:v>3/17</c:v>
                </c:pt>
                <c:pt idx="1">
                  <c:v>3/18</c:v>
                </c:pt>
                <c:pt idx="2">
                  <c:v>3/19</c:v>
                </c:pt>
                <c:pt idx="3">
                  <c:v>3/20</c:v>
                </c:pt>
              </c:strCache>
            </c:strRef>
          </c:cat>
          <c:val>
            <c:numRef>
              <c:f>仪表!$C$4:$C$8</c:f>
              <c:numCache>
                <c:formatCode>0.00%</c:formatCode>
                <c:ptCount val="4"/>
                <c:pt idx="0">
                  <c:v>0.81818181818181823</c:v>
                </c:pt>
                <c:pt idx="1">
                  <c:v>0.72727272727272729</c:v>
                </c:pt>
                <c:pt idx="2">
                  <c:v>0.75</c:v>
                </c:pt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5A-4100-BD74-FFF07775A4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6182176"/>
        <c:axId val="1086182592"/>
      </c:lineChart>
      <c:catAx>
        <c:axId val="1086182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86182592"/>
        <c:crosses val="autoZero"/>
        <c:auto val="1"/>
        <c:lblAlgn val="ctr"/>
        <c:lblOffset val="100"/>
        <c:noMultiLvlLbl val="0"/>
      </c:catAx>
      <c:valAx>
        <c:axId val="108618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8618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62630</xdr:colOff>
      <xdr:row>17</xdr:row>
      <xdr:rowOff>151748</xdr:rowOff>
    </xdr:from>
    <xdr:to>
      <xdr:col>7</xdr:col>
      <xdr:colOff>433191</xdr:colOff>
      <xdr:row>33</xdr:row>
      <xdr:rowOff>76592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SELFCONSTRUCTION-V2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作者" refreshedDate="43179.284197569446" backgroundQuery="1" createdVersion="6" refreshedVersion="6" minRefreshableVersion="3" recordCount="0" supportSubquery="1" supportAdvancedDrill="1">
  <cacheSource type="external" connectionId="1"/>
  <cacheFields count="4">
    <cacheField name="[TABLE_日志].[关联目标].[关联目标]" caption="关联目标" numFmtId="0" hierarchy="10" level="1">
      <sharedItems count="12">
        <s v="O_D0004_鼓励孩子"/>
        <s v="O_D0005_孩子沟通"/>
        <s v="O_D0006_老婆沟通"/>
        <s v="O_D0007_睡眠按时"/>
        <s v="O_D0008_起床"/>
        <s v="O_D0009_晚刷牙"/>
        <s v="O_D0010_睡眠时间"/>
        <s v="O_D0011_骑行"/>
        <s v="O_D0012_腹肌"/>
        <s v="O_D0013_手臂"/>
        <s v="O_D0014_阅读"/>
        <s v="O_D0015_表更新"/>
      </sharedItems>
    </cacheField>
    <cacheField name="[TABLE_日志].[日期].[日期]" caption="日期" numFmtId="0" hierarchy="17" level="1">
      <sharedItems containsSemiMixedTypes="0" containsNonDate="0" containsDate="1" containsString="0" minDate="1899-12-30T00:00:00" maxDate="2018-03-21T00:00:00" count="5">
        <d v="1899-12-30T00:00:00"/>
        <d v="2018-03-17T00:00:00"/>
        <d v="2018-03-18T00:00:00"/>
        <d v="2018-03-19T00:00:00"/>
        <d v="2018-03-20T00:00:00"/>
      </sharedItems>
    </cacheField>
    <cacheField name="[TABLE_日志].[频度].[频度]" caption="频度" numFmtId="0" hierarchy="14" level="1">
      <sharedItems containsSemiMixedTypes="0" containsNonDate="0" containsString="0"/>
    </cacheField>
    <cacheField name="[Measures].[以下项目的总和:占比]" caption="以下项目的总和:占比" numFmtId="0" hierarchy="28" level="32767"/>
  </cacheFields>
  <cacheHierarchies count="30">
    <cacheHierarchy uniqueName="[TABLE_行动].[行动编号]" caption="行动编号" attribute="1" defaultMemberUniqueName="[TABLE_行动].[行动编号].[All]" allUniqueName="[TABLE_行动].[行动编号].[All]" dimensionUniqueName="[TABLE_行动]" displayFolder="" count="0" memberValueDatatype="130" unbalanced="0"/>
    <cacheHierarchy uniqueName="[TABLE_行动].[行动名称]" caption="行动名称" attribute="1" defaultMemberUniqueName="[TABLE_行动].[行动名称].[All]" allUniqueName="[TABLE_行动].[行动名称].[All]" dimensionUniqueName="[TABLE_行动]" displayFolder="" count="0" memberValueDatatype="130" unbalanced="0"/>
    <cacheHierarchy uniqueName="[TABLE_行动].[行动描述]" caption="行动描述" attribute="1" defaultMemberUniqueName="[TABLE_行动].[行动描述].[All]" allUniqueName="[TABLE_行动].[行动描述].[All]" dimensionUniqueName="[TABLE_行动]" displayFolder="" count="0" memberValueDatatype="130" unbalanced="0"/>
    <cacheHierarchy uniqueName="[TABLE_行动].[期望结果]" caption="期望结果" attribute="1" defaultMemberUniqueName="[TABLE_行动].[期望结果].[All]" allUniqueName="[TABLE_行动].[期望结果].[All]" dimensionUniqueName="[TABLE_行动]" displayFolder="" count="0" memberValueDatatype="130" unbalanced="0"/>
    <cacheHierarchy uniqueName="[TABLE_行动].[开始时间]" caption="开始时间" attribute="1" defaultMemberUniqueName="[TABLE_行动].[开始时间].[All]" allUniqueName="[TABLE_行动].[开始时间].[All]" dimensionUniqueName="[TABLE_行动]" displayFolder="" count="0" memberValueDatatype="130" unbalanced="0"/>
    <cacheHierarchy uniqueName="[TABLE_行动].[达成时间]" caption="达成时间" attribute="1" defaultMemberUniqueName="[TABLE_行动].[达成时间].[All]" allUniqueName="[TABLE_行动].[达成时间].[All]" dimensionUniqueName="[TABLE_行动]" displayFolder="" count="0" memberValueDatatype="130" unbalanced="0"/>
    <cacheHierarchy uniqueName="[TABLE_行动].[状态]" caption="状态" attribute="1" defaultMemberUniqueName="[TABLE_行动].[状态].[All]" allUniqueName="[TABLE_行动].[状态].[All]" dimensionUniqueName="[TABLE_行动]" displayFolder="" count="0" memberValueDatatype="130" unbalanced="0"/>
    <cacheHierarchy uniqueName="[TABLE_行动].[备注]" caption="备注" attribute="1" defaultMemberUniqueName="[TABLE_行动].[备注].[All]" allUniqueName="[TABLE_行动].[备注].[All]" dimensionUniqueName="[TABLE_行动]" displayFolder="" count="0" memberValueDatatype="130" unbalanced="0"/>
    <cacheHierarchy uniqueName="[TABLE_日志].[日志编号]" caption="日志编号" attribute="1" defaultMemberUniqueName="[TABLE_日志].[日志编号].[All]" allUniqueName="[TABLE_日志].[日志编号].[All]" dimensionUniqueName="[TABLE_日志]" displayFolder="" count="0" memberValueDatatype="130" unbalanced="0"/>
    <cacheHierarchy uniqueName="[TABLE_日志].[活动名称]" caption="活动名称" attribute="1" defaultMemberUniqueName="[TABLE_日志].[活动名称].[All]" allUniqueName="[TABLE_日志].[活动名称].[All]" dimensionUniqueName="[TABLE_日志]" displayFolder="" count="0" memberValueDatatype="130" unbalanced="0"/>
    <cacheHierarchy uniqueName="[TABLE_日志].[关联目标]" caption="关联目标" attribute="1" defaultMemberUniqueName="[TABLE_日志].[关联目标].[All]" allUniqueName="[TABLE_日志].[关联目标].[All]" dimensionUniqueName="[TABLE_日志]" displayFolder="" count="2" memberValueDatatype="130" unbalanced="0">
      <fieldsUsage count="2">
        <fieldUsage x="-1"/>
        <fieldUsage x="0"/>
      </fieldsUsage>
    </cacheHierarchy>
    <cacheHierarchy uniqueName="[TABLE_日志].[目标描述]" caption="目标描述" attribute="1" defaultMemberUniqueName="[TABLE_日志].[目标描述].[All]" allUniqueName="[TABLE_日志].[目标描述].[All]" dimensionUniqueName="[TABLE_日志]" displayFolder="" count="0" memberValueDatatype="130" unbalanced="0"/>
    <cacheHierarchy uniqueName="[TABLE_日志].[目标]" caption="目标" attribute="1" defaultMemberUniqueName="[TABLE_日志].[目标].[All]" allUniqueName="[TABLE_日志].[目标].[All]" dimensionUniqueName="[TABLE_日志]" displayFolder="" count="0" memberValueDatatype="130" unbalanced="0"/>
    <cacheHierarchy uniqueName="[TABLE_日志].[单位]" caption="单位" attribute="1" defaultMemberUniqueName="[TABLE_日志].[单位].[All]" allUniqueName="[TABLE_日志].[单位].[All]" dimensionUniqueName="[TABLE_日志]" displayFolder="" count="0" memberValueDatatype="130" unbalanced="0"/>
    <cacheHierarchy uniqueName="[TABLE_日志].[频度]" caption="频度" attribute="1" defaultMemberUniqueName="[TABLE_日志].[频度].[All]" allUniqueName="[TABLE_日志].[频度].[All]" dimensionUniqueName="[TABLE_日志]" displayFolder="" count="2" memberValueDatatype="130" unbalanced="0">
      <fieldsUsage count="2">
        <fieldUsage x="-1"/>
        <fieldUsage x="2"/>
      </fieldsUsage>
    </cacheHierarchy>
    <cacheHierarchy uniqueName="[TABLE_日志].[结果]" caption="结果" attribute="1" defaultMemberUniqueName="[TABLE_日志].[结果].[All]" allUniqueName="[TABLE_日志].[结果].[All]" dimensionUniqueName="[TABLE_日志]" displayFolder="" count="0" memberValueDatatype="5" unbalanced="0"/>
    <cacheHierarchy uniqueName="[TABLE_日志].[判定]" caption="判定" attribute="1" defaultMemberUniqueName="[TABLE_日志].[判定].[All]" allUniqueName="[TABLE_日志].[判定].[All]" dimensionUniqueName="[TABLE_日志]" displayFolder="" count="0" memberValueDatatype="130" unbalanced="0"/>
    <cacheHierarchy uniqueName="[TABLE_日志].[日期]" caption="日期" attribute="1" time="1" defaultMemberUniqueName="[TABLE_日志].[日期].[All]" allUniqueName="[TABLE_日志].[日期].[All]" dimensionUniqueName="[TABLE_日志]" displayFolder="" count="2" memberValueDatatype="7" unbalanced="0">
      <fieldsUsage count="2">
        <fieldUsage x="-1"/>
        <fieldUsage x="1"/>
      </fieldsUsage>
    </cacheHierarchy>
    <cacheHierarchy uniqueName="[TABLE_日志].[开始]" caption="开始" attribute="1" time="1" defaultMemberUniqueName="[TABLE_日志].[开始].[All]" allUniqueName="[TABLE_日志].[开始].[All]" dimensionUniqueName="[TABLE_日志]" displayFolder="" count="0" memberValueDatatype="7" unbalanced="0"/>
    <cacheHierarchy uniqueName="[TABLE_日志].[结束]" caption="结束" attribute="1" time="1" defaultMemberUniqueName="[TABLE_日志].[结束].[All]" allUniqueName="[TABLE_日志].[结束].[All]" dimensionUniqueName="[TABLE_日志]" displayFolder="" count="0" memberValueDatatype="7" unbalanced="0"/>
    <cacheHierarchy uniqueName="[TABLE_日志].[时长]" caption="时长" attribute="1" time="1" defaultMemberUniqueName="[TABLE_日志].[时长].[All]" allUniqueName="[TABLE_日志].[时长].[All]" dimensionUniqueName="[TABLE_日志]" displayFolder="" count="0" memberValueDatatype="7" unbalanced="0"/>
    <cacheHierarchy uniqueName="[TABLE_日志].[占比]" caption="占比" attribute="1" defaultMemberUniqueName="[TABLE_日志].[占比].[All]" allUniqueName="[TABLE_日志].[占比].[All]" dimensionUniqueName="[TABLE_日志]" displayFolder="" count="0" memberValueDatatype="5" unbalanced="0"/>
    <cacheHierarchy uniqueName="[TABLE_日志].[计划内]" caption="计划内" attribute="1" defaultMemberUniqueName="[TABLE_日志].[计划内].[All]" allUniqueName="[TABLE_日志].[计划内].[All]" dimensionUniqueName="[TABLE_日志]" displayFolder="" count="0" memberValueDatatype="11" unbalanced="0"/>
    <cacheHierarchy uniqueName="[TABLE_日志].[备注]" caption="备注" attribute="1" defaultMemberUniqueName="[TABLE_日志].[备注].[All]" allUniqueName="[TABLE_日志].[备注].[All]" dimensionUniqueName="[TABLE_日志]" displayFolder="" count="0" memberValueDatatype="130" unbalanced="0"/>
    <cacheHierarchy uniqueName="[Measures].[__XL_Count TABLE_日志]" caption="__XL_Count TABLE_日志" measure="1" displayFolder="" measureGroup="TABLE_日志" count="0" hidden="1"/>
    <cacheHierarchy uniqueName="[Measures].[__XL_Count TABLE_行动]" caption="__XL_Count TABLE_行动" measure="1" displayFolder="" measureGroup="TABLE_行动" count="0" hidden="1"/>
    <cacheHierarchy uniqueName="[Measures].[__No measures defined]" caption="__No measures defined" measure="1" displayFolder="" count="0" hidden="1"/>
    <cacheHierarchy uniqueName="[Measures].[以下项目的计数:时长]" caption="以下项目的计数:时长" measure="1" displayFolder="" measureGroup="TABLE_日志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以下项目的总和:占比]" caption="以下项目的总和:占比" measure="1" displayFolder="" measureGroup="TABLE_日志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以下项目的计数:活动名称]" caption="以下项目的计数:活动名称" measure="1" displayFolder="" measureGroup="TABLE_日志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3">
    <dimension measure="1" name="Measures" uniqueName="[Measures]" caption="Measures"/>
    <dimension name="TABLE_行动" uniqueName="[TABLE_行动]" caption="TABLE_行动"/>
    <dimension name="TABLE_日志" uniqueName="[TABLE_日志]" caption="TABLE_日志"/>
  </dimensions>
  <measureGroups count="2">
    <measureGroup name="TABLE_行动" caption="TABLE_行动"/>
    <measureGroup name="TABLE_日志" caption="TABLE_日志"/>
  </measureGroups>
  <maps count="2">
    <map measureGroup="0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3179.28420115741" createdVersion="6" refreshedVersion="6" minRefreshableVersion="3" recordCount="62">
  <cacheSource type="worksheet">
    <worksheetSource name="TABLE_日志" r:id="rId2"/>
  </cacheSource>
  <cacheFields count="16">
    <cacheField name="日志编号" numFmtId="0">
      <sharedItems/>
    </cacheField>
    <cacheField name="活动名称" numFmtId="0">
      <sharedItems/>
    </cacheField>
    <cacheField name="关联目标" numFmtId="0">
      <sharedItems containsBlank="1"/>
    </cacheField>
    <cacheField name="目标描述" numFmtId="0">
      <sharedItems/>
    </cacheField>
    <cacheField name="目标" numFmtId="0">
      <sharedItems containsMixedTypes="1" containsNumber="1" containsInteger="1" minValue="1" maxValue="88"/>
    </cacheField>
    <cacheField name="单位" numFmtId="0">
      <sharedItems/>
    </cacheField>
    <cacheField name="频度" numFmtId="0">
      <sharedItems/>
    </cacheField>
    <cacheField name="结果" numFmtId="0">
      <sharedItems containsString="0" containsBlank="1" containsNumber="1" minValue="0" maxValue="100"/>
    </cacheField>
    <cacheField name="判定" numFmtId="0">
      <sharedItems containsBlank="1" count="4">
        <s v="合格"/>
        <s v="不适用"/>
        <s v="不合格"/>
        <m/>
      </sharedItems>
    </cacheField>
    <cacheField name="日期" numFmtId="176">
      <sharedItems containsSemiMixedTypes="0" containsNonDate="0" containsDate="1" containsString="0" minDate="1899-12-30T00:00:00" maxDate="2018-03-21T00:00:00" count="5">
        <d v="2018-03-17T00:00:00"/>
        <d v="2018-03-18T00:00:00"/>
        <d v="2018-03-19T00:00:00"/>
        <d v="2018-03-20T00:00:00"/>
        <d v="1899-12-30T00:00:00"/>
      </sharedItems>
    </cacheField>
    <cacheField name="开始" numFmtId="0">
      <sharedItems containsNonDate="0" containsDate="1" containsString="0" containsBlank="1" minDate="2018-03-17T08:00:00" maxDate="2018-03-20T06:15:33"/>
    </cacheField>
    <cacheField name="结束" numFmtId="0">
      <sharedItems containsNonDate="0" containsDate="1" containsString="0" containsBlank="1" minDate="2018-03-17T08:30:00" maxDate="2018-03-20T06:45:33"/>
    </cacheField>
    <cacheField name="时长" numFmtId="177">
      <sharedItems containsSemiMixedTypes="0" containsNonDate="0" containsDate="1" containsString="0" minDate="1899-12-30T00:00:00" maxDate="1899-12-30T11:41:33"/>
    </cacheField>
    <cacheField name="占比" numFmtId="9">
      <sharedItems containsSemiMixedTypes="0" containsString="0" containsNumber="1" minValue="0" maxValue="0.48718842592643341"/>
    </cacheField>
    <cacheField name="计划内" numFmtId="0">
      <sharedItems/>
    </cacheField>
    <cacheField name="备注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2">
  <r>
    <s v="L_00001"/>
    <s v="锻炼手臂"/>
    <s v="O_D0013_手臂"/>
    <s v="每天，锻炼手臂不少于20分钟"/>
    <n v="20"/>
    <s v="min"/>
    <s v="每日"/>
    <n v="30"/>
    <x v="0"/>
    <x v="0"/>
    <d v="2018-03-17T08:00:00"/>
    <d v="2018-03-17T08:30:00"/>
    <d v="1899-12-30T00:30:00"/>
    <n v="2.0833333328482695E-2"/>
    <b v="1"/>
    <m/>
  </r>
  <r>
    <s v="L_00002"/>
    <s v="骑行"/>
    <s v="O_D0011_骑行"/>
    <s v="每天，骑行30KM，或者步行5KM"/>
    <n v="30"/>
    <s v="km"/>
    <s v="每日"/>
    <n v="34"/>
    <x v="0"/>
    <x v="0"/>
    <d v="2018-03-17T08:30:00"/>
    <d v="2018-03-17T09:45:00"/>
    <d v="1899-12-30T01:15:00"/>
    <n v="5.2083333335758653E-2"/>
    <b v="1"/>
    <m/>
  </r>
  <r>
    <s v="L_00003"/>
    <s v="创建此表"/>
    <s v="O_D0015_表更新"/>
    <s v="每天，确保本表的更新"/>
    <n v="1"/>
    <s v="time"/>
    <s v="每日"/>
    <n v="1"/>
    <x v="0"/>
    <x v="0"/>
    <d v="2018-03-17T17:00:00"/>
    <d v="2018-03-17T19:23:00"/>
    <d v="1899-12-30T02:23:00"/>
    <n v="9.9305902775085997E-2"/>
    <b v="0"/>
    <m/>
  </r>
  <r>
    <s v="L_00004"/>
    <s v="与董方达电话"/>
    <m/>
    <s v=""/>
    <s v=""/>
    <s v=""/>
    <s v=""/>
    <m/>
    <x v="1"/>
    <x v="0"/>
    <d v="2018-03-17T18:20:00"/>
    <d v="2018-03-17T18:50:00"/>
    <d v="1899-12-30T00:30:00"/>
    <n v="2.0833333328482695E-2"/>
    <b v="0"/>
    <s v="聊到了使用外部资源来丰富ICANI学习内容库的可能性，需要进一步跟进。"/>
  </r>
  <r>
    <s v="L_00005"/>
    <s v="与小母牛电话"/>
    <s v="O_D0006_老婆沟通"/>
    <s v="每天，与小母牛沟通10分钟"/>
    <n v="1"/>
    <s v="time"/>
    <s v="每日"/>
    <n v="1"/>
    <x v="0"/>
    <x v="0"/>
    <d v="2018-03-17T18:50:00"/>
    <d v="2018-03-17T19:15:00"/>
    <d v="1899-12-30T00:25:00"/>
    <n v="1.7361111116770189E-2"/>
    <b v="0"/>
    <m/>
  </r>
  <r>
    <s v="L_00006"/>
    <s v="晚上休憩"/>
    <m/>
    <s v=""/>
    <s v=""/>
    <s v=""/>
    <s v=""/>
    <m/>
    <x v="1"/>
    <x v="0"/>
    <d v="2018-03-17T19:15:00"/>
    <d v="2018-03-17T23:30:00"/>
    <d v="1899-12-30T04:15:00"/>
    <n v="0.17708333332848269"/>
    <b v="1"/>
    <m/>
  </r>
  <r>
    <s v="L_00007"/>
    <s v="仰卧起坐"/>
    <s v="O_D0012_腹肌"/>
    <s v="每天，仰卧起坐不少于50个"/>
    <n v="50"/>
    <s v="time"/>
    <s v="每日"/>
    <n v="60"/>
    <x v="0"/>
    <x v="0"/>
    <d v="2018-03-17T20:15:00"/>
    <d v="2018-03-17T20:45:00"/>
    <d v="1899-12-30T00:30:00"/>
    <n v="2.0833333335758653E-2"/>
    <b v="1"/>
    <m/>
  </r>
  <r>
    <s v="L_00008"/>
    <s v="与贝妞电话"/>
    <s v="O_D0005_孩子沟通"/>
    <s v="每天，与孩子沟通10分钟"/>
    <n v="1"/>
    <s v="time"/>
    <s v="每日"/>
    <n v="1"/>
    <x v="0"/>
    <x v="0"/>
    <d v="2018-03-17T23:00:00"/>
    <d v="2018-03-17T23:30:00"/>
    <d v="1899-12-30T00:30:00"/>
    <n v="2.0833333328482695E-2"/>
    <b v="0"/>
    <m/>
  </r>
  <r>
    <s v="L_00009"/>
    <s v="阅读"/>
    <s v="O_D0014_阅读"/>
    <s v="每天，阅读时间不少于45分钟"/>
    <n v="45"/>
    <s v="min"/>
    <s v="每日"/>
    <n v="45"/>
    <x v="0"/>
    <x v="0"/>
    <d v="2018-03-17T23:30:00"/>
    <d v="2018-03-18T00:15:00"/>
    <d v="1899-12-30T00:45:00"/>
    <n v="3.125E-2"/>
    <b v="1"/>
    <s v="爱因斯坦《相对论》"/>
  </r>
  <r>
    <s v="L_00010"/>
    <s v="每日检查点"/>
    <s v="O_D0007_睡眠按时"/>
    <s v="每天，晚上11点以前睡觉"/>
    <n v="1"/>
    <s v="time"/>
    <s v="每日"/>
    <n v="0"/>
    <x v="2"/>
    <x v="0"/>
    <d v="2018-03-17T23:30:00"/>
    <d v="2018-03-17T23:30:00"/>
    <d v="1899-12-30T00:00:00"/>
    <n v="0"/>
    <b v="1"/>
    <m/>
  </r>
  <r>
    <s v="L_00011"/>
    <s v="每日检查点"/>
    <s v="O_D0004_鼓励孩子"/>
    <s v="每天，不说打击贝妞的话"/>
    <n v="1"/>
    <s v="time"/>
    <s v="每日"/>
    <n v="1"/>
    <x v="0"/>
    <x v="0"/>
    <d v="2018-03-17T23:30:00"/>
    <d v="2018-03-17T23:30:00"/>
    <d v="1899-12-30T00:00:00"/>
    <n v="0"/>
    <b v="1"/>
    <m/>
  </r>
  <r>
    <s v="L_00012"/>
    <s v="每日检查点"/>
    <s v="O_D0009_晚刷牙"/>
    <s v="每天，每天晚上刷牙"/>
    <n v="1"/>
    <s v="time"/>
    <s v="每日"/>
    <n v="0"/>
    <x v="2"/>
    <x v="0"/>
    <d v="2018-03-17T23:30:00"/>
    <d v="2018-03-17T23:30:00"/>
    <d v="1899-12-30T00:00:00"/>
    <n v="0"/>
    <b v="1"/>
    <m/>
  </r>
  <r>
    <s v="L_00013"/>
    <s v="睡觉"/>
    <s v="O_D0010_睡眠时间"/>
    <s v="每天，前一天睡眠总时间达到7小时"/>
    <n v="7"/>
    <s v="hr"/>
    <s v="每日"/>
    <n v="1"/>
    <x v="0"/>
    <x v="0"/>
    <d v="2018-03-18T00:15:00"/>
    <d v="2018-03-18T06:30:00"/>
    <d v="1899-12-30T06:15:00"/>
    <n v="0.26041666667151731"/>
    <b v="1"/>
    <m/>
  </r>
  <r>
    <s v="L_00014"/>
    <s v="早餐"/>
    <m/>
    <s v=""/>
    <s v=""/>
    <s v=""/>
    <s v=""/>
    <m/>
    <x v="1"/>
    <x v="1"/>
    <d v="2018-03-18T06:50:00"/>
    <d v="2018-03-18T07:00:00"/>
    <d v="1899-12-30T00:10:00"/>
    <n v="6.9444444452528842E-3"/>
    <b v="1"/>
    <s v="自己做粽子与年糕"/>
  </r>
  <r>
    <s v="L_00015"/>
    <s v="移动"/>
    <m/>
    <s v=""/>
    <s v=""/>
    <s v=""/>
    <s v=""/>
    <m/>
    <x v="1"/>
    <x v="1"/>
    <d v="2018-03-18T07:00:00"/>
    <d v="2018-03-18T07:15:00"/>
    <d v="1899-12-30T00:15:00"/>
    <n v="1.0416666671517305E-2"/>
    <b v="1"/>
    <m/>
  </r>
  <r>
    <s v="L_00016"/>
    <s v="更新此表"/>
    <s v="O_D0015_表更新"/>
    <s v="每天，确保本表的更新"/>
    <n v="1"/>
    <s v="time"/>
    <s v="每日"/>
    <n v="1"/>
    <x v="1"/>
    <x v="1"/>
    <d v="2018-03-18T07:15:00"/>
    <d v="2018-03-18T07:33:00"/>
    <d v="1899-12-30T00:18:00"/>
    <n v="1.2499999997089617E-2"/>
    <b v="0"/>
    <m/>
  </r>
  <r>
    <s v="L_00017"/>
    <s v="锻炼手臂"/>
    <s v="O_D0013_手臂"/>
    <s v="每天，锻炼手臂不少于20分钟"/>
    <n v="20"/>
    <s v="min"/>
    <s v="每日"/>
    <m/>
    <x v="0"/>
    <x v="1"/>
    <d v="2018-03-18T07:33:00"/>
    <d v="2018-03-18T08:00:00"/>
    <d v="1899-12-30T00:27:00"/>
    <n v="1.8750000002910383E-2"/>
    <b v="1"/>
    <m/>
  </r>
  <r>
    <s v="L_00018"/>
    <s v="骑行"/>
    <s v="O_D0011_骑行"/>
    <s v="每天，骑行30KM，或者步行5KM"/>
    <n v="30"/>
    <s v="km"/>
    <s v="每日"/>
    <m/>
    <x v="0"/>
    <x v="1"/>
    <d v="2018-03-18T08:00:00"/>
    <d v="2018-03-18T09:30:00"/>
    <d v="1899-12-30T01:30:00"/>
    <n v="6.25E-2"/>
    <b v="1"/>
    <m/>
  </r>
  <r>
    <s v="L_00019"/>
    <s v="休整"/>
    <m/>
    <s v=""/>
    <s v=""/>
    <s v=""/>
    <s v=""/>
    <m/>
    <x v="1"/>
    <x v="1"/>
    <d v="2018-03-18T09:30:00"/>
    <d v="2018-03-18T10:07:58"/>
    <d v="1899-12-30T00:37:58"/>
    <n v="2.6368171296780929E-2"/>
    <b v="1"/>
    <m/>
  </r>
  <r>
    <s v="L_00020"/>
    <s v="与妈电话"/>
    <s v="O_W007_父母沟通"/>
    <s v="每周，给父母打一个电话"/>
    <n v="1"/>
    <s v="time"/>
    <s v="每周"/>
    <m/>
    <x v="0"/>
    <x v="1"/>
    <d v="2018-03-18T10:50:58"/>
    <d v="2018-03-18T11:24:58"/>
    <d v="1899-12-30T00:34:00"/>
    <n v="2.3611111115314998E-2"/>
    <b v="1"/>
    <m/>
  </r>
  <r>
    <s v="L_00021"/>
    <s v="更新此表"/>
    <s v="O_D0015_表更新"/>
    <s v="每天，确保本表的更新"/>
    <n v="1"/>
    <s v="time"/>
    <s v="每日"/>
    <m/>
    <x v="1"/>
    <x v="1"/>
    <d v="2018-03-18T11:24:58"/>
    <d v="2018-03-18T13:17:47"/>
    <d v="1899-12-30T01:52:49"/>
    <n v="7.8344907407881692E-2"/>
    <b v="1"/>
    <m/>
  </r>
  <r>
    <s v="L_00022"/>
    <s v="称体重"/>
    <s v="O_W001_控制体重"/>
    <s v="每周，体重控制在85-88KG"/>
    <n v="88"/>
    <s v="kg"/>
    <s v="每周"/>
    <n v="93.1"/>
    <x v="2"/>
    <x v="1"/>
    <d v="2018-03-18T12:31:26"/>
    <d v="2018-03-18T12:31:26"/>
    <d v="1899-12-30T00:00:00"/>
    <n v="0"/>
    <b v="1"/>
    <m/>
  </r>
  <r>
    <s v="L_00023"/>
    <s v="每日检查点"/>
    <s v="O_D0008_起床"/>
    <s v="每天，早上6点以前起床"/>
    <n v="1"/>
    <s v="time"/>
    <s v="每日"/>
    <n v="0"/>
    <x v="0"/>
    <x v="1"/>
    <d v="2018-03-18T12:31:26"/>
    <d v="2018-03-18T12:31:26"/>
    <d v="1899-12-30T00:00:00"/>
    <n v="0"/>
    <b v="1"/>
    <m/>
  </r>
  <r>
    <s v="L_00024"/>
    <s v="午睡"/>
    <m/>
    <s v=""/>
    <s v=""/>
    <s v=""/>
    <s v=""/>
    <m/>
    <x v="1"/>
    <x v="1"/>
    <d v="2018-03-18T15:00:00"/>
    <d v="2018-03-18T15:30:00"/>
    <d v="1899-12-30T00:30:00"/>
    <n v="2.0833333335758653E-2"/>
    <b v="1"/>
    <m/>
  </r>
  <r>
    <s v="L_00025"/>
    <s v="ICANI资料准备"/>
    <s v="O_C01-01_ICANI中文介绍XM"/>
    <s v="制作中文版资料，为了3/20演示"/>
    <n v="1"/>
    <s v="time"/>
    <s v="其他"/>
    <n v="0.5"/>
    <x v="1"/>
    <x v="1"/>
    <d v="2018-03-18T16:44:13"/>
    <d v="2018-03-18T21:44:13"/>
    <d v="1899-12-30T05:00:00"/>
    <n v="0.20833599536854308"/>
    <b v="0"/>
    <m/>
  </r>
  <r>
    <s v="L_00026"/>
    <s v="仰卧起坐"/>
    <s v="O_W003_腹肌"/>
    <s v="每周，日均仰卧起坐不少于50个"/>
    <n v="50"/>
    <s v="time"/>
    <s v="每周"/>
    <n v="100"/>
    <x v="0"/>
    <x v="1"/>
    <d v="2018-03-18T22:00:13"/>
    <d v="2018-03-18T22:30:13"/>
    <d v="1899-12-30T00:30:00"/>
    <n v="2.0833333335758653E-2"/>
    <b v="1"/>
    <m/>
  </r>
  <r>
    <s v="L_00027"/>
    <s v="每日检查点"/>
    <s v="O_D0015_表更新"/>
    <s v="每天，确保本表的更新"/>
    <n v="1"/>
    <s v="time"/>
    <s v="每日"/>
    <n v="1"/>
    <x v="0"/>
    <x v="1"/>
    <d v="2018-03-18T22:49:07"/>
    <d v="2018-03-18T22:49:07"/>
    <d v="1899-12-30T00:00:00"/>
    <n v="0"/>
    <b v="1"/>
    <m/>
  </r>
  <r>
    <s v="L_00028"/>
    <s v="每日检查点"/>
    <s v="O_D0004_鼓励孩子"/>
    <s v="每天，不说打击贝妞的话"/>
    <n v="1"/>
    <s v="time"/>
    <s v="每日"/>
    <n v="1"/>
    <x v="0"/>
    <x v="1"/>
    <d v="2018-03-18T23:00:13"/>
    <d v="2018-03-18T23:00:13"/>
    <d v="1899-12-30T00:00:00"/>
    <n v="0"/>
    <b v="1"/>
    <m/>
  </r>
  <r>
    <s v="L_00029"/>
    <s v="每日检查点"/>
    <s v="O_D0005_孩子沟通"/>
    <s v="每天，与孩子沟通10分钟"/>
    <n v="1"/>
    <s v="time"/>
    <s v="每日"/>
    <n v="0"/>
    <x v="1"/>
    <x v="1"/>
    <d v="2018-03-18T23:00:13"/>
    <d v="2018-03-18T23:00:13"/>
    <d v="1899-12-30T00:00:00"/>
    <n v="0"/>
    <b v="1"/>
    <m/>
  </r>
  <r>
    <s v="L_00030"/>
    <s v="每日检查点"/>
    <s v="O_D0006_老婆沟通"/>
    <s v="每天，与小母牛沟通10分钟"/>
    <n v="1"/>
    <s v="time"/>
    <s v="每日"/>
    <n v="1"/>
    <x v="0"/>
    <x v="1"/>
    <d v="2018-03-18T23:00:13"/>
    <d v="2018-03-18T23:00:13"/>
    <d v="1899-12-30T00:00:00"/>
    <n v="0"/>
    <b v="1"/>
    <m/>
  </r>
  <r>
    <s v="L_00031"/>
    <s v="每日检查点"/>
    <s v="O_D0009_晚刷牙"/>
    <s v="每天，每天晚上刷牙"/>
    <n v="1"/>
    <s v="time"/>
    <s v="每日"/>
    <n v="0"/>
    <x v="1"/>
    <x v="1"/>
    <d v="2018-03-18T23:00:13"/>
    <d v="2018-03-18T23:00:13"/>
    <d v="1899-12-30T00:00:00"/>
    <n v="0"/>
    <b v="1"/>
    <m/>
  </r>
  <r>
    <s v="L_00032"/>
    <s v="每日检查点"/>
    <s v="O_D0007_睡眠按时"/>
    <s v="每天，晚上11点以前睡觉"/>
    <n v="1"/>
    <s v="time"/>
    <s v="每日"/>
    <n v="0"/>
    <x v="1"/>
    <x v="1"/>
    <d v="2018-03-18T23:00:13"/>
    <d v="2018-03-18T23:00:13"/>
    <d v="1899-12-30T00:00:00"/>
    <n v="0"/>
    <b v="1"/>
    <m/>
  </r>
  <r>
    <s v="L_00033"/>
    <s v="每日检查点"/>
    <s v="O_D0014_阅读"/>
    <s v="每天，阅读时间不少于45分钟"/>
    <n v="45"/>
    <s v="min"/>
    <s v="每日"/>
    <n v="25"/>
    <x v="2"/>
    <x v="1"/>
    <d v="2018-03-19T00:05:00"/>
    <d v="2018-03-19T00:30:00"/>
    <d v="1899-12-30T00:25:00"/>
    <n v="1.7361111116770189E-2"/>
    <b v="1"/>
    <m/>
  </r>
  <r>
    <s v="L_00034"/>
    <s v="每日检查点"/>
    <s v="O_D0010_睡眠时间"/>
    <s v="每天，前一天睡眠总时间达到7小时"/>
    <n v="7"/>
    <s v="hr"/>
    <s v="每日"/>
    <n v="6"/>
    <x v="2"/>
    <x v="1"/>
    <d v="2018-03-19T00:30:00"/>
    <d v="2018-03-19T05:30:00"/>
    <d v="1899-12-30T05:00:00"/>
    <n v="0.20833333332848269"/>
    <b v="1"/>
    <m/>
  </r>
  <r>
    <s v="L_00035"/>
    <s v="每日检查点"/>
    <s v="O_D0008_起床"/>
    <s v="每天，早上6点以前起床"/>
    <n v="1"/>
    <s v="time"/>
    <s v="每日"/>
    <n v="1"/>
    <x v="0"/>
    <x v="2"/>
    <d v="2018-03-19T06:21:00"/>
    <d v="2018-03-19T06:21:00"/>
    <d v="1899-12-30T00:00:00"/>
    <n v="0"/>
    <b v="1"/>
    <m/>
  </r>
  <r>
    <s v="L_00036"/>
    <s v="每日检查点"/>
    <s v="O_D0013_手臂"/>
    <s v="每天，锻炼手臂不少于20分钟"/>
    <n v="20"/>
    <s v="min"/>
    <s v="每日"/>
    <n v="30"/>
    <x v="0"/>
    <x v="2"/>
    <d v="2018-03-19T06:21:00"/>
    <d v="2018-03-19T06:51:00"/>
    <d v="1899-12-30T00:30:00"/>
    <n v="2.0834027774981223E-2"/>
    <b v="1"/>
    <m/>
  </r>
  <r>
    <s v="L_00037"/>
    <s v="ICANI资料准备"/>
    <s v="O_C01-01_ICANI中文介绍XM"/>
    <s v="制作中文版资料，为了3/20演示"/>
    <n v="1"/>
    <s v="time"/>
    <s v="其他"/>
    <n v="0.2"/>
    <x v="1"/>
    <x v="2"/>
    <d v="2018-03-19T06:51:00"/>
    <d v="2018-03-19T08:36:53"/>
    <d v="1899-12-30T01:45:53"/>
    <n v="7.3534259259758983E-2"/>
    <b v="1"/>
    <m/>
  </r>
  <r>
    <s v="L_00038"/>
    <s v="科威工作"/>
    <m/>
    <s v=""/>
    <s v=""/>
    <s v=""/>
    <s v=""/>
    <m/>
    <x v="3"/>
    <x v="2"/>
    <d v="2018-03-19T08:36:53"/>
    <d v="2018-03-19T20:18:26"/>
    <d v="1899-12-30T11:41:33"/>
    <n v="0.48718842592643341"/>
    <b v="1"/>
    <m/>
  </r>
  <r>
    <s v="L_00039"/>
    <s v="午睡"/>
    <m/>
    <s v=""/>
    <s v=""/>
    <s v=""/>
    <s v=""/>
    <m/>
    <x v="3"/>
    <x v="2"/>
    <d v="2018-03-19T12:30:53"/>
    <d v="2018-03-19T13:30:53"/>
    <d v="1899-12-30T01:00:00"/>
    <n v="4.1666666664241347E-2"/>
    <b v="1"/>
    <m/>
  </r>
  <r>
    <s v="L_00040"/>
    <s v="每日检查点"/>
    <s v="O_D0004_鼓励孩子"/>
    <s v="每天，不说打击贝妞的话"/>
    <n v="1"/>
    <s v="time"/>
    <s v="每日"/>
    <n v="1"/>
    <x v="0"/>
    <x v="2"/>
    <d v="2018-03-19T22:49:07"/>
    <d v="2018-03-19T22:49:07"/>
    <d v="1899-12-30T00:00:00"/>
    <n v="0"/>
    <b v="1"/>
    <m/>
  </r>
  <r>
    <s v="L_00041"/>
    <s v="每日检查点"/>
    <s v="O_D0005_孩子沟通"/>
    <s v="每天，与孩子沟通10分钟"/>
    <n v="1"/>
    <s v="time"/>
    <s v="每日"/>
    <n v="1"/>
    <x v="0"/>
    <x v="2"/>
    <d v="2018-03-19T22:49:07"/>
    <d v="2018-03-19T22:49:07"/>
    <d v="1899-12-30T00:00:00"/>
    <n v="0"/>
    <b v="1"/>
    <m/>
  </r>
  <r>
    <s v="L_00042"/>
    <s v="每日检查点"/>
    <s v="O_D0006_老婆沟通"/>
    <s v="每天，与小母牛沟通10分钟"/>
    <n v="1"/>
    <s v="time"/>
    <s v="每日"/>
    <n v="1"/>
    <x v="0"/>
    <x v="2"/>
    <d v="2018-03-19T22:49:07"/>
    <d v="2018-03-19T22:49:07"/>
    <d v="1899-12-30T00:00:00"/>
    <n v="0"/>
    <b v="1"/>
    <m/>
  </r>
  <r>
    <s v="L_00043"/>
    <s v="每日检查点"/>
    <s v="O_D0007_睡眠按时"/>
    <s v="每天，晚上11点以前睡觉"/>
    <n v="1"/>
    <s v="time"/>
    <s v="每日"/>
    <n v="0"/>
    <x v="2"/>
    <x v="2"/>
    <d v="2018-03-19T22:49:07"/>
    <d v="2018-03-19T22:49:07"/>
    <d v="1899-12-30T00:00:00"/>
    <n v="0"/>
    <b v="1"/>
    <m/>
  </r>
  <r>
    <s v="L_00044"/>
    <s v="每日检查点"/>
    <s v="O_D0009_晚刷牙"/>
    <s v="每天，每天晚上刷牙"/>
    <n v="1"/>
    <s v="time"/>
    <s v="每日"/>
    <n v="1"/>
    <x v="0"/>
    <x v="2"/>
    <d v="2018-03-19T22:49:07"/>
    <d v="2018-03-19T22:49:07"/>
    <d v="1899-12-30T00:00:00"/>
    <n v="0"/>
    <b v="1"/>
    <m/>
  </r>
  <r>
    <s v="L_00045"/>
    <s v="每日检查点"/>
    <s v="O_D0010_睡眠时间"/>
    <s v="每天，前一天睡眠总时间达到7小时"/>
    <n v="7"/>
    <s v="hr"/>
    <s v="每日"/>
    <n v="0"/>
    <x v="2"/>
    <x v="2"/>
    <d v="2018-03-19T22:49:07"/>
    <d v="2018-03-19T22:49:07"/>
    <d v="1899-12-30T00:00:00"/>
    <n v="0"/>
    <b v="1"/>
    <m/>
  </r>
  <r>
    <s v="L_00046"/>
    <s v="每日检查点"/>
    <s v="O_D0011_骑行"/>
    <s v="每天，骑行30KM，或者步行5KM"/>
    <n v="30"/>
    <s v="km"/>
    <s v="每日"/>
    <n v="0"/>
    <x v="1"/>
    <x v="2"/>
    <d v="2018-03-19T22:49:07"/>
    <d v="2018-03-19T22:49:07"/>
    <d v="1899-12-30T00:00:00"/>
    <n v="0"/>
    <b v="1"/>
    <s v="下雨"/>
  </r>
  <r>
    <s v="L_00047"/>
    <s v="每日检查点"/>
    <s v="O_D0012_腹肌"/>
    <s v="每天，仰卧起坐不少于50个"/>
    <n v="50"/>
    <s v="time"/>
    <s v="每日"/>
    <n v="100"/>
    <x v="0"/>
    <x v="2"/>
    <d v="2018-03-19T22:49:07"/>
    <d v="2018-03-19T22:49:07"/>
    <d v="1899-12-30T00:00:00"/>
    <n v="0"/>
    <b v="1"/>
    <m/>
  </r>
  <r>
    <s v="L_00048"/>
    <s v="每日检查点"/>
    <s v="O_D0015_表更新"/>
    <s v="每天，确保本表的更新"/>
    <n v="1"/>
    <s v="time"/>
    <s v="每日"/>
    <n v="1"/>
    <x v="0"/>
    <x v="2"/>
    <d v="2018-03-19T22:49:07"/>
    <d v="2018-03-19T22:49:07"/>
    <d v="1899-12-30T00:00:00"/>
    <n v="0"/>
    <b v="1"/>
    <m/>
  </r>
  <r>
    <s v="L_00049"/>
    <s v="每日检查点"/>
    <s v="O_D0014_阅读"/>
    <s v="每天，阅读时间不少于45分钟"/>
    <n v="45"/>
    <s v="min"/>
    <s v="每日"/>
    <n v="30"/>
    <x v="2"/>
    <x v="2"/>
    <d v="2018-03-19T23:00:07"/>
    <d v="2018-03-19T23:30:07"/>
    <d v="1899-12-30T00:30:00"/>
    <n v="2.0833333335758653E-2"/>
    <b v="1"/>
    <m/>
  </r>
  <r>
    <s v="L_00050"/>
    <s v="睡觉"/>
    <s v="O_D0010_睡眠时间"/>
    <s v="每天，前一天睡眠总时间达到7小时"/>
    <n v="7"/>
    <s v="hr"/>
    <s v="每日"/>
    <n v="7.1"/>
    <x v="0"/>
    <x v="2"/>
    <d v="2018-03-19T23:30:07"/>
    <d v="2018-03-20T05:45:00"/>
    <d v="1899-12-30T06:14:53"/>
    <n v="0.26033564814861165"/>
    <b v="1"/>
    <m/>
  </r>
  <r>
    <s v="L_00051"/>
    <s v="每日检查点"/>
    <s v="O_D0008_起床"/>
    <s v="每天，早上6点以前起床"/>
    <n v="1"/>
    <s v="time"/>
    <s v="每日"/>
    <n v="1"/>
    <x v="0"/>
    <x v="3"/>
    <d v="2018-03-20T06:12:33"/>
    <d v="2018-03-20T06:12:33"/>
    <d v="1899-12-30T00:00:00"/>
    <n v="0"/>
    <b v="1"/>
    <m/>
  </r>
  <r>
    <s v="L_00052"/>
    <s v="每日检查点"/>
    <s v="O_D0004_鼓励孩子"/>
    <s v="每天，不说打击贝妞的话"/>
    <n v="1"/>
    <s v="time"/>
    <s v="每日"/>
    <m/>
    <x v="3"/>
    <x v="4"/>
    <m/>
    <m/>
    <d v="1899-12-30T00:00:00"/>
    <n v="0"/>
    <b v="1"/>
    <m/>
  </r>
  <r>
    <s v="L_00053"/>
    <s v="每日检查点"/>
    <s v="O_D0005_孩子沟通"/>
    <s v="每天，与孩子沟通10分钟"/>
    <n v="1"/>
    <s v="time"/>
    <s v="每日"/>
    <m/>
    <x v="3"/>
    <x v="4"/>
    <m/>
    <m/>
    <d v="1899-12-30T00:00:00"/>
    <n v="0"/>
    <b v="1"/>
    <m/>
  </r>
  <r>
    <s v="L_00054"/>
    <s v="每日检查点"/>
    <s v="O_D0006_老婆沟通"/>
    <s v="每天，与小母牛沟通10分钟"/>
    <n v="1"/>
    <s v="time"/>
    <s v="每日"/>
    <m/>
    <x v="3"/>
    <x v="4"/>
    <m/>
    <m/>
    <d v="1899-12-30T00:00:00"/>
    <n v="0"/>
    <b v="1"/>
    <m/>
  </r>
  <r>
    <s v="L_00055"/>
    <s v="每日检查点"/>
    <s v="O_D0007_睡眠按时"/>
    <s v="每天，晚上11点以前睡觉"/>
    <n v="1"/>
    <s v="time"/>
    <s v="每日"/>
    <m/>
    <x v="3"/>
    <x v="4"/>
    <m/>
    <m/>
    <d v="1899-12-30T00:00:00"/>
    <n v="0"/>
    <b v="1"/>
    <m/>
  </r>
  <r>
    <s v="L_00056"/>
    <s v="每日检查点"/>
    <s v="O_D0009_晚刷牙"/>
    <s v="每天，每天晚上刷牙"/>
    <n v="1"/>
    <s v="time"/>
    <s v="每日"/>
    <m/>
    <x v="3"/>
    <x v="4"/>
    <m/>
    <m/>
    <d v="1899-12-30T00:00:00"/>
    <n v="0"/>
    <b v="1"/>
    <m/>
  </r>
  <r>
    <s v="L_00057"/>
    <s v="每日检查点"/>
    <s v="O_D0010_睡眠时间"/>
    <s v="每天，前一天睡眠总时间达到7小时"/>
    <n v="7"/>
    <s v="hr"/>
    <s v="每日"/>
    <m/>
    <x v="3"/>
    <x v="4"/>
    <m/>
    <m/>
    <d v="1899-12-30T00:00:00"/>
    <n v="0"/>
    <b v="1"/>
    <m/>
  </r>
  <r>
    <s v="L_00058"/>
    <s v="每日检查点"/>
    <s v="O_D0011_骑行"/>
    <s v="每天，骑行30KM，或者步行5KM"/>
    <n v="30"/>
    <s v="km"/>
    <s v="每日"/>
    <n v="0"/>
    <x v="1"/>
    <x v="3"/>
    <d v="2018-03-20T06:12:33"/>
    <d v="2018-03-20T06:12:33"/>
    <d v="1899-12-30T00:00:00"/>
    <n v="0"/>
    <b v="1"/>
    <s v="下雨"/>
  </r>
  <r>
    <s v="L_00059"/>
    <s v="每日检查点"/>
    <s v="O_D0012_腹肌"/>
    <s v="每天，仰卧起坐不少于50个"/>
    <n v="50"/>
    <s v="time"/>
    <s v="每日"/>
    <m/>
    <x v="3"/>
    <x v="4"/>
    <m/>
    <m/>
    <d v="1899-12-30T00:00:00"/>
    <n v="0"/>
    <b v="1"/>
    <m/>
  </r>
  <r>
    <s v="L_00060"/>
    <s v="每日检查点"/>
    <s v="O_D0013_手臂"/>
    <s v="每天，锻炼手臂不少于20分钟"/>
    <n v="20"/>
    <s v="min"/>
    <s v="每日"/>
    <n v="30"/>
    <x v="0"/>
    <x v="3"/>
    <d v="2018-03-20T06:15:33"/>
    <d v="2018-03-20T06:45:33"/>
    <d v="1899-12-30T00:30:00"/>
    <n v="2.0833333335758653E-2"/>
    <b v="1"/>
    <m/>
  </r>
  <r>
    <s v="L_00061"/>
    <s v="每日检查点"/>
    <s v="O_D0014_阅读"/>
    <s v="每天，阅读时间不少于45分钟"/>
    <n v="45"/>
    <s v="min"/>
    <s v="每日"/>
    <m/>
    <x v="3"/>
    <x v="4"/>
    <m/>
    <m/>
    <d v="1899-12-30T00:00:00"/>
    <n v="0"/>
    <b v="1"/>
    <m/>
  </r>
  <r>
    <s v="L_00062"/>
    <s v="每日检查点"/>
    <s v="O_D0015_表更新"/>
    <s v="每天，确保本表的更新"/>
    <n v="1"/>
    <s v="time"/>
    <s v="每日"/>
    <m/>
    <x v="3"/>
    <x v="4"/>
    <m/>
    <m/>
    <d v="1899-12-30T00:00:00"/>
    <n v="0"/>
    <b v="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数据透视表2" cacheId="7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outline="1" outlineData="1" multipleFieldFilters="0">
  <location ref="J3:P17" firstHeaderRow="1" firstDataRow="2" firstDataCol="1" rowPageCount="1" colPageCount="1"/>
  <pivotFields count="4">
    <pivotField axis="axisRow" allDrilled="1" showAll="0" sortType="ascending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Col" allDrilled="1" showAll="0" dataSourceSort="1" defaultAttributeDrillState="1">
      <items count="6">
        <item x="0"/>
        <item x="1"/>
        <item x="2"/>
        <item x="3"/>
        <item x="4"/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2" hier="14" name="[TABLE_日志].[频度].&amp;[每日]" cap="每日"/>
  </pageFields>
  <dataFields count="1">
    <dataField name="以下项目的总和:占比" fld="3" baseField="0" baseItem="0" numFmtId="9"/>
  </dataFields>
  <formats count="2">
    <format dxfId="23">
      <pivotArea outline="0" collapsedLevelsAreSubtotals="1" fieldPosition="0"/>
    </format>
    <format dxfId="22">
      <pivotArea outline="0" collapsedLevelsAreSubtotals="1" fieldPosition="0"/>
    </format>
  </formats>
  <pivotHierarchies count="3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0"/>
  </rowHierarchiesUsage>
  <colHierarchiesUsage count="1">
    <colHierarchyUsage hierarchyUsage="17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ELFCONSTRUCTION-V2.xlsx!TABLE_日志">
        <x15:activeTabTopLevelEntity name="[TABLE_日志]"/>
      </x15:pivotTableUISettings>
    </ext>
  </extLst>
</pivotTableDefinition>
</file>

<file path=xl/pivotTables/pivotTable2.xml><?xml version="1.0" encoding="utf-8"?>
<pivotTableDefinition xmlns="http://schemas.openxmlformats.org/spreadsheetml/2006/main" name="数据透视表1" cacheId="8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outline="1" outlineData="1" multipleFieldFilters="0" chartFormat="11">
  <location ref="A2:D8" firstHeaderRow="1" firstDataRow="2" firstDataCol="1"/>
  <pivotFields count="16">
    <pivotField showAll="0"/>
    <pivotField dataField="1" showAll="0"/>
    <pivotField showAll="0"/>
    <pivotField showAll="0"/>
    <pivotField showAll="0"/>
    <pivotField showAll="0"/>
    <pivotField showAll="0" defaultSubtotal="0"/>
    <pivotField showAll="0"/>
    <pivotField axis="axisCol" showAll="0">
      <items count="5">
        <item x="2"/>
        <item h="1" x="1"/>
        <item x="0"/>
        <item h="1" x="3"/>
        <item t="default"/>
      </items>
    </pivotField>
    <pivotField axis="axisRow" numFmtId="176" showAll="0">
      <items count="6">
        <item x="0"/>
        <item x="1"/>
        <item x="4"/>
        <item x="2"/>
        <item x="3"/>
        <item t="default"/>
      </items>
    </pivotField>
    <pivotField numFmtId="177" showAll="0"/>
    <pivotField numFmtId="177" showAll="0"/>
    <pivotField numFmtId="177" showAll="0"/>
    <pivotField numFmtId="9" showAll="0" defaultSubtotal="0"/>
    <pivotField showAll="0"/>
    <pivotField showAll="0"/>
  </pivotFields>
  <rowFields count="1">
    <field x="9"/>
  </rowFields>
  <rowItems count="5">
    <i>
      <x/>
    </i>
    <i>
      <x v="1"/>
    </i>
    <i>
      <x v="3"/>
    </i>
    <i>
      <x v="4"/>
    </i>
    <i t="grand">
      <x/>
    </i>
  </rowItems>
  <colFields count="1">
    <field x="8"/>
  </colFields>
  <colItems count="3">
    <i>
      <x/>
    </i>
    <i>
      <x v="2"/>
    </i>
    <i t="grand">
      <x/>
    </i>
  </colItems>
  <dataFields count="1">
    <dataField name="计数项:活动名称" fld="1" subtotal="count" showDataAs="percentOfRow" baseField="8" baseItem="0" numFmtId="10"/>
  </dataFields>
  <chartFormats count="2">
    <chartFormat chart="10" format="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10" format="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3" name="TABLE_打卡表" displayName="TABLE_打卡表" ref="A11:G18" totalsRowShown="0">
  <autoFilter ref="A11:G18"/>
  <tableColumns count="7">
    <tableColumn id="1" name="目标编号"/>
    <tableColumn id="2" name="目标描述" dataDxfId="21">
      <calculatedColumnFormula>IFERROR(VLOOKUP(TABLE_打卡表[[#This Row],[目标编号]],TABLE_目标[],2,FALSE),"")</calculatedColumnFormula>
    </tableColumn>
    <tableColumn id="3" name="目标值" dataDxfId="20">
      <calculatedColumnFormula>IFERROR(VLOOKUP(TABLE_打卡表[[#This Row],[目标编号]],TABLE_目标[],4,FALSE),"")</calculatedColumnFormula>
    </tableColumn>
    <tableColumn id="4" name="目标单位" dataDxfId="19">
      <calculatedColumnFormula>IFERROR(VLOOKUP(TABLE_打卡表[[#This Row],[目标编号]],TABLE_目标[],5,FALSE),"")</calculatedColumnFormula>
    </tableColumn>
    <tableColumn id="5" name="开始时间"/>
    <tableColumn id="6" name="结束时间"/>
    <tableColumn id="7" name="结果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_目标" displayName="TABLE_目标" ref="A1:G28" totalsRowShown="0">
  <autoFilter ref="A1:G28"/>
  <tableColumns count="7">
    <tableColumn id="1" name="目标编号" dataDxfId="18"/>
    <tableColumn id="2" name="目标描述" dataDxfId="17"/>
    <tableColumn id="3" name="详细" dataDxfId="16"/>
    <tableColumn id="6" name="目标值"/>
    <tableColumn id="7" name="目标单位"/>
    <tableColumn id="4" name="测量频度"/>
    <tableColumn id="5" name="备注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TABLE_日志" displayName="TABLE_日志" ref="A1:P65" totalsRowShown="0">
  <autoFilter ref="A1:P65"/>
  <sortState ref="A2:P63">
    <sortCondition ref="K1:K63"/>
  </sortState>
  <tableColumns count="16">
    <tableColumn id="1" name="日志编号"/>
    <tableColumn id="16" name="活动名称"/>
    <tableColumn id="3" name="关联目标"/>
    <tableColumn id="10" name="目标描述" dataDxfId="15">
      <calculatedColumnFormula>IFERROR(VLOOKUP(TABLE_日志[[#This Row],[关联目标]],TABLE_目标[],2,FALSE),"")</calculatedColumnFormula>
    </tableColumn>
    <tableColumn id="13" name="目标" dataDxfId="14">
      <calculatedColumnFormula>IFERROR(VLOOKUP(TABLE_日志[[#This Row],[关联目标]],TABLE_目标[],4,FALSE),"")</calculatedColumnFormula>
    </tableColumn>
    <tableColumn id="14" name="单位" dataDxfId="13">
      <calculatedColumnFormula>IFERROR(VLOOKUP(TABLE_日志[[#This Row],[关联目标]],TABLE_目标[],5,FALSE),"")</calculatedColumnFormula>
    </tableColumn>
    <tableColumn id="20" name="频度" dataDxfId="12">
      <calculatedColumnFormula>IFERROR(VLOOKUP(TABLE_日志[[#This Row],[关联目标]],TABLE_目标[],6,FALSE),"")</calculatedColumnFormula>
    </tableColumn>
    <tableColumn id="4" name="结果"/>
    <tableColumn id="17" name="判定"/>
    <tableColumn id="18" name="日期" dataDxfId="11">
      <calculatedColumnFormula>ROUNDDOWN(TABLE_日志[[#This Row],[开始]]-2/24,0)</calculatedColumnFormula>
    </tableColumn>
    <tableColumn id="5" name="开始" dataDxfId="10"/>
    <tableColumn id="6" name="结束"/>
    <tableColumn id="19" name="时长" dataDxfId="9" dataCellStyle="千位分隔">
      <calculatedColumnFormula>TABLE_日志[[#This Row],[结束]]-TABLE_日志[[#This Row],[开始]]</calculatedColumnFormula>
    </tableColumn>
    <tableColumn id="21" name="占比" dataDxfId="8" dataCellStyle="百分比">
      <calculatedColumnFormula>TABLE_日志[[#This Row],[时长]]</calculatedColumnFormula>
    </tableColumn>
    <tableColumn id="7" name="计划内"/>
    <tableColumn id="9" name="备注" dataDxfId="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LE_行动" displayName="TABLE_行动" ref="A1:H12" totalsRowShown="0">
  <autoFilter ref="A1:H12"/>
  <tableColumns count="8">
    <tableColumn id="1" name="行动编号"/>
    <tableColumn id="2" name="行动名称"/>
    <tableColumn id="3" name="行动描述"/>
    <tableColumn id="4" name="期望结果"/>
    <tableColumn id="5" name="开始时间"/>
    <tableColumn id="6" name="达成时间"/>
    <tableColumn id="7" name="状态"/>
    <tableColumn id="8" name="备注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表9" displayName="表9" ref="A1:D19" totalsRowShown="0">
  <autoFilter ref="A1:D19"/>
  <tableColumns count="4">
    <tableColumn id="1" name="种类"/>
    <tableColumn id="2" name="编号"/>
    <tableColumn id="3" name="内容"/>
    <tableColumn id="4" name="说明" dataDxfId="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表8" displayName="表8" ref="A1:G31" totalsRowShown="0">
  <autoFilter ref="A1:G31">
    <filterColumn colId="1">
      <filters>
        <filter val="进行"/>
      </filters>
    </filterColumn>
  </autoFilter>
  <sortState ref="A7:G31">
    <sortCondition ref="G1:G31"/>
  </sortState>
  <tableColumns count="7">
    <tableColumn id="1" name="记录日期" dataDxfId="1"/>
    <tableColumn id="2" name="状态"/>
    <tableColumn id="3" name="类别"/>
    <tableColumn id="4" name="标题"/>
    <tableColumn id="5" name="内容"/>
    <tableColumn id="6" name="备注"/>
    <tableColumn id="7" name="时间" dataDxfId="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" name="TABLE_频度" displayName="TABLE_频度" ref="A1:A7" totalsRowShown="0">
  <autoFilter ref="A1:A7"/>
  <tableColumns count="1">
    <tableColumn id="1" name="频度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4" name="TABLE_单位" displayName="TABLE_单位" ref="B1:B16" totalsRowShown="0">
  <autoFilter ref="B1:B16"/>
  <tableColumns count="1">
    <tableColumn id="1" name="单位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7" name="TABLE_判定" displayName="TABLE_判定" ref="C1:C4" totalsRowShown="0">
  <autoFilter ref="C1:C4"/>
  <tableColumns count="1">
    <tableColumn id="1" name="判定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9.bin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D7" sqref="D7"/>
    </sheetView>
  </sheetViews>
  <sheetFormatPr defaultRowHeight="13.9" x14ac:dyDescent="0.4"/>
  <sheetData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17"/>
  <sheetViews>
    <sheetView zoomScale="73" workbookViewId="0">
      <selection activeCell="J26" sqref="J26"/>
    </sheetView>
  </sheetViews>
  <sheetFormatPr defaultRowHeight="13.9" x14ac:dyDescent="0.4"/>
  <cols>
    <col min="1" max="1" width="15.59765625" bestFit="1" customWidth="1"/>
    <col min="2" max="2" width="10" bestFit="1" customWidth="1"/>
    <col min="3" max="3" width="7.73046875" customWidth="1"/>
    <col min="4" max="4" width="8.19921875" customWidth="1"/>
    <col min="5" max="5" width="5.06640625" customWidth="1"/>
    <col min="10" max="10" width="19.73046875" bestFit="1" customWidth="1"/>
    <col min="11" max="11" width="10" bestFit="1" customWidth="1"/>
    <col min="12" max="15" width="10.6640625" bestFit="1" customWidth="1"/>
    <col min="16" max="16" width="5.53125" bestFit="1" customWidth="1"/>
  </cols>
  <sheetData>
    <row r="1" spans="1:16" x14ac:dyDescent="0.4">
      <c r="J1" s="17" t="s">
        <v>290</v>
      </c>
      <c r="K1" t="s" vm="1">
        <v>121</v>
      </c>
    </row>
    <row r="2" spans="1:16" x14ac:dyDescent="0.4">
      <c r="A2" s="17" t="s">
        <v>289</v>
      </c>
      <c r="B2" s="17" t="s">
        <v>288</v>
      </c>
    </row>
    <row r="3" spans="1:16" x14ac:dyDescent="0.4">
      <c r="A3" s="17" t="s">
        <v>286</v>
      </c>
      <c r="B3" t="s">
        <v>175</v>
      </c>
      <c r="C3" t="s">
        <v>283</v>
      </c>
      <c r="D3" t="s">
        <v>287</v>
      </c>
      <c r="J3" s="17" t="s">
        <v>293</v>
      </c>
      <c r="K3" s="17" t="s">
        <v>288</v>
      </c>
    </row>
    <row r="4" spans="1:16" x14ac:dyDescent="0.4">
      <c r="A4" s="18">
        <v>43176</v>
      </c>
      <c r="B4" s="19">
        <v>0.18181818181818182</v>
      </c>
      <c r="C4" s="19">
        <v>0.81818181818181823</v>
      </c>
      <c r="D4" s="19">
        <v>1</v>
      </c>
      <c r="J4" s="17" t="s">
        <v>286</v>
      </c>
      <c r="K4" s="24">
        <v>0</v>
      </c>
      <c r="L4" s="2">
        <v>43176</v>
      </c>
      <c r="M4" s="2">
        <v>43177</v>
      </c>
      <c r="N4" s="2">
        <v>43178</v>
      </c>
      <c r="O4" s="2">
        <v>43179</v>
      </c>
      <c r="P4" t="s">
        <v>287</v>
      </c>
    </row>
    <row r="5" spans="1:16" x14ac:dyDescent="0.4">
      <c r="A5" s="18">
        <v>43177</v>
      </c>
      <c r="B5" s="19">
        <v>0.27272727272727271</v>
      </c>
      <c r="C5" s="19">
        <v>0.72727272727272729</v>
      </c>
      <c r="D5" s="19">
        <v>1</v>
      </c>
      <c r="J5" s="20" t="s">
        <v>222</v>
      </c>
      <c r="K5" s="21">
        <v>0</v>
      </c>
      <c r="L5" s="21">
        <v>0</v>
      </c>
      <c r="M5" s="21">
        <v>0</v>
      </c>
      <c r="N5" s="21">
        <v>0</v>
      </c>
      <c r="O5" s="21"/>
      <c r="P5" s="21">
        <v>0</v>
      </c>
    </row>
    <row r="6" spans="1:16" x14ac:dyDescent="0.4">
      <c r="A6" s="18">
        <v>43178</v>
      </c>
      <c r="B6" s="19">
        <v>0.25</v>
      </c>
      <c r="C6" s="19">
        <v>0.75</v>
      </c>
      <c r="D6" s="19">
        <v>1</v>
      </c>
      <c r="J6" s="20" t="s">
        <v>224</v>
      </c>
      <c r="K6" s="21">
        <v>0</v>
      </c>
      <c r="L6" s="21">
        <v>2.0833333328482695E-2</v>
      </c>
      <c r="M6" s="21">
        <v>0</v>
      </c>
      <c r="N6" s="21">
        <v>0</v>
      </c>
      <c r="O6" s="21"/>
      <c r="P6" s="21">
        <v>2.0833333328482695E-2</v>
      </c>
    </row>
    <row r="7" spans="1:16" x14ac:dyDescent="0.4">
      <c r="A7" s="18">
        <v>43179</v>
      </c>
      <c r="B7" s="19">
        <v>0</v>
      </c>
      <c r="C7" s="19">
        <v>1</v>
      </c>
      <c r="D7" s="19">
        <v>1</v>
      </c>
      <c r="J7" s="20" t="s">
        <v>226</v>
      </c>
      <c r="K7" s="21">
        <v>0</v>
      </c>
      <c r="L7" s="21">
        <v>1.7361111116770189E-2</v>
      </c>
      <c r="M7" s="21">
        <v>0</v>
      </c>
      <c r="N7" s="21">
        <v>0</v>
      </c>
      <c r="O7" s="21"/>
      <c r="P7" s="21">
        <v>1.7361111116770189E-2</v>
      </c>
    </row>
    <row r="8" spans="1:16" x14ac:dyDescent="0.4">
      <c r="A8" s="18" t="s">
        <v>287</v>
      </c>
      <c r="B8" s="19">
        <v>0.22222222222222221</v>
      </c>
      <c r="C8" s="19">
        <v>0.77777777777777779</v>
      </c>
      <c r="D8" s="19">
        <v>1</v>
      </c>
      <c r="J8" s="20" t="s">
        <v>234</v>
      </c>
      <c r="K8" s="21">
        <v>0</v>
      </c>
      <c r="L8" s="21">
        <v>0</v>
      </c>
      <c r="M8" s="21">
        <v>0</v>
      </c>
      <c r="N8" s="21">
        <v>0</v>
      </c>
      <c r="O8" s="21"/>
      <c r="P8" s="21">
        <v>0</v>
      </c>
    </row>
    <row r="9" spans="1:16" x14ac:dyDescent="0.4">
      <c r="J9" s="20" t="s">
        <v>228</v>
      </c>
      <c r="K9" s="21"/>
      <c r="L9" s="21"/>
      <c r="M9" s="21">
        <v>0</v>
      </c>
      <c r="N9" s="21">
        <v>0</v>
      </c>
      <c r="O9" s="21">
        <v>0</v>
      </c>
      <c r="P9" s="21">
        <v>0</v>
      </c>
    </row>
    <row r="10" spans="1:16" x14ac:dyDescent="0.4">
      <c r="J10" s="20" t="s">
        <v>230</v>
      </c>
      <c r="K10" s="21">
        <v>0</v>
      </c>
      <c r="L10" s="21">
        <v>0</v>
      </c>
      <c r="M10" s="21">
        <v>0</v>
      </c>
      <c r="N10" s="21">
        <v>0</v>
      </c>
      <c r="O10" s="21"/>
      <c r="P10" s="21">
        <v>0</v>
      </c>
    </row>
    <row r="11" spans="1:16" x14ac:dyDescent="0.4">
      <c r="J11" s="20" t="s">
        <v>232</v>
      </c>
      <c r="K11" s="21">
        <v>0</v>
      </c>
      <c r="L11" s="21">
        <v>0.26041666667151731</v>
      </c>
      <c r="M11" s="21">
        <v>0.20833333332848269</v>
      </c>
      <c r="N11" s="21">
        <v>0.26033564814861165</v>
      </c>
      <c r="O11" s="21"/>
      <c r="P11" s="21">
        <v>0.72908564814861165</v>
      </c>
    </row>
    <row r="12" spans="1:16" x14ac:dyDescent="0.4">
      <c r="J12" s="20" t="s">
        <v>236</v>
      </c>
      <c r="K12" s="21"/>
      <c r="L12" s="21">
        <v>5.2083333335758653E-2</v>
      </c>
      <c r="M12" s="21">
        <v>6.25E-2</v>
      </c>
      <c r="N12" s="21">
        <v>0</v>
      </c>
      <c r="O12" s="21">
        <v>0</v>
      </c>
      <c r="P12" s="21">
        <v>0.11458333333575865</v>
      </c>
    </row>
    <row r="13" spans="1:16" x14ac:dyDescent="0.4">
      <c r="J13" s="20" t="s">
        <v>238</v>
      </c>
      <c r="K13" s="21">
        <v>0</v>
      </c>
      <c r="L13" s="21">
        <v>2.0833333335758653E-2</v>
      </c>
      <c r="M13" s="21"/>
      <c r="N13" s="21">
        <v>0</v>
      </c>
      <c r="O13" s="21"/>
      <c r="P13" s="21">
        <v>2.0833333335758653E-2</v>
      </c>
    </row>
    <row r="14" spans="1:16" x14ac:dyDescent="0.4">
      <c r="J14" s="20" t="s">
        <v>240</v>
      </c>
      <c r="K14" s="21"/>
      <c r="L14" s="21">
        <v>2.0833333328482695E-2</v>
      </c>
      <c r="M14" s="21">
        <v>1.8750000002910383E-2</v>
      </c>
      <c r="N14" s="21">
        <v>2.0834027774981223E-2</v>
      </c>
      <c r="O14" s="21">
        <v>2.0833333335758653E-2</v>
      </c>
      <c r="P14" s="21">
        <v>8.1250694442132954E-2</v>
      </c>
    </row>
    <row r="15" spans="1:16" x14ac:dyDescent="0.4">
      <c r="J15" s="20" t="s">
        <v>242</v>
      </c>
      <c r="K15" s="21">
        <v>0</v>
      </c>
      <c r="L15" s="21">
        <v>3.125E-2</v>
      </c>
      <c r="M15" s="21">
        <v>1.7361111116770189E-2</v>
      </c>
      <c r="N15" s="21">
        <v>2.0833333335758653E-2</v>
      </c>
      <c r="O15" s="21"/>
      <c r="P15" s="21">
        <v>6.9444444452528842E-2</v>
      </c>
    </row>
    <row r="16" spans="1:16" x14ac:dyDescent="0.4">
      <c r="J16" s="20" t="s">
        <v>248</v>
      </c>
      <c r="K16" s="21">
        <v>0</v>
      </c>
      <c r="L16" s="21">
        <v>9.9305902775085997E-2</v>
      </c>
      <c r="M16" s="21">
        <v>9.0844907404971309E-2</v>
      </c>
      <c r="N16" s="21">
        <v>0</v>
      </c>
      <c r="O16" s="21"/>
      <c r="P16" s="21">
        <v>0.19015081018005731</v>
      </c>
    </row>
    <row r="17" spans="10:16" x14ac:dyDescent="0.4">
      <c r="J17" s="20" t="s">
        <v>287</v>
      </c>
      <c r="K17" s="21">
        <v>0</v>
      </c>
      <c r="L17" s="21">
        <v>0.52291701389185619</v>
      </c>
      <c r="M17" s="21">
        <v>0.39778935185313458</v>
      </c>
      <c r="N17" s="21">
        <v>0.30200300925935153</v>
      </c>
      <c r="O17" s="21">
        <v>2.0833333335758653E-2</v>
      </c>
      <c r="P17" s="21">
        <v>1.2435427083401009</v>
      </c>
    </row>
  </sheetData>
  <phoneticPr fontId="1" type="noConversion"/>
  <pageMargins left="0.7" right="0.7" top="0.75" bottom="0.75" header="0.3" footer="0.3"/>
  <pageSetup paperSize="9" orientation="portrait" r:id="rId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I35"/>
  <sheetViews>
    <sheetView workbookViewId="0">
      <selection activeCell="B23" sqref="B23"/>
    </sheetView>
  </sheetViews>
  <sheetFormatPr defaultRowHeight="13.9" x14ac:dyDescent="0.4"/>
  <cols>
    <col min="1" max="1" width="17.6640625" bestFit="1" customWidth="1"/>
    <col min="2" max="2" width="32.33203125" bestFit="1" customWidth="1"/>
    <col min="3" max="3" width="8.796875" bestFit="1" customWidth="1"/>
    <col min="4" max="6" width="10.33203125" customWidth="1"/>
  </cols>
  <sheetData>
    <row r="2" spans="1:9" x14ac:dyDescent="0.4">
      <c r="A2" t="s">
        <v>362</v>
      </c>
      <c r="B2" t="s">
        <v>363</v>
      </c>
    </row>
    <row r="3" spans="1:9" x14ac:dyDescent="0.4">
      <c r="A3" s="2">
        <f ca="1">TODAY()</f>
        <v>43550</v>
      </c>
      <c r="B3" s="13">
        <f ca="1">NOW()</f>
        <v>43550.641346412034</v>
      </c>
    </row>
    <row r="5" spans="1:9" x14ac:dyDescent="0.4">
      <c r="A5" t="s">
        <v>365</v>
      </c>
    </row>
    <row r="6" spans="1:9" ht="14.25" thickBot="1" x14ac:dyDescent="0.45">
      <c r="A6" t="s">
        <v>357</v>
      </c>
      <c r="B6" t="s">
        <v>356</v>
      </c>
      <c r="C6" t="s">
        <v>358</v>
      </c>
      <c r="D6" t="s">
        <v>359</v>
      </c>
      <c r="E6" t="s">
        <v>117</v>
      </c>
      <c r="F6" t="s">
        <v>360</v>
      </c>
      <c r="G6" t="s">
        <v>361</v>
      </c>
    </row>
    <row r="7" spans="1:9" ht="14.25" thickBot="1" x14ac:dyDescent="0.45">
      <c r="A7" t="s">
        <v>376</v>
      </c>
      <c r="B7" t="str">
        <f>IFERROR(VLOOKUP(POS_LineObj,TABLE_打卡表[],2,FALSE),"")</f>
        <v>每周，体重控制在85-88KG</v>
      </c>
      <c r="C7">
        <f>IFERROR(VLOOKUP(POS_LineObj,TABLE_打卡表[],3,FALSE),"")</f>
        <v>88</v>
      </c>
      <c r="D7" t="str">
        <f>IFERROR(VLOOKUP(POS_LineObj,TABLE_打卡表[],4,FALSE),"")</f>
        <v>kg</v>
      </c>
      <c r="E7">
        <f>IFERROR(VLOOKUP(POS_LineObj,TABLE_打卡表[],6,FALSE),"")</f>
        <v>0</v>
      </c>
      <c r="F7">
        <f>IFERROR(VLOOKUP(POS_LineObj,TABLE_打卡表[],7,FALSE),"")</f>
        <v>0</v>
      </c>
      <c r="G7" t="str">
        <f>IFERROR(VLOOKUP(POS_LineObj,TABLE_打卡表[],8,FALSE),"")</f>
        <v/>
      </c>
      <c r="H7" s="27" t="s">
        <v>366</v>
      </c>
      <c r="I7" s="27" t="s">
        <v>367</v>
      </c>
    </row>
    <row r="8" spans="1:9" ht="14.25" thickBot="1" x14ac:dyDescent="0.45"/>
    <row r="9" spans="1:9" ht="14.25" thickBot="1" x14ac:dyDescent="0.45">
      <c r="A9" t="s">
        <v>364</v>
      </c>
      <c r="C9" s="27" t="s">
        <v>368</v>
      </c>
    </row>
    <row r="10" spans="1:9" x14ac:dyDescent="0.4">
      <c r="A10" t="s">
        <v>104</v>
      </c>
      <c r="B10" s="2">
        <f ca="1">TODAY()</f>
        <v>43550</v>
      </c>
    </row>
    <row r="11" spans="1:9" x14ac:dyDescent="0.4">
      <c r="A11" t="s">
        <v>357</v>
      </c>
      <c r="B11" t="s">
        <v>356</v>
      </c>
      <c r="C11" t="s">
        <v>358</v>
      </c>
      <c r="D11" t="s">
        <v>359</v>
      </c>
      <c r="E11" t="s">
        <v>117</v>
      </c>
      <c r="F11" t="s">
        <v>360</v>
      </c>
      <c r="G11" t="s">
        <v>361</v>
      </c>
    </row>
    <row r="12" spans="1:9" x14ac:dyDescent="0.4">
      <c r="A12" t="s">
        <v>211</v>
      </c>
      <c r="B12" t="str">
        <f>IFERROR(VLOOKUP(TABLE_打卡表[[#This Row],[目标编号]],TABLE_目标[],2,FALSE),"")</f>
        <v>每周，体重控制在85-88KG</v>
      </c>
      <c r="C12">
        <f>IFERROR(VLOOKUP(TABLE_打卡表[[#This Row],[目标编号]],TABLE_目标[],4,FALSE),"")</f>
        <v>88</v>
      </c>
      <c r="D12" t="str">
        <f>IFERROR(VLOOKUP(TABLE_打卡表[[#This Row],[目标编号]],TABLE_目标[],5,FALSE),"")</f>
        <v>kg</v>
      </c>
    </row>
    <row r="13" spans="1:9" x14ac:dyDescent="0.4">
      <c r="A13" t="s">
        <v>372</v>
      </c>
      <c r="B13" s="8" t="str">
        <f>IFERROR(VLOOKUP(TABLE_打卡表[[#This Row],[目标编号]],TABLE_目标[],2,FALSE),"")</f>
        <v>每周，日均骑行不少于30KM，或者步行5KM</v>
      </c>
      <c r="C13" s="8">
        <f>IFERROR(VLOOKUP(TABLE_打卡表[[#This Row],[目标编号]],TABLE_目标[],4,FALSE),"")</f>
        <v>30</v>
      </c>
      <c r="D13" s="8" t="str">
        <f>IFERROR(VLOOKUP(TABLE_打卡表[[#This Row],[目标编号]],TABLE_目标[],5,FALSE),"")</f>
        <v>km</v>
      </c>
    </row>
    <row r="14" spans="1:9" x14ac:dyDescent="0.4">
      <c r="A14" t="s">
        <v>214</v>
      </c>
      <c r="B14" s="8" t="str">
        <f>IFERROR(VLOOKUP(TABLE_打卡表[[#This Row],[目标编号]],TABLE_目标[],2,FALSE),"")</f>
        <v>每周，日均仰卧起坐不少于50个</v>
      </c>
      <c r="C14" s="8">
        <f>IFERROR(VLOOKUP(TABLE_打卡表[[#This Row],[目标编号]],TABLE_目标[],4,FALSE),"")</f>
        <v>50</v>
      </c>
      <c r="D14" s="8" t="str">
        <f>IFERROR(VLOOKUP(TABLE_打卡表[[#This Row],[目标编号]],TABLE_目标[],5,FALSE),"")</f>
        <v>time</v>
      </c>
    </row>
    <row r="15" spans="1:9" x14ac:dyDescent="0.4">
      <c r="A15" t="s">
        <v>373</v>
      </c>
      <c r="B15" s="8" t="str">
        <f>IFERROR(VLOOKUP(TABLE_打卡表[[#This Row],[目标编号]],TABLE_目标[],2,FALSE),"")</f>
        <v>每周，日均锻炼手臂不少于20分钟</v>
      </c>
      <c r="C15" s="8">
        <f>IFERROR(VLOOKUP(TABLE_打卡表[[#This Row],[目标编号]],TABLE_目标[],4,FALSE),"")</f>
        <v>20</v>
      </c>
      <c r="D15" s="8" t="str">
        <f>IFERROR(VLOOKUP(TABLE_打卡表[[#This Row],[目标编号]],TABLE_目标[],5,FALSE),"")</f>
        <v>min</v>
      </c>
    </row>
    <row r="16" spans="1:9" x14ac:dyDescent="0.4">
      <c r="A16" t="s">
        <v>374</v>
      </c>
      <c r="B16" s="8" t="str">
        <f>IFERROR(VLOOKUP(TABLE_打卡表[[#This Row],[目标编号]],TABLE_目标[],2,FALSE),"")</f>
        <v>每周，日均阅读时间不少于45分钟</v>
      </c>
      <c r="C16" s="8">
        <f>IFERROR(VLOOKUP(TABLE_打卡表[[#This Row],[目标编号]],TABLE_目标[],4,FALSE),"")</f>
        <v>45</v>
      </c>
      <c r="D16" s="8" t="str">
        <f>IFERROR(VLOOKUP(TABLE_打卡表[[#This Row],[目标编号]],TABLE_目标[],5,FALSE),"")</f>
        <v>min</v>
      </c>
    </row>
    <row r="17" spans="1:4" x14ac:dyDescent="0.4">
      <c r="A17" t="s">
        <v>375</v>
      </c>
      <c r="B17" s="8" t="str">
        <f>IFERROR(VLOOKUP(TABLE_打卡表[[#This Row],[目标编号]],TABLE_目标[],2,FALSE),"")</f>
        <v>每周，留出4个小时完整地时间思考整理（关键问题，方法论建设，审阅此表）</v>
      </c>
      <c r="C17" s="8">
        <f>IFERROR(VLOOKUP(TABLE_打卡表[[#This Row],[目标编号]],TABLE_目标[],4,FALSE),"")</f>
        <v>4</v>
      </c>
      <c r="D17" s="8" t="str">
        <f>IFERROR(VLOOKUP(TABLE_打卡表[[#This Row],[目标编号]],TABLE_目标[],5,FALSE),"")</f>
        <v>hr</v>
      </c>
    </row>
    <row r="18" spans="1:4" x14ac:dyDescent="0.4">
      <c r="A18" t="s">
        <v>245</v>
      </c>
      <c r="B18" s="8" t="str">
        <f>IFERROR(VLOOKUP(TABLE_打卡表[[#This Row],[目标编号]],TABLE_目标[],2,FALSE),"")</f>
        <v>每周，给父母打一个电话</v>
      </c>
      <c r="C18" s="8">
        <f>IFERROR(VLOOKUP(TABLE_打卡表[[#This Row],[目标编号]],TABLE_目标[],4,FALSE),"")</f>
        <v>1</v>
      </c>
      <c r="D18" s="8" t="str">
        <f>IFERROR(VLOOKUP(TABLE_打卡表[[#This Row],[目标编号]],TABLE_目标[],5,FALSE),"")</f>
        <v>time</v>
      </c>
    </row>
    <row r="19" spans="1:4" x14ac:dyDescent="0.4">
      <c r="B19" s="8"/>
      <c r="C19" s="8"/>
      <c r="D19" s="8"/>
    </row>
    <row r="20" spans="1:4" x14ac:dyDescent="0.4">
      <c r="B20" s="8"/>
      <c r="C20" s="8"/>
      <c r="D20" s="8"/>
    </row>
    <row r="21" spans="1:4" x14ac:dyDescent="0.4">
      <c r="B21" s="8"/>
      <c r="C21" s="8"/>
      <c r="D21" s="8"/>
    </row>
    <row r="22" spans="1:4" x14ac:dyDescent="0.4">
      <c r="B22" s="8"/>
      <c r="C22" s="8"/>
      <c r="D22" s="8"/>
    </row>
    <row r="23" spans="1:4" x14ac:dyDescent="0.4">
      <c r="D23" s="8"/>
    </row>
    <row r="24" spans="1:4" x14ac:dyDescent="0.4">
      <c r="B24" s="8"/>
      <c r="C24" s="8"/>
      <c r="D24" s="8"/>
    </row>
    <row r="25" spans="1:4" x14ac:dyDescent="0.4">
      <c r="B25" s="8"/>
      <c r="C25" s="8"/>
      <c r="D25" s="8"/>
    </row>
    <row r="26" spans="1:4" x14ac:dyDescent="0.4">
      <c r="B26" s="8"/>
      <c r="C26" s="8"/>
      <c r="D26" s="8"/>
    </row>
    <row r="27" spans="1:4" x14ac:dyDescent="0.4">
      <c r="B27" s="8"/>
      <c r="C27" s="8"/>
      <c r="D27" s="8"/>
    </row>
    <row r="28" spans="1:4" x14ac:dyDescent="0.4">
      <c r="B28" s="8"/>
      <c r="C28" s="8"/>
      <c r="D28" s="8"/>
    </row>
    <row r="29" spans="1:4" x14ac:dyDescent="0.4">
      <c r="B29" s="8"/>
      <c r="C29" s="8"/>
      <c r="D29" s="8"/>
    </row>
    <row r="30" spans="1:4" x14ac:dyDescent="0.4">
      <c r="B30" s="8"/>
      <c r="C30" s="8"/>
      <c r="D30" s="8"/>
    </row>
    <row r="31" spans="1:4" x14ac:dyDescent="0.4">
      <c r="B31" s="8"/>
      <c r="C31" s="8"/>
      <c r="D31" s="8"/>
    </row>
    <row r="32" spans="1:4" x14ac:dyDescent="0.4">
      <c r="B32" s="8"/>
      <c r="C32" s="8"/>
      <c r="D32" s="8"/>
    </row>
    <row r="33" spans="2:4" x14ac:dyDescent="0.4">
      <c r="B33" s="8"/>
      <c r="C33" s="8"/>
      <c r="D33" s="8"/>
    </row>
    <row r="34" spans="2:4" x14ac:dyDescent="0.4">
      <c r="B34" s="8"/>
      <c r="C34" s="8"/>
      <c r="D34" s="8"/>
    </row>
    <row r="35" spans="2:4" x14ac:dyDescent="0.4">
      <c r="B35" s="8"/>
      <c r="C35" s="8"/>
      <c r="D35" s="8"/>
    </row>
  </sheetData>
  <phoneticPr fontId="1" type="noConversion"/>
  <dataValidations disablePrompts="1" count="1">
    <dataValidation type="list" allowBlank="1" showInputMessage="1" showErrorMessage="1" sqref="A10">
      <formula1>LIST_频度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28"/>
  <sheetViews>
    <sheetView workbookViewId="0">
      <selection activeCell="A30" sqref="A30"/>
    </sheetView>
  </sheetViews>
  <sheetFormatPr defaultRowHeight="13.9" x14ac:dyDescent="0.4"/>
  <cols>
    <col min="1" max="1" width="29.53125" customWidth="1"/>
    <col min="2" max="2" width="43.9296875" style="3" customWidth="1"/>
    <col min="3" max="3" width="35.3984375" style="3" customWidth="1"/>
    <col min="4" max="4" width="9.06640625" bestFit="1" customWidth="1"/>
    <col min="5" max="6" width="11" bestFit="1" customWidth="1"/>
    <col min="7" max="7" width="7.1328125" bestFit="1" customWidth="1"/>
  </cols>
  <sheetData>
    <row r="1" spans="1:7" x14ac:dyDescent="0.4">
      <c r="A1" t="s">
        <v>86</v>
      </c>
      <c r="B1" s="3" t="s">
        <v>85</v>
      </c>
      <c r="C1" s="3" t="s">
        <v>119</v>
      </c>
      <c r="D1" t="s">
        <v>179</v>
      </c>
      <c r="E1" t="s">
        <v>178</v>
      </c>
      <c r="F1" t="s">
        <v>120</v>
      </c>
      <c r="G1" t="s">
        <v>88</v>
      </c>
    </row>
    <row r="2" spans="1:7" x14ac:dyDescent="0.4">
      <c r="A2" t="s">
        <v>212</v>
      </c>
      <c r="B2" s="3" t="s">
        <v>186</v>
      </c>
      <c r="D2">
        <v>88</v>
      </c>
      <c r="E2" t="s">
        <v>173</v>
      </c>
      <c r="F2" t="s">
        <v>104</v>
      </c>
    </row>
    <row r="3" spans="1:7" x14ac:dyDescent="0.4">
      <c r="A3" t="s">
        <v>213</v>
      </c>
      <c r="B3" s="3" t="s">
        <v>61</v>
      </c>
      <c r="D3">
        <v>30</v>
      </c>
      <c r="E3" t="s">
        <v>180</v>
      </c>
      <c r="F3" t="s">
        <v>104</v>
      </c>
    </row>
    <row r="4" spans="1:7" x14ac:dyDescent="0.4">
      <c r="A4" t="s">
        <v>215</v>
      </c>
      <c r="B4" s="3" t="s">
        <v>63</v>
      </c>
      <c r="D4">
        <v>50</v>
      </c>
      <c r="E4" t="s">
        <v>168</v>
      </c>
      <c r="F4" t="s">
        <v>104</v>
      </c>
    </row>
    <row r="5" spans="1:7" x14ac:dyDescent="0.4">
      <c r="A5" t="s">
        <v>216</v>
      </c>
      <c r="B5" s="3" t="s">
        <v>66</v>
      </c>
      <c r="D5">
        <v>20</v>
      </c>
      <c r="E5" t="s">
        <v>135</v>
      </c>
      <c r="F5" t="s">
        <v>104</v>
      </c>
    </row>
    <row r="6" spans="1:7" x14ac:dyDescent="0.4">
      <c r="A6" t="s">
        <v>217</v>
      </c>
      <c r="B6" s="3" t="s">
        <v>68</v>
      </c>
      <c r="D6">
        <v>45</v>
      </c>
      <c r="E6" t="s">
        <v>135</v>
      </c>
      <c r="F6" t="s">
        <v>104</v>
      </c>
    </row>
    <row r="7" spans="1:7" ht="27.75" x14ac:dyDescent="0.4">
      <c r="A7" t="s">
        <v>218</v>
      </c>
      <c r="B7" s="3" t="s">
        <v>70</v>
      </c>
      <c r="D7">
        <v>4</v>
      </c>
      <c r="E7" t="s">
        <v>174</v>
      </c>
      <c r="F7" t="s">
        <v>104</v>
      </c>
    </row>
    <row r="8" spans="1:7" x14ac:dyDescent="0.4">
      <c r="A8" t="s">
        <v>246</v>
      </c>
      <c r="B8" s="3" t="s">
        <v>185</v>
      </c>
      <c r="D8">
        <v>1</v>
      </c>
      <c r="E8" t="s">
        <v>168</v>
      </c>
      <c r="F8" t="s">
        <v>176</v>
      </c>
    </row>
    <row r="9" spans="1:7" x14ac:dyDescent="0.4">
      <c r="A9" t="s">
        <v>219</v>
      </c>
      <c r="B9" s="3" t="s">
        <v>198</v>
      </c>
      <c r="C9" s="3" t="s">
        <v>182</v>
      </c>
      <c r="D9">
        <v>30</v>
      </c>
      <c r="E9" t="s">
        <v>181</v>
      </c>
      <c r="F9" t="s">
        <v>121</v>
      </c>
    </row>
    <row r="10" spans="1:7" x14ac:dyDescent="0.4">
      <c r="A10" t="s">
        <v>220</v>
      </c>
      <c r="B10" s="3" t="s">
        <v>199</v>
      </c>
      <c r="C10" s="3" t="s">
        <v>183</v>
      </c>
      <c r="D10">
        <v>80</v>
      </c>
      <c r="E10" t="s">
        <v>184</v>
      </c>
      <c r="F10" t="s">
        <v>121</v>
      </c>
    </row>
    <row r="11" spans="1:7" ht="27.75" x14ac:dyDescent="0.4">
      <c r="A11" t="s">
        <v>221</v>
      </c>
      <c r="B11" s="3" t="s">
        <v>200</v>
      </c>
      <c r="C11" s="3" t="s">
        <v>187</v>
      </c>
      <c r="D11">
        <v>70</v>
      </c>
      <c r="E11" t="s">
        <v>184</v>
      </c>
      <c r="F11" t="s">
        <v>121</v>
      </c>
    </row>
    <row r="12" spans="1:7" x14ac:dyDescent="0.4">
      <c r="A12" t="s">
        <v>223</v>
      </c>
      <c r="B12" s="3" t="s">
        <v>201</v>
      </c>
      <c r="D12">
        <v>1</v>
      </c>
      <c r="E12" t="s">
        <v>188</v>
      </c>
      <c r="F12" t="s">
        <v>121</v>
      </c>
    </row>
    <row r="13" spans="1:7" x14ac:dyDescent="0.4">
      <c r="A13" t="s">
        <v>225</v>
      </c>
      <c r="B13" s="3" t="s">
        <v>202</v>
      </c>
      <c r="D13">
        <v>1</v>
      </c>
      <c r="E13" t="s">
        <v>189</v>
      </c>
      <c r="F13" t="s">
        <v>121</v>
      </c>
    </row>
    <row r="14" spans="1:7" x14ac:dyDescent="0.4">
      <c r="A14" t="s">
        <v>227</v>
      </c>
      <c r="B14" s="3" t="s">
        <v>203</v>
      </c>
      <c r="D14">
        <v>1</v>
      </c>
      <c r="E14" t="s">
        <v>189</v>
      </c>
      <c r="F14" t="s">
        <v>121</v>
      </c>
    </row>
    <row r="15" spans="1:7" x14ac:dyDescent="0.4">
      <c r="A15" t="s">
        <v>235</v>
      </c>
      <c r="B15" s="3" t="s">
        <v>204</v>
      </c>
      <c r="D15">
        <v>1</v>
      </c>
      <c r="E15" t="s">
        <v>189</v>
      </c>
      <c r="F15" t="s">
        <v>121</v>
      </c>
    </row>
    <row r="16" spans="1:7" x14ac:dyDescent="0.4">
      <c r="A16" t="s">
        <v>229</v>
      </c>
      <c r="B16" s="3" t="s">
        <v>205</v>
      </c>
      <c r="D16">
        <v>1</v>
      </c>
      <c r="E16" t="s">
        <v>190</v>
      </c>
      <c r="F16" t="s">
        <v>121</v>
      </c>
    </row>
    <row r="17" spans="1:6" x14ac:dyDescent="0.4">
      <c r="A17" t="s">
        <v>231</v>
      </c>
      <c r="B17" s="3" t="s">
        <v>206</v>
      </c>
      <c r="D17">
        <v>1</v>
      </c>
      <c r="E17" t="s">
        <v>189</v>
      </c>
      <c r="F17" t="s">
        <v>121</v>
      </c>
    </row>
    <row r="18" spans="1:6" x14ac:dyDescent="0.4">
      <c r="A18" t="s">
        <v>233</v>
      </c>
      <c r="B18" s="3" t="s">
        <v>275</v>
      </c>
      <c r="C18" s="3" t="s">
        <v>192</v>
      </c>
      <c r="D18">
        <v>7</v>
      </c>
      <c r="E18" t="s">
        <v>191</v>
      </c>
      <c r="F18" t="s">
        <v>121</v>
      </c>
    </row>
    <row r="19" spans="1:6" x14ac:dyDescent="0.4">
      <c r="A19" t="s">
        <v>237</v>
      </c>
      <c r="B19" s="3" t="s">
        <v>207</v>
      </c>
      <c r="D19">
        <v>30</v>
      </c>
      <c r="E19" t="s">
        <v>180</v>
      </c>
      <c r="F19" t="s">
        <v>121</v>
      </c>
    </row>
    <row r="20" spans="1:6" x14ac:dyDescent="0.4">
      <c r="A20" t="s">
        <v>239</v>
      </c>
      <c r="B20" s="3" t="s">
        <v>208</v>
      </c>
      <c r="D20">
        <v>50</v>
      </c>
      <c r="E20" t="s">
        <v>190</v>
      </c>
      <c r="F20" t="s">
        <v>193</v>
      </c>
    </row>
    <row r="21" spans="1:6" x14ac:dyDescent="0.4">
      <c r="A21" t="s">
        <v>241</v>
      </c>
      <c r="B21" s="3" t="s">
        <v>209</v>
      </c>
      <c r="D21">
        <v>20</v>
      </c>
      <c r="E21" t="s">
        <v>196</v>
      </c>
      <c r="F21" t="s">
        <v>194</v>
      </c>
    </row>
    <row r="22" spans="1:6" x14ac:dyDescent="0.4">
      <c r="A22" t="s">
        <v>243</v>
      </c>
      <c r="B22" s="3" t="s">
        <v>210</v>
      </c>
      <c r="D22">
        <v>45</v>
      </c>
      <c r="E22" t="s">
        <v>197</v>
      </c>
      <c r="F22" t="s">
        <v>195</v>
      </c>
    </row>
    <row r="23" spans="1:6" x14ac:dyDescent="0.4">
      <c r="A23" t="s">
        <v>249</v>
      </c>
      <c r="B23" s="3" t="s">
        <v>250</v>
      </c>
      <c r="D23">
        <v>1</v>
      </c>
      <c r="E23" t="s">
        <v>251</v>
      </c>
      <c r="F23" t="s">
        <v>194</v>
      </c>
    </row>
    <row r="24" spans="1:6" x14ac:dyDescent="0.4">
      <c r="A24" s="3" t="s">
        <v>297</v>
      </c>
      <c r="B24" s="3" t="s">
        <v>298</v>
      </c>
      <c r="D24">
        <v>1</v>
      </c>
      <c r="E24" t="s">
        <v>190</v>
      </c>
      <c r="F24" t="s">
        <v>299</v>
      </c>
    </row>
    <row r="25" spans="1:6" x14ac:dyDescent="0.4">
      <c r="A25" s="3" t="s">
        <v>331</v>
      </c>
      <c r="B25" s="3" t="s">
        <v>332</v>
      </c>
      <c r="D25">
        <v>1</v>
      </c>
      <c r="E25" t="s">
        <v>190</v>
      </c>
      <c r="F25" t="s">
        <v>300</v>
      </c>
    </row>
    <row r="26" spans="1:6" x14ac:dyDescent="0.4">
      <c r="A26" s="3" t="s">
        <v>378</v>
      </c>
      <c r="B26" s="3" t="s">
        <v>379</v>
      </c>
    </row>
    <row r="27" spans="1:6" ht="27.75" x14ac:dyDescent="0.4">
      <c r="A27" s="3" t="s">
        <v>377</v>
      </c>
      <c r="B27" s="3" t="s">
        <v>406</v>
      </c>
    </row>
    <row r="28" spans="1:6" x14ac:dyDescent="0.4">
      <c r="A28" s="3" t="s">
        <v>380</v>
      </c>
      <c r="B28" s="3" t="s">
        <v>381</v>
      </c>
    </row>
  </sheetData>
  <dataConsolidate/>
  <phoneticPr fontId="1" type="noConversion"/>
  <dataValidations count="2">
    <dataValidation type="list" allowBlank="1" showInputMessage="1" showErrorMessage="1" sqref="F2:F28">
      <formula1>LIST_频度</formula1>
    </dataValidation>
    <dataValidation type="list" allowBlank="1" showInputMessage="1" showErrorMessage="1" sqref="E2:E28">
      <formula1>LIST_单位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66"/>
  <sheetViews>
    <sheetView topLeftCell="A13" workbookViewId="0">
      <selection activeCell="D23" sqref="D23"/>
    </sheetView>
  </sheetViews>
  <sheetFormatPr defaultRowHeight="13.9" x14ac:dyDescent="0.4"/>
  <cols>
    <col min="1" max="1" width="11" bestFit="1" customWidth="1"/>
    <col min="2" max="2" width="16.9296875" bestFit="1" customWidth="1"/>
    <col min="3" max="3" width="23.59765625" bestFit="1" customWidth="1"/>
    <col min="4" max="4" width="30.265625" bestFit="1" customWidth="1"/>
    <col min="5" max="6" width="7.1328125" bestFit="1" customWidth="1"/>
    <col min="7" max="7" width="7.1328125" customWidth="1"/>
    <col min="8" max="8" width="7.1328125" bestFit="1" customWidth="1"/>
    <col min="9" max="9" width="7.1328125" customWidth="1"/>
    <col min="10" max="12" width="7.1328125" bestFit="1" customWidth="1"/>
    <col min="13" max="13" width="5.6640625" style="12" customWidth="1"/>
    <col min="14" max="14" width="4.33203125" style="12" customWidth="1"/>
    <col min="16" max="16" width="48.6640625" style="3" customWidth="1"/>
    <col min="18" max="18" width="14.73046875" bestFit="1" customWidth="1"/>
  </cols>
  <sheetData>
    <row r="1" spans="1:18" x14ac:dyDescent="0.4">
      <c r="A1" t="s">
        <v>254</v>
      </c>
      <c r="B1" t="s">
        <v>255</v>
      </c>
      <c r="C1" t="s">
        <v>96</v>
      </c>
      <c r="D1" s="15" t="s">
        <v>160</v>
      </c>
      <c r="E1" s="15" t="s">
        <v>253</v>
      </c>
      <c r="F1" s="15" t="s">
        <v>252</v>
      </c>
      <c r="G1" s="15" t="s">
        <v>291</v>
      </c>
      <c r="H1" t="s">
        <v>92</v>
      </c>
      <c r="I1" t="s">
        <v>282</v>
      </c>
      <c r="J1" s="15" t="s">
        <v>284</v>
      </c>
      <c r="K1" t="s">
        <v>93</v>
      </c>
      <c r="L1" t="s">
        <v>94</v>
      </c>
      <c r="M1" s="16" t="s">
        <v>285</v>
      </c>
      <c r="N1" s="16" t="s">
        <v>292</v>
      </c>
      <c r="O1" t="s">
        <v>111</v>
      </c>
      <c r="P1" s="3" t="s">
        <v>95</v>
      </c>
      <c r="R1" s="1">
        <f ca="1">NOW()</f>
        <v>43550.641346412034</v>
      </c>
    </row>
    <row r="2" spans="1:18" x14ac:dyDescent="0.4">
      <c r="A2" t="s">
        <v>256</v>
      </c>
      <c r="B2" t="s">
        <v>159</v>
      </c>
      <c r="C2" t="s">
        <v>240</v>
      </c>
      <c r="D2" t="str">
        <f>IFERROR(VLOOKUP(TABLE_日志[[#This Row],[关联目标]],TABLE_目标[],2,FALSE),"")</f>
        <v>每天，锻炼手臂不少于20分钟</v>
      </c>
      <c r="E2">
        <f>IFERROR(VLOOKUP(TABLE_日志[[#This Row],[关联目标]],TABLE_目标[],4,FALSE),"")</f>
        <v>20</v>
      </c>
      <c r="F2" t="str">
        <f>IFERROR(VLOOKUP(TABLE_日志[[#This Row],[关联目标]],TABLE_目标[],5,FALSE),"")</f>
        <v>min</v>
      </c>
      <c r="G2" t="str">
        <f>IFERROR(VLOOKUP(TABLE_日志[[#This Row],[关联目标]],TABLE_目标[],6,FALSE),"")</f>
        <v>每日</v>
      </c>
      <c r="H2">
        <v>30</v>
      </c>
      <c r="I2" t="s">
        <v>283</v>
      </c>
      <c r="J2" s="4">
        <f>ROUNDDOWN(TABLE_日志[[#This Row],[开始]]-2/24,0)</f>
        <v>43176</v>
      </c>
      <c r="K2" s="13">
        <v>43176.333333333336</v>
      </c>
      <c r="L2" s="13">
        <v>43176.354166666664</v>
      </c>
      <c r="M2" s="14">
        <f>TABLE_日志[[#This Row],[结束]]-TABLE_日志[[#This Row],[开始]]</f>
        <v>2.0833333328482695E-2</v>
      </c>
      <c r="N2" s="10">
        <f>TABLE_日志[[#This Row],[时长]]</f>
        <v>2.0833333328482695E-2</v>
      </c>
      <c r="O2" s="5" t="b">
        <v>1</v>
      </c>
    </row>
    <row r="3" spans="1:18" x14ac:dyDescent="0.4">
      <c r="A3" t="s">
        <v>257</v>
      </c>
      <c r="B3" t="s">
        <v>153</v>
      </c>
      <c r="C3" t="s">
        <v>236</v>
      </c>
      <c r="D3" t="str">
        <f>IFERROR(VLOOKUP(TABLE_日志[[#This Row],[关联目标]],TABLE_目标[],2,FALSE),"")</f>
        <v>每天，骑行30KM，或者步行5KM</v>
      </c>
      <c r="E3">
        <f>IFERROR(VLOOKUP(TABLE_日志[[#This Row],[关联目标]],TABLE_目标[],4,FALSE),"")</f>
        <v>30</v>
      </c>
      <c r="F3" t="str">
        <f>IFERROR(VLOOKUP(TABLE_日志[[#This Row],[关联目标]],TABLE_目标[],5,FALSE),"")</f>
        <v>km</v>
      </c>
      <c r="G3" t="str">
        <f>IFERROR(VLOOKUP(TABLE_日志[[#This Row],[关联目标]],TABLE_目标[],6,FALSE),"")</f>
        <v>每日</v>
      </c>
      <c r="H3">
        <v>34</v>
      </c>
      <c r="I3" t="s">
        <v>283</v>
      </c>
      <c r="J3" s="4">
        <f>ROUNDDOWN(TABLE_日志[[#This Row],[开始]]-2/24,0)</f>
        <v>43176</v>
      </c>
      <c r="K3" s="13">
        <v>43176.354166666664</v>
      </c>
      <c r="L3" s="13">
        <v>43176.40625</v>
      </c>
      <c r="M3" s="14">
        <f>TABLE_日志[[#This Row],[结束]]-TABLE_日志[[#This Row],[开始]]</f>
        <v>5.2083333335758653E-2</v>
      </c>
      <c r="N3" s="10">
        <f>TABLE_日志[[#This Row],[时长]]</f>
        <v>5.2083333335758653E-2</v>
      </c>
      <c r="O3" s="5" t="b">
        <v>1</v>
      </c>
    </row>
    <row r="4" spans="1:18" x14ac:dyDescent="0.4">
      <c r="A4" t="s">
        <v>258</v>
      </c>
      <c r="B4" t="s">
        <v>112</v>
      </c>
      <c r="C4" t="s">
        <v>248</v>
      </c>
      <c r="D4" t="str">
        <f>IFERROR(VLOOKUP(TABLE_日志[[#This Row],[关联目标]],TABLE_目标[],2,FALSE),"")</f>
        <v>每天，确保本表的更新</v>
      </c>
      <c r="E4">
        <f>IFERROR(VLOOKUP(TABLE_日志[[#This Row],[关联目标]],TABLE_目标[],4,FALSE),"")</f>
        <v>1</v>
      </c>
      <c r="F4" t="str">
        <f>IFERROR(VLOOKUP(TABLE_日志[[#This Row],[关联目标]],TABLE_目标[],5,FALSE),"")</f>
        <v>time</v>
      </c>
      <c r="G4" t="str">
        <f>IFERROR(VLOOKUP(TABLE_日志[[#This Row],[关联目标]],TABLE_目标[],6,FALSE),"")</f>
        <v>每日</v>
      </c>
      <c r="H4">
        <v>1</v>
      </c>
      <c r="I4" t="s">
        <v>283</v>
      </c>
      <c r="J4" s="4">
        <f>ROUNDDOWN(TABLE_日志[[#This Row],[开始]]-2/24,0)</f>
        <v>43176</v>
      </c>
      <c r="K4" s="13">
        <v>43176.708333333336</v>
      </c>
      <c r="L4" s="13">
        <v>43176.807639236111</v>
      </c>
      <c r="M4" s="14">
        <f>TABLE_日志[[#This Row],[结束]]-TABLE_日志[[#This Row],[开始]]</f>
        <v>9.9305902775085997E-2</v>
      </c>
      <c r="N4" s="10">
        <f>TABLE_日志[[#This Row],[时长]]</f>
        <v>9.9305902775085997E-2</v>
      </c>
      <c r="O4" s="5" t="b">
        <v>0</v>
      </c>
    </row>
    <row r="5" spans="1:18" ht="27.75" x14ac:dyDescent="0.4">
      <c r="A5" t="s">
        <v>259</v>
      </c>
      <c r="B5" t="s">
        <v>150</v>
      </c>
      <c r="D5" t="str">
        <f>IFERROR(VLOOKUP(TABLE_日志[[#This Row],[关联目标]],TABLE_目标[],2,FALSE),"")</f>
        <v/>
      </c>
      <c r="E5" t="str">
        <f>IFERROR(VLOOKUP(TABLE_日志[[#This Row],[关联目标]],TABLE_目标[],4,FALSE),"")</f>
        <v/>
      </c>
      <c r="F5" t="str">
        <f>IFERROR(VLOOKUP(TABLE_日志[[#This Row],[关联目标]],TABLE_目标[],5,FALSE),"")</f>
        <v/>
      </c>
      <c r="G5" t="str">
        <f>IFERROR(VLOOKUP(TABLE_日志[[#This Row],[关联目标]],TABLE_目标[],6,FALSE),"")</f>
        <v/>
      </c>
      <c r="I5" t="s">
        <v>157</v>
      </c>
      <c r="J5" s="4">
        <f>ROUNDDOWN(TABLE_日志[[#This Row],[开始]]-2/24,0)</f>
        <v>43176</v>
      </c>
      <c r="K5" s="13">
        <v>43176.763888888891</v>
      </c>
      <c r="L5" s="13">
        <v>43176.784722222219</v>
      </c>
      <c r="M5" s="14">
        <f>TABLE_日志[[#This Row],[结束]]-TABLE_日志[[#This Row],[开始]]</f>
        <v>2.0833333328482695E-2</v>
      </c>
      <c r="N5" s="10">
        <f>TABLE_日志[[#This Row],[时长]]</f>
        <v>2.0833333328482695E-2</v>
      </c>
      <c r="O5" s="5" t="b">
        <v>0</v>
      </c>
      <c r="P5" s="3" t="s">
        <v>151</v>
      </c>
    </row>
    <row r="6" spans="1:18" x14ac:dyDescent="0.4">
      <c r="A6" t="s">
        <v>260</v>
      </c>
      <c r="B6" t="s">
        <v>152</v>
      </c>
      <c r="C6" t="s">
        <v>226</v>
      </c>
      <c r="D6" t="str">
        <f>IFERROR(VLOOKUP(TABLE_日志[[#This Row],[关联目标]],TABLE_目标[],2,FALSE),"")</f>
        <v>每天，与小母牛沟通10分钟</v>
      </c>
      <c r="E6">
        <f>IFERROR(VLOOKUP(TABLE_日志[[#This Row],[关联目标]],TABLE_目标[],4,FALSE),"")</f>
        <v>1</v>
      </c>
      <c r="F6" t="str">
        <f>IFERROR(VLOOKUP(TABLE_日志[[#This Row],[关联目标]],TABLE_目标[],5,FALSE),"")</f>
        <v>time</v>
      </c>
      <c r="G6" t="str">
        <f>IFERROR(VLOOKUP(TABLE_日志[[#This Row],[关联目标]],TABLE_目标[],6,FALSE),"")</f>
        <v>每日</v>
      </c>
      <c r="H6">
        <v>1</v>
      </c>
      <c r="I6" t="s">
        <v>283</v>
      </c>
      <c r="J6" s="4">
        <f>ROUNDDOWN(TABLE_日志[[#This Row],[开始]]-2/24,0)</f>
        <v>43176</v>
      </c>
      <c r="K6" s="13">
        <v>43176.784722222219</v>
      </c>
      <c r="L6" s="13">
        <v>43176.802083333336</v>
      </c>
      <c r="M6" s="14">
        <f>TABLE_日志[[#This Row],[结束]]-TABLE_日志[[#This Row],[开始]]</f>
        <v>1.7361111116770189E-2</v>
      </c>
      <c r="N6" s="10">
        <f>TABLE_日志[[#This Row],[时长]]</f>
        <v>1.7361111116770189E-2</v>
      </c>
      <c r="O6" s="5" t="b">
        <v>0</v>
      </c>
    </row>
    <row r="7" spans="1:18" x14ac:dyDescent="0.4">
      <c r="A7" t="s">
        <v>261</v>
      </c>
      <c r="B7" s="11" t="s">
        <v>244</v>
      </c>
      <c r="C7" s="5"/>
      <c r="D7" s="6" t="str">
        <f>IFERROR(VLOOKUP(TABLE_日志[[#This Row],[关联目标]],TABLE_目标[],2,FALSE),"")</f>
        <v/>
      </c>
      <c r="E7" s="6" t="str">
        <f>IFERROR(VLOOKUP(TABLE_日志[[#This Row],[关联目标]],TABLE_目标[],4,FALSE),"")</f>
        <v/>
      </c>
      <c r="F7" s="6" t="str">
        <f>IFERROR(VLOOKUP(TABLE_日志[[#This Row],[关联目标]],TABLE_目标[],5,FALSE),"")</f>
        <v/>
      </c>
      <c r="G7" s="6" t="str">
        <f>IFERROR(VLOOKUP(TABLE_日志[[#This Row],[关联目标]],TABLE_目标[],6,FALSE),"")</f>
        <v/>
      </c>
      <c r="H7" s="5"/>
      <c r="I7" t="s">
        <v>157</v>
      </c>
      <c r="J7" s="4">
        <f>ROUNDDOWN(TABLE_日志[[#This Row],[开始]]-2/24,0)</f>
        <v>43176</v>
      </c>
      <c r="K7" s="13">
        <v>43176.802083333336</v>
      </c>
      <c r="L7" s="13">
        <v>43176.979166666664</v>
      </c>
      <c r="M7" s="14">
        <f>TABLE_日志[[#This Row],[结束]]-TABLE_日志[[#This Row],[开始]]</f>
        <v>0.17708333332848269</v>
      </c>
      <c r="N7" s="10">
        <f>TABLE_日志[[#This Row],[时长]]</f>
        <v>0.17708333332848269</v>
      </c>
      <c r="O7" s="5" t="b">
        <v>1</v>
      </c>
      <c r="P7" s="7"/>
    </row>
    <row r="8" spans="1:18" x14ac:dyDescent="0.4">
      <c r="A8" t="s">
        <v>262</v>
      </c>
      <c r="B8" s="5" t="s">
        <v>161</v>
      </c>
      <c r="C8" s="5" t="s">
        <v>238</v>
      </c>
      <c r="D8" s="6" t="str">
        <f>IFERROR(VLOOKUP(TABLE_日志[[#This Row],[关联目标]],TABLE_目标[],2,FALSE),"")</f>
        <v>每天，仰卧起坐不少于50个</v>
      </c>
      <c r="E8" s="6">
        <f>IFERROR(VLOOKUP(TABLE_日志[[#This Row],[关联目标]],TABLE_目标[],4,FALSE),"")</f>
        <v>50</v>
      </c>
      <c r="F8" s="6" t="str">
        <f>IFERROR(VLOOKUP(TABLE_日志[[#This Row],[关联目标]],TABLE_目标[],5,FALSE),"")</f>
        <v>time</v>
      </c>
      <c r="G8" s="6" t="str">
        <f>IFERROR(VLOOKUP(TABLE_日志[[#This Row],[关联目标]],TABLE_目标[],6,FALSE),"")</f>
        <v>每日</v>
      </c>
      <c r="H8" s="5">
        <v>60</v>
      </c>
      <c r="I8" t="s">
        <v>283</v>
      </c>
      <c r="J8" s="4">
        <f>ROUNDDOWN(TABLE_日志[[#This Row],[开始]]-2/24,0)</f>
        <v>43176</v>
      </c>
      <c r="K8" s="13">
        <v>43176.84375</v>
      </c>
      <c r="L8" s="13">
        <v>43176.864583333336</v>
      </c>
      <c r="M8" s="14">
        <f>TABLE_日志[[#This Row],[结束]]-TABLE_日志[[#This Row],[开始]]</f>
        <v>2.0833333335758653E-2</v>
      </c>
      <c r="N8" s="10">
        <f>TABLE_日志[[#This Row],[时长]]</f>
        <v>2.0833333335758653E-2</v>
      </c>
      <c r="O8" s="5" t="b">
        <v>1</v>
      </c>
      <c r="P8" s="7"/>
    </row>
    <row r="9" spans="1:18" x14ac:dyDescent="0.4">
      <c r="A9" t="s">
        <v>263</v>
      </c>
      <c r="B9" t="s">
        <v>177</v>
      </c>
      <c r="C9" t="s">
        <v>224</v>
      </c>
      <c r="D9" s="8" t="str">
        <f>IFERROR(VLOOKUP(TABLE_日志[[#This Row],[关联目标]],TABLE_目标[],2,FALSE),"")</f>
        <v>每天，与孩子沟通10分钟</v>
      </c>
      <c r="E9" s="8">
        <f>IFERROR(VLOOKUP(TABLE_日志[[#This Row],[关联目标]],TABLE_目标[],4,FALSE),"")</f>
        <v>1</v>
      </c>
      <c r="F9" s="8" t="str">
        <f>IFERROR(VLOOKUP(TABLE_日志[[#This Row],[关联目标]],TABLE_目标[],5,FALSE),"")</f>
        <v>time</v>
      </c>
      <c r="G9" s="8" t="str">
        <f>IFERROR(VLOOKUP(TABLE_日志[[#This Row],[关联目标]],TABLE_目标[],6,FALSE),"")</f>
        <v>每日</v>
      </c>
      <c r="H9">
        <v>1</v>
      </c>
      <c r="I9" t="s">
        <v>283</v>
      </c>
      <c r="J9" s="4">
        <f>ROUNDDOWN(TABLE_日志[[#This Row],[开始]]-2/24,0)</f>
        <v>43176</v>
      </c>
      <c r="K9" s="13">
        <v>43176.958333333336</v>
      </c>
      <c r="L9" s="13">
        <v>43176.979166666664</v>
      </c>
      <c r="M9" s="14">
        <f>TABLE_日志[[#This Row],[结束]]-TABLE_日志[[#This Row],[开始]]</f>
        <v>2.0833333328482695E-2</v>
      </c>
      <c r="N9" s="10">
        <f>TABLE_日志[[#This Row],[时长]]</f>
        <v>2.0833333328482695E-2</v>
      </c>
      <c r="O9" s="5" t="b">
        <v>0</v>
      </c>
    </row>
    <row r="10" spans="1:18" x14ac:dyDescent="0.4">
      <c r="A10" t="s">
        <v>264</v>
      </c>
      <c r="B10" s="5" t="s">
        <v>162</v>
      </c>
      <c r="C10" s="5" t="s">
        <v>242</v>
      </c>
      <c r="D10" s="6" t="str">
        <f>IFERROR(VLOOKUP(TABLE_日志[[#This Row],[关联目标]],TABLE_目标[],2,FALSE),"")</f>
        <v>每天，阅读时间不少于45分钟</v>
      </c>
      <c r="E10" s="6">
        <f>IFERROR(VLOOKUP(TABLE_日志[[#This Row],[关联目标]],TABLE_目标[],4,FALSE),"")</f>
        <v>45</v>
      </c>
      <c r="F10" s="6" t="str">
        <f>IFERROR(VLOOKUP(TABLE_日志[[#This Row],[关联目标]],TABLE_目标[],5,FALSE),"")</f>
        <v>min</v>
      </c>
      <c r="G10" s="6" t="str">
        <f>IFERROR(VLOOKUP(TABLE_日志[[#This Row],[关联目标]],TABLE_目标[],6,FALSE),"")</f>
        <v>每日</v>
      </c>
      <c r="H10" s="5">
        <v>45</v>
      </c>
      <c r="I10" t="s">
        <v>283</v>
      </c>
      <c r="J10" s="4">
        <f>ROUNDDOWN(TABLE_日志[[#This Row],[开始]]-2/24,0)</f>
        <v>43176</v>
      </c>
      <c r="K10" s="13">
        <v>43176.979166666664</v>
      </c>
      <c r="L10" s="13">
        <v>43177.010416666664</v>
      </c>
      <c r="M10" s="14">
        <f>TABLE_日志[[#This Row],[结束]]-TABLE_日志[[#This Row],[开始]]</f>
        <v>3.125E-2</v>
      </c>
      <c r="N10" s="10">
        <f>TABLE_日志[[#This Row],[时长]]</f>
        <v>3.125E-2</v>
      </c>
      <c r="O10" s="5" t="b">
        <v>1</v>
      </c>
      <c r="P10" s="9" t="s">
        <v>171</v>
      </c>
    </row>
    <row r="11" spans="1:18" x14ac:dyDescent="0.4">
      <c r="A11" t="s">
        <v>265</v>
      </c>
      <c r="B11" s="11" t="s">
        <v>276</v>
      </c>
      <c r="C11" s="5" t="s">
        <v>234</v>
      </c>
      <c r="D11" s="6" t="str">
        <f>IFERROR(VLOOKUP(TABLE_日志[[#This Row],[关联目标]],TABLE_目标[],2,FALSE),"")</f>
        <v>每天，晚上11点以前睡觉</v>
      </c>
      <c r="E11" s="6">
        <f>IFERROR(VLOOKUP(TABLE_日志[[#This Row],[关联目标]],TABLE_目标[],4,FALSE),"")</f>
        <v>1</v>
      </c>
      <c r="F11" s="6" t="str">
        <f>IFERROR(VLOOKUP(TABLE_日志[[#This Row],[关联目标]],TABLE_目标[],5,FALSE),"")</f>
        <v>time</v>
      </c>
      <c r="G11" s="6" t="str">
        <f>IFERROR(VLOOKUP(TABLE_日志[[#This Row],[关联目标]],TABLE_目标[],6,FALSE),"")</f>
        <v>每日</v>
      </c>
      <c r="H11" s="5">
        <v>0</v>
      </c>
      <c r="I11" t="s">
        <v>175</v>
      </c>
      <c r="J11" s="4">
        <f>ROUNDDOWN(TABLE_日志[[#This Row],[开始]]-2/24,0)</f>
        <v>43176</v>
      </c>
      <c r="K11" s="13">
        <v>43176.979166666664</v>
      </c>
      <c r="L11" s="13">
        <v>43176.979166666664</v>
      </c>
      <c r="M11" s="14">
        <f>TABLE_日志[[#This Row],[结束]]-TABLE_日志[[#This Row],[开始]]</f>
        <v>0</v>
      </c>
      <c r="N11" s="10">
        <f>TABLE_日志[[#This Row],[时长]]</f>
        <v>0</v>
      </c>
      <c r="O11" s="5" t="b">
        <v>1</v>
      </c>
      <c r="P11" s="9"/>
    </row>
    <row r="12" spans="1:18" x14ac:dyDescent="0.4">
      <c r="A12" t="s">
        <v>266</v>
      </c>
      <c r="B12" s="11" t="s">
        <v>276</v>
      </c>
      <c r="C12" s="5" t="s">
        <v>222</v>
      </c>
      <c r="D12" s="6" t="str">
        <f>IFERROR(VLOOKUP(TABLE_日志[[#This Row],[关联目标]],TABLE_目标[],2,FALSE),"")</f>
        <v>每天，不说打击贝妞的话</v>
      </c>
      <c r="E12" s="6">
        <f>IFERROR(VLOOKUP(TABLE_日志[[#This Row],[关联目标]],TABLE_目标[],4,FALSE),"")</f>
        <v>1</v>
      </c>
      <c r="F12" s="6" t="str">
        <f>IFERROR(VLOOKUP(TABLE_日志[[#This Row],[关联目标]],TABLE_目标[],5,FALSE),"")</f>
        <v>time</v>
      </c>
      <c r="G12" s="6" t="str">
        <f>IFERROR(VLOOKUP(TABLE_日志[[#This Row],[关联目标]],TABLE_目标[],6,FALSE),"")</f>
        <v>每日</v>
      </c>
      <c r="H12" s="5">
        <v>1</v>
      </c>
      <c r="I12" t="s">
        <v>283</v>
      </c>
      <c r="J12" s="4">
        <f>ROUNDDOWN(TABLE_日志[[#This Row],[开始]]-2/24,0)</f>
        <v>43176</v>
      </c>
      <c r="K12" s="13">
        <v>43176.979166666664</v>
      </c>
      <c r="L12" s="13">
        <v>43176.979166666664</v>
      </c>
      <c r="M12" s="14">
        <f>TABLE_日志[[#This Row],[结束]]-TABLE_日志[[#This Row],[开始]]</f>
        <v>0</v>
      </c>
      <c r="N12" s="10">
        <f>TABLE_日志[[#This Row],[时长]]</f>
        <v>0</v>
      </c>
      <c r="O12" s="5" t="b">
        <v>1</v>
      </c>
      <c r="P12" s="7"/>
    </row>
    <row r="13" spans="1:18" x14ac:dyDescent="0.4">
      <c r="A13" t="s">
        <v>267</v>
      </c>
      <c r="B13" s="11" t="s">
        <v>277</v>
      </c>
      <c r="C13" s="5" t="s">
        <v>230</v>
      </c>
      <c r="D13" s="6" t="str">
        <f>IFERROR(VLOOKUP(TABLE_日志[[#This Row],[关联目标]],TABLE_目标[],2,FALSE),"")</f>
        <v>每天，每天晚上刷牙</v>
      </c>
      <c r="E13" s="6">
        <f>IFERROR(VLOOKUP(TABLE_日志[[#This Row],[关联目标]],TABLE_目标[],4,FALSE),"")</f>
        <v>1</v>
      </c>
      <c r="F13" s="6" t="str">
        <f>IFERROR(VLOOKUP(TABLE_日志[[#This Row],[关联目标]],TABLE_目标[],5,FALSE),"")</f>
        <v>time</v>
      </c>
      <c r="G13" s="6" t="str">
        <f>IFERROR(VLOOKUP(TABLE_日志[[#This Row],[关联目标]],TABLE_目标[],6,FALSE),"")</f>
        <v>每日</v>
      </c>
      <c r="H13" s="5">
        <v>0</v>
      </c>
      <c r="I13" t="s">
        <v>175</v>
      </c>
      <c r="J13" s="4">
        <f>ROUNDDOWN(TABLE_日志[[#This Row],[开始]]-2/24,0)</f>
        <v>43176</v>
      </c>
      <c r="K13" s="13">
        <v>43176.979166666664</v>
      </c>
      <c r="L13" s="13">
        <v>43176.979166666664</v>
      </c>
      <c r="M13" s="14">
        <f>TABLE_日志[[#This Row],[结束]]-TABLE_日志[[#This Row],[开始]]</f>
        <v>0</v>
      </c>
      <c r="N13" s="10">
        <f>TABLE_日志[[#This Row],[时长]]</f>
        <v>0</v>
      </c>
      <c r="O13" s="5" t="b">
        <v>1</v>
      </c>
      <c r="P13" s="7"/>
    </row>
    <row r="14" spans="1:18" x14ac:dyDescent="0.4">
      <c r="A14" t="s">
        <v>268</v>
      </c>
      <c r="B14" s="5" t="s">
        <v>163</v>
      </c>
      <c r="C14" s="5" t="s">
        <v>232</v>
      </c>
      <c r="D14" s="6" t="str">
        <f>IFERROR(VLOOKUP(TABLE_日志[[#This Row],[关联目标]],TABLE_目标[],2,FALSE),"")</f>
        <v>每天，前一天睡眠总时间达到7小时</v>
      </c>
      <c r="E14" s="6">
        <f>IFERROR(VLOOKUP(TABLE_日志[[#This Row],[关联目标]],TABLE_目标[],4,FALSE),"")</f>
        <v>7</v>
      </c>
      <c r="F14" s="6" t="str">
        <f>IFERROR(VLOOKUP(TABLE_日志[[#This Row],[关联目标]],TABLE_目标[],5,FALSE),"")</f>
        <v>hr</v>
      </c>
      <c r="G14" s="6" t="str">
        <f>IFERROR(VLOOKUP(TABLE_日志[[#This Row],[关联目标]],TABLE_目标[],6,FALSE),"")</f>
        <v>每日</v>
      </c>
      <c r="H14" s="5">
        <v>1</v>
      </c>
      <c r="I14" t="s">
        <v>283</v>
      </c>
      <c r="J14" s="4">
        <f>ROUNDDOWN(TABLE_日志[[#This Row],[开始]]-2/24,0)</f>
        <v>43176</v>
      </c>
      <c r="K14" s="13">
        <v>43177.010416666664</v>
      </c>
      <c r="L14" s="13">
        <v>43177.270833333336</v>
      </c>
      <c r="M14" s="14">
        <f>TABLE_日志[[#This Row],[结束]]-TABLE_日志[[#This Row],[开始]]</f>
        <v>0.26041666667151731</v>
      </c>
      <c r="N14" s="10">
        <f>TABLE_日志[[#This Row],[时长]]</f>
        <v>0.26041666667151731</v>
      </c>
      <c r="O14" s="5" t="b">
        <v>1</v>
      </c>
      <c r="P14" s="7"/>
    </row>
    <row r="15" spans="1:18" x14ac:dyDescent="0.4">
      <c r="A15" t="s">
        <v>269</v>
      </c>
      <c r="B15" s="5" t="s">
        <v>164</v>
      </c>
      <c r="C15" s="5"/>
      <c r="D15" s="6" t="str">
        <f>IFERROR(VLOOKUP(TABLE_日志[[#This Row],[关联目标]],TABLE_目标[],2,FALSE),"")</f>
        <v/>
      </c>
      <c r="E15" s="6" t="str">
        <f>IFERROR(VLOOKUP(TABLE_日志[[#This Row],[关联目标]],TABLE_目标[],4,FALSE),"")</f>
        <v/>
      </c>
      <c r="F15" s="6" t="str">
        <f>IFERROR(VLOOKUP(TABLE_日志[[#This Row],[关联目标]],TABLE_目标[],5,FALSE),"")</f>
        <v/>
      </c>
      <c r="G15" s="6" t="str">
        <f>IFERROR(VLOOKUP(TABLE_日志[[#This Row],[关联目标]],TABLE_目标[],6,FALSE),"")</f>
        <v/>
      </c>
      <c r="H15" s="5"/>
      <c r="I15" t="s">
        <v>157</v>
      </c>
      <c r="J15" s="4">
        <f>ROUNDDOWN(TABLE_日志[[#This Row],[开始]]-2/24,0)</f>
        <v>43177</v>
      </c>
      <c r="K15" s="13">
        <v>43177.284722222219</v>
      </c>
      <c r="L15" s="13">
        <v>43177.291666666664</v>
      </c>
      <c r="M15" s="14">
        <f>TABLE_日志[[#This Row],[结束]]-TABLE_日志[[#This Row],[开始]]</f>
        <v>6.9444444452528842E-3</v>
      </c>
      <c r="N15" s="10">
        <f>TABLE_日志[[#This Row],[时长]]</f>
        <v>6.9444444452528842E-3</v>
      </c>
      <c r="O15" s="5" t="b">
        <v>1</v>
      </c>
      <c r="P15" s="7" t="s">
        <v>165</v>
      </c>
    </row>
    <row r="16" spans="1:18" x14ac:dyDescent="0.4">
      <c r="A16" t="s">
        <v>270</v>
      </c>
      <c r="B16" s="5" t="s">
        <v>166</v>
      </c>
      <c r="C16" s="5"/>
      <c r="D16" s="6" t="str">
        <f>IFERROR(VLOOKUP(TABLE_日志[[#This Row],[关联目标]],TABLE_目标[],2,FALSE),"")</f>
        <v/>
      </c>
      <c r="E16" s="6" t="str">
        <f>IFERROR(VLOOKUP(TABLE_日志[[#This Row],[关联目标]],TABLE_目标[],4,FALSE),"")</f>
        <v/>
      </c>
      <c r="F16" s="6" t="str">
        <f>IFERROR(VLOOKUP(TABLE_日志[[#This Row],[关联目标]],TABLE_目标[],5,FALSE),"")</f>
        <v/>
      </c>
      <c r="G16" s="6" t="str">
        <f>IFERROR(VLOOKUP(TABLE_日志[[#This Row],[关联目标]],TABLE_目标[],6,FALSE),"")</f>
        <v/>
      </c>
      <c r="H16" s="5"/>
      <c r="I16" t="s">
        <v>157</v>
      </c>
      <c r="J16" s="4">
        <f>ROUNDDOWN(TABLE_日志[[#This Row],[开始]]-2/24,0)</f>
        <v>43177</v>
      </c>
      <c r="K16" s="13">
        <v>43177.291666666664</v>
      </c>
      <c r="L16" s="13">
        <v>43177.302083333336</v>
      </c>
      <c r="M16" s="14">
        <f>TABLE_日志[[#This Row],[结束]]-TABLE_日志[[#This Row],[开始]]</f>
        <v>1.0416666671517305E-2</v>
      </c>
      <c r="N16" s="10">
        <f>TABLE_日志[[#This Row],[时长]]</f>
        <v>1.0416666671517305E-2</v>
      </c>
      <c r="O16" s="5" t="b">
        <v>1</v>
      </c>
      <c r="P16" s="7"/>
    </row>
    <row r="17" spans="1:16" x14ac:dyDescent="0.4">
      <c r="A17" t="s">
        <v>271</v>
      </c>
      <c r="B17" s="5" t="s">
        <v>167</v>
      </c>
      <c r="C17" s="5" t="s">
        <v>248</v>
      </c>
      <c r="D17" s="6" t="str">
        <f>IFERROR(VLOOKUP(TABLE_日志[[#This Row],[关联目标]],TABLE_目标[],2,FALSE),"")</f>
        <v>每天，确保本表的更新</v>
      </c>
      <c r="E17" s="6">
        <f>IFERROR(VLOOKUP(TABLE_日志[[#This Row],[关联目标]],TABLE_目标[],4,FALSE),"")</f>
        <v>1</v>
      </c>
      <c r="F17" s="6" t="str">
        <f>IFERROR(VLOOKUP(TABLE_日志[[#This Row],[关联目标]],TABLE_目标[],5,FALSE),"")</f>
        <v>time</v>
      </c>
      <c r="G17" s="6" t="str">
        <f>IFERROR(VLOOKUP(TABLE_日志[[#This Row],[关联目标]],TABLE_目标[],6,FALSE),"")</f>
        <v>每日</v>
      </c>
      <c r="H17" s="5">
        <v>1</v>
      </c>
      <c r="I17" t="s">
        <v>157</v>
      </c>
      <c r="J17" s="4">
        <f>ROUNDDOWN(TABLE_日志[[#This Row],[开始]]-2/24,0)</f>
        <v>43177</v>
      </c>
      <c r="K17" s="13">
        <v>43177.302083333336</v>
      </c>
      <c r="L17" s="13">
        <v>43177.314583333333</v>
      </c>
      <c r="M17" s="14">
        <f>TABLE_日志[[#This Row],[结束]]-TABLE_日志[[#This Row],[开始]]</f>
        <v>1.2499999997089617E-2</v>
      </c>
      <c r="N17" s="10">
        <f>TABLE_日志[[#This Row],[时长]]</f>
        <v>1.2499999997089617E-2</v>
      </c>
      <c r="O17" s="5" t="b">
        <v>0</v>
      </c>
      <c r="P17" s="7"/>
    </row>
    <row r="18" spans="1:16" x14ac:dyDescent="0.4">
      <c r="A18" t="s">
        <v>272</v>
      </c>
      <c r="B18" t="s">
        <v>159</v>
      </c>
      <c r="C18" s="5" t="s">
        <v>240</v>
      </c>
      <c r="D18" s="8" t="str">
        <f>IFERROR(VLOOKUP(TABLE_日志[[#This Row],[关联目标]],TABLE_目标[],2,FALSE),"")</f>
        <v>每天，锻炼手臂不少于20分钟</v>
      </c>
      <c r="E18" s="8">
        <f>IFERROR(VLOOKUP(TABLE_日志[[#This Row],[关联目标]],TABLE_目标[],4,FALSE),"")</f>
        <v>20</v>
      </c>
      <c r="F18" s="8" t="str">
        <f>IFERROR(VLOOKUP(TABLE_日志[[#This Row],[关联目标]],TABLE_目标[],5,FALSE),"")</f>
        <v>min</v>
      </c>
      <c r="G18" s="8" t="str">
        <f>IFERROR(VLOOKUP(TABLE_日志[[#This Row],[关联目标]],TABLE_目标[],6,FALSE),"")</f>
        <v>每日</v>
      </c>
      <c r="I18" t="s">
        <v>283</v>
      </c>
      <c r="J18" s="4">
        <f>ROUNDDOWN(TABLE_日志[[#This Row],[开始]]-2/24,0)</f>
        <v>43177</v>
      </c>
      <c r="K18" s="13">
        <v>43177.314583333333</v>
      </c>
      <c r="L18" s="13">
        <v>43177.333333333336</v>
      </c>
      <c r="M18" s="14">
        <f>TABLE_日志[[#This Row],[结束]]-TABLE_日志[[#This Row],[开始]]</f>
        <v>1.8750000002910383E-2</v>
      </c>
      <c r="N18" s="10">
        <f>TABLE_日志[[#This Row],[时长]]</f>
        <v>1.8750000002910383E-2</v>
      </c>
      <c r="O18" t="b">
        <v>1</v>
      </c>
    </row>
    <row r="19" spans="1:16" x14ac:dyDescent="0.4">
      <c r="A19" t="s">
        <v>273</v>
      </c>
      <c r="B19" t="s">
        <v>153</v>
      </c>
      <c r="C19" s="5" t="s">
        <v>236</v>
      </c>
      <c r="D19" s="8" t="str">
        <f>IFERROR(VLOOKUP(TABLE_日志[[#This Row],[关联目标]],TABLE_目标[],2,FALSE),"")</f>
        <v>每天，骑行30KM，或者步行5KM</v>
      </c>
      <c r="E19" s="8">
        <f>IFERROR(VLOOKUP(TABLE_日志[[#This Row],[关联目标]],TABLE_目标[],4,FALSE),"")</f>
        <v>30</v>
      </c>
      <c r="F19" s="8" t="str">
        <f>IFERROR(VLOOKUP(TABLE_日志[[#This Row],[关联目标]],TABLE_目标[],5,FALSE),"")</f>
        <v>km</v>
      </c>
      <c r="G19" s="8" t="str">
        <f>IFERROR(VLOOKUP(TABLE_日志[[#This Row],[关联目标]],TABLE_目标[],6,FALSE),"")</f>
        <v>每日</v>
      </c>
      <c r="I19" t="s">
        <v>283</v>
      </c>
      <c r="J19" s="4">
        <f>ROUNDDOWN(TABLE_日志[[#This Row],[开始]]-2/24,0)</f>
        <v>43177</v>
      </c>
      <c r="K19" s="13">
        <v>43177.333333333336</v>
      </c>
      <c r="L19" s="13">
        <v>43177.395833333336</v>
      </c>
      <c r="M19" s="14">
        <f>TABLE_日志[[#This Row],[结束]]-TABLE_日志[[#This Row],[开始]]</f>
        <v>6.25E-2</v>
      </c>
      <c r="N19" s="10">
        <f>TABLE_日志[[#This Row],[时长]]</f>
        <v>6.25E-2</v>
      </c>
      <c r="O19" t="b">
        <v>1</v>
      </c>
    </row>
    <row r="20" spans="1:16" x14ac:dyDescent="0.4">
      <c r="A20" t="s">
        <v>274</v>
      </c>
      <c r="B20" t="s">
        <v>170</v>
      </c>
      <c r="C20" s="5"/>
      <c r="D20" s="8" t="str">
        <f>IFERROR(VLOOKUP(TABLE_日志[[#This Row],[关联目标]],TABLE_目标[],2,FALSE),"")</f>
        <v/>
      </c>
      <c r="E20" s="8" t="str">
        <f>IFERROR(VLOOKUP(TABLE_日志[[#This Row],[关联目标]],TABLE_目标[],4,FALSE),"")</f>
        <v/>
      </c>
      <c r="F20" s="8" t="str">
        <f>IFERROR(VLOOKUP(TABLE_日志[[#This Row],[关联目标]],TABLE_目标[],5,FALSE),"")</f>
        <v/>
      </c>
      <c r="G20" s="8" t="str">
        <f>IFERROR(VLOOKUP(TABLE_日志[[#This Row],[关联目标]],TABLE_目标[],6,FALSE),"")</f>
        <v/>
      </c>
      <c r="I20" t="s">
        <v>157</v>
      </c>
      <c r="J20" s="4">
        <f>ROUNDDOWN(TABLE_日志[[#This Row],[开始]]-2/24,0)</f>
        <v>43177</v>
      </c>
      <c r="K20" s="13">
        <v>43177.395833333336</v>
      </c>
      <c r="L20" s="13">
        <v>43177.422201504633</v>
      </c>
      <c r="M20" s="14">
        <f>TABLE_日志[[#This Row],[结束]]-TABLE_日志[[#This Row],[开始]]</f>
        <v>2.6368171296780929E-2</v>
      </c>
      <c r="N20" s="10">
        <f>TABLE_日志[[#This Row],[时长]]</f>
        <v>2.6368171296780929E-2</v>
      </c>
      <c r="O20" t="b">
        <v>1</v>
      </c>
    </row>
    <row r="21" spans="1:16" x14ac:dyDescent="0.4">
      <c r="A21" t="s">
        <v>278</v>
      </c>
      <c r="B21" t="s">
        <v>172</v>
      </c>
      <c r="C21" s="5" t="s">
        <v>245</v>
      </c>
      <c r="D21" s="8" t="str">
        <f>IFERROR(VLOOKUP(TABLE_日志[[#This Row],[关联目标]],TABLE_目标[],2,FALSE),"")</f>
        <v>每周，给父母打一个电话</v>
      </c>
      <c r="E21" s="8">
        <f>IFERROR(VLOOKUP(TABLE_日志[[#This Row],[关联目标]],TABLE_目标[],4,FALSE),"")</f>
        <v>1</v>
      </c>
      <c r="F21" s="8" t="str">
        <f>IFERROR(VLOOKUP(TABLE_日志[[#This Row],[关联目标]],TABLE_目标[],5,FALSE),"")</f>
        <v>time</v>
      </c>
      <c r="G21" s="8" t="str">
        <f>IFERROR(VLOOKUP(TABLE_日志[[#This Row],[关联目标]],TABLE_目标[],6,FALSE),"")</f>
        <v>每周</v>
      </c>
      <c r="I21" t="s">
        <v>283</v>
      </c>
      <c r="J21" s="4">
        <f>ROUNDDOWN(TABLE_日志[[#This Row],[开始]]-2/24,0)</f>
        <v>43177</v>
      </c>
      <c r="K21" s="13">
        <v>43177.452060185184</v>
      </c>
      <c r="L21" s="13">
        <v>43177.475671296299</v>
      </c>
      <c r="M21" s="14">
        <f>TABLE_日志[[#This Row],[结束]]-TABLE_日志[[#This Row],[开始]]</f>
        <v>2.3611111115314998E-2</v>
      </c>
      <c r="N21" s="10">
        <f>TABLE_日志[[#This Row],[时长]]</f>
        <v>2.3611111115314998E-2</v>
      </c>
      <c r="O21" t="b">
        <v>1</v>
      </c>
    </row>
    <row r="22" spans="1:16" x14ac:dyDescent="0.4">
      <c r="A22" t="s">
        <v>279</v>
      </c>
      <c r="B22" t="s">
        <v>294</v>
      </c>
      <c r="C22" t="s">
        <v>248</v>
      </c>
      <c r="D22" s="8" t="str">
        <f>IFERROR(VLOOKUP(TABLE_日志[[#This Row],[关联目标]],TABLE_目标[],2,FALSE),"")</f>
        <v>每天，确保本表的更新</v>
      </c>
      <c r="E22" s="8">
        <f>IFERROR(VLOOKUP(TABLE_日志[[#This Row],[关联目标]],TABLE_目标[],4,FALSE),"")</f>
        <v>1</v>
      </c>
      <c r="F22" s="8" t="str">
        <f>IFERROR(VLOOKUP(TABLE_日志[[#This Row],[关联目标]],TABLE_目标[],5,FALSE),"")</f>
        <v>time</v>
      </c>
      <c r="G22" s="8" t="str">
        <f>IFERROR(VLOOKUP(TABLE_日志[[#This Row],[关联目标]],TABLE_目标[],6,FALSE),"")</f>
        <v>每日</v>
      </c>
      <c r="I22" t="s">
        <v>157</v>
      </c>
      <c r="J22" s="4">
        <f>ROUNDDOWN(TABLE_日志[[#This Row],[开始]]-2/24,0)</f>
        <v>43177</v>
      </c>
      <c r="K22" s="13">
        <v>43177.475671296299</v>
      </c>
      <c r="L22" s="13">
        <v>43177.554016203707</v>
      </c>
      <c r="M22" s="22">
        <f>TABLE_日志[[#This Row],[结束]]-TABLE_日志[[#This Row],[开始]]</f>
        <v>7.8344907407881692E-2</v>
      </c>
      <c r="N22" s="23">
        <f>TABLE_日志[[#This Row],[时长]]</f>
        <v>7.8344907407881692E-2</v>
      </c>
      <c r="O22" t="b">
        <v>1</v>
      </c>
    </row>
    <row r="23" spans="1:16" x14ac:dyDescent="0.4">
      <c r="A23" t="s">
        <v>281</v>
      </c>
      <c r="B23" t="s">
        <v>247</v>
      </c>
      <c r="C23" t="s">
        <v>211</v>
      </c>
      <c r="D23" s="8" t="str">
        <f>IFERROR(VLOOKUP(TABLE_日志[[#This Row],[关联目标]],TABLE_目标[],2,FALSE),"")</f>
        <v>每周，体重控制在85-88KG</v>
      </c>
      <c r="E23" s="8">
        <f>IFERROR(VLOOKUP(TABLE_日志[[#This Row],[关联目标]],TABLE_目标[],4,FALSE),"")</f>
        <v>88</v>
      </c>
      <c r="F23" s="8" t="str">
        <f>IFERROR(VLOOKUP(TABLE_日志[[#This Row],[关联目标]],TABLE_目标[],5,FALSE),"")</f>
        <v>kg</v>
      </c>
      <c r="G23" s="8" t="str">
        <f>IFERROR(VLOOKUP(TABLE_日志[[#This Row],[关联目标]],TABLE_目标[],6,FALSE),"")</f>
        <v>每周</v>
      </c>
      <c r="H23">
        <v>93.1</v>
      </c>
      <c r="I23" t="s">
        <v>175</v>
      </c>
      <c r="J23" s="4">
        <f>ROUNDDOWN(TABLE_日志[[#This Row],[开始]]-2/24,0)</f>
        <v>43177</v>
      </c>
      <c r="K23" s="13">
        <v>43177.521832060185</v>
      </c>
      <c r="L23" s="13">
        <v>43177.521832060185</v>
      </c>
      <c r="M23" s="14">
        <f>TABLE_日志[[#This Row],[结束]]-TABLE_日志[[#This Row],[开始]]</f>
        <v>0</v>
      </c>
      <c r="N23" s="10">
        <f>TABLE_日志[[#This Row],[时长]]</f>
        <v>0</v>
      </c>
      <c r="O23" t="b">
        <v>1</v>
      </c>
    </row>
    <row r="24" spans="1:16" x14ac:dyDescent="0.4">
      <c r="A24" t="s">
        <v>295</v>
      </c>
      <c r="B24" t="s">
        <v>280</v>
      </c>
      <c r="C24" t="s">
        <v>228</v>
      </c>
      <c r="D24" s="8" t="str">
        <f>IFERROR(VLOOKUP(TABLE_日志[[#This Row],[关联目标]],TABLE_目标[],2,FALSE),"")</f>
        <v>每天，早上6点以前起床</v>
      </c>
      <c r="E24" s="8">
        <f>IFERROR(VLOOKUP(TABLE_日志[[#This Row],[关联目标]],TABLE_目标[],4,FALSE),"")</f>
        <v>1</v>
      </c>
      <c r="F24" s="8" t="str">
        <f>IFERROR(VLOOKUP(TABLE_日志[[#This Row],[关联目标]],TABLE_目标[],5,FALSE),"")</f>
        <v>time</v>
      </c>
      <c r="G24" s="8" t="str">
        <f>IFERROR(VLOOKUP(TABLE_日志[[#This Row],[关联目标]],TABLE_目标[],6,FALSE),"")</f>
        <v>每日</v>
      </c>
      <c r="H24">
        <v>0</v>
      </c>
      <c r="I24" t="s">
        <v>283</v>
      </c>
      <c r="J24" s="4">
        <f>ROUNDDOWN(TABLE_日志[[#This Row],[开始]]-2/24,0)</f>
        <v>43177</v>
      </c>
      <c r="K24" s="13">
        <v>43177.521832060185</v>
      </c>
      <c r="L24" s="13">
        <v>43177.521832060185</v>
      </c>
      <c r="M24" s="14">
        <f>TABLE_日志[[#This Row],[结束]]-TABLE_日志[[#This Row],[开始]]</f>
        <v>0</v>
      </c>
      <c r="N24" s="10">
        <f>TABLE_日志[[#This Row],[时长]]</f>
        <v>0</v>
      </c>
      <c r="O24" t="b">
        <v>1</v>
      </c>
    </row>
    <row r="25" spans="1:16" x14ac:dyDescent="0.4">
      <c r="A25" t="s">
        <v>301</v>
      </c>
      <c r="B25" t="s">
        <v>305</v>
      </c>
      <c r="D25" s="8" t="str">
        <f>IFERROR(VLOOKUP(TABLE_日志[[#This Row],[关联目标]],TABLE_目标[],2,FALSE),"")</f>
        <v/>
      </c>
      <c r="E25" s="8" t="str">
        <f>IFERROR(VLOOKUP(TABLE_日志[[#This Row],[关联目标]],TABLE_目标[],4,FALSE),"")</f>
        <v/>
      </c>
      <c r="F25" s="8" t="str">
        <f>IFERROR(VLOOKUP(TABLE_日志[[#This Row],[关联目标]],TABLE_目标[],5,FALSE),"")</f>
        <v/>
      </c>
      <c r="G25" s="8" t="str">
        <f>IFERROR(VLOOKUP(TABLE_日志[[#This Row],[关联目标]],TABLE_目标[],6,FALSE),"")</f>
        <v/>
      </c>
      <c r="I25" t="s">
        <v>157</v>
      </c>
      <c r="J25" s="4">
        <f>ROUNDDOWN(TABLE_日志[[#This Row],[开始]]-2/24,0)</f>
        <v>43177</v>
      </c>
      <c r="K25" s="13">
        <v>43177.625</v>
      </c>
      <c r="L25" s="13">
        <v>43177.645833333336</v>
      </c>
      <c r="M25" s="22">
        <f>TABLE_日志[[#This Row],[结束]]-TABLE_日志[[#This Row],[开始]]</f>
        <v>2.0833333335758653E-2</v>
      </c>
      <c r="N25" s="23">
        <f>TABLE_日志[[#This Row],[时长]]</f>
        <v>2.0833333335758653E-2</v>
      </c>
      <c r="O25" t="b">
        <v>1</v>
      </c>
    </row>
    <row r="26" spans="1:16" x14ac:dyDescent="0.4">
      <c r="A26" t="s">
        <v>302</v>
      </c>
      <c r="B26" t="s">
        <v>296</v>
      </c>
      <c r="C26" t="s">
        <v>330</v>
      </c>
      <c r="D26" s="8" t="str">
        <f>IFERROR(VLOOKUP(TABLE_日志[[#This Row],[关联目标]],TABLE_目标[],2,FALSE),"")</f>
        <v>制作中文版资料，为了3/20演示</v>
      </c>
      <c r="E26" s="8">
        <f>IFERROR(VLOOKUP(TABLE_日志[[#This Row],[关联目标]],TABLE_目标[],4,FALSE),"")</f>
        <v>1</v>
      </c>
      <c r="F26" s="8" t="str">
        <f>IFERROR(VLOOKUP(TABLE_日志[[#This Row],[关联目标]],TABLE_目标[],5,FALSE),"")</f>
        <v>time</v>
      </c>
      <c r="G26" s="8" t="str">
        <f>IFERROR(VLOOKUP(TABLE_日志[[#This Row],[关联目标]],TABLE_目标[],6,FALSE),"")</f>
        <v>其他</v>
      </c>
      <c r="H26">
        <v>0.5</v>
      </c>
      <c r="I26" t="s">
        <v>157</v>
      </c>
      <c r="J26" s="4">
        <f>ROUNDDOWN(TABLE_日志[[#This Row],[开始]]-2/24,0)</f>
        <v>43177</v>
      </c>
      <c r="K26" s="13">
        <v>43177.697370023147</v>
      </c>
      <c r="L26" s="13">
        <v>43177.905706018515</v>
      </c>
      <c r="M26" s="22">
        <f>TABLE_日志[[#This Row],[结束]]-TABLE_日志[[#This Row],[开始]]</f>
        <v>0.20833599536854308</v>
      </c>
      <c r="N26" s="23">
        <f>TABLE_日志[[#This Row],[时长]]</f>
        <v>0.20833599536854308</v>
      </c>
      <c r="O26" t="b">
        <v>0</v>
      </c>
    </row>
    <row r="27" spans="1:16" x14ac:dyDescent="0.4">
      <c r="A27" t="s">
        <v>307</v>
      </c>
      <c r="B27" t="s">
        <v>304</v>
      </c>
      <c r="C27" t="s">
        <v>214</v>
      </c>
      <c r="D27" s="8" t="str">
        <f>IFERROR(VLOOKUP(TABLE_日志[[#This Row],[关联目标]],TABLE_目标[],2,FALSE),"")</f>
        <v>每周，日均仰卧起坐不少于50个</v>
      </c>
      <c r="E27" s="8">
        <f>IFERROR(VLOOKUP(TABLE_日志[[#This Row],[关联目标]],TABLE_目标[],4,FALSE),"")</f>
        <v>50</v>
      </c>
      <c r="F27" s="8" t="str">
        <f>IFERROR(VLOOKUP(TABLE_日志[[#This Row],[关联目标]],TABLE_目标[],5,FALSE),"")</f>
        <v>time</v>
      </c>
      <c r="G27" s="8" t="str">
        <f>IFERROR(VLOOKUP(TABLE_日志[[#This Row],[关联目标]],TABLE_目标[],6,FALSE),"")</f>
        <v>每周</v>
      </c>
      <c r="H27">
        <v>100</v>
      </c>
      <c r="I27" t="s">
        <v>303</v>
      </c>
      <c r="J27" s="4">
        <f>ROUNDDOWN(TABLE_日志[[#This Row],[开始]]-2/24,0)</f>
        <v>43177</v>
      </c>
      <c r="K27" s="13">
        <v>43177.916817129626</v>
      </c>
      <c r="L27" s="13">
        <v>43177.937650462962</v>
      </c>
      <c r="M27" s="22">
        <f>TABLE_日志[[#This Row],[结束]]-TABLE_日志[[#This Row],[开始]]</f>
        <v>2.0833333335758653E-2</v>
      </c>
      <c r="N27" s="23">
        <f>TABLE_日志[[#This Row],[时长]]</f>
        <v>2.0833333335758653E-2</v>
      </c>
      <c r="O27" t="b">
        <v>1</v>
      </c>
    </row>
    <row r="28" spans="1:16" x14ac:dyDescent="0.4">
      <c r="A28" t="s">
        <v>308</v>
      </c>
      <c r="B28" s="11" t="s">
        <v>277</v>
      </c>
      <c r="C28" t="s">
        <v>248</v>
      </c>
      <c r="D28" s="8" t="str">
        <f>IFERROR(VLOOKUP(TABLE_日志[[#This Row],[关联目标]],TABLE_目标[],2,FALSE),"")</f>
        <v>每天，确保本表的更新</v>
      </c>
      <c r="E28" s="8">
        <f>IFERROR(VLOOKUP(TABLE_日志[[#This Row],[关联目标]],TABLE_目标[],4,FALSE),"")</f>
        <v>1</v>
      </c>
      <c r="F28" s="8" t="str">
        <f>IFERROR(VLOOKUP(TABLE_日志[[#This Row],[关联目标]],TABLE_目标[],5,FALSE),"")</f>
        <v>time</v>
      </c>
      <c r="G28" s="8" t="str">
        <f>IFERROR(VLOOKUP(TABLE_日志[[#This Row],[关联目标]],TABLE_目标[],6,FALSE),"")</f>
        <v>每日</v>
      </c>
      <c r="H28">
        <v>1</v>
      </c>
      <c r="I28" t="s">
        <v>339</v>
      </c>
      <c r="J28" s="4">
        <f>ROUNDDOWN(TABLE_日志[[#This Row],[开始]]-2/24,0)</f>
        <v>43177</v>
      </c>
      <c r="K28" s="13">
        <v>43177.950775462959</v>
      </c>
      <c r="L28" s="13">
        <v>43177.950775462959</v>
      </c>
      <c r="M28" s="22">
        <f>TABLE_日志[[#This Row],[结束]]-TABLE_日志[[#This Row],[开始]]</f>
        <v>0</v>
      </c>
      <c r="N28" s="23">
        <f>TABLE_日志[[#This Row],[时长]]</f>
        <v>0</v>
      </c>
      <c r="O28" t="b">
        <v>1</v>
      </c>
    </row>
    <row r="29" spans="1:16" x14ac:dyDescent="0.4">
      <c r="A29" t="s">
        <v>309</v>
      </c>
      <c r="B29" s="11" t="s">
        <v>277</v>
      </c>
      <c r="C29" t="s">
        <v>222</v>
      </c>
      <c r="D29" s="8" t="str">
        <f>IFERROR(VLOOKUP(TABLE_日志[[#This Row],[关联目标]],TABLE_目标[],2,FALSE),"")</f>
        <v>每天，不说打击贝妞的话</v>
      </c>
      <c r="E29" s="8">
        <f>IFERROR(VLOOKUP(TABLE_日志[[#This Row],[关联目标]],TABLE_目标[],4,FALSE),"")</f>
        <v>1</v>
      </c>
      <c r="F29" s="8" t="str">
        <f>IFERROR(VLOOKUP(TABLE_日志[[#This Row],[关联目标]],TABLE_目标[],5,FALSE),"")</f>
        <v>time</v>
      </c>
      <c r="G29" s="8" t="str">
        <f>IFERROR(VLOOKUP(TABLE_日志[[#This Row],[关联目标]],TABLE_目标[],6,FALSE),"")</f>
        <v>每日</v>
      </c>
      <c r="H29">
        <v>1</v>
      </c>
      <c r="I29" t="s">
        <v>283</v>
      </c>
      <c r="J29" s="4">
        <f>ROUNDDOWN(TABLE_日志[[#This Row],[开始]]-2/24,0)</f>
        <v>43177</v>
      </c>
      <c r="K29" s="13">
        <v>43177.958483796298</v>
      </c>
      <c r="L29" s="13">
        <v>43177.958483796298</v>
      </c>
      <c r="M29" s="22">
        <f>TABLE_日志[[#This Row],[结束]]-TABLE_日志[[#This Row],[开始]]</f>
        <v>0</v>
      </c>
      <c r="N29" s="23">
        <f>TABLE_日志[[#This Row],[时长]]</f>
        <v>0</v>
      </c>
      <c r="O29" t="b">
        <v>1</v>
      </c>
    </row>
    <row r="30" spans="1:16" x14ac:dyDescent="0.4">
      <c r="A30" t="s">
        <v>310</v>
      </c>
      <c r="B30" s="11" t="s">
        <v>277</v>
      </c>
      <c r="C30" t="s">
        <v>224</v>
      </c>
      <c r="D30" s="8" t="str">
        <f>IFERROR(VLOOKUP(TABLE_日志[[#This Row],[关联目标]],TABLE_目标[],2,FALSE),"")</f>
        <v>每天，与孩子沟通10分钟</v>
      </c>
      <c r="E30" s="8">
        <f>IFERROR(VLOOKUP(TABLE_日志[[#This Row],[关联目标]],TABLE_目标[],4,FALSE),"")</f>
        <v>1</v>
      </c>
      <c r="F30" s="8" t="str">
        <f>IFERROR(VLOOKUP(TABLE_日志[[#This Row],[关联目标]],TABLE_目标[],5,FALSE),"")</f>
        <v>time</v>
      </c>
      <c r="G30" s="8" t="str">
        <f>IFERROR(VLOOKUP(TABLE_日志[[#This Row],[关联目标]],TABLE_目标[],6,FALSE),"")</f>
        <v>每日</v>
      </c>
      <c r="H30">
        <v>0</v>
      </c>
      <c r="I30" t="s">
        <v>157</v>
      </c>
      <c r="J30" s="4">
        <f>ROUNDDOWN(TABLE_日志[[#This Row],[开始]]-2/24,0)</f>
        <v>43177</v>
      </c>
      <c r="K30" s="13">
        <v>43177.958483796298</v>
      </c>
      <c r="L30" s="13">
        <v>43177.958483796298</v>
      </c>
      <c r="M30" s="22">
        <f>TABLE_日志[[#This Row],[结束]]-TABLE_日志[[#This Row],[开始]]</f>
        <v>0</v>
      </c>
      <c r="N30" s="23">
        <f>TABLE_日志[[#This Row],[时长]]</f>
        <v>0</v>
      </c>
      <c r="O30" t="b">
        <v>1</v>
      </c>
    </row>
    <row r="31" spans="1:16" x14ac:dyDescent="0.4">
      <c r="A31" t="s">
        <v>311</v>
      </c>
      <c r="B31" s="11" t="s">
        <v>277</v>
      </c>
      <c r="C31" t="s">
        <v>226</v>
      </c>
      <c r="D31" s="8" t="str">
        <f>IFERROR(VLOOKUP(TABLE_日志[[#This Row],[关联目标]],TABLE_目标[],2,FALSE),"")</f>
        <v>每天，与小母牛沟通10分钟</v>
      </c>
      <c r="E31" s="8">
        <f>IFERROR(VLOOKUP(TABLE_日志[[#This Row],[关联目标]],TABLE_目标[],4,FALSE),"")</f>
        <v>1</v>
      </c>
      <c r="F31" s="8" t="str">
        <f>IFERROR(VLOOKUP(TABLE_日志[[#This Row],[关联目标]],TABLE_目标[],5,FALSE),"")</f>
        <v>time</v>
      </c>
      <c r="G31" s="8" t="str">
        <f>IFERROR(VLOOKUP(TABLE_日志[[#This Row],[关联目标]],TABLE_目标[],6,FALSE),"")</f>
        <v>每日</v>
      </c>
      <c r="H31">
        <v>1</v>
      </c>
      <c r="I31" t="s">
        <v>283</v>
      </c>
      <c r="J31" s="4">
        <f>ROUNDDOWN(TABLE_日志[[#This Row],[开始]]-2/24,0)</f>
        <v>43177</v>
      </c>
      <c r="K31" s="13">
        <v>43177.958483796298</v>
      </c>
      <c r="L31" s="13">
        <v>43177.958483796298</v>
      </c>
      <c r="M31" s="22">
        <f>TABLE_日志[[#This Row],[结束]]-TABLE_日志[[#This Row],[开始]]</f>
        <v>0</v>
      </c>
      <c r="N31" s="23">
        <f>TABLE_日志[[#This Row],[时长]]</f>
        <v>0</v>
      </c>
      <c r="O31" t="b">
        <v>1</v>
      </c>
    </row>
    <row r="32" spans="1:16" x14ac:dyDescent="0.4">
      <c r="A32" t="s">
        <v>312</v>
      </c>
      <c r="B32" s="11" t="s">
        <v>277</v>
      </c>
      <c r="C32" t="s">
        <v>230</v>
      </c>
      <c r="D32" s="8" t="str">
        <f>IFERROR(VLOOKUP(TABLE_日志[[#This Row],[关联目标]],TABLE_目标[],2,FALSE),"")</f>
        <v>每天，每天晚上刷牙</v>
      </c>
      <c r="E32" s="8">
        <f>IFERROR(VLOOKUP(TABLE_日志[[#This Row],[关联目标]],TABLE_目标[],4,FALSE),"")</f>
        <v>1</v>
      </c>
      <c r="F32" s="8" t="str">
        <f>IFERROR(VLOOKUP(TABLE_日志[[#This Row],[关联目标]],TABLE_目标[],5,FALSE),"")</f>
        <v>time</v>
      </c>
      <c r="G32" s="8" t="str">
        <f>IFERROR(VLOOKUP(TABLE_日志[[#This Row],[关联目标]],TABLE_目标[],6,FALSE),"")</f>
        <v>每日</v>
      </c>
      <c r="H32">
        <v>0</v>
      </c>
      <c r="I32" t="s">
        <v>157</v>
      </c>
      <c r="J32" s="4">
        <f>ROUNDDOWN(TABLE_日志[[#This Row],[开始]]-2/24,0)</f>
        <v>43177</v>
      </c>
      <c r="K32" s="13">
        <v>43177.958483796298</v>
      </c>
      <c r="L32" s="13">
        <v>43177.958483796298</v>
      </c>
      <c r="M32" s="22">
        <f>TABLE_日志[[#This Row],[结束]]-TABLE_日志[[#This Row],[开始]]</f>
        <v>0</v>
      </c>
      <c r="N32" s="23">
        <f>TABLE_日志[[#This Row],[时长]]</f>
        <v>0</v>
      </c>
      <c r="O32" t="b">
        <v>1</v>
      </c>
    </row>
    <row r="33" spans="1:16" x14ac:dyDescent="0.4">
      <c r="A33" t="s">
        <v>313</v>
      </c>
      <c r="B33" s="11" t="s">
        <v>277</v>
      </c>
      <c r="C33" t="s">
        <v>234</v>
      </c>
      <c r="D33" s="8" t="str">
        <f>IFERROR(VLOOKUP(TABLE_日志[[#This Row],[关联目标]],TABLE_目标[],2,FALSE),"")</f>
        <v>每天，晚上11点以前睡觉</v>
      </c>
      <c r="E33" s="8">
        <f>IFERROR(VLOOKUP(TABLE_日志[[#This Row],[关联目标]],TABLE_目标[],4,FALSE),"")</f>
        <v>1</v>
      </c>
      <c r="F33" s="8" t="str">
        <f>IFERROR(VLOOKUP(TABLE_日志[[#This Row],[关联目标]],TABLE_目标[],5,FALSE),"")</f>
        <v>time</v>
      </c>
      <c r="G33" s="8" t="str">
        <f>IFERROR(VLOOKUP(TABLE_日志[[#This Row],[关联目标]],TABLE_目标[],6,FALSE),"")</f>
        <v>每日</v>
      </c>
      <c r="H33">
        <v>0</v>
      </c>
      <c r="I33" t="s">
        <v>157</v>
      </c>
      <c r="J33" s="4">
        <f>ROUNDDOWN(TABLE_日志[[#This Row],[开始]]-2/24,0)</f>
        <v>43177</v>
      </c>
      <c r="K33" s="13">
        <v>43177.958483796298</v>
      </c>
      <c r="L33" s="13">
        <v>43177.958483796298</v>
      </c>
      <c r="M33" s="22">
        <f>TABLE_日志[[#This Row],[结束]]-TABLE_日志[[#This Row],[开始]]</f>
        <v>0</v>
      </c>
      <c r="N33" s="23">
        <f>TABLE_日志[[#This Row],[时长]]</f>
        <v>0</v>
      </c>
      <c r="O33" t="b">
        <v>1</v>
      </c>
    </row>
    <row r="34" spans="1:16" x14ac:dyDescent="0.4">
      <c r="A34" t="s">
        <v>314</v>
      </c>
      <c r="B34" s="11" t="s">
        <v>277</v>
      </c>
      <c r="C34" t="s">
        <v>242</v>
      </c>
      <c r="D34" s="8" t="str">
        <f>IFERROR(VLOOKUP(TABLE_日志[[#This Row],[关联目标]],TABLE_目标[],2,FALSE),"")</f>
        <v>每天，阅读时间不少于45分钟</v>
      </c>
      <c r="E34" s="8">
        <f>IFERROR(VLOOKUP(TABLE_日志[[#This Row],[关联目标]],TABLE_目标[],4,FALSE),"")</f>
        <v>45</v>
      </c>
      <c r="F34" s="8" t="str">
        <f>IFERROR(VLOOKUP(TABLE_日志[[#This Row],[关联目标]],TABLE_目标[],5,FALSE),"")</f>
        <v>min</v>
      </c>
      <c r="G34" s="8" t="str">
        <f>IFERROR(VLOOKUP(TABLE_日志[[#This Row],[关联目标]],TABLE_目标[],6,FALSE),"")</f>
        <v>每日</v>
      </c>
      <c r="H34">
        <v>25</v>
      </c>
      <c r="I34" t="s">
        <v>175</v>
      </c>
      <c r="J34" s="4">
        <f>ROUNDDOWN(TABLE_日志[[#This Row],[开始]]-2/24,0)</f>
        <v>43177</v>
      </c>
      <c r="K34" s="13">
        <v>43178.003472222219</v>
      </c>
      <c r="L34" s="13">
        <v>43178.020833333336</v>
      </c>
      <c r="M34" s="22">
        <f>TABLE_日志[[#This Row],[结束]]-TABLE_日志[[#This Row],[开始]]</f>
        <v>1.7361111116770189E-2</v>
      </c>
      <c r="N34" s="23">
        <f>TABLE_日志[[#This Row],[时长]]</f>
        <v>1.7361111116770189E-2</v>
      </c>
      <c r="O34" t="b">
        <v>1</v>
      </c>
    </row>
    <row r="35" spans="1:16" x14ac:dyDescent="0.4">
      <c r="A35" t="s">
        <v>315</v>
      </c>
      <c r="B35" s="11" t="s">
        <v>277</v>
      </c>
      <c r="C35" t="s">
        <v>232</v>
      </c>
      <c r="D35" s="8" t="str">
        <f>IFERROR(VLOOKUP(TABLE_日志[[#This Row],[关联目标]],TABLE_目标[],2,FALSE),"")</f>
        <v>每天，前一天睡眠总时间达到7小时</v>
      </c>
      <c r="E35" s="8">
        <f>IFERROR(VLOOKUP(TABLE_日志[[#This Row],[关联目标]],TABLE_目标[],4,FALSE),"")</f>
        <v>7</v>
      </c>
      <c r="F35" s="8" t="str">
        <f>IFERROR(VLOOKUP(TABLE_日志[[#This Row],[关联目标]],TABLE_目标[],5,FALSE),"")</f>
        <v>hr</v>
      </c>
      <c r="G35" s="8" t="str">
        <f>IFERROR(VLOOKUP(TABLE_日志[[#This Row],[关联目标]],TABLE_目标[],6,FALSE),"")</f>
        <v>每日</v>
      </c>
      <c r="H35">
        <v>6</v>
      </c>
      <c r="I35" t="s">
        <v>306</v>
      </c>
      <c r="J35" s="4">
        <f>ROUNDDOWN(TABLE_日志[[#This Row],[开始]]-2/24,0)</f>
        <v>43177</v>
      </c>
      <c r="K35" s="13">
        <v>43178.020833333336</v>
      </c>
      <c r="L35" s="13">
        <v>43178.229166666664</v>
      </c>
      <c r="M35" s="22">
        <f>TABLE_日志[[#This Row],[结束]]-TABLE_日志[[#This Row],[开始]]</f>
        <v>0.20833333332848269</v>
      </c>
      <c r="N35" s="23">
        <f>TABLE_日志[[#This Row],[时长]]</f>
        <v>0.20833333332848269</v>
      </c>
      <c r="O35" t="b">
        <v>1</v>
      </c>
    </row>
    <row r="36" spans="1:16" x14ac:dyDescent="0.4">
      <c r="A36" t="s">
        <v>316</v>
      </c>
      <c r="B36" s="11" t="s">
        <v>277</v>
      </c>
      <c r="C36" t="s">
        <v>228</v>
      </c>
      <c r="D36" s="8" t="str">
        <f>IFERROR(VLOOKUP(TABLE_日志[[#This Row],[关联目标]],TABLE_目标[],2,FALSE),"")</f>
        <v>每天，早上6点以前起床</v>
      </c>
      <c r="E36" s="8">
        <f>IFERROR(VLOOKUP(TABLE_日志[[#This Row],[关联目标]],TABLE_目标[],4,FALSE),"")</f>
        <v>1</v>
      </c>
      <c r="F36" s="8" t="str">
        <f>IFERROR(VLOOKUP(TABLE_日志[[#This Row],[关联目标]],TABLE_目标[],5,FALSE),"")</f>
        <v>time</v>
      </c>
      <c r="G36" s="8" t="str">
        <f>IFERROR(VLOOKUP(TABLE_日志[[#This Row],[关联目标]],TABLE_目标[],6,FALSE),"")</f>
        <v>每日</v>
      </c>
      <c r="H36">
        <v>1</v>
      </c>
      <c r="I36" t="s">
        <v>283</v>
      </c>
      <c r="J36" s="4">
        <f>ROUNDDOWN(TABLE_日志[[#This Row],[开始]]-2/24,0)</f>
        <v>43178</v>
      </c>
      <c r="K36" s="13">
        <v>43178.264582638891</v>
      </c>
      <c r="L36" s="13">
        <v>43178.264582638891</v>
      </c>
      <c r="M36" s="22">
        <f>TABLE_日志[[#This Row],[结束]]-TABLE_日志[[#This Row],[开始]]</f>
        <v>0</v>
      </c>
      <c r="N36" s="23">
        <f>TABLE_日志[[#This Row],[时长]]</f>
        <v>0</v>
      </c>
      <c r="O36" t="b">
        <v>1</v>
      </c>
    </row>
    <row r="37" spans="1:16" x14ac:dyDescent="0.4">
      <c r="A37" t="s">
        <v>317</v>
      </c>
      <c r="B37" s="11" t="s">
        <v>277</v>
      </c>
      <c r="C37" t="s">
        <v>240</v>
      </c>
      <c r="D37" s="8" t="str">
        <f>IFERROR(VLOOKUP(TABLE_日志[[#This Row],[关联目标]],TABLE_目标[],2,FALSE),"")</f>
        <v>每天，锻炼手臂不少于20分钟</v>
      </c>
      <c r="E37" s="8">
        <f>IFERROR(VLOOKUP(TABLE_日志[[#This Row],[关联目标]],TABLE_目标[],4,FALSE),"")</f>
        <v>20</v>
      </c>
      <c r="F37" s="8" t="str">
        <f>IFERROR(VLOOKUP(TABLE_日志[[#This Row],[关联目标]],TABLE_目标[],5,FALSE),"")</f>
        <v>min</v>
      </c>
      <c r="G37" s="8" t="str">
        <f>IFERROR(VLOOKUP(TABLE_日志[[#This Row],[关联目标]],TABLE_目标[],6,FALSE),"")</f>
        <v>每日</v>
      </c>
      <c r="H37">
        <v>30</v>
      </c>
      <c r="I37" t="s">
        <v>328</v>
      </c>
      <c r="J37" s="4">
        <f>ROUNDDOWN(TABLE_日志[[#This Row],[开始]]-2/24,0)</f>
        <v>43178</v>
      </c>
      <c r="K37" s="13">
        <v>43178.264582638891</v>
      </c>
      <c r="L37" s="13">
        <v>43178.285416666666</v>
      </c>
      <c r="M37" s="22">
        <f>TABLE_日志[[#This Row],[结束]]-TABLE_日志[[#This Row],[开始]]</f>
        <v>2.0834027774981223E-2</v>
      </c>
      <c r="N37" s="23">
        <f>TABLE_日志[[#This Row],[时长]]</f>
        <v>2.0834027774981223E-2</v>
      </c>
      <c r="O37" t="b">
        <v>1</v>
      </c>
    </row>
    <row r="38" spans="1:16" x14ac:dyDescent="0.4">
      <c r="A38" t="s">
        <v>318</v>
      </c>
      <c r="B38" t="s">
        <v>296</v>
      </c>
      <c r="C38" t="s">
        <v>330</v>
      </c>
      <c r="D38" s="8" t="str">
        <f>IFERROR(VLOOKUP(TABLE_日志[[#This Row],[关联目标]],TABLE_目标[],2,FALSE),"")</f>
        <v>制作中文版资料，为了3/20演示</v>
      </c>
      <c r="E38" s="8">
        <f>IFERROR(VLOOKUP(TABLE_日志[[#This Row],[关联目标]],TABLE_目标[],4,FALSE),"")</f>
        <v>1</v>
      </c>
      <c r="F38" s="8" t="str">
        <f>IFERROR(VLOOKUP(TABLE_日志[[#This Row],[关联目标]],TABLE_目标[],5,FALSE),"")</f>
        <v>time</v>
      </c>
      <c r="G38" s="8" t="str">
        <f>IFERROR(VLOOKUP(TABLE_日志[[#This Row],[关联目标]],TABLE_目标[],6,FALSE),"")</f>
        <v>其他</v>
      </c>
      <c r="H38">
        <v>0.2</v>
      </c>
      <c r="I38" t="s">
        <v>157</v>
      </c>
      <c r="J38" s="4">
        <f>ROUNDDOWN(TABLE_日志[[#This Row],[开始]]-2/24,0)</f>
        <v>43178</v>
      </c>
      <c r="K38" s="13">
        <v>43178.285416666666</v>
      </c>
      <c r="L38" s="13">
        <v>43178.358950925925</v>
      </c>
      <c r="M38" s="25">
        <f>TABLE_日志[[#This Row],[结束]]-TABLE_日志[[#This Row],[开始]]</f>
        <v>7.3534259259758983E-2</v>
      </c>
      <c r="N38" s="26">
        <f>TABLE_日志[[#This Row],[时长]]</f>
        <v>7.3534259259758983E-2</v>
      </c>
      <c r="O38" t="b">
        <v>1</v>
      </c>
    </row>
    <row r="39" spans="1:16" x14ac:dyDescent="0.4">
      <c r="A39" t="s">
        <v>319</v>
      </c>
      <c r="B39" t="s">
        <v>333</v>
      </c>
      <c r="D39" s="8" t="str">
        <f>IFERROR(VLOOKUP(TABLE_日志[[#This Row],[关联目标]],TABLE_目标[],2,FALSE),"")</f>
        <v/>
      </c>
      <c r="E39" s="8" t="str">
        <f>IFERROR(VLOOKUP(TABLE_日志[[#This Row],[关联目标]],TABLE_目标[],4,FALSE),"")</f>
        <v/>
      </c>
      <c r="F39" s="8" t="str">
        <f>IFERROR(VLOOKUP(TABLE_日志[[#This Row],[关联目标]],TABLE_目标[],5,FALSE),"")</f>
        <v/>
      </c>
      <c r="G39" s="8" t="str">
        <f>IFERROR(VLOOKUP(TABLE_日志[[#This Row],[关联目标]],TABLE_目标[],6,FALSE),"")</f>
        <v/>
      </c>
      <c r="J39" s="4">
        <f>ROUNDDOWN(TABLE_日志[[#This Row],[开始]]-2/24,0)</f>
        <v>43178</v>
      </c>
      <c r="K39" s="13">
        <v>43178.358950925925</v>
      </c>
      <c r="L39" s="13">
        <v>43178.846139351852</v>
      </c>
      <c r="M39" s="22">
        <f>TABLE_日志[[#This Row],[结束]]-TABLE_日志[[#This Row],[开始]]</f>
        <v>0.48718842592643341</v>
      </c>
      <c r="N39" s="23">
        <f>TABLE_日志[[#This Row],[时长]]</f>
        <v>0.48718842592643341</v>
      </c>
      <c r="O39" t="b">
        <v>1</v>
      </c>
    </row>
    <row r="40" spans="1:16" x14ac:dyDescent="0.4">
      <c r="A40" t="s">
        <v>320</v>
      </c>
      <c r="B40" t="s">
        <v>305</v>
      </c>
      <c r="D40" s="8" t="str">
        <f>IFERROR(VLOOKUP(TABLE_日志[[#This Row],[关联目标]],TABLE_目标[],2,FALSE),"")</f>
        <v/>
      </c>
      <c r="E40" s="8" t="str">
        <f>IFERROR(VLOOKUP(TABLE_日志[[#This Row],[关联目标]],TABLE_目标[],4,FALSE),"")</f>
        <v/>
      </c>
      <c r="F40" s="8" t="str">
        <f>IFERROR(VLOOKUP(TABLE_日志[[#This Row],[关联目标]],TABLE_目标[],5,FALSE),"")</f>
        <v/>
      </c>
      <c r="G40" s="8" t="str">
        <f>IFERROR(VLOOKUP(TABLE_日志[[#This Row],[关联目标]],TABLE_目标[],6,FALSE),"")</f>
        <v/>
      </c>
      <c r="J40" s="4">
        <f>ROUNDDOWN(TABLE_日志[[#This Row],[开始]]-2/24,0)</f>
        <v>43178</v>
      </c>
      <c r="K40" s="13">
        <v>43178.52144675926</v>
      </c>
      <c r="L40" s="13">
        <v>43178.563113425924</v>
      </c>
      <c r="M40" s="22">
        <f>TABLE_日志[[#This Row],[结束]]-TABLE_日志[[#This Row],[开始]]</f>
        <v>4.1666666664241347E-2</v>
      </c>
      <c r="N40" s="23">
        <f>TABLE_日志[[#This Row],[时长]]</f>
        <v>4.1666666664241347E-2</v>
      </c>
      <c r="O40" t="b">
        <v>1</v>
      </c>
    </row>
    <row r="41" spans="1:16" x14ac:dyDescent="0.4">
      <c r="A41" t="s">
        <v>321</v>
      </c>
      <c r="B41" s="11" t="s">
        <v>277</v>
      </c>
      <c r="C41" t="s">
        <v>222</v>
      </c>
      <c r="D41" s="8" t="str">
        <f>IFERROR(VLOOKUP(TABLE_日志[[#This Row],[关联目标]],TABLE_目标[],2,FALSE),"")</f>
        <v>每天，不说打击贝妞的话</v>
      </c>
      <c r="E41" s="8">
        <f>IFERROR(VLOOKUP(TABLE_日志[[#This Row],[关联目标]],TABLE_目标[],4,FALSE),"")</f>
        <v>1</v>
      </c>
      <c r="F41" s="8" t="str">
        <f>IFERROR(VLOOKUP(TABLE_日志[[#This Row],[关联目标]],TABLE_目标[],5,FALSE),"")</f>
        <v>time</v>
      </c>
      <c r="G41" s="8" t="str">
        <f>IFERROR(VLOOKUP(TABLE_日志[[#This Row],[关联目标]],TABLE_目标[],6,FALSE),"")</f>
        <v>每日</v>
      </c>
      <c r="H41">
        <v>1</v>
      </c>
      <c r="I41" t="s">
        <v>283</v>
      </c>
      <c r="J41" s="4">
        <f>ROUNDDOWN(TABLE_日志[[#This Row],[开始]]-2/24,0)</f>
        <v>43178</v>
      </c>
      <c r="K41" s="13">
        <v>43178.950781018517</v>
      </c>
      <c r="L41" s="13">
        <v>43178.950781018517</v>
      </c>
      <c r="M41" s="22">
        <f>TABLE_日志[[#This Row],[结束]]-TABLE_日志[[#This Row],[开始]]</f>
        <v>0</v>
      </c>
      <c r="N41" s="23">
        <f>TABLE_日志[[#This Row],[时长]]</f>
        <v>0</v>
      </c>
      <c r="O41" t="b">
        <v>1</v>
      </c>
    </row>
    <row r="42" spans="1:16" x14ac:dyDescent="0.4">
      <c r="A42" t="s">
        <v>322</v>
      </c>
      <c r="B42" s="11" t="s">
        <v>277</v>
      </c>
      <c r="C42" t="s">
        <v>224</v>
      </c>
      <c r="D42" s="8" t="str">
        <f>IFERROR(VLOOKUP(TABLE_日志[[#This Row],[关联目标]],TABLE_目标[],2,FALSE),"")</f>
        <v>每天，与孩子沟通10分钟</v>
      </c>
      <c r="E42" s="8">
        <f>IFERROR(VLOOKUP(TABLE_日志[[#This Row],[关联目标]],TABLE_目标[],4,FALSE),"")</f>
        <v>1</v>
      </c>
      <c r="F42" s="8" t="str">
        <f>IFERROR(VLOOKUP(TABLE_日志[[#This Row],[关联目标]],TABLE_目标[],5,FALSE),"")</f>
        <v>time</v>
      </c>
      <c r="G42" s="8" t="str">
        <f>IFERROR(VLOOKUP(TABLE_日志[[#This Row],[关联目标]],TABLE_目标[],6,FALSE),"")</f>
        <v>每日</v>
      </c>
      <c r="H42">
        <v>1</v>
      </c>
      <c r="I42" t="s">
        <v>283</v>
      </c>
      <c r="J42" s="4">
        <f>ROUNDDOWN(TABLE_日志[[#This Row],[开始]]-2/24,0)</f>
        <v>43178</v>
      </c>
      <c r="K42" s="13">
        <v>43178.950781018517</v>
      </c>
      <c r="L42" s="13">
        <v>43178.950781018517</v>
      </c>
      <c r="M42" s="22">
        <f>TABLE_日志[[#This Row],[结束]]-TABLE_日志[[#This Row],[开始]]</f>
        <v>0</v>
      </c>
      <c r="N42" s="23">
        <f>TABLE_日志[[#This Row],[时长]]</f>
        <v>0</v>
      </c>
      <c r="O42" t="b">
        <v>1</v>
      </c>
    </row>
    <row r="43" spans="1:16" x14ac:dyDescent="0.4">
      <c r="A43" t="s">
        <v>323</v>
      </c>
      <c r="B43" s="11" t="s">
        <v>277</v>
      </c>
      <c r="C43" t="s">
        <v>226</v>
      </c>
      <c r="D43" s="8" t="str">
        <f>IFERROR(VLOOKUP(TABLE_日志[[#This Row],[关联目标]],TABLE_目标[],2,FALSE),"")</f>
        <v>每天，与小母牛沟通10分钟</v>
      </c>
      <c r="E43" s="8">
        <f>IFERROR(VLOOKUP(TABLE_日志[[#This Row],[关联目标]],TABLE_目标[],4,FALSE),"")</f>
        <v>1</v>
      </c>
      <c r="F43" s="8" t="str">
        <f>IFERROR(VLOOKUP(TABLE_日志[[#This Row],[关联目标]],TABLE_目标[],5,FALSE),"")</f>
        <v>time</v>
      </c>
      <c r="G43" s="8" t="str">
        <f>IFERROR(VLOOKUP(TABLE_日志[[#This Row],[关联目标]],TABLE_目标[],6,FALSE),"")</f>
        <v>每日</v>
      </c>
      <c r="H43">
        <v>1</v>
      </c>
      <c r="I43" t="s">
        <v>283</v>
      </c>
      <c r="J43" s="4">
        <f>ROUNDDOWN(TABLE_日志[[#This Row],[开始]]-2/24,0)</f>
        <v>43178</v>
      </c>
      <c r="K43" s="13">
        <v>43178.950781018517</v>
      </c>
      <c r="L43" s="13">
        <v>43178.950781018517</v>
      </c>
      <c r="M43" s="22">
        <f>TABLE_日志[[#This Row],[结束]]-TABLE_日志[[#This Row],[开始]]</f>
        <v>0</v>
      </c>
      <c r="N43" s="23">
        <f>TABLE_日志[[#This Row],[时长]]</f>
        <v>0</v>
      </c>
      <c r="O43" t="b">
        <v>1</v>
      </c>
    </row>
    <row r="44" spans="1:16" x14ac:dyDescent="0.4">
      <c r="A44" t="s">
        <v>324</v>
      </c>
      <c r="B44" s="11" t="s">
        <v>277</v>
      </c>
      <c r="C44" t="s">
        <v>234</v>
      </c>
      <c r="D44" s="8" t="str">
        <f>IFERROR(VLOOKUP(TABLE_日志[[#This Row],[关联目标]],TABLE_目标[],2,FALSE),"")</f>
        <v>每天，晚上11点以前睡觉</v>
      </c>
      <c r="E44" s="8">
        <f>IFERROR(VLOOKUP(TABLE_日志[[#This Row],[关联目标]],TABLE_目标[],4,FALSE),"")</f>
        <v>1</v>
      </c>
      <c r="F44" s="8" t="str">
        <f>IFERROR(VLOOKUP(TABLE_日志[[#This Row],[关联目标]],TABLE_目标[],5,FALSE),"")</f>
        <v>time</v>
      </c>
      <c r="G44" s="8" t="str">
        <f>IFERROR(VLOOKUP(TABLE_日志[[#This Row],[关联目标]],TABLE_目标[],6,FALSE),"")</f>
        <v>每日</v>
      </c>
      <c r="H44">
        <v>0</v>
      </c>
      <c r="I44" t="s">
        <v>175</v>
      </c>
      <c r="J44" s="4">
        <f>ROUNDDOWN(TABLE_日志[[#This Row],[开始]]-2/24,0)</f>
        <v>43178</v>
      </c>
      <c r="K44" s="13">
        <v>43178.950781018517</v>
      </c>
      <c r="L44" s="13">
        <v>43178.950781018517</v>
      </c>
      <c r="M44" s="22">
        <f>TABLE_日志[[#This Row],[结束]]-TABLE_日志[[#This Row],[开始]]</f>
        <v>0</v>
      </c>
      <c r="N44" s="23">
        <f>TABLE_日志[[#This Row],[时长]]</f>
        <v>0</v>
      </c>
      <c r="O44" t="b">
        <v>1</v>
      </c>
    </row>
    <row r="45" spans="1:16" x14ac:dyDescent="0.4">
      <c r="A45" t="s">
        <v>325</v>
      </c>
      <c r="B45" s="11" t="s">
        <v>277</v>
      </c>
      <c r="C45" t="s">
        <v>230</v>
      </c>
      <c r="D45" s="8" t="str">
        <f>IFERROR(VLOOKUP(TABLE_日志[[#This Row],[关联目标]],TABLE_目标[],2,FALSE),"")</f>
        <v>每天，每天晚上刷牙</v>
      </c>
      <c r="E45" s="8">
        <f>IFERROR(VLOOKUP(TABLE_日志[[#This Row],[关联目标]],TABLE_目标[],4,FALSE),"")</f>
        <v>1</v>
      </c>
      <c r="F45" s="8" t="str">
        <f>IFERROR(VLOOKUP(TABLE_日志[[#This Row],[关联目标]],TABLE_目标[],5,FALSE),"")</f>
        <v>time</v>
      </c>
      <c r="G45" s="8" t="str">
        <f>IFERROR(VLOOKUP(TABLE_日志[[#This Row],[关联目标]],TABLE_目标[],6,FALSE),"")</f>
        <v>每日</v>
      </c>
      <c r="H45">
        <v>1</v>
      </c>
      <c r="I45" t="s">
        <v>283</v>
      </c>
      <c r="J45" s="4">
        <f>ROUNDDOWN(TABLE_日志[[#This Row],[开始]]-2/24,0)</f>
        <v>43178</v>
      </c>
      <c r="K45" s="13">
        <v>43178.950781018517</v>
      </c>
      <c r="L45" s="13">
        <v>43178.950781018517</v>
      </c>
      <c r="M45" s="22">
        <f>TABLE_日志[[#This Row],[结束]]-TABLE_日志[[#This Row],[开始]]</f>
        <v>0</v>
      </c>
      <c r="N45" s="23">
        <f>TABLE_日志[[#This Row],[时长]]</f>
        <v>0</v>
      </c>
      <c r="O45" t="b">
        <v>1</v>
      </c>
    </row>
    <row r="46" spans="1:16" x14ac:dyDescent="0.4">
      <c r="A46" t="s">
        <v>326</v>
      </c>
      <c r="B46" s="11" t="s">
        <v>277</v>
      </c>
      <c r="C46" t="s">
        <v>232</v>
      </c>
      <c r="D46" s="8" t="str">
        <f>IFERROR(VLOOKUP(TABLE_日志[[#This Row],[关联目标]],TABLE_目标[],2,FALSE),"")</f>
        <v>每天，前一天睡眠总时间达到7小时</v>
      </c>
      <c r="E46" s="8">
        <f>IFERROR(VLOOKUP(TABLE_日志[[#This Row],[关联目标]],TABLE_目标[],4,FALSE),"")</f>
        <v>7</v>
      </c>
      <c r="F46" s="8" t="str">
        <f>IFERROR(VLOOKUP(TABLE_日志[[#This Row],[关联目标]],TABLE_目标[],5,FALSE),"")</f>
        <v>hr</v>
      </c>
      <c r="G46" s="8" t="str">
        <f>IFERROR(VLOOKUP(TABLE_日志[[#This Row],[关联目标]],TABLE_目标[],6,FALSE),"")</f>
        <v>每日</v>
      </c>
      <c r="H46">
        <v>0</v>
      </c>
      <c r="I46" t="s">
        <v>336</v>
      </c>
      <c r="J46" s="4">
        <f>ROUNDDOWN(TABLE_日志[[#This Row],[开始]]-2/24,0)</f>
        <v>43178</v>
      </c>
      <c r="K46" s="13">
        <v>43178.950781018517</v>
      </c>
      <c r="L46" s="13">
        <v>43178.950781018517</v>
      </c>
      <c r="M46" s="22">
        <f>TABLE_日志[[#This Row],[结束]]-TABLE_日志[[#This Row],[开始]]</f>
        <v>0</v>
      </c>
      <c r="N46" s="23">
        <f>TABLE_日志[[#This Row],[时长]]</f>
        <v>0</v>
      </c>
      <c r="O46" t="b">
        <v>1</v>
      </c>
    </row>
    <row r="47" spans="1:16" x14ac:dyDescent="0.4">
      <c r="A47" t="s">
        <v>327</v>
      </c>
      <c r="B47" s="11" t="s">
        <v>277</v>
      </c>
      <c r="C47" t="s">
        <v>236</v>
      </c>
      <c r="D47" s="8" t="str">
        <f>IFERROR(VLOOKUP(TABLE_日志[[#This Row],[关联目标]],TABLE_目标[],2,FALSE),"")</f>
        <v>每天，骑行30KM，或者步行5KM</v>
      </c>
      <c r="E47" s="8">
        <f>IFERROR(VLOOKUP(TABLE_日志[[#This Row],[关联目标]],TABLE_目标[],4,FALSE),"")</f>
        <v>30</v>
      </c>
      <c r="F47" s="8" t="str">
        <f>IFERROR(VLOOKUP(TABLE_日志[[#This Row],[关联目标]],TABLE_目标[],5,FALSE),"")</f>
        <v>km</v>
      </c>
      <c r="G47" s="8" t="str">
        <f>IFERROR(VLOOKUP(TABLE_日志[[#This Row],[关联目标]],TABLE_目标[],6,FALSE),"")</f>
        <v>每日</v>
      </c>
      <c r="H47">
        <v>0</v>
      </c>
      <c r="I47" t="s">
        <v>157</v>
      </c>
      <c r="J47" s="4">
        <f>ROUNDDOWN(TABLE_日志[[#This Row],[开始]]-2/24,0)</f>
        <v>43178</v>
      </c>
      <c r="K47" s="13">
        <v>43178.950781018517</v>
      </c>
      <c r="L47" s="13">
        <v>43178.950781018517</v>
      </c>
      <c r="M47" s="22">
        <f>TABLE_日志[[#This Row],[结束]]-TABLE_日志[[#This Row],[开始]]</f>
        <v>0</v>
      </c>
      <c r="N47" s="23">
        <f>TABLE_日志[[#This Row],[时长]]</f>
        <v>0</v>
      </c>
      <c r="O47" t="b">
        <v>1</v>
      </c>
      <c r="P47" s="3" t="s">
        <v>354</v>
      </c>
    </row>
    <row r="48" spans="1:16" x14ac:dyDescent="0.4">
      <c r="A48" t="s">
        <v>329</v>
      </c>
      <c r="B48" s="11" t="s">
        <v>277</v>
      </c>
      <c r="C48" t="s">
        <v>238</v>
      </c>
      <c r="D48" s="8" t="str">
        <f>IFERROR(VLOOKUP(TABLE_日志[[#This Row],[关联目标]],TABLE_目标[],2,FALSE),"")</f>
        <v>每天，仰卧起坐不少于50个</v>
      </c>
      <c r="E48" s="8">
        <f>IFERROR(VLOOKUP(TABLE_日志[[#This Row],[关联目标]],TABLE_目标[],4,FALSE),"")</f>
        <v>50</v>
      </c>
      <c r="F48" s="8" t="str">
        <f>IFERROR(VLOOKUP(TABLE_日志[[#This Row],[关联目标]],TABLE_目标[],5,FALSE),"")</f>
        <v>time</v>
      </c>
      <c r="G48" s="8" t="str">
        <f>IFERROR(VLOOKUP(TABLE_日志[[#This Row],[关联目标]],TABLE_目标[],6,FALSE),"")</f>
        <v>每日</v>
      </c>
      <c r="H48">
        <v>100</v>
      </c>
      <c r="I48" t="s">
        <v>337</v>
      </c>
      <c r="J48" s="4">
        <f>ROUNDDOWN(TABLE_日志[[#This Row],[开始]]-2/24,0)</f>
        <v>43178</v>
      </c>
      <c r="K48" s="13">
        <v>43178.950781018517</v>
      </c>
      <c r="L48" s="13">
        <v>43178.950781018517</v>
      </c>
      <c r="M48" s="22">
        <f>TABLE_日志[[#This Row],[结束]]-TABLE_日志[[#This Row],[开始]]</f>
        <v>0</v>
      </c>
      <c r="N48" s="23">
        <f>TABLE_日志[[#This Row],[时长]]</f>
        <v>0</v>
      </c>
      <c r="O48" t="b">
        <v>1</v>
      </c>
    </row>
    <row r="49" spans="1:16" x14ac:dyDescent="0.4">
      <c r="A49" t="s">
        <v>334</v>
      </c>
      <c r="B49" s="11" t="s">
        <v>277</v>
      </c>
      <c r="C49" t="s">
        <v>248</v>
      </c>
      <c r="D49" s="8" t="str">
        <f>IFERROR(VLOOKUP(TABLE_日志[[#This Row],[关联目标]],TABLE_目标[],2,FALSE),"")</f>
        <v>每天，确保本表的更新</v>
      </c>
      <c r="E49" s="8">
        <f>IFERROR(VLOOKUP(TABLE_日志[[#This Row],[关联目标]],TABLE_目标[],4,FALSE),"")</f>
        <v>1</v>
      </c>
      <c r="F49" s="8" t="str">
        <f>IFERROR(VLOOKUP(TABLE_日志[[#This Row],[关联目标]],TABLE_目标[],5,FALSE),"")</f>
        <v>time</v>
      </c>
      <c r="G49" s="8" t="str">
        <f>IFERROR(VLOOKUP(TABLE_日志[[#This Row],[关联目标]],TABLE_目标[],6,FALSE),"")</f>
        <v>每日</v>
      </c>
      <c r="H49">
        <v>1</v>
      </c>
      <c r="I49" t="s">
        <v>338</v>
      </c>
      <c r="J49" s="4">
        <f>ROUNDDOWN(TABLE_日志[[#This Row],[开始]]-2/24,0)</f>
        <v>43178</v>
      </c>
      <c r="K49" s="13">
        <v>43178.950781018517</v>
      </c>
      <c r="L49" s="13">
        <v>43178.950781018517</v>
      </c>
      <c r="M49" s="22">
        <f>TABLE_日志[[#This Row],[结束]]-TABLE_日志[[#This Row],[开始]]</f>
        <v>0</v>
      </c>
      <c r="N49" s="23">
        <f>TABLE_日志[[#This Row],[时长]]</f>
        <v>0</v>
      </c>
      <c r="O49" t="b">
        <v>1</v>
      </c>
    </row>
    <row r="50" spans="1:16" x14ac:dyDescent="0.4">
      <c r="A50" t="s">
        <v>335</v>
      </c>
      <c r="B50" s="11" t="s">
        <v>277</v>
      </c>
      <c r="C50" t="s">
        <v>242</v>
      </c>
      <c r="D50" s="8" t="str">
        <f>IFERROR(VLOOKUP(TABLE_日志[[#This Row],[关联目标]],TABLE_目标[],2,FALSE),"")</f>
        <v>每天，阅读时间不少于45分钟</v>
      </c>
      <c r="E50" s="8">
        <f>IFERROR(VLOOKUP(TABLE_日志[[#This Row],[关联目标]],TABLE_目标[],4,FALSE),"")</f>
        <v>45</v>
      </c>
      <c r="F50" s="8" t="str">
        <f>IFERROR(VLOOKUP(TABLE_日志[[#This Row],[关联目标]],TABLE_目标[],5,FALSE),"")</f>
        <v>min</v>
      </c>
      <c r="G50" s="8" t="str">
        <f>IFERROR(VLOOKUP(TABLE_日志[[#This Row],[关联目标]],TABLE_目标[],6,FALSE),"")</f>
        <v>每日</v>
      </c>
      <c r="H50">
        <v>30</v>
      </c>
      <c r="I50" t="s">
        <v>175</v>
      </c>
      <c r="J50" s="4">
        <f>ROUNDDOWN(TABLE_日志[[#This Row],[开始]]-2/24,0)</f>
        <v>43178</v>
      </c>
      <c r="K50" s="13">
        <v>43178.958414351851</v>
      </c>
      <c r="L50" s="13">
        <v>43178.979247685187</v>
      </c>
      <c r="M50" s="22">
        <f>TABLE_日志[[#This Row],[结束]]-TABLE_日志[[#This Row],[开始]]</f>
        <v>2.0833333335758653E-2</v>
      </c>
      <c r="N50" s="23">
        <f>TABLE_日志[[#This Row],[时长]]</f>
        <v>2.0833333335758653E-2</v>
      </c>
      <c r="O50" t="b">
        <v>1</v>
      </c>
    </row>
    <row r="51" spans="1:16" x14ac:dyDescent="0.4">
      <c r="A51" t="s">
        <v>340</v>
      </c>
      <c r="B51" s="5" t="s">
        <v>163</v>
      </c>
      <c r="C51" t="s">
        <v>232</v>
      </c>
      <c r="D51" s="8" t="str">
        <f>IFERROR(VLOOKUP(TABLE_日志[[#This Row],[关联目标]],TABLE_目标[],2,FALSE),"")</f>
        <v>每天，前一天睡眠总时间达到7小时</v>
      </c>
      <c r="E51" s="8">
        <f>IFERROR(VLOOKUP(TABLE_日志[[#This Row],[关联目标]],TABLE_目标[],4,FALSE),"")</f>
        <v>7</v>
      </c>
      <c r="F51" s="8" t="str">
        <f>IFERROR(VLOOKUP(TABLE_日志[[#This Row],[关联目标]],TABLE_目标[],5,FALSE),"")</f>
        <v>hr</v>
      </c>
      <c r="G51" s="8" t="str">
        <f>IFERROR(VLOOKUP(TABLE_日志[[#This Row],[关联目标]],TABLE_目标[],6,FALSE),"")</f>
        <v>每日</v>
      </c>
      <c r="H51">
        <v>7.1</v>
      </c>
      <c r="I51" t="s">
        <v>283</v>
      </c>
      <c r="J51" s="4">
        <f>ROUNDDOWN(TABLE_日志[[#This Row],[开始]]-2/24,0)</f>
        <v>43178</v>
      </c>
      <c r="K51" s="13">
        <v>43178.979247685187</v>
      </c>
      <c r="L51" s="13">
        <v>43179.239583333336</v>
      </c>
      <c r="M51" s="22">
        <f>TABLE_日志[[#This Row],[结束]]-TABLE_日志[[#This Row],[开始]]</f>
        <v>0.26033564814861165</v>
      </c>
      <c r="N51" s="23">
        <f>TABLE_日志[[#This Row],[时长]]</f>
        <v>0.26033564814861165</v>
      </c>
      <c r="O51" t="b">
        <v>1</v>
      </c>
    </row>
    <row r="52" spans="1:16" x14ac:dyDescent="0.4">
      <c r="A52" t="s">
        <v>342</v>
      </c>
      <c r="B52" t="s">
        <v>341</v>
      </c>
      <c r="C52" t="s">
        <v>228</v>
      </c>
      <c r="D52" s="8" t="str">
        <f>IFERROR(VLOOKUP(TABLE_日志[[#This Row],[关联目标]],TABLE_目标[],2,FALSE),"")</f>
        <v>每天，早上6点以前起床</v>
      </c>
      <c r="E52" s="8">
        <f>IFERROR(VLOOKUP(TABLE_日志[[#This Row],[关联目标]],TABLE_目标[],4,FALSE),"")</f>
        <v>1</v>
      </c>
      <c r="F52" s="8" t="str">
        <f>IFERROR(VLOOKUP(TABLE_日志[[#This Row],[关联目标]],TABLE_目标[],5,FALSE),"")</f>
        <v>time</v>
      </c>
      <c r="G52" s="8" t="str">
        <f>IFERROR(VLOOKUP(TABLE_日志[[#This Row],[关联目标]],TABLE_目标[],6,FALSE),"")</f>
        <v>每日</v>
      </c>
      <c r="H52">
        <v>1</v>
      </c>
      <c r="I52" t="s">
        <v>283</v>
      </c>
      <c r="J52" s="4">
        <f>ROUNDDOWN(TABLE_日志[[#This Row],[开始]]-2/24,0)</f>
        <v>43179</v>
      </c>
      <c r="K52" s="13">
        <v>43179.258711342591</v>
      </c>
      <c r="L52" s="13">
        <v>43179.258711342591</v>
      </c>
      <c r="M52" s="22">
        <f>TABLE_日志[[#This Row],[结束]]-TABLE_日志[[#This Row],[开始]]</f>
        <v>0</v>
      </c>
      <c r="N52" s="23">
        <f>TABLE_日志[[#This Row],[时长]]</f>
        <v>0</v>
      </c>
      <c r="O52" t="b">
        <v>1</v>
      </c>
    </row>
    <row r="53" spans="1:16" x14ac:dyDescent="0.4">
      <c r="A53" t="s">
        <v>343</v>
      </c>
      <c r="B53" t="s">
        <v>341</v>
      </c>
      <c r="C53" t="s">
        <v>222</v>
      </c>
      <c r="D53" s="8" t="str">
        <f>IFERROR(VLOOKUP(TABLE_日志[[#This Row],[关联目标]],TABLE_目标[],2,FALSE),"")</f>
        <v>每天，不说打击贝妞的话</v>
      </c>
      <c r="E53" s="8">
        <f>IFERROR(VLOOKUP(TABLE_日志[[#This Row],[关联目标]],TABLE_目标[],4,FALSE),"")</f>
        <v>1</v>
      </c>
      <c r="F53" s="8" t="str">
        <f>IFERROR(VLOOKUP(TABLE_日志[[#This Row],[关联目标]],TABLE_目标[],5,FALSE),"")</f>
        <v>time</v>
      </c>
      <c r="G53" s="8" t="str">
        <f>IFERROR(VLOOKUP(TABLE_日志[[#This Row],[关联目标]],TABLE_目标[],6,FALSE),"")</f>
        <v>每日</v>
      </c>
      <c r="H53">
        <v>1</v>
      </c>
      <c r="I53" t="s">
        <v>283</v>
      </c>
      <c r="J53" s="4">
        <f>ROUNDDOWN(TABLE_日志[[#This Row],[开始]]-2/24,0)</f>
        <v>43179</v>
      </c>
      <c r="K53" s="13">
        <v>43179.858020833337</v>
      </c>
      <c r="L53" s="13">
        <v>43179.858020833337</v>
      </c>
      <c r="M53" s="22">
        <f>TABLE_日志[[#This Row],[结束]]-TABLE_日志[[#This Row],[开始]]</f>
        <v>0</v>
      </c>
      <c r="N53" s="23">
        <f>TABLE_日志[[#This Row],[时长]]</f>
        <v>0</v>
      </c>
      <c r="O53" t="b">
        <v>1</v>
      </c>
    </row>
    <row r="54" spans="1:16" x14ac:dyDescent="0.4">
      <c r="A54" t="s">
        <v>344</v>
      </c>
      <c r="B54" t="s">
        <v>341</v>
      </c>
      <c r="C54" t="s">
        <v>224</v>
      </c>
      <c r="D54" s="8" t="str">
        <f>IFERROR(VLOOKUP(TABLE_日志[[#This Row],[关联目标]],TABLE_目标[],2,FALSE),"")</f>
        <v>每天，与孩子沟通10分钟</v>
      </c>
      <c r="E54" s="8">
        <f>IFERROR(VLOOKUP(TABLE_日志[[#This Row],[关联目标]],TABLE_目标[],4,FALSE),"")</f>
        <v>1</v>
      </c>
      <c r="F54" s="8" t="str">
        <f>IFERROR(VLOOKUP(TABLE_日志[[#This Row],[关联目标]],TABLE_目标[],5,FALSE),"")</f>
        <v>time</v>
      </c>
      <c r="G54" s="8" t="str">
        <f>IFERROR(VLOOKUP(TABLE_日志[[#This Row],[关联目标]],TABLE_目标[],6,FALSE),"")</f>
        <v>每日</v>
      </c>
      <c r="H54">
        <v>0</v>
      </c>
      <c r="I54" t="s">
        <v>175</v>
      </c>
      <c r="J54" s="4">
        <f>ROUNDDOWN(TABLE_日志[[#This Row],[开始]]-2/24,0)</f>
        <v>43179</v>
      </c>
      <c r="K54" s="13">
        <v>43179.858020833337</v>
      </c>
      <c r="L54" s="13">
        <v>43179.858020833337</v>
      </c>
      <c r="M54" s="22">
        <f>TABLE_日志[[#This Row],[结束]]-TABLE_日志[[#This Row],[开始]]</f>
        <v>0</v>
      </c>
      <c r="N54" s="23">
        <f>TABLE_日志[[#This Row],[时长]]</f>
        <v>0</v>
      </c>
      <c r="O54" t="b">
        <v>1</v>
      </c>
    </row>
    <row r="55" spans="1:16" x14ac:dyDescent="0.4">
      <c r="A55" t="s">
        <v>345</v>
      </c>
      <c r="B55" t="s">
        <v>341</v>
      </c>
      <c r="C55" t="s">
        <v>226</v>
      </c>
      <c r="D55" s="8" t="str">
        <f>IFERROR(VLOOKUP(TABLE_日志[[#This Row],[关联目标]],TABLE_目标[],2,FALSE),"")</f>
        <v>每天，与小母牛沟通10分钟</v>
      </c>
      <c r="E55" s="8">
        <f>IFERROR(VLOOKUP(TABLE_日志[[#This Row],[关联目标]],TABLE_目标[],4,FALSE),"")</f>
        <v>1</v>
      </c>
      <c r="F55" s="8" t="str">
        <f>IFERROR(VLOOKUP(TABLE_日志[[#This Row],[关联目标]],TABLE_目标[],5,FALSE),"")</f>
        <v>time</v>
      </c>
      <c r="G55" s="8" t="str">
        <f>IFERROR(VLOOKUP(TABLE_日志[[#This Row],[关联目标]],TABLE_目标[],6,FALSE),"")</f>
        <v>每日</v>
      </c>
      <c r="H55">
        <v>0</v>
      </c>
      <c r="I55" t="s">
        <v>175</v>
      </c>
      <c r="J55" s="4">
        <f>ROUNDDOWN(TABLE_日志[[#This Row],[开始]]-2/24,0)</f>
        <v>43179</v>
      </c>
      <c r="K55" s="13">
        <v>43179.858020833337</v>
      </c>
      <c r="L55" s="13">
        <v>43179.858020833337</v>
      </c>
      <c r="M55" s="22">
        <f>TABLE_日志[[#This Row],[结束]]-TABLE_日志[[#This Row],[开始]]</f>
        <v>0</v>
      </c>
      <c r="N55" s="23">
        <f>TABLE_日志[[#This Row],[时长]]</f>
        <v>0</v>
      </c>
      <c r="O55" t="b">
        <v>1</v>
      </c>
    </row>
    <row r="56" spans="1:16" x14ac:dyDescent="0.4">
      <c r="A56" t="s">
        <v>346</v>
      </c>
      <c r="B56" t="s">
        <v>341</v>
      </c>
      <c r="C56" t="s">
        <v>234</v>
      </c>
      <c r="D56" s="8" t="str">
        <f>IFERROR(VLOOKUP(TABLE_日志[[#This Row],[关联目标]],TABLE_目标[],2,FALSE),"")</f>
        <v>每天，晚上11点以前睡觉</v>
      </c>
      <c r="E56" s="8">
        <f>IFERROR(VLOOKUP(TABLE_日志[[#This Row],[关联目标]],TABLE_目标[],4,FALSE),"")</f>
        <v>1</v>
      </c>
      <c r="F56" s="8" t="str">
        <f>IFERROR(VLOOKUP(TABLE_日志[[#This Row],[关联目标]],TABLE_目标[],5,FALSE),"")</f>
        <v>time</v>
      </c>
      <c r="G56" s="8" t="str">
        <f>IFERROR(VLOOKUP(TABLE_日志[[#This Row],[关联目标]],TABLE_目标[],6,FALSE),"")</f>
        <v>每日</v>
      </c>
      <c r="H56">
        <v>0</v>
      </c>
      <c r="I56" t="s">
        <v>175</v>
      </c>
      <c r="J56" s="4">
        <f>ROUNDDOWN(TABLE_日志[[#This Row],[开始]]-2/24,0)</f>
        <v>43179</v>
      </c>
      <c r="K56" s="13">
        <v>43179.858020833337</v>
      </c>
      <c r="L56" s="13">
        <v>43179.858020833337</v>
      </c>
      <c r="M56" s="22">
        <f>TABLE_日志[[#This Row],[结束]]-TABLE_日志[[#This Row],[开始]]</f>
        <v>0</v>
      </c>
      <c r="N56" s="23">
        <f>TABLE_日志[[#This Row],[时长]]</f>
        <v>0</v>
      </c>
      <c r="O56" t="b">
        <v>1</v>
      </c>
    </row>
    <row r="57" spans="1:16" x14ac:dyDescent="0.4">
      <c r="A57" t="s">
        <v>347</v>
      </c>
      <c r="B57" t="s">
        <v>341</v>
      </c>
      <c r="C57" t="s">
        <v>230</v>
      </c>
      <c r="D57" s="8" t="str">
        <f>IFERROR(VLOOKUP(TABLE_日志[[#This Row],[关联目标]],TABLE_目标[],2,FALSE),"")</f>
        <v>每天，每天晚上刷牙</v>
      </c>
      <c r="E57" s="8">
        <f>IFERROR(VLOOKUP(TABLE_日志[[#This Row],[关联目标]],TABLE_目标[],4,FALSE),"")</f>
        <v>1</v>
      </c>
      <c r="F57" s="8" t="str">
        <f>IFERROR(VLOOKUP(TABLE_日志[[#This Row],[关联目标]],TABLE_目标[],5,FALSE),"")</f>
        <v>time</v>
      </c>
      <c r="G57" s="8" t="str">
        <f>IFERROR(VLOOKUP(TABLE_日志[[#This Row],[关联目标]],TABLE_目标[],6,FALSE),"")</f>
        <v>每日</v>
      </c>
      <c r="H57">
        <v>0</v>
      </c>
      <c r="I57" t="s">
        <v>175</v>
      </c>
      <c r="J57" s="4">
        <f>ROUNDDOWN(TABLE_日志[[#This Row],[开始]]-2/24,0)</f>
        <v>43179</v>
      </c>
      <c r="K57" s="13">
        <v>43179.858020833337</v>
      </c>
      <c r="L57" s="13">
        <v>43179.858020833337</v>
      </c>
      <c r="M57" s="22">
        <f>TABLE_日志[[#This Row],[结束]]-TABLE_日志[[#This Row],[开始]]</f>
        <v>0</v>
      </c>
      <c r="N57" s="23">
        <f>TABLE_日志[[#This Row],[时长]]</f>
        <v>0</v>
      </c>
      <c r="O57" t="b">
        <v>1</v>
      </c>
    </row>
    <row r="58" spans="1:16" x14ac:dyDescent="0.4">
      <c r="A58" t="s">
        <v>348</v>
      </c>
      <c r="B58" t="s">
        <v>341</v>
      </c>
      <c r="C58" t="s">
        <v>232</v>
      </c>
      <c r="D58" s="8" t="str">
        <f>IFERROR(VLOOKUP(TABLE_日志[[#This Row],[关联目标]],TABLE_目标[],2,FALSE),"")</f>
        <v>每天，前一天睡眠总时间达到7小时</v>
      </c>
      <c r="E58" s="8">
        <f>IFERROR(VLOOKUP(TABLE_日志[[#This Row],[关联目标]],TABLE_目标[],4,FALSE),"")</f>
        <v>7</v>
      </c>
      <c r="F58" s="8" t="str">
        <f>IFERROR(VLOOKUP(TABLE_日志[[#This Row],[关联目标]],TABLE_目标[],5,FALSE),"")</f>
        <v>hr</v>
      </c>
      <c r="G58" s="8" t="str">
        <f>IFERROR(VLOOKUP(TABLE_日志[[#This Row],[关联目标]],TABLE_目标[],6,FALSE),"")</f>
        <v>每日</v>
      </c>
      <c r="H58">
        <v>0</v>
      </c>
      <c r="I58" t="s">
        <v>175</v>
      </c>
      <c r="J58" s="4">
        <f>ROUNDDOWN(TABLE_日志[[#This Row],[开始]]-2/24,0)</f>
        <v>43179</v>
      </c>
      <c r="K58" s="13">
        <v>43179.858020833337</v>
      </c>
      <c r="L58" s="13">
        <v>43179.858020833337</v>
      </c>
      <c r="M58" s="22">
        <f>TABLE_日志[[#This Row],[结束]]-TABLE_日志[[#This Row],[开始]]</f>
        <v>0</v>
      </c>
      <c r="N58" s="23">
        <f>TABLE_日志[[#This Row],[时长]]</f>
        <v>0</v>
      </c>
      <c r="O58" t="b">
        <v>1</v>
      </c>
    </row>
    <row r="59" spans="1:16" x14ac:dyDescent="0.4">
      <c r="A59" t="s">
        <v>349</v>
      </c>
      <c r="B59" t="s">
        <v>341</v>
      </c>
      <c r="C59" t="s">
        <v>236</v>
      </c>
      <c r="D59" s="8" t="str">
        <f>IFERROR(VLOOKUP(TABLE_日志[[#This Row],[关联目标]],TABLE_目标[],2,FALSE),"")</f>
        <v>每天，骑行30KM，或者步行5KM</v>
      </c>
      <c r="E59" s="8">
        <f>IFERROR(VLOOKUP(TABLE_日志[[#This Row],[关联目标]],TABLE_目标[],4,FALSE),"")</f>
        <v>30</v>
      </c>
      <c r="F59" s="8" t="str">
        <f>IFERROR(VLOOKUP(TABLE_日志[[#This Row],[关联目标]],TABLE_目标[],5,FALSE),"")</f>
        <v>km</v>
      </c>
      <c r="G59" s="8" t="str">
        <f>IFERROR(VLOOKUP(TABLE_日志[[#This Row],[关联目标]],TABLE_目标[],6,FALSE),"")</f>
        <v>每日</v>
      </c>
      <c r="H59">
        <v>0</v>
      </c>
      <c r="I59" t="s">
        <v>157</v>
      </c>
      <c r="J59" s="4">
        <f>ROUNDDOWN(TABLE_日志[[#This Row],[开始]]-2/24,0)</f>
        <v>43179</v>
      </c>
      <c r="K59" s="13">
        <v>43179.258711342591</v>
      </c>
      <c r="L59" s="13">
        <v>43179.258711342591</v>
      </c>
      <c r="M59" s="22">
        <f>TABLE_日志[[#This Row],[结束]]-TABLE_日志[[#This Row],[开始]]</f>
        <v>0</v>
      </c>
      <c r="N59" s="23">
        <f>TABLE_日志[[#This Row],[时长]]</f>
        <v>0</v>
      </c>
      <c r="O59" t="b">
        <v>1</v>
      </c>
      <c r="P59" s="3" t="s">
        <v>355</v>
      </c>
    </row>
    <row r="60" spans="1:16" x14ac:dyDescent="0.4">
      <c r="A60" t="s">
        <v>350</v>
      </c>
      <c r="B60" t="s">
        <v>341</v>
      </c>
      <c r="C60" t="s">
        <v>238</v>
      </c>
      <c r="D60" s="8" t="str">
        <f>IFERROR(VLOOKUP(TABLE_日志[[#This Row],[关联目标]],TABLE_目标[],2,FALSE),"")</f>
        <v>每天，仰卧起坐不少于50个</v>
      </c>
      <c r="E60" s="8">
        <f>IFERROR(VLOOKUP(TABLE_日志[[#This Row],[关联目标]],TABLE_目标[],4,FALSE),"")</f>
        <v>50</v>
      </c>
      <c r="F60" s="8" t="str">
        <f>IFERROR(VLOOKUP(TABLE_日志[[#This Row],[关联目标]],TABLE_目标[],5,FALSE),"")</f>
        <v>time</v>
      </c>
      <c r="G60" s="8" t="str">
        <f>IFERROR(VLOOKUP(TABLE_日志[[#This Row],[关联目标]],TABLE_目标[],6,FALSE),"")</f>
        <v>每日</v>
      </c>
      <c r="H60">
        <v>0</v>
      </c>
      <c r="I60" t="s">
        <v>175</v>
      </c>
      <c r="J60" s="4">
        <f>ROUNDDOWN(TABLE_日志[[#This Row],[开始]]-2/24,0)</f>
        <v>43179</v>
      </c>
      <c r="K60" s="13">
        <v>43179.858020833337</v>
      </c>
      <c r="L60" s="13">
        <v>43179.858020833337</v>
      </c>
      <c r="M60" s="22">
        <f>TABLE_日志[[#This Row],[结束]]-TABLE_日志[[#This Row],[开始]]</f>
        <v>0</v>
      </c>
      <c r="N60" s="23">
        <f>TABLE_日志[[#This Row],[时长]]</f>
        <v>0</v>
      </c>
      <c r="O60" t="b">
        <v>1</v>
      </c>
    </row>
    <row r="61" spans="1:16" x14ac:dyDescent="0.4">
      <c r="A61" t="s">
        <v>351</v>
      </c>
      <c r="B61" t="s">
        <v>341</v>
      </c>
      <c r="C61" t="s">
        <v>240</v>
      </c>
      <c r="D61" s="8" t="str">
        <f>IFERROR(VLOOKUP(TABLE_日志[[#This Row],[关联目标]],TABLE_目标[],2,FALSE),"")</f>
        <v>每天，锻炼手臂不少于20分钟</v>
      </c>
      <c r="E61" s="8">
        <f>IFERROR(VLOOKUP(TABLE_日志[[#This Row],[关联目标]],TABLE_目标[],4,FALSE),"")</f>
        <v>20</v>
      </c>
      <c r="F61" s="8" t="str">
        <f>IFERROR(VLOOKUP(TABLE_日志[[#This Row],[关联目标]],TABLE_目标[],5,FALSE),"")</f>
        <v>min</v>
      </c>
      <c r="G61" s="8" t="str">
        <f>IFERROR(VLOOKUP(TABLE_日志[[#This Row],[关联目标]],TABLE_目标[],6,FALSE),"")</f>
        <v>每日</v>
      </c>
      <c r="H61">
        <v>30</v>
      </c>
      <c r="I61" t="s">
        <v>337</v>
      </c>
      <c r="J61" s="4">
        <f>ROUNDDOWN(TABLE_日志[[#This Row],[开始]]-2/24,0)</f>
        <v>43179</v>
      </c>
      <c r="K61" s="13">
        <v>43179.260798611111</v>
      </c>
      <c r="L61" s="13">
        <v>43179.281631944446</v>
      </c>
      <c r="M61" s="22">
        <f>TABLE_日志[[#This Row],[结束]]-TABLE_日志[[#This Row],[开始]]</f>
        <v>2.0833333335758653E-2</v>
      </c>
      <c r="N61" s="23">
        <f>TABLE_日志[[#This Row],[时长]]</f>
        <v>2.0833333335758653E-2</v>
      </c>
      <c r="O61" t="b">
        <v>1</v>
      </c>
    </row>
    <row r="62" spans="1:16" x14ac:dyDescent="0.4">
      <c r="A62" t="s">
        <v>352</v>
      </c>
      <c r="B62" t="s">
        <v>341</v>
      </c>
      <c r="C62" t="s">
        <v>242</v>
      </c>
      <c r="D62" s="8" t="str">
        <f>IFERROR(VLOOKUP(TABLE_日志[[#This Row],[关联目标]],TABLE_目标[],2,FALSE),"")</f>
        <v>每天，阅读时间不少于45分钟</v>
      </c>
      <c r="E62" s="8">
        <f>IFERROR(VLOOKUP(TABLE_日志[[#This Row],[关联目标]],TABLE_目标[],4,FALSE),"")</f>
        <v>45</v>
      </c>
      <c r="F62" s="8" t="str">
        <f>IFERROR(VLOOKUP(TABLE_日志[[#This Row],[关联目标]],TABLE_目标[],5,FALSE),"")</f>
        <v>min</v>
      </c>
      <c r="G62" s="8" t="str">
        <f>IFERROR(VLOOKUP(TABLE_日志[[#This Row],[关联目标]],TABLE_目标[],6,FALSE),"")</f>
        <v>每日</v>
      </c>
      <c r="H62">
        <v>0</v>
      </c>
      <c r="I62" t="s">
        <v>175</v>
      </c>
      <c r="J62" s="4">
        <f>ROUNDDOWN(TABLE_日志[[#This Row],[开始]]-2/24,0)</f>
        <v>43179</v>
      </c>
      <c r="K62" s="13">
        <v>43179.858020833337</v>
      </c>
      <c r="L62" s="13">
        <v>43179.858020833337</v>
      </c>
      <c r="M62" s="22">
        <f>TABLE_日志[[#This Row],[结束]]-TABLE_日志[[#This Row],[开始]]</f>
        <v>0</v>
      </c>
      <c r="N62" s="23">
        <f>TABLE_日志[[#This Row],[时长]]</f>
        <v>0</v>
      </c>
      <c r="O62" t="b">
        <v>1</v>
      </c>
    </row>
    <row r="63" spans="1:16" x14ac:dyDescent="0.4">
      <c r="A63" t="s">
        <v>353</v>
      </c>
      <c r="B63" t="s">
        <v>341</v>
      </c>
      <c r="C63" t="s">
        <v>248</v>
      </c>
      <c r="D63" s="8" t="str">
        <f>IFERROR(VLOOKUP(TABLE_日志[[#This Row],[关联目标]],TABLE_目标[],2,FALSE),"")</f>
        <v>每天，确保本表的更新</v>
      </c>
      <c r="E63" s="8">
        <f>IFERROR(VLOOKUP(TABLE_日志[[#This Row],[关联目标]],TABLE_目标[],4,FALSE),"")</f>
        <v>1</v>
      </c>
      <c r="F63" s="8" t="str">
        <f>IFERROR(VLOOKUP(TABLE_日志[[#This Row],[关联目标]],TABLE_目标[],5,FALSE),"")</f>
        <v>time</v>
      </c>
      <c r="G63" s="8" t="str">
        <f>IFERROR(VLOOKUP(TABLE_日志[[#This Row],[关联目标]],TABLE_目标[],6,FALSE),"")</f>
        <v>每日</v>
      </c>
      <c r="H63">
        <v>1</v>
      </c>
      <c r="I63" t="s">
        <v>283</v>
      </c>
      <c r="J63" s="4">
        <f>ROUNDDOWN(TABLE_日志[[#This Row],[开始]]-2/24,0)</f>
        <v>43179</v>
      </c>
      <c r="K63" s="13">
        <v>43179.858020833337</v>
      </c>
      <c r="L63" s="13">
        <v>43179.858020833337</v>
      </c>
      <c r="M63" s="22">
        <f>TABLE_日志[[#This Row],[结束]]-TABLE_日志[[#This Row],[开始]]</f>
        <v>0</v>
      </c>
      <c r="N63" s="23">
        <f>TABLE_日志[[#This Row],[时长]]</f>
        <v>0</v>
      </c>
      <c r="O63" t="b">
        <v>1</v>
      </c>
    </row>
    <row r="64" spans="1:16" x14ac:dyDescent="0.4">
      <c r="A64" t="s">
        <v>369</v>
      </c>
      <c r="B64" t="s">
        <v>370</v>
      </c>
      <c r="D64" s="8" t="str">
        <f>IFERROR(VLOOKUP(TABLE_日志[[#This Row],[关联目标]],TABLE_目标[],2,FALSE),"")</f>
        <v/>
      </c>
      <c r="E64" s="8" t="str">
        <f>IFERROR(VLOOKUP(TABLE_日志[[#This Row],[关联目标]],TABLE_目标[],4,FALSE),"")</f>
        <v/>
      </c>
      <c r="F64" s="8" t="str">
        <f>IFERROR(VLOOKUP(TABLE_日志[[#This Row],[关联目标]],TABLE_目标[],5,FALSE),"")</f>
        <v/>
      </c>
      <c r="G64" s="8" t="str">
        <f>IFERROR(VLOOKUP(TABLE_日志[[#This Row],[关联目标]],TABLE_目标[],6,FALSE),"")</f>
        <v/>
      </c>
      <c r="J64" s="4">
        <f>ROUNDDOWN(TABLE_日志[[#This Row],[开始]]-2/24,0)</f>
        <v>43179</v>
      </c>
      <c r="K64" s="13">
        <v>43179.281631944446</v>
      </c>
      <c r="L64" s="13">
        <v>43179.358020833337</v>
      </c>
      <c r="M64" s="13">
        <f>TABLE_日志[[#This Row],[结束]]-TABLE_日志[[#This Row],[开始]]</f>
        <v>7.6388888890505768E-2</v>
      </c>
      <c r="N64" s="23">
        <f>TABLE_日志[[#This Row],[时长]]</f>
        <v>7.6388888890505768E-2</v>
      </c>
      <c r="O64" t="b">
        <v>1</v>
      </c>
      <c r="P64" s="3" t="s">
        <v>371</v>
      </c>
    </row>
    <row r="65" spans="2:14" x14ac:dyDescent="0.4">
      <c r="B65" t="s">
        <v>333</v>
      </c>
      <c r="D65" s="8" t="str">
        <f>IFERROR(VLOOKUP(TABLE_日志[[#This Row],[关联目标]],TABLE_目标[],2,FALSE),"")</f>
        <v/>
      </c>
      <c r="E65" s="8" t="str">
        <f>IFERROR(VLOOKUP(TABLE_日志[[#This Row],[关联目标]],TABLE_目标[],4,FALSE),"")</f>
        <v/>
      </c>
      <c r="F65" s="8" t="str">
        <f>IFERROR(VLOOKUP(TABLE_日志[[#This Row],[关联目标]],TABLE_目标[],5,FALSE),"")</f>
        <v/>
      </c>
      <c r="G65" s="8" t="str">
        <f>IFERROR(VLOOKUP(TABLE_日志[[#This Row],[关联目标]],TABLE_目标[],6,FALSE),"")</f>
        <v/>
      </c>
      <c r="J65" s="4">
        <f>ROUNDDOWN(TABLE_日志[[#This Row],[开始]]-2/24,0)</f>
        <v>43179</v>
      </c>
      <c r="K65" s="13">
        <v>43179.358020833337</v>
      </c>
      <c r="M65" s="22">
        <f>TABLE_日志[[#This Row],[结束]]-TABLE_日志[[#This Row],[开始]]</f>
        <v>-43179.358020833337</v>
      </c>
      <c r="N65" s="23">
        <f>TABLE_日志[[#This Row],[时长]]</f>
        <v>-43179.358020833337</v>
      </c>
    </row>
    <row r="66" spans="2:14" x14ac:dyDescent="0.4">
      <c r="F66" s="1"/>
    </row>
  </sheetData>
  <phoneticPr fontId="1" type="noConversion"/>
  <dataValidations count="3">
    <dataValidation type="list" allowBlank="1" showInputMessage="1" showErrorMessage="1" sqref="C2:C65">
      <formula1>LIST_目标编号</formula1>
    </dataValidation>
    <dataValidation type="list" allowBlank="1" showInputMessage="1" showErrorMessage="1" sqref="O2:O65">
      <formula1>"TRUE,FALSE"</formula1>
    </dataValidation>
    <dataValidation type="list" allowBlank="1" showInputMessage="1" showErrorMessage="1" sqref="I2:I65">
      <formula1>LIST_判定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2"/>
  <sheetViews>
    <sheetView workbookViewId="0">
      <selection activeCell="C25" sqref="C25"/>
    </sheetView>
  </sheetViews>
  <sheetFormatPr defaultRowHeight="13.9" x14ac:dyDescent="0.4"/>
  <cols>
    <col min="1" max="1" width="10.33203125" customWidth="1"/>
    <col min="2" max="2" width="21" bestFit="1" customWidth="1"/>
    <col min="3" max="3" width="32.73046875" bestFit="1" customWidth="1"/>
    <col min="4" max="4" width="48.6640625" bestFit="1" customWidth="1"/>
    <col min="5" max="5" width="12.86328125" customWidth="1"/>
    <col min="6" max="6" width="12.86328125" bestFit="1" customWidth="1"/>
    <col min="11" max="11" width="14.73046875" bestFit="1" customWidth="1"/>
  </cols>
  <sheetData>
    <row r="1" spans="1:11" x14ac:dyDescent="0.4">
      <c r="A1" t="s">
        <v>89</v>
      </c>
      <c r="B1" t="s">
        <v>87</v>
      </c>
      <c r="C1" t="s">
        <v>90</v>
      </c>
      <c r="D1" t="s">
        <v>114</v>
      </c>
      <c r="E1" t="s">
        <v>117</v>
      </c>
      <c r="F1" t="s">
        <v>116</v>
      </c>
      <c r="G1" t="s">
        <v>91</v>
      </c>
      <c r="H1" t="s">
        <v>115</v>
      </c>
      <c r="K1" s="1">
        <f ca="1">NOW()</f>
        <v>43550.641346412034</v>
      </c>
    </row>
    <row r="2" spans="1:11" x14ac:dyDescent="0.4">
      <c r="A2" t="s">
        <v>113</v>
      </c>
      <c r="B2" t="s">
        <v>73</v>
      </c>
    </row>
    <row r="3" spans="1:11" x14ac:dyDescent="0.4">
      <c r="A3" t="s">
        <v>145</v>
      </c>
      <c r="B3" t="s">
        <v>75</v>
      </c>
    </row>
    <row r="4" spans="1:11" x14ac:dyDescent="0.4">
      <c r="A4" t="s">
        <v>146</v>
      </c>
      <c r="B4" t="s">
        <v>77</v>
      </c>
    </row>
    <row r="5" spans="1:11" x14ac:dyDescent="0.4">
      <c r="A5" t="s">
        <v>147</v>
      </c>
      <c r="B5" t="s">
        <v>79</v>
      </c>
    </row>
    <row r="6" spans="1:11" x14ac:dyDescent="0.4">
      <c r="A6" t="s">
        <v>148</v>
      </c>
      <c r="B6" t="s">
        <v>149</v>
      </c>
    </row>
    <row r="7" spans="1:11" x14ac:dyDescent="0.4">
      <c r="A7" t="s">
        <v>382</v>
      </c>
      <c r="B7" t="s">
        <v>383</v>
      </c>
      <c r="C7" t="s">
        <v>384</v>
      </c>
      <c r="D7" t="s">
        <v>385</v>
      </c>
      <c r="E7" s="2">
        <v>43191</v>
      </c>
      <c r="G7" t="s">
        <v>386</v>
      </c>
    </row>
    <row r="8" spans="1:11" ht="41.65" x14ac:dyDescent="0.4">
      <c r="A8" t="s">
        <v>387</v>
      </c>
      <c r="B8" t="s">
        <v>388</v>
      </c>
      <c r="C8" s="3" t="s">
        <v>389</v>
      </c>
      <c r="D8" t="s">
        <v>390</v>
      </c>
      <c r="E8" s="2">
        <v>43200</v>
      </c>
      <c r="G8" t="s">
        <v>392</v>
      </c>
    </row>
    <row r="9" spans="1:11" ht="55.5" x14ac:dyDescent="0.4">
      <c r="A9" t="s">
        <v>391</v>
      </c>
      <c r="B9" t="s">
        <v>393</v>
      </c>
      <c r="C9" s="3" t="s">
        <v>400</v>
      </c>
      <c r="E9" s="2">
        <v>43215</v>
      </c>
      <c r="G9" t="s">
        <v>399</v>
      </c>
    </row>
    <row r="10" spans="1:11" x14ac:dyDescent="0.4">
      <c r="A10" t="s">
        <v>394</v>
      </c>
      <c r="B10" t="s">
        <v>395</v>
      </c>
      <c r="D10" t="s">
        <v>396</v>
      </c>
      <c r="E10" s="2">
        <v>43266</v>
      </c>
      <c r="G10" t="s">
        <v>398</v>
      </c>
    </row>
    <row r="11" spans="1:11" x14ac:dyDescent="0.4">
      <c r="A11" t="s">
        <v>397</v>
      </c>
      <c r="B11" t="s">
        <v>401</v>
      </c>
    </row>
    <row r="12" spans="1:11" ht="69.400000000000006" x14ac:dyDescent="0.4">
      <c r="A12" t="s">
        <v>402</v>
      </c>
      <c r="B12" t="s">
        <v>403</v>
      </c>
      <c r="C12" s="3" t="s">
        <v>405</v>
      </c>
      <c r="E12" s="2">
        <v>43216</v>
      </c>
      <c r="G12" t="s">
        <v>404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23"/>
  <sheetViews>
    <sheetView workbookViewId="0">
      <selection activeCell="B25" sqref="B25"/>
    </sheetView>
  </sheetViews>
  <sheetFormatPr defaultRowHeight="13.9" x14ac:dyDescent="0.4"/>
  <cols>
    <col min="1" max="1" width="24.1328125" bestFit="1" customWidth="1"/>
    <col min="2" max="2" width="9.53125" bestFit="1" customWidth="1"/>
  </cols>
  <sheetData>
    <row r="1" spans="1:17" x14ac:dyDescent="0.4">
      <c r="B1" s="2">
        <f ca="1">TODAY()</f>
        <v>43550</v>
      </c>
    </row>
    <row r="2" spans="1:17" x14ac:dyDescent="0.4">
      <c r="A2" t="s">
        <v>100</v>
      </c>
      <c r="B2" s="4">
        <v>43176</v>
      </c>
      <c r="C2" s="4">
        <v>43177</v>
      </c>
      <c r="D2" s="4">
        <v>43178</v>
      </c>
      <c r="E2" s="4">
        <v>43179</v>
      </c>
      <c r="F2" s="4">
        <v>43180</v>
      </c>
      <c r="G2" s="4">
        <v>43181</v>
      </c>
      <c r="H2" s="4">
        <v>43182</v>
      </c>
      <c r="I2" s="4">
        <v>43183</v>
      </c>
      <c r="J2" s="4">
        <v>43184</v>
      </c>
      <c r="K2" s="4">
        <v>43185</v>
      </c>
      <c r="L2" s="4">
        <v>43186</v>
      </c>
      <c r="M2" s="4">
        <v>43187</v>
      </c>
      <c r="N2" s="4">
        <v>43188</v>
      </c>
      <c r="O2" s="4">
        <v>43189</v>
      </c>
      <c r="P2" s="4">
        <v>43190</v>
      </c>
      <c r="Q2" s="4">
        <v>43191</v>
      </c>
    </row>
    <row r="3" spans="1:17" x14ac:dyDescent="0.4">
      <c r="B3" s="10">
        <f>COUNTIF(B4:B11,TRUE)/COUNTIF(A4:A11,"*")</f>
        <v>0.5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</row>
    <row r="4" spans="1:17" x14ac:dyDescent="0.4">
      <c r="A4" t="s">
        <v>97</v>
      </c>
      <c r="B4" s="5" t="b">
        <v>1</v>
      </c>
    </row>
    <row r="5" spans="1:17" x14ac:dyDescent="0.4">
      <c r="A5" t="s">
        <v>98</v>
      </c>
      <c r="B5" s="5" t="b">
        <v>1</v>
      </c>
    </row>
    <row r="6" spans="1:17" x14ac:dyDescent="0.4">
      <c r="A6" t="s">
        <v>99</v>
      </c>
      <c r="B6" s="5" t="b">
        <v>1</v>
      </c>
    </row>
    <row r="7" spans="1:17" x14ac:dyDescent="0.4">
      <c r="A7" t="s">
        <v>101</v>
      </c>
      <c r="B7" s="5" t="b">
        <v>0</v>
      </c>
    </row>
    <row r="8" spans="1:17" x14ac:dyDescent="0.4">
      <c r="A8" t="s">
        <v>102</v>
      </c>
      <c r="B8" s="5" t="b">
        <v>0</v>
      </c>
    </row>
    <row r="9" spans="1:17" x14ac:dyDescent="0.4">
      <c r="A9" t="s">
        <v>103</v>
      </c>
      <c r="B9" s="5" t="b">
        <v>0</v>
      </c>
    </row>
    <row r="10" spans="1:17" x14ac:dyDescent="0.4">
      <c r="A10" t="s">
        <v>118</v>
      </c>
      <c r="B10" s="5" t="b">
        <v>1</v>
      </c>
    </row>
    <row r="11" spans="1:17" x14ac:dyDescent="0.4">
      <c r="A11" t="s">
        <v>110</v>
      </c>
      <c r="B11" s="5" t="b">
        <v>0</v>
      </c>
    </row>
    <row r="14" spans="1:17" x14ac:dyDescent="0.4">
      <c r="A14" t="s">
        <v>105</v>
      </c>
    </row>
    <row r="15" spans="1:17" x14ac:dyDescent="0.4">
      <c r="A15" t="s">
        <v>106</v>
      </c>
      <c r="B15" s="5" t="b">
        <v>1</v>
      </c>
    </row>
    <row r="16" spans="1:17" x14ac:dyDescent="0.4">
      <c r="A16" t="s">
        <v>107</v>
      </c>
      <c r="B16" s="5" t="b">
        <v>1</v>
      </c>
    </row>
    <row r="17" spans="1:1" x14ac:dyDescent="0.4">
      <c r="A17" t="s">
        <v>128</v>
      </c>
    </row>
    <row r="19" spans="1:1" x14ac:dyDescent="0.4">
      <c r="A19" t="s">
        <v>108</v>
      </c>
    </row>
    <row r="23" spans="1:1" x14ac:dyDescent="0.4">
      <c r="A23" t="s">
        <v>109</v>
      </c>
    </row>
  </sheetData>
  <phoneticPr fontId="1" type="noConversion"/>
  <conditionalFormatting sqref="B4:B11">
    <cfRule type="cellIs" dxfId="6" priority="3" operator="equal">
      <formula>FALSE</formula>
    </cfRule>
    <cfRule type="cellIs" dxfId="5" priority="4" operator="equal">
      <formula>TRUE</formula>
    </cfRule>
  </conditionalFormatting>
  <conditionalFormatting sqref="B15:B16">
    <cfRule type="cellIs" dxfId="4" priority="1" operator="equal">
      <formula>FALSE</formula>
    </cfRule>
    <cfRule type="cellIs" dxfId="3" priority="2" operator="equal">
      <formula>TRUE</formula>
    </cfRule>
  </conditionalFormatting>
  <dataValidations count="1">
    <dataValidation type="list" allowBlank="1" showInputMessage="1" showErrorMessage="1" sqref="B4:Q11 B15:B16">
      <formula1>"TRUE,FALSE"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9"/>
  <sheetViews>
    <sheetView workbookViewId="0">
      <selection activeCell="D15" sqref="D15"/>
    </sheetView>
  </sheetViews>
  <sheetFormatPr defaultRowHeight="13.9" x14ac:dyDescent="0.4"/>
  <cols>
    <col min="1" max="1" width="6.46484375" customWidth="1"/>
    <col min="2" max="2" width="8.9296875" customWidth="1"/>
    <col min="3" max="3" width="47.59765625" bestFit="1" customWidth="1"/>
    <col min="4" max="4" width="69.19921875" style="3" customWidth="1"/>
  </cols>
  <sheetData>
    <row r="1" spans="1:4" x14ac:dyDescent="0.4">
      <c r="A1" t="s">
        <v>407</v>
      </c>
      <c r="B1" t="s">
        <v>409</v>
      </c>
      <c r="C1" t="s">
        <v>408</v>
      </c>
      <c r="D1" s="3" t="s">
        <v>410</v>
      </c>
    </row>
    <row r="2" spans="1:4" x14ac:dyDescent="0.4">
      <c r="A2" t="s">
        <v>411</v>
      </c>
      <c r="B2" t="s">
        <v>421</v>
      </c>
      <c r="C2" t="s">
        <v>418</v>
      </c>
      <c r="D2" s="3" t="s">
        <v>423</v>
      </c>
    </row>
    <row r="3" spans="1:4" ht="208.15" x14ac:dyDescent="0.4">
      <c r="A3" t="s">
        <v>411</v>
      </c>
      <c r="B3" t="s">
        <v>422</v>
      </c>
      <c r="C3" t="s">
        <v>412</v>
      </c>
      <c r="D3" s="3" t="s">
        <v>413</v>
      </c>
    </row>
    <row r="4" spans="1:4" ht="27.75" x14ac:dyDescent="0.4">
      <c r="A4" t="s">
        <v>411</v>
      </c>
      <c r="B4" t="s">
        <v>417</v>
      </c>
      <c r="C4" t="s">
        <v>416</v>
      </c>
      <c r="D4" s="3" t="s">
        <v>474</v>
      </c>
    </row>
    <row r="5" spans="1:4" x14ac:dyDescent="0.4">
      <c r="A5" t="s">
        <v>411</v>
      </c>
      <c r="B5" t="s">
        <v>414</v>
      </c>
      <c r="C5" t="s">
        <v>415</v>
      </c>
    </row>
    <row r="6" spans="1:4" x14ac:dyDescent="0.4">
      <c r="A6" t="s">
        <v>411</v>
      </c>
      <c r="B6" t="s">
        <v>419</v>
      </c>
      <c r="C6" t="s">
        <v>420</v>
      </c>
    </row>
    <row r="7" spans="1:4" ht="55.5" x14ac:dyDescent="0.4">
      <c r="A7" t="s">
        <v>463</v>
      </c>
      <c r="B7" t="s">
        <v>468</v>
      </c>
      <c r="C7" t="s">
        <v>424</v>
      </c>
      <c r="D7" s="3" t="s">
        <v>457</v>
      </c>
    </row>
    <row r="8" spans="1:4" x14ac:dyDescent="0.4">
      <c r="A8" t="s">
        <v>459</v>
      </c>
      <c r="B8" t="s">
        <v>469</v>
      </c>
      <c r="C8" t="s">
        <v>462</v>
      </c>
      <c r="D8" s="3" t="s">
        <v>467</v>
      </c>
    </row>
    <row r="9" spans="1:4" x14ac:dyDescent="0.4">
      <c r="A9" t="s">
        <v>459</v>
      </c>
      <c r="B9" t="s">
        <v>425</v>
      </c>
      <c r="C9" t="s">
        <v>426</v>
      </c>
    </row>
    <row r="10" spans="1:4" x14ac:dyDescent="0.4">
      <c r="A10" t="s">
        <v>454</v>
      </c>
      <c r="B10" t="s">
        <v>455</v>
      </c>
      <c r="C10" t="s">
        <v>460</v>
      </c>
    </row>
    <row r="11" spans="1:4" x14ac:dyDescent="0.4">
      <c r="A11" t="s">
        <v>454</v>
      </c>
      <c r="B11" t="s">
        <v>456</v>
      </c>
      <c r="C11" t="s">
        <v>461</v>
      </c>
      <c r="D11" s="3" t="s">
        <v>473</v>
      </c>
    </row>
    <row r="12" spans="1:4" x14ac:dyDescent="0.4">
      <c r="A12" t="s">
        <v>454</v>
      </c>
      <c r="B12" t="s">
        <v>464</v>
      </c>
      <c r="C12" t="s">
        <v>470</v>
      </c>
    </row>
    <row r="13" spans="1:4" x14ac:dyDescent="0.4">
      <c r="A13" t="s">
        <v>454</v>
      </c>
      <c r="B13" t="s">
        <v>465</v>
      </c>
      <c r="C13" t="s">
        <v>466</v>
      </c>
    </row>
    <row r="14" spans="1:4" x14ac:dyDescent="0.4">
      <c r="A14" t="s">
        <v>454</v>
      </c>
      <c r="B14" t="s">
        <v>471</v>
      </c>
      <c r="C14" t="s">
        <v>472</v>
      </c>
    </row>
    <row r="15" spans="1:4" x14ac:dyDescent="0.4">
      <c r="A15" t="s">
        <v>458</v>
      </c>
      <c r="B15" t="s">
        <v>475</v>
      </c>
      <c r="C15" t="s">
        <v>476</v>
      </c>
    </row>
    <row r="16" spans="1:4" x14ac:dyDescent="0.4">
      <c r="A16" t="s">
        <v>458</v>
      </c>
      <c r="B16" t="s">
        <v>477</v>
      </c>
      <c r="C16" t="s">
        <v>478</v>
      </c>
    </row>
    <row r="17" spans="1:3" x14ac:dyDescent="0.4">
      <c r="A17" t="s">
        <v>458</v>
      </c>
      <c r="B17" t="s">
        <v>479</v>
      </c>
      <c r="C17" t="s">
        <v>484</v>
      </c>
    </row>
    <row r="18" spans="1:3" x14ac:dyDescent="0.4">
      <c r="A18" t="s">
        <v>458</v>
      </c>
      <c r="B18" t="s">
        <v>481</v>
      </c>
      <c r="C18" t="s">
        <v>480</v>
      </c>
    </row>
    <row r="19" spans="1:3" x14ac:dyDescent="0.4">
      <c r="A19" t="s">
        <v>458</v>
      </c>
      <c r="B19" t="s">
        <v>482</v>
      </c>
      <c r="C19" t="s">
        <v>483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1"/>
  <sheetViews>
    <sheetView tabSelected="1" zoomScale="140" zoomScaleNormal="140" workbookViewId="0">
      <selection activeCell="D12" sqref="D12"/>
    </sheetView>
  </sheetViews>
  <sheetFormatPr defaultRowHeight="13.9" x14ac:dyDescent="0.4"/>
  <cols>
    <col min="1" max="1" width="10.33203125" customWidth="1"/>
    <col min="4" max="4" width="43.53125" bestFit="1" customWidth="1"/>
    <col min="5" max="5" width="7.1328125" bestFit="1" customWidth="1"/>
    <col min="6" max="6" width="49.6640625" bestFit="1" customWidth="1"/>
    <col min="7" max="7" width="9.53125" bestFit="1" customWidth="1"/>
  </cols>
  <sheetData>
    <row r="1" spans="1:7" x14ac:dyDescent="0.4">
      <c r="A1" t="s">
        <v>427</v>
      </c>
      <c r="B1" t="s">
        <v>91</v>
      </c>
      <c r="C1" t="s">
        <v>430</v>
      </c>
      <c r="D1" t="s">
        <v>428</v>
      </c>
      <c r="E1" t="s">
        <v>429</v>
      </c>
      <c r="F1" t="s">
        <v>431</v>
      </c>
      <c r="G1" t="s">
        <v>438</v>
      </c>
    </row>
    <row r="2" spans="1:7" hidden="1" x14ac:dyDescent="0.4">
      <c r="A2" s="2">
        <v>43522</v>
      </c>
      <c r="B2" t="s">
        <v>485</v>
      </c>
      <c r="C2" t="s">
        <v>436</v>
      </c>
      <c r="D2" t="s">
        <v>432</v>
      </c>
      <c r="F2" t="s">
        <v>434</v>
      </c>
      <c r="G2" s="2">
        <v>43528</v>
      </c>
    </row>
    <row r="3" spans="1:7" hidden="1" x14ac:dyDescent="0.4">
      <c r="A3" s="2">
        <v>43522</v>
      </c>
      <c r="B3" t="s">
        <v>435</v>
      </c>
      <c r="C3" t="s">
        <v>437</v>
      </c>
      <c r="D3" t="s">
        <v>433</v>
      </c>
      <c r="F3" t="s">
        <v>439</v>
      </c>
      <c r="G3" s="2">
        <v>43528</v>
      </c>
    </row>
    <row r="4" spans="1:7" hidden="1" x14ac:dyDescent="0.4">
      <c r="A4" s="2">
        <v>43522</v>
      </c>
      <c r="B4" t="s">
        <v>450</v>
      </c>
      <c r="C4" t="s">
        <v>436</v>
      </c>
      <c r="D4" t="s">
        <v>440</v>
      </c>
      <c r="G4" s="2">
        <v>43522</v>
      </c>
    </row>
    <row r="5" spans="1:7" hidden="1" x14ac:dyDescent="0.4">
      <c r="A5" s="2">
        <v>43522</v>
      </c>
      <c r="B5" t="s">
        <v>486</v>
      </c>
      <c r="C5" t="s">
        <v>436</v>
      </c>
      <c r="D5" t="s">
        <v>442</v>
      </c>
      <c r="G5" s="2">
        <v>43522</v>
      </c>
    </row>
    <row r="6" spans="1:7" hidden="1" x14ac:dyDescent="0.4">
      <c r="A6" s="2">
        <v>43522</v>
      </c>
      <c r="B6" t="s">
        <v>451</v>
      </c>
      <c r="C6" t="s">
        <v>436</v>
      </c>
      <c r="D6" t="s">
        <v>441</v>
      </c>
      <c r="G6" s="2">
        <v>43522</v>
      </c>
    </row>
    <row r="7" spans="1:7" x14ac:dyDescent="0.4">
      <c r="A7" s="2">
        <v>43522</v>
      </c>
      <c r="B7" t="s">
        <v>449</v>
      </c>
      <c r="C7" t="s">
        <v>436</v>
      </c>
      <c r="D7" t="s">
        <v>443</v>
      </c>
      <c r="G7" s="2">
        <v>43522</v>
      </c>
    </row>
    <row r="8" spans="1:7" hidden="1" x14ac:dyDescent="0.4">
      <c r="A8" s="2">
        <v>43522</v>
      </c>
      <c r="B8" t="s">
        <v>451</v>
      </c>
      <c r="C8" t="s">
        <v>436</v>
      </c>
      <c r="D8" t="s">
        <v>444</v>
      </c>
      <c r="G8" s="2">
        <v>43522</v>
      </c>
    </row>
    <row r="9" spans="1:7" hidden="1" x14ac:dyDescent="0.4">
      <c r="A9" s="2">
        <v>43522</v>
      </c>
      <c r="B9" t="s">
        <v>453</v>
      </c>
      <c r="C9" t="s">
        <v>436</v>
      </c>
      <c r="D9" t="s">
        <v>445</v>
      </c>
      <c r="G9" s="2">
        <v>43522</v>
      </c>
    </row>
    <row r="10" spans="1:7" x14ac:dyDescent="0.4">
      <c r="A10" s="2">
        <v>43522</v>
      </c>
      <c r="B10" t="s">
        <v>449</v>
      </c>
      <c r="C10" t="s">
        <v>436</v>
      </c>
      <c r="D10" t="s">
        <v>448</v>
      </c>
      <c r="F10" t="s">
        <v>489</v>
      </c>
      <c r="G10" s="2">
        <v>43529</v>
      </c>
    </row>
    <row r="11" spans="1:7" hidden="1" x14ac:dyDescent="0.4">
      <c r="A11" s="2">
        <v>43522</v>
      </c>
      <c r="B11" t="s">
        <v>446</v>
      </c>
      <c r="C11" t="s">
        <v>436</v>
      </c>
      <c r="D11" t="s">
        <v>447</v>
      </c>
      <c r="F11" t="s">
        <v>488</v>
      </c>
      <c r="G11" s="2">
        <v>43532</v>
      </c>
    </row>
    <row r="12" spans="1:7" x14ac:dyDescent="0.4">
      <c r="A12" s="2">
        <v>43550</v>
      </c>
      <c r="B12" t="s">
        <v>449</v>
      </c>
      <c r="C12" t="s">
        <v>72</v>
      </c>
      <c r="D12" t="s">
        <v>513</v>
      </c>
      <c r="G12" s="2">
        <v>43550</v>
      </c>
    </row>
    <row r="13" spans="1:7" hidden="1" x14ac:dyDescent="0.4">
      <c r="A13" s="2">
        <v>43522</v>
      </c>
      <c r="B13" t="s">
        <v>487</v>
      </c>
      <c r="C13" t="s">
        <v>436</v>
      </c>
      <c r="D13" t="s">
        <v>452</v>
      </c>
      <c r="G13" s="2">
        <v>43525</v>
      </c>
    </row>
    <row r="14" spans="1:7" hidden="1" x14ac:dyDescent="0.4">
      <c r="A14" s="2">
        <f ca="1">TODAY()</f>
        <v>43550</v>
      </c>
      <c r="B14" t="s">
        <v>502</v>
      </c>
      <c r="C14" t="s">
        <v>491</v>
      </c>
      <c r="D14" t="s">
        <v>492</v>
      </c>
      <c r="G14" s="2">
        <v>43534</v>
      </c>
    </row>
    <row r="15" spans="1:7" hidden="1" x14ac:dyDescent="0.4">
      <c r="A15" s="2">
        <v>43528</v>
      </c>
      <c r="B15" t="s">
        <v>503</v>
      </c>
      <c r="C15" t="s">
        <v>494</v>
      </c>
      <c r="D15" t="s">
        <v>495</v>
      </c>
      <c r="G15" s="2">
        <v>43530</v>
      </c>
    </row>
    <row r="16" spans="1:7" hidden="1" x14ac:dyDescent="0.4">
      <c r="A16" s="2">
        <v>43528</v>
      </c>
      <c r="B16" t="s">
        <v>511</v>
      </c>
      <c r="C16" t="s">
        <v>491</v>
      </c>
      <c r="D16" t="s">
        <v>496</v>
      </c>
      <c r="F16" t="s">
        <v>497</v>
      </c>
      <c r="G16" s="2">
        <v>43528</v>
      </c>
    </row>
    <row r="17" spans="1:7" hidden="1" x14ac:dyDescent="0.4">
      <c r="A17" s="2">
        <v>43528</v>
      </c>
      <c r="B17" t="s">
        <v>450</v>
      </c>
      <c r="C17" t="s">
        <v>72</v>
      </c>
      <c r="D17" t="s">
        <v>498</v>
      </c>
      <c r="G17" s="2">
        <v>43528</v>
      </c>
    </row>
    <row r="18" spans="1:7" hidden="1" x14ac:dyDescent="0.4">
      <c r="A18" s="2">
        <v>43528</v>
      </c>
      <c r="B18" t="s">
        <v>450</v>
      </c>
      <c r="C18" t="s">
        <v>72</v>
      </c>
      <c r="D18" t="s">
        <v>499</v>
      </c>
      <c r="G18" s="2">
        <v>43528</v>
      </c>
    </row>
    <row r="19" spans="1:7" hidden="1" x14ac:dyDescent="0.4">
      <c r="A19" s="2">
        <v>43528</v>
      </c>
      <c r="B19" t="s">
        <v>501</v>
      </c>
      <c r="C19" t="s">
        <v>72</v>
      </c>
      <c r="D19" t="s">
        <v>500</v>
      </c>
      <c r="G19" s="2">
        <v>43528</v>
      </c>
    </row>
    <row r="20" spans="1:7" x14ac:dyDescent="0.4">
      <c r="A20" s="2">
        <v>43550</v>
      </c>
      <c r="B20" t="s">
        <v>449</v>
      </c>
      <c r="C20" t="s">
        <v>72</v>
      </c>
      <c r="D20" t="s">
        <v>515</v>
      </c>
      <c r="G20" s="2">
        <v>43550</v>
      </c>
    </row>
    <row r="21" spans="1:7" x14ac:dyDescent="0.4">
      <c r="A21" s="2">
        <v>43550</v>
      </c>
      <c r="B21" t="s">
        <v>449</v>
      </c>
      <c r="C21" t="s">
        <v>72</v>
      </c>
      <c r="D21" t="s">
        <v>516</v>
      </c>
      <c r="G21" s="2">
        <v>43550</v>
      </c>
    </row>
    <row r="22" spans="1:7" x14ac:dyDescent="0.4">
      <c r="A22" s="2">
        <v>43550</v>
      </c>
      <c r="B22" t="s">
        <v>449</v>
      </c>
      <c r="C22" t="s">
        <v>72</v>
      </c>
      <c r="D22" t="s">
        <v>517</v>
      </c>
      <c r="G22" s="2">
        <v>43550</v>
      </c>
    </row>
    <row r="23" spans="1:7" x14ac:dyDescent="0.4">
      <c r="A23" s="2">
        <v>43549</v>
      </c>
      <c r="B23" t="s">
        <v>493</v>
      </c>
      <c r="C23" t="s">
        <v>491</v>
      </c>
      <c r="D23" t="s">
        <v>507</v>
      </c>
      <c r="F23" t="s">
        <v>510</v>
      </c>
      <c r="G23" s="2">
        <v>43551</v>
      </c>
    </row>
    <row r="24" spans="1:7" x14ac:dyDescent="0.4">
      <c r="A24" s="2">
        <v>43549</v>
      </c>
      <c r="B24" t="s">
        <v>493</v>
      </c>
      <c r="C24" t="s">
        <v>491</v>
      </c>
      <c r="D24" t="s">
        <v>504</v>
      </c>
      <c r="G24" s="2">
        <v>43552</v>
      </c>
    </row>
    <row r="25" spans="1:7" x14ac:dyDescent="0.4">
      <c r="A25" s="2">
        <v>43550</v>
      </c>
      <c r="B25" t="s">
        <v>449</v>
      </c>
      <c r="C25" t="s">
        <v>72</v>
      </c>
      <c r="D25" t="s">
        <v>514</v>
      </c>
      <c r="G25" s="2">
        <v>43552</v>
      </c>
    </row>
    <row r="26" spans="1:7" x14ac:dyDescent="0.4">
      <c r="A26" s="2">
        <v>43549</v>
      </c>
      <c r="B26" t="s">
        <v>493</v>
      </c>
      <c r="C26" t="s">
        <v>491</v>
      </c>
      <c r="D26" t="s">
        <v>518</v>
      </c>
      <c r="G26" s="2">
        <v>43552</v>
      </c>
    </row>
    <row r="27" spans="1:7" x14ac:dyDescent="0.4">
      <c r="A27" s="2">
        <v>43522</v>
      </c>
      <c r="B27" t="s">
        <v>449</v>
      </c>
      <c r="C27" t="s">
        <v>436</v>
      </c>
      <c r="D27" t="s">
        <v>509</v>
      </c>
      <c r="F27" t="s">
        <v>490</v>
      </c>
      <c r="G27" s="2">
        <v>43555</v>
      </c>
    </row>
    <row r="28" spans="1:7" x14ac:dyDescent="0.4">
      <c r="A28" s="2">
        <v>43549</v>
      </c>
      <c r="B28" t="s">
        <v>493</v>
      </c>
      <c r="C28" t="s">
        <v>491</v>
      </c>
      <c r="D28" t="s">
        <v>512</v>
      </c>
      <c r="G28" s="2">
        <v>43561</v>
      </c>
    </row>
    <row r="29" spans="1:7" x14ac:dyDescent="0.4">
      <c r="A29" s="2">
        <v>43549</v>
      </c>
      <c r="B29" t="s">
        <v>493</v>
      </c>
      <c r="C29" t="s">
        <v>491</v>
      </c>
      <c r="D29" t="s">
        <v>505</v>
      </c>
      <c r="F29" t="s">
        <v>510</v>
      </c>
      <c r="G29" s="2"/>
    </row>
    <row r="30" spans="1:7" x14ac:dyDescent="0.4">
      <c r="A30" s="2">
        <v>43549</v>
      </c>
      <c r="B30" t="s">
        <v>493</v>
      </c>
      <c r="C30" t="s">
        <v>491</v>
      </c>
      <c r="D30" t="s">
        <v>506</v>
      </c>
      <c r="F30" t="s">
        <v>510</v>
      </c>
      <c r="G30" s="2"/>
    </row>
    <row r="31" spans="1:7" x14ac:dyDescent="0.4">
      <c r="A31" s="2">
        <v>43549</v>
      </c>
      <c r="B31" t="s">
        <v>493</v>
      </c>
      <c r="C31" t="s">
        <v>491</v>
      </c>
      <c r="D31" t="s">
        <v>508</v>
      </c>
      <c r="F31" t="s">
        <v>510</v>
      </c>
      <c r="G31" s="2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31"/>
  <sheetViews>
    <sheetView workbookViewId="0">
      <selection activeCell="C7" sqref="C7"/>
    </sheetView>
  </sheetViews>
  <sheetFormatPr defaultRowHeight="13.9" x14ac:dyDescent="0.4"/>
  <cols>
    <col min="1" max="1" width="25.1328125" customWidth="1"/>
    <col min="2" max="2" width="4.9296875" bestFit="1" customWidth="1"/>
    <col min="3" max="3" width="39.46484375" bestFit="1" customWidth="1"/>
    <col min="4" max="4" width="71.19921875" bestFit="1" customWidth="1"/>
    <col min="5" max="5" width="25.1328125" bestFit="1" customWidth="1"/>
  </cols>
  <sheetData>
    <row r="1" spans="1:5" x14ac:dyDescent="0.4">
      <c r="A1" t="s">
        <v>39</v>
      </c>
      <c r="C1" t="s">
        <v>17</v>
      </c>
      <c r="D1" t="s">
        <v>58</v>
      </c>
      <c r="E1" t="s">
        <v>6</v>
      </c>
    </row>
    <row r="2" spans="1:5" x14ac:dyDescent="0.4">
      <c r="A2" t="s">
        <v>40</v>
      </c>
      <c r="B2" t="s">
        <v>0</v>
      </c>
      <c r="C2" t="s">
        <v>18</v>
      </c>
      <c r="D2" t="s">
        <v>59</v>
      </c>
      <c r="E2" t="s">
        <v>7</v>
      </c>
    </row>
    <row r="3" spans="1:5" x14ac:dyDescent="0.4">
      <c r="A3" t="s">
        <v>41</v>
      </c>
      <c r="C3" t="s">
        <v>19</v>
      </c>
      <c r="D3" t="s">
        <v>60</v>
      </c>
    </row>
    <row r="4" spans="1:5" x14ac:dyDescent="0.4">
      <c r="A4" t="s">
        <v>42</v>
      </c>
      <c r="B4" t="s">
        <v>1</v>
      </c>
      <c r="C4" t="s">
        <v>20</v>
      </c>
      <c r="D4" t="s">
        <v>62</v>
      </c>
      <c r="E4" t="s">
        <v>8</v>
      </c>
    </row>
    <row r="5" spans="1:5" x14ac:dyDescent="0.4">
      <c r="A5" t="s">
        <v>43</v>
      </c>
      <c r="C5" t="s">
        <v>22</v>
      </c>
      <c r="D5" t="s">
        <v>65</v>
      </c>
      <c r="E5" t="s">
        <v>21</v>
      </c>
    </row>
    <row r="6" spans="1:5" x14ac:dyDescent="0.4">
      <c r="A6" t="s">
        <v>44</v>
      </c>
      <c r="C6" t="s">
        <v>23</v>
      </c>
      <c r="D6" t="s">
        <v>67</v>
      </c>
    </row>
    <row r="7" spans="1:5" x14ac:dyDescent="0.4">
      <c r="A7" t="s">
        <v>45</v>
      </c>
      <c r="C7" t="s">
        <v>24</v>
      </c>
      <c r="D7" t="s">
        <v>69</v>
      </c>
    </row>
    <row r="8" spans="1:5" x14ac:dyDescent="0.4">
      <c r="A8" t="s">
        <v>46</v>
      </c>
      <c r="B8" t="s">
        <v>5</v>
      </c>
      <c r="C8" t="s">
        <v>25</v>
      </c>
      <c r="D8" t="s">
        <v>71</v>
      </c>
      <c r="E8" t="s">
        <v>9</v>
      </c>
    </row>
    <row r="9" spans="1:5" x14ac:dyDescent="0.4">
      <c r="A9" t="s">
        <v>47</v>
      </c>
      <c r="C9" t="s">
        <v>26</v>
      </c>
      <c r="D9" t="s">
        <v>82</v>
      </c>
      <c r="E9" t="s">
        <v>10</v>
      </c>
    </row>
    <row r="10" spans="1:5" x14ac:dyDescent="0.4">
      <c r="C10" t="s">
        <v>27</v>
      </c>
      <c r="D10" t="s">
        <v>83</v>
      </c>
      <c r="E10" t="s">
        <v>11</v>
      </c>
    </row>
    <row r="11" spans="1:5" x14ac:dyDescent="0.4">
      <c r="C11" t="s">
        <v>28</v>
      </c>
      <c r="D11" t="s">
        <v>84</v>
      </c>
    </row>
    <row r="12" spans="1:5" x14ac:dyDescent="0.4">
      <c r="C12" t="s">
        <v>29</v>
      </c>
      <c r="E12" t="s">
        <v>12</v>
      </c>
    </row>
    <row r="13" spans="1:5" x14ac:dyDescent="0.4">
      <c r="C13" t="s">
        <v>30</v>
      </c>
    </row>
    <row r="14" spans="1:5" x14ac:dyDescent="0.4">
      <c r="C14" t="s">
        <v>31</v>
      </c>
    </row>
    <row r="15" spans="1:5" x14ac:dyDescent="0.4">
      <c r="B15" t="s">
        <v>2</v>
      </c>
      <c r="C15" t="s">
        <v>32</v>
      </c>
      <c r="E15" t="s">
        <v>13</v>
      </c>
    </row>
    <row r="16" spans="1:5" x14ac:dyDescent="0.4">
      <c r="C16" t="s">
        <v>33</v>
      </c>
      <c r="E16" t="s">
        <v>14</v>
      </c>
    </row>
    <row r="17" spans="1:5" x14ac:dyDescent="0.4">
      <c r="C17" t="s">
        <v>34</v>
      </c>
    </row>
    <row r="18" spans="1:5" x14ac:dyDescent="0.4">
      <c r="B18" t="s">
        <v>3</v>
      </c>
      <c r="C18" t="s">
        <v>35</v>
      </c>
      <c r="E18" t="s">
        <v>15</v>
      </c>
    </row>
    <row r="19" spans="1:5" x14ac:dyDescent="0.4">
      <c r="B19" t="s">
        <v>4</v>
      </c>
      <c r="C19" t="s">
        <v>36</v>
      </c>
      <c r="E19" t="s">
        <v>16</v>
      </c>
    </row>
    <row r="20" spans="1:5" x14ac:dyDescent="0.4">
      <c r="C20" t="s">
        <v>37</v>
      </c>
    </row>
    <row r="21" spans="1:5" x14ac:dyDescent="0.4">
      <c r="C21" t="s">
        <v>38</v>
      </c>
    </row>
    <row r="26" spans="1:5" x14ac:dyDescent="0.4">
      <c r="A26" t="s">
        <v>48</v>
      </c>
      <c r="C26" t="s">
        <v>54</v>
      </c>
      <c r="D26" t="s">
        <v>72</v>
      </c>
    </row>
    <row r="27" spans="1:5" x14ac:dyDescent="0.4">
      <c r="A27" t="s">
        <v>49</v>
      </c>
      <c r="C27" t="s">
        <v>55</v>
      </c>
      <c r="D27" t="s">
        <v>74</v>
      </c>
    </row>
    <row r="28" spans="1:5" x14ac:dyDescent="0.4">
      <c r="A28" t="s">
        <v>50</v>
      </c>
      <c r="C28" t="s">
        <v>56</v>
      </c>
      <c r="D28" t="s">
        <v>76</v>
      </c>
    </row>
    <row r="29" spans="1:5" x14ac:dyDescent="0.4">
      <c r="A29" t="s">
        <v>51</v>
      </c>
      <c r="C29" t="s">
        <v>57</v>
      </c>
      <c r="D29" t="s">
        <v>78</v>
      </c>
    </row>
    <row r="30" spans="1:5" x14ac:dyDescent="0.4">
      <c r="A30" t="s">
        <v>52</v>
      </c>
      <c r="C30" t="s">
        <v>64</v>
      </c>
      <c r="D30" t="s">
        <v>80</v>
      </c>
    </row>
    <row r="31" spans="1:5" x14ac:dyDescent="0.4">
      <c r="A31" t="s">
        <v>53</v>
      </c>
      <c r="D31" t="s">
        <v>81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16"/>
  <sheetViews>
    <sheetView workbookViewId="0">
      <selection activeCell="A2" sqref="A2:A7"/>
    </sheetView>
  </sheetViews>
  <sheetFormatPr defaultRowHeight="13.9" x14ac:dyDescent="0.4"/>
  <sheetData>
    <row r="1" spans="1:3" x14ac:dyDescent="0.4">
      <c r="A1" t="s">
        <v>125</v>
      </c>
      <c r="B1" t="s">
        <v>129</v>
      </c>
      <c r="C1" t="s">
        <v>154</v>
      </c>
    </row>
    <row r="2" spans="1:3" x14ac:dyDescent="0.4">
      <c r="A2" t="s">
        <v>122</v>
      </c>
      <c r="B2" t="s">
        <v>130</v>
      </c>
      <c r="C2" t="s">
        <v>155</v>
      </c>
    </row>
    <row r="3" spans="1:3" x14ac:dyDescent="0.4">
      <c r="A3" t="s">
        <v>123</v>
      </c>
      <c r="B3" t="s">
        <v>131</v>
      </c>
      <c r="C3" t="s">
        <v>156</v>
      </c>
    </row>
    <row r="4" spans="1:3" x14ac:dyDescent="0.4">
      <c r="A4" t="s">
        <v>108</v>
      </c>
      <c r="B4" t="s">
        <v>132</v>
      </c>
      <c r="C4" t="s">
        <v>158</v>
      </c>
    </row>
    <row r="5" spans="1:3" x14ac:dyDescent="0.4">
      <c r="A5" t="s">
        <v>124</v>
      </c>
      <c r="B5" t="s">
        <v>133</v>
      </c>
    </row>
    <row r="6" spans="1:3" x14ac:dyDescent="0.4">
      <c r="A6" t="s">
        <v>126</v>
      </c>
      <c r="B6" t="s">
        <v>134</v>
      </c>
    </row>
    <row r="7" spans="1:3" x14ac:dyDescent="0.4">
      <c r="A7" t="s">
        <v>127</v>
      </c>
      <c r="B7" t="s">
        <v>136</v>
      </c>
    </row>
    <row r="8" spans="1:3" x14ac:dyDescent="0.4">
      <c r="B8" t="s">
        <v>137</v>
      </c>
    </row>
    <row r="9" spans="1:3" x14ac:dyDescent="0.4">
      <c r="B9" t="s">
        <v>138</v>
      </c>
    </row>
    <row r="10" spans="1:3" x14ac:dyDescent="0.4">
      <c r="B10" t="s">
        <v>139</v>
      </c>
    </row>
    <row r="11" spans="1:3" x14ac:dyDescent="0.4">
      <c r="B11" t="s">
        <v>140</v>
      </c>
    </row>
    <row r="12" spans="1:3" x14ac:dyDescent="0.4">
      <c r="B12" t="s">
        <v>141</v>
      </c>
    </row>
    <row r="13" spans="1:3" x14ac:dyDescent="0.4">
      <c r="B13" t="s">
        <v>142</v>
      </c>
    </row>
    <row r="14" spans="1:3" x14ac:dyDescent="0.4">
      <c r="B14" t="s">
        <v>143</v>
      </c>
    </row>
    <row r="15" spans="1:3" x14ac:dyDescent="0.4">
      <c r="B15" t="s">
        <v>144</v>
      </c>
    </row>
    <row r="16" spans="1:3" x14ac:dyDescent="0.4">
      <c r="B16" t="s">
        <v>169</v>
      </c>
    </row>
  </sheetData>
  <phoneticPr fontId="1" type="noConversion"/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11</vt:i4>
      </vt:variant>
      <vt:variant>
        <vt:lpstr>命名范围</vt:lpstr>
      </vt:variant>
      <vt:variant>
        <vt:i4>10</vt:i4>
      </vt:variant>
    </vt:vector>
  </HeadingPairs>
  <TitlesOfParts>
    <vt:vector size="21" baseType="lpstr">
      <vt:lpstr>总表</vt:lpstr>
      <vt:lpstr>仪表</vt:lpstr>
      <vt:lpstr>打卡</vt:lpstr>
      <vt:lpstr>目标</vt:lpstr>
      <vt:lpstr>日志</vt:lpstr>
      <vt:lpstr>任务</vt:lpstr>
      <vt:lpstr>检查</vt:lpstr>
      <vt:lpstr>原则</vt:lpstr>
      <vt:lpstr>工作日志</vt:lpstr>
      <vt:lpstr>@草图</vt:lpstr>
      <vt:lpstr>@设置</vt:lpstr>
      <vt:lpstr>BUT_REFRESH</vt:lpstr>
      <vt:lpstr>BUT_SUBMIT</vt:lpstr>
      <vt:lpstr>BUT_TIMER</vt:lpstr>
      <vt:lpstr>INFO_FREQ</vt:lpstr>
      <vt:lpstr>LIST_单位</vt:lpstr>
      <vt:lpstr>LIST_目标编号</vt:lpstr>
      <vt:lpstr>LIST_判定</vt:lpstr>
      <vt:lpstr>LIST_频度</vt:lpstr>
      <vt:lpstr>POS_1STOBJ</vt:lpstr>
      <vt:lpstr>POS_LineObj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Gang Ma</cp:lastModifiedBy>
  <dcterms:created xsi:type="dcterms:W3CDTF">2015-06-05T18:19:34Z</dcterms:created>
  <dcterms:modified xsi:type="dcterms:W3CDTF">2019-03-26T07:38:40Z</dcterms:modified>
</cp:coreProperties>
</file>
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Homework\Janice\"/>
    </mc:Choice>
  </mc:AlternateContent>
  <bookViews>
    <workbookView xWindow="240" yWindow="105" windowWidth="13440" windowHeight="8010" tabRatio="639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版本" sheetId="11" r:id="rId8"/>
    <sheet name="单词卡片-格式备份" sheetId="9" state="hidden" r:id="rId9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中文词性测验!$A$19:$F$4975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拼写游戏!$E$14:$F$1020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单词卡片!$A$1:$J$936</definedName>
    <definedName name="PRNT_BOOK">单词卡片!$M$2</definedName>
    <definedName name="PRNT_UNIT">单词卡片!$M$3</definedName>
    <definedName name="词典Index">设置!$P$2:$P$8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设置!$N$2:$N$16</definedName>
    <definedName name="单词本">设置!$A$1:$H$1</definedName>
    <definedName name="完形填空词汇七下">设置!$G$2:$G$7</definedName>
    <definedName name="我的单词本">设置!$H$2</definedName>
    <definedName name="小学数学英语">设置!$E$2:$E$4</definedName>
    <definedName name="英语七年级下">设置!$F$2:$F$19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L4064" i="8" l="1"/>
  <c r="M4064" i="8"/>
  <c r="L4088" i="8"/>
  <c r="M4088" i="8"/>
  <c r="L4087" i="8"/>
  <c r="M4087" i="8"/>
  <c r="L4086" i="8"/>
  <c r="M4086" i="8"/>
  <c r="L4085" i="8"/>
  <c r="M4085" i="8"/>
  <c r="L4084" i="8"/>
  <c r="M4084" i="8"/>
  <c r="L4083" i="8"/>
  <c r="M4083" i="8"/>
  <c r="L4082" i="8"/>
  <c r="M4082" i="8"/>
  <c r="L4081" i="8"/>
  <c r="M4081" i="8"/>
  <c r="L4080" i="8"/>
  <c r="M4080" i="8"/>
  <c r="L4079" i="8"/>
  <c r="M4079" i="8"/>
  <c r="L4078" i="8"/>
  <c r="M4078" i="8"/>
  <c r="L4077" i="8"/>
  <c r="M4077" i="8"/>
  <c r="L4076" i="8"/>
  <c r="M4076" i="8"/>
  <c r="L4075" i="8"/>
  <c r="M4075" i="8"/>
  <c r="L4074" i="8"/>
  <c r="M4074" i="8"/>
  <c r="L4073" i="8"/>
  <c r="M4073" i="8"/>
  <c r="L4072" i="8"/>
  <c r="M4072" i="8"/>
  <c r="L4071" i="8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5" i="8"/>
  <c r="M4045" i="8"/>
  <c r="L4034" i="8"/>
  <c r="M4034" i="8"/>
  <c r="L4047" i="8"/>
  <c r="M4047" i="8"/>
  <c r="L4046" i="8"/>
  <c r="M4046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06" i="8"/>
  <c r="M4006" i="8"/>
  <c r="L3996" i="8"/>
  <c r="M3996" i="8"/>
  <c r="L4012" i="8"/>
  <c r="M4012" i="8"/>
  <c r="L4011" i="8"/>
  <c r="M4011" i="8"/>
  <c r="L4010" i="8"/>
  <c r="M4010" i="8"/>
  <c r="L4009" i="8"/>
  <c r="M4009" i="8"/>
  <c r="L4008" i="8"/>
  <c r="M4008" i="8"/>
  <c r="L4007" i="8"/>
  <c r="M4007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3" i="8" l="1"/>
  <c r="M3973" i="8"/>
  <c r="L3967" i="8"/>
  <c r="M3967" i="8"/>
  <c r="L3963" i="8"/>
  <c r="M3963" i="8"/>
  <c r="L3978" i="8" l="1"/>
  <c r="M3978" i="8"/>
  <c r="L3977" i="8"/>
  <c r="M3977" i="8"/>
  <c r="L3976" i="8"/>
  <c r="M3976" i="8"/>
  <c r="L3975" i="8"/>
  <c r="M3975" i="8"/>
  <c r="L3974" i="8"/>
  <c r="M3974" i="8"/>
  <c r="L3972" i="8"/>
  <c r="M3972" i="8"/>
  <c r="L3971" i="8"/>
  <c r="M3971" i="8"/>
  <c r="L3970" i="8"/>
  <c r="M3970" i="8"/>
  <c r="L3969" i="8"/>
  <c r="M3969" i="8"/>
  <c r="L3968" i="8"/>
  <c r="M3968" i="8"/>
  <c r="L3966" i="8"/>
  <c r="M3966" i="8"/>
  <c r="L3965" i="8"/>
  <c r="M3965" i="8"/>
  <c r="L3964" i="8"/>
  <c r="M3964" i="8"/>
  <c r="L3962" i="8"/>
  <c r="M3962" i="8"/>
  <c r="L3961" i="8"/>
  <c r="M3961" i="8"/>
  <c r="L3960" i="8"/>
  <c r="M3960" i="8"/>
  <c r="L3959" i="8"/>
  <c r="M3959" i="8"/>
  <c r="L3957" i="8"/>
  <c r="M3957" i="8"/>
  <c r="L3951" i="8"/>
  <c r="M3951" i="8"/>
  <c r="L3958" i="8"/>
  <c r="M3958" i="8"/>
  <c r="L3956" i="8"/>
  <c r="M3956" i="8"/>
  <c r="L3955" i="8"/>
  <c r="M3955" i="8"/>
  <c r="L3954" i="8"/>
  <c r="M3954" i="8"/>
  <c r="L3953" i="8"/>
  <c r="M3953" i="8"/>
  <c r="L3952" i="8"/>
  <c r="M3952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2" i="8" l="1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69" i="8" l="1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C2" i="7"/>
  <c r="C2" i="4"/>
  <c r="G2" i="6"/>
  <c r="L138" i="8" l="1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G3" i="6" l="1"/>
  <c r="C3" i="7"/>
  <c r="C3" i="4"/>
</calcChain>
</file>

<file path=xl/sharedStrings.xml><?xml version="1.0" encoding="utf-8"?>
<sst xmlns="http://schemas.openxmlformats.org/spreadsheetml/2006/main" count="21741" uniqueCount="7783">
  <si>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</si>
  <si>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</si>
  <si>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</si>
  <si>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</si>
  <si>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</si>
  <si>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</si>
  <si>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</si>
  <si>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</si>
  <si>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</si>
  <si>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</si>
  <si>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</si>
  <si>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</si>
  <si>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</si>
  <si>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</si>
  <si>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</si>
  <si>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</si>
  <si>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</si>
  <si>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</si>
  <si>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</si>
  <si>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</si>
  <si>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</si>
  <si>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</si>
  <si>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</si>
  <si>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</si>
  <si>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</si>
  <si>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</si>
  <si>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</si>
  <si>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</si>
  <si>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</si>
  <si>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</si>
  <si>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</si>
  <si>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</si>
  <si>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</si>
  <si>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</si>
  <si>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</si>
  <si>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</si>
  <si>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</si>
  <si>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</si>
  <si>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</si>
  <si>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</si>
  <si>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</si>
  <si>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</si>
  <si>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</si>
  <si>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</si>
  <si>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</si>
  <si>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</si>
  <si>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</si>
  <si>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</si>
  <si>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</si>
  <si>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</si>
  <si>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</si>
  <si>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</si>
  <si>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</si>
  <si>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</si>
  <si>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</si>
  <si>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</si>
  <si>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</si>
  <si>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</si>
  <si>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</si>
  <si>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</si>
  <si>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</si>
  <si>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</si>
  <si>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</si>
  <si>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</si>
  <si>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</si>
  <si>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</si>
  <si>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</si>
  <si>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</si>
  <si>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</si>
  <si>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</si>
  <si>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</si>
  <si>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</si>
  <si>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</si>
  <si>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</si>
  <si>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</si>
  <si>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</si>
  <si>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</si>
  <si>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</si>
  <si>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</si>
  <si>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</si>
  <si>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</si>
  <si>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</si>
  <si>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</si>
  <si>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</si>
  <si>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</si>
  <si>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</si>
  <si>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</si>
  <si>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</si>
  <si>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</si>
  <si>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</si>
  <si>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</si>
  <si>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</si>
  <si>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</si>
  <si>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</si>
  <si>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</si>
  <si>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</si>
  <si>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</si>
  <si>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</si>
  <si>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</si>
  <si>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</si>
  <si>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</si>
  <si>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</si>
  <si>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</si>
  <si>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</si>
  <si>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</si>
  <si>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</si>
  <si>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</si>
  <si>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</si>
  <si>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</si>
  <si>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</si>
  <si>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</si>
  <si>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</si>
  <si>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</si>
  <si>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</si>
  <si>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</si>
  <si>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</si>
  <si>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</si>
  <si>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</si>
  <si>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</si>
  <si>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</si>
  <si>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</si>
  <si>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</si>
  <si>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</si>
  <si>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</si>
  <si>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</si>
  <si>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</si>
  <si>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</si>
  <si>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</si>
  <si>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</si>
  <si>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</si>
  <si>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</si>
  <si>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</si>
  <si>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</si>
  <si>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</si>
  <si>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</si>
  <si>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</si>
  <si>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</si>
  <si>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</si>
  <si>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</si>
  <si>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</si>
  <si>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</si>
  <si>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</si>
  <si>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</si>
  <si>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</si>
  <si>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</si>
  <si>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</si>
  <si>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</si>
  <si>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</si>
  <si>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</si>
  <si>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</si>
  <si>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</si>
  <si>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</si>
  <si>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</si>
  <si>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</si>
  <si>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</si>
  <si>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</si>
  <si>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</si>
  <si>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</si>
  <si>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</si>
  <si>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</si>
  <si>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</si>
  <si>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</si>
  <si>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</si>
  <si>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</si>
  <si>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</si>
  <si>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</si>
  <si>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</si>
  <si>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</si>
  <si>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</si>
  <si>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</si>
  <si>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</si>
  <si>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</si>
  <si>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</si>
  <si>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</si>
  <si>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</si>
  <si>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</si>
  <si>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</si>
  <si>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</si>
  <si>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</si>
  <si>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</si>
  <si>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</si>
  <si>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</si>
  <si>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</si>
  <si>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</si>
  <si>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</si>
  <si>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</si>
  <si>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</si>
  <si>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</si>
  <si>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</si>
  <si>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</si>
  <si>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</si>
  <si>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</si>
  <si>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</si>
  <si>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</si>
  <si>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</si>
  <si>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</si>
  <si>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</si>
  <si>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</si>
  <si>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</si>
  <si>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</si>
  <si>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</si>
  <si>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</si>
  <si>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</si>
  <si>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</si>
  <si>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</si>
  <si>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</si>
  <si>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</si>
  <si>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</si>
  <si>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</si>
  <si>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</si>
  <si>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</si>
  <si>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</si>
  <si>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</si>
  <si>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</si>
  <si>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</si>
  <si>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</si>
  <si>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</si>
  <si>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</si>
  <si>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</si>
  <si>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</si>
  <si>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</si>
  <si>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</si>
  <si>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</si>
  <si>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</si>
  <si>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</si>
  <si>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</si>
  <si>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</si>
  <si>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</si>
  <si>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</si>
  <si>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</si>
  <si>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</si>
  <si>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</si>
  <si>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</si>
  <si>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</si>
  <si>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</si>
  <si>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</si>
  <si>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</si>
  <si>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</si>
  <si>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</si>
  <si>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</si>
  <si>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</si>
  <si>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</si>
  <si>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</si>
  <si>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</si>
  <si>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</si>
  <si>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</si>
  <si>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</si>
  <si>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</si>
  <si>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</si>
  <si>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</si>
  <si>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</si>
  <si>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</si>
  <si>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</si>
  <si>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</si>
  <si>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</si>
  <si>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</si>
  <si>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</si>
  <si>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</si>
  <si>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</si>
  <si>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</si>
  <si>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</si>
  <si>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</si>
  <si>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</si>
  <si>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</si>
  <si>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</si>
  <si>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</si>
  <si>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</si>
  <si>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</si>
  <si>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</si>
  <si>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</si>
  <si>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</si>
  <si>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</si>
  <si>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</si>
  <si>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</si>
  <si>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</si>
  <si>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</si>
  <si>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</si>
  <si>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</si>
  <si>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</si>
  <si>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</si>
  <si>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</si>
  <si>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</si>
  <si>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</si>
  <si>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</si>
  <si>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</si>
  <si>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</si>
  <si>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</si>
  <si>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</si>
  <si>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</si>
  <si>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</si>
  <si>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</si>
  <si>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</si>
  <si>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</si>
  <si>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</si>
  <si>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</si>
  <si>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</si>
  <si>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</si>
  <si>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</si>
  <si>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</si>
  <si>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</si>
  <si>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</si>
  <si>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</si>
  <si>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</si>
  <si>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</si>
  <si>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</si>
  <si>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</si>
  <si>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</si>
  <si>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</si>
  <si>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</si>
  <si>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</si>
  <si>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</si>
  <si>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</si>
  <si>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</si>
  <si>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</si>
  <si>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</si>
  <si>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</si>
  <si>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</si>
  <si>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</si>
  <si>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</si>
  <si>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</si>
  <si>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</si>
  <si>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</si>
  <si>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</si>
  <si>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</si>
  <si>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</si>
  <si>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</si>
  <si>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</si>
  <si>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</si>
  <si>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</si>
  <si>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</si>
  <si>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</si>
  <si>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</si>
  <si>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</si>
  <si>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</si>
  <si>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</si>
  <si>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</si>
  <si>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</si>
  <si>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</si>
  <si>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</si>
  <si>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</si>
  <si>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</si>
  <si>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</si>
  <si>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</si>
  <si>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</si>
  <si>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</si>
  <si>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</si>
  <si>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</si>
  <si>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</si>
  <si>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</si>
  <si>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</si>
  <si>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</si>
  <si>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</si>
  <si>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</si>
  <si>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</si>
  <si>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</si>
  <si>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</si>
  <si>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</si>
  <si>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</si>
  <si>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</si>
  <si>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</si>
  <si>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</si>
  <si>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</si>
  <si>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</si>
  <si>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</si>
  <si>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</si>
  <si>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</si>
  <si>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</si>
  <si>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</si>
  <si>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</si>
  <si>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</si>
  <si>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</si>
  <si>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</si>
  <si>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</si>
  <si>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</si>
  <si>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</si>
  <si>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</si>
  <si>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</si>
  <si>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</si>
  <si>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</si>
  <si>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</si>
  <si>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</si>
  <si>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</si>
  <si>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</si>
  <si>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</si>
  <si>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</si>
  <si>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</si>
  <si>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</si>
  <si>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</si>
  <si>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</si>
  <si>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</si>
  <si>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</si>
  <si>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</si>
  <si>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</si>
  <si>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</si>
  <si>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</si>
  <si>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</si>
  <si>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</si>
  <si>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</si>
  <si>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</si>
  <si>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</si>
  <si>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</si>
  <si>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</si>
  <si>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</si>
  <si>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</si>
  <si>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</si>
  <si>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</si>
  <si>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</si>
  <si>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</si>
  <si>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</si>
  <si>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</si>
  <si>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</si>
  <si>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</si>
  <si>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</si>
  <si>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</si>
  <si>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</si>
  <si>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</si>
  <si>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</si>
  <si>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</si>
  <si>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</si>
  <si>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</si>
  <si>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</si>
  <si>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</si>
  <si>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</si>
  <si>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</si>
  <si>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</si>
  <si>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</si>
  <si>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</si>
  <si>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</si>
  <si>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</si>
  <si>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</si>
  <si>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</si>
  <si>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</si>
  <si>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</si>
  <si>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</si>
  <si>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</si>
  <si>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</si>
  <si>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</si>
  <si>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</si>
  <si>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</si>
  <si>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</si>
  <si>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</si>
  <si>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</si>
  <si>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</si>
  <si>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</si>
  <si>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英文拼写游戏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</si>
  <si>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</si>
  <si>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</si>
  <si>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</si>
  <si>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</si>
  <si>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</si>
  <si>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</si>
  <si>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</si>
  <si>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</si>
  <si>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</si>
  <si>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</si>
  <si>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</si>
  <si>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</si>
  <si>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</si>
  <si>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</si>
  <si>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</si>
  <si>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</si>
  <si>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</si>
  <si>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</si>
  <si>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</si>
  <si>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</si>
  <si>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</si>
  <si>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</si>
  <si>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</si>
  <si>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</si>
  <si>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</si>
  <si>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</si>
  <si>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</si>
  <si>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</si>
  <si>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</si>
  <si>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</si>
  <si>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</si>
  <si>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</si>
  <si>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</si>
  <si>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</si>
  <si>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</si>
  <si>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</si>
  <si>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</si>
  <si>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</si>
  <si>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</si>
  <si>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</si>
  <si>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</si>
  <si>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</si>
  <si>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</si>
  <si>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</si>
  <si>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</si>
  <si>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</si>
  <si>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</si>
  <si>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</si>
  <si>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</si>
  <si>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</si>
  <si>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</si>
  <si>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</si>
  <si>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</si>
  <si>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</si>
  <si>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</si>
  <si>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</si>
  <si>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</si>
  <si>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</si>
  <si>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</si>
  <si>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</si>
  <si>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</si>
  <si>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</si>
  <si>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</si>
  <si>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</si>
  <si>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</si>
  <si>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</si>
  <si>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</si>
  <si>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</si>
  <si>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</si>
  <si>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</si>
  <si>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</si>
  <si>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</si>
  <si>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</si>
  <si>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</si>
  <si>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</si>
  <si>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</si>
  <si>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</si>
  <si>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</si>
  <si>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</si>
  <si>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</si>
  <si>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</si>
  <si>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</si>
  <si>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</si>
  <si>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</si>
  <si>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</si>
  <si>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</si>
  <si>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</si>
  <si>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</si>
  <si>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</si>
  <si>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</si>
  <si>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</si>
  <si>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</si>
  <si>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</si>
  <si>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</si>
  <si>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</si>
  <si>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</si>
  <si>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</si>
  <si>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</si>
  <si>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</si>
  <si>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</si>
  <si>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</si>
  <si>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</si>
  <si>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</si>
  <si>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</si>
  <si>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</si>
  <si>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</si>
  <si>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</si>
  <si>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</si>
  <si>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</si>
  <si>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</si>
  <si>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</si>
  <si>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</si>
  <si>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</si>
  <si>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</si>
  <si>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</si>
  <si>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</si>
  <si>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</si>
  <si>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</si>
  <si>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</si>
  <si>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</si>
  <si>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</si>
  <si>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</si>
  <si>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</si>
  <si>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</si>
  <si>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</si>
  <si>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</si>
  <si>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</si>
  <si>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</si>
  <si>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</si>
  <si>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</si>
  <si>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</si>
  <si>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</si>
  <si>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</si>
  <si>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</si>
  <si>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</si>
  <si>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</si>
  <si>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</si>
  <si>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</si>
  <si>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</si>
  <si>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</si>
  <si>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</si>
  <si>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</si>
  <si>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</si>
  <si>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</si>
  <si>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</si>
  <si>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</si>
  <si>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</si>
  <si>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</si>
  <si>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</si>
  <si>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</si>
  <si>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</si>
  <si>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</si>
  <si>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</si>
  <si>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</si>
  <si>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</si>
  <si>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</si>
  <si>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</si>
  <si>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</si>
  <si>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</si>
  <si>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</si>
  <si>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</si>
  <si>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</si>
  <si>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</si>
  <si>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</si>
  <si>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</si>
  <si>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</si>
  <si>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</si>
  <si>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</si>
  <si>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</si>
  <si>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</si>
  <si>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</si>
  <si>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</si>
  <si>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</si>
  <si>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</si>
  <si>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</si>
  <si>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</si>
  <si>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</si>
  <si>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</si>
  <si>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</si>
  <si>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</si>
  <si>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</si>
  <si>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</si>
  <si>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</si>
  <si>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</si>
  <si>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</si>
  <si>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</si>
  <si>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</si>
  <si>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</si>
  <si>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</si>
  <si>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</si>
  <si>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</si>
  <si>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</si>
  <si>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</si>
  <si>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</si>
  <si>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</si>
  <si>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</si>
  <si>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</si>
  <si>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</si>
  <si>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</si>
  <si>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</si>
  <si>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</si>
  <si>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</si>
  <si>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</si>
  <si>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</si>
  <si>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</si>
  <si>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</si>
  <si>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</si>
  <si>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</si>
  <si>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</si>
  <si>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</si>
  <si>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</si>
  <si>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</si>
  <si>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</si>
  <si>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</si>
  <si>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</si>
  <si>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</si>
  <si>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</si>
  <si>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</si>
  <si>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</si>
  <si>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</si>
  <si>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</si>
  <si>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</si>
  <si>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</si>
  <si>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</si>
  <si>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</si>
  <si>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</si>
  <si>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</si>
  <si>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</si>
  <si>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</si>
  <si>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</si>
  <si>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</si>
  <si>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</si>
  <si>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</si>
  <si>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</si>
  <si>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</si>
  <si>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</si>
  <si>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</si>
  <si>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</si>
  <si>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</si>
  <si>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</si>
  <si>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</si>
  <si>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</si>
  <si>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</si>
  <si>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</si>
  <si>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</si>
  <si>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</si>
  <si>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</si>
  <si>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</si>
  <si>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</si>
  <si>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</si>
  <si>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</si>
  <si>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</si>
  <si>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</si>
  <si>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</si>
  <si>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</si>
  <si>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</si>
  <si>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</si>
  <si>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</si>
  <si>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</si>
  <si>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</si>
  <si>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</si>
  <si>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</si>
  <si>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</si>
  <si>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</si>
  <si>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</si>
  <si>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</si>
  <si>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</si>
  <si>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</si>
  <si>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</si>
  <si>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</si>
  <si>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</si>
  <si>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</si>
  <si>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</si>
  <si>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</si>
  <si>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</si>
  <si>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</si>
  <si>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</si>
  <si>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</si>
  <si>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</si>
  <si>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</si>
  <si>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</si>
  <si>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</si>
  <si>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</si>
  <si>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</si>
  <si>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</si>
  <si>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</si>
  <si>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</si>
  <si>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</si>
  <si>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</si>
  <si>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</si>
  <si>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</si>
  <si>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</si>
  <si>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</si>
  <si>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</si>
  <si>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</si>
  <si>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</si>
  <si>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</si>
  <si>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</si>
  <si>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</si>
  <si>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</si>
  <si>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</si>
  <si>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</si>
  <si>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</si>
  <si>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</si>
  <si>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</si>
  <si>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</si>
  <si>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</si>
  <si>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</si>
  <si>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</si>
  <si>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</si>
  <si>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</si>
  <si>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</si>
  <si>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</si>
  <si>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</si>
  <si>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</si>
  <si>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</si>
  <si>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</si>
  <si>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</si>
  <si>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</si>
  <si>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</si>
  <si>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</si>
  <si>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</si>
  <si>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</si>
  <si>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</si>
  <si>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</si>
  <si>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</si>
  <si>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</si>
  <si>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</si>
  <si>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</si>
  <si>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</si>
  <si>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</si>
  <si>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</si>
  <si>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</si>
  <si>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</si>
  <si>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</si>
  <si>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</si>
  <si>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</si>
  <si>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</si>
  <si>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</si>
  <si>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</si>
  <si>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</si>
  <si>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</si>
  <si>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</si>
  <si>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</si>
  <si>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</si>
  <si>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</si>
  <si>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</si>
  <si>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</si>
  <si>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</si>
  <si>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</si>
  <si>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</si>
  <si>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</si>
  <si>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</si>
  <si>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</si>
  <si>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</si>
  <si>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</si>
  <si>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</si>
  <si>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</si>
  <si>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</si>
  <si>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</si>
  <si>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</si>
  <si>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</si>
  <si>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</si>
  <si>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</si>
  <si>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</si>
  <si>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</si>
  <si>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</si>
  <si>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</si>
  <si>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</si>
  <si>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</si>
  <si>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</si>
  <si>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</si>
  <si>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</si>
  <si>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</si>
  <si>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</si>
  <si>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</si>
  <si>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</si>
  <si>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</si>
  <si>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</si>
  <si>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</si>
  <si>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</si>
  <si>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</si>
  <si>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</si>
  <si>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</si>
  <si>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</si>
  <si>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</si>
  <si>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</si>
  <si>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</si>
  <si>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</si>
  <si>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</si>
  <si>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</si>
  <si>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</si>
  <si>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</si>
  <si>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</si>
  <si>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</si>
  <si>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</si>
  <si>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</si>
  <si>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</si>
  <si>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</si>
  <si>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</si>
  <si>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</si>
  <si>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</si>
  <si>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</si>
  <si>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</si>
  <si>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</si>
  <si>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</si>
  <si>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</si>
  <si>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</si>
  <si>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</si>
  <si>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</si>
  <si>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</si>
  <si>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</si>
  <si>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</si>
  <si>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</si>
  <si>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</si>
  <si>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</si>
  <si>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</si>
  <si>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</si>
  <si>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</si>
  <si>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</si>
  <si>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</si>
  <si>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</si>
  <si>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</si>
  <si>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</si>
  <si>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</si>
  <si>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</si>
  <si>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</si>
  <si>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</si>
  <si>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</si>
  <si>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</si>
  <si>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</si>
  <si>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</si>
  <si>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</si>
  <si>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</si>
  <si>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</si>
  <si>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</si>
  <si>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</si>
  <si>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</si>
  <si>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</si>
  <si>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</si>
  <si>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</si>
  <si>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</si>
  <si>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</si>
  <si>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</si>
  <si>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</si>
  <si>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</si>
  <si>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</si>
  <si>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</si>
  <si>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</si>
  <si>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</si>
  <si>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</si>
  <si>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</si>
  <si>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</si>
  <si>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</si>
  <si>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</si>
  <si>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</si>
  <si>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</si>
  <si>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</si>
  <si>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</si>
  <si>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</si>
  <si>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</si>
  <si>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</si>
  <si>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</si>
  <si>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</si>
  <si>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</si>
  <si>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</si>
  <si>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</si>
  <si>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</si>
  <si>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</si>
  <si>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</si>
  <si>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</si>
  <si>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</si>
  <si>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</si>
  <si>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</si>
  <si>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</si>
  <si>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</si>
  <si>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</si>
  <si>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</si>
  <si>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</si>
  <si>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</si>
  <si>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</si>
  <si>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</si>
  <si>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</si>
  <si>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</si>
  <si>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</si>
  <si>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</si>
  <si>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</si>
  <si>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</si>
  <si>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</si>
  <si>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</si>
  <si>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</si>
  <si>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</si>
  <si>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</si>
  <si>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</si>
  <si>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</si>
  <si>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</si>
  <si>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</si>
  <si>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</si>
  <si>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</si>
  <si>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</si>
  <si>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</si>
  <si>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</si>
  <si>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</si>
  <si>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</si>
  <si>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</si>
  <si>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</si>
  <si>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</si>
  <si>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</si>
  <si>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</si>
  <si>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</si>
  <si>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</si>
  <si>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</si>
  <si>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</si>
  <si>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</si>
  <si>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</si>
  <si>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</si>
  <si>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</si>
  <si>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</si>
  <si>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</si>
  <si>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</si>
  <si>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</si>
  <si>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</si>
  <si>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</si>
  <si>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</si>
  <si>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</si>
  <si>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</si>
  <si>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</si>
  <si>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</si>
  <si>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</si>
  <si>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</si>
  <si>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</si>
  <si>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</si>
  <si>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</si>
  <si>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</si>
  <si>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</si>
  <si>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</si>
  <si>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</si>
  <si>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</si>
  <si>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</si>
  <si>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</si>
  <si>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</si>
  <si>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</si>
  <si>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</si>
  <si>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</si>
  <si>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</si>
  <si>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</si>
  <si>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</si>
  <si>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</si>
  <si>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</si>
  <si>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</si>
  <si>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</si>
  <si>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</si>
  <si>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</si>
  <si>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</si>
  <si>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</si>
  <si>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</si>
  <si>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</si>
  <si>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</si>
  <si>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</si>
  <si>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</si>
  <si>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</si>
  <si>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</si>
  <si>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</si>
  <si>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</si>
  <si>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</si>
  <si>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</si>
  <si>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</si>
  <si>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</si>
  <si>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</si>
  <si>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</si>
  <si>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</si>
  <si>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</si>
  <si>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</si>
  <si>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</si>
  <si>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</si>
  <si>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</si>
  <si>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</si>
  <si>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</si>
  <si>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</si>
  <si>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</si>
  <si>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</si>
  <si>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</si>
  <si>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</si>
  <si>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</si>
  <si>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/>
  </si>
  <si>
    <t>我恨这个单词，尤其是读音。</t>
    <phoneticPr fontId="1" type="noConversion"/>
  </si>
  <si>
    <t>Count of 学英</t>
  </si>
  <si>
    <t>Count of 学中</t>
  </si>
  <si>
    <t>Count of 学词</t>
  </si>
  <si>
    <t>已开启</t>
    <phoneticPr fontId="1" type="noConversion"/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</si>
  <si>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</si>
  <si>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</si>
  <si>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</si>
  <si>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</si>
  <si>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</si>
  <si>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</si>
  <si>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</si>
  <si>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</si>
  <si>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</si>
  <si>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</si>
  <si>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</si>
  <si>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</si>
  <si>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</si>
  <si>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</si>
  <si>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</si>
  <si>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</si>
  <si>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</si>
  <si>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</si>
  <si>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</si>
  <si>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</si>
  <si>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</si>
  <si>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</si>
  <si>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</si>
  <si>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</si>
  <si>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</si>
  <si>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</si>
  <si>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</si>
  <si>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</si>
  <si>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</si>
  <si>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</si>
  <si>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</si>
  <si>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</si>
  <si>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</si>
  <si>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</si>
  <si>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</si>
  <si>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</si>
  <si>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</si>
  <si>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</si>
  <si>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</si>
  <si>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</si>
  <si>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</si>
  <si>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</si>
  <si>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</si>
  <si>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</si>
  <si>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</si>
  <si>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</si>
  <si>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</si>
  <si>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</si>
  <si>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</si>
  <si>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</si>
  <si>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</si>
  <si>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</si>
  <si>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</si>
  <si>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</si>
  <si>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</si>
  <si>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</si>
  <si>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</si>
  <si>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</si>
  <si>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</si>
  <si>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</si>
  <si>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</si>
  <si>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</si>
  <si>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</si>
  <si>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</si>
  <si>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</si>
  <si>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</si>
  <si>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</si>
  <si>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</si>
  <si>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</si>
  <si>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</si>
  <si>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</si>
  <si>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</si>
  <si>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</si>
  <si>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</si>
  <si>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</si>
  <si>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</si>
  <si>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</si>
  <si>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</si>
  <si>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</si>
  <si>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</si>
  <si>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</si>
  <si>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</si>
  <si>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</si>
  <si>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</si>
  <si>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</si>
  <si>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</si>
  <si>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</si>
  <si>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</si>
  <si>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</si>
  <si>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</si>
  <si>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</si>
  <si>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</si>
  <si>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</si>
  <si>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</si>
  <si>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</si>
  <si>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</si>
  <si>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</si>
  <si>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</si>
  <si>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</si>
  <si>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</si>
  <si>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</si>
  <si>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</si>
  <si>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</si>
  <si>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</si>
  <si>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</si>
  <si>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</si>
  <si>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</si>
  <si>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</si>
  <si>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</si>
  <si>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</si>
  <si>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</si>
  <si>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</si>
  <si>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</si>
  <si>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</si>
  <si>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</si>
  <si>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</si>
  <si>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</si>
  <si>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</si>
  <si>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</si>
  <si>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</si>
  <si>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</si>
  <si>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</si>
  <si>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</si>
  <si>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</si>
  <si>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</si>
  <si>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</si>
  <si>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</si>
  <si>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</si>
  <si>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</si>
  <si>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</si>
  <si>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</si>
  <si>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</si>
  <si>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</si>
  <si>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</si>
  <si>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</si>
  <si>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</si>
  <si>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</si>
  <si>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</si>
  <si>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</si>
  <si>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</si>
  <si>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</si>
  <si>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</si>
  <si>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</si>
  <si>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</si>
  <si>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</si>
  <si>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</si>
  <si>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</si>
  <si>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</si>
  <si>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</si>
  <si>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</si>
  <si>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</si>
  <si>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</si>
  <si>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</si>
  <si>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</si>
  <si>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</si>
  <si>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</si>
  <si>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</si>
  <si>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</si>
  <si>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</si>
  <si>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</si>
  <si>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</si>
  <si>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</si>
  <si>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</si>
  <si>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</si>
  <si>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</si>
  <si>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</si>
  <si>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</si>
  <si>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</si>
  <si>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</si>
  <si>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</si>
  <si>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</si>
  <si>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</si>
  <si>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</si>
  <si>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</si>
  <si>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</si>
  <si>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</si>
  <si>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</si>
  <si>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</si>
  <si>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</si>
  <si>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</si>
  <si>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</si>
  <si>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</si>
  <si>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</si>
  <si>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</si>
  <si>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</si>
  <si>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</si>
  <si>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</si>
  <si>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</si>
  <si>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</si>
  <si>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</si>
  <si>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</si>
  <si>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</si>
  <si>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</si>
  <si>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</si>
  <si>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</si>
  <si>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</si>
  <si>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</si>
  <si>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</si>
  <si>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</si>
  <si>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</si>
  <si>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</si>
  <si>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</si>
  <si>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</si>
  <si>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</si>
  <si>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</si>
  <si>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</si>
  <si>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</si>
  <si>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</si>
  <si>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</si>
  <si>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</si>
  <si>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</si>
  <si>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</si>
  <si>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</si>
  <si>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</si>
  <si>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</si>
  <si>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</si>
  <si>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</si>
  <si>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</si>
  <si>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</si>
  <si>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</si>
  <si>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</si>
  <si>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</si>
  <si>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</si>
  <si>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</si>
  <si>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</si>
  <si>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</si>
  <si>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</si>
  <si>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</si>
  <si>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</si>
  <si>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</si>
  <si>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</si>
  <si>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</si>
  <si>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</si>
  <si>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词根：courage，勇气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</si>
  <si>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</si>
  <si>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</si>
  <si>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</si>
  <si>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</si>
  <si>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</si>
  <si>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</si>
  <si>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</si>
  <si>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</si>
  <si>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</si>
  <si>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</si>
  <si>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</si>
  <si>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</si>
  <si>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</si>
  <si>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</si>
  <si>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</si>
  <si>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</si>
  <si>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</si>
  <si>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</si>
  <si>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</si>
  <si>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</si>
  <si>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</si>
  <si>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</si>
  <si>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</si>
  <si>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</si>
  <si>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</si>
  <si>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</si>
  <si>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</si>
  <si>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</si>
  <si>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</si>
  <si>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</si>
  <si>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</si>
  <si>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</si>
  <si>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</si>
  <si>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</si>
  <si>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</si>
  <si>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</si>
  <si>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</si>
  <si>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</si>
  <si>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</si>
  <si>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</si>
  <si>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</si>
  <si>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</si>
  <si>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</si>
  <si>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</si>
  <si>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</si>
  <si>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</si>
  <si>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</si>
  <si>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</si>
  <si>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</si>
  <si>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</si>
  <si>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</si>
  <si>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</si>
  <si>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</si>
  <si>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</si>
  <si>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</si>
  <si>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</si>
  <si>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</si>
  <si>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</si>
  <si>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</si>
  <si>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</si>
  <si>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</si>
  <si>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</si>
  <si>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</si>
  <si>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</si>
  <si>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</si>
  <si>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</si>
  <si>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</si>
  <si>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</si>
  <si>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</si>
  <si>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</si>
  <si>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</si>
  <si>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</si>
  <si>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</si>
  <si>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</si>
  <si>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</si>
  <si>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</si>
  <si>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</si>
  <si>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</si>
  <si>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</si>
  <si>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</si>
  <si>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</si>
  <si>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</si>
  <si>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</si>
  <si>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</si>
  <si>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</si>
  <si>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</si>
  <si>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</si>
  <si>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</si>
  <si>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</si>
  <si>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</si>
  <si>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</si>
  <si>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</si>
  <si>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</si>
  <si>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</si>
  <si>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</si>
  <si>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</si>
  <si>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</si>
  <si>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</si>
  <si>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</si>
  <si>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</si>
  <si>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</si>
  <si>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</si>
  <si>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</si>
  <si>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</si>
  <si>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</si>
  <si>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</si>
  <si>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</si>
  <si>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</si>
  <si>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</si>
  <si>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</si>
  <si>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</si>
  <si>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</si>
  <si>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</si>
  <si>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</si>
  <si>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</si>
  <si>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</si>
  <si>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</si>
  <si>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</si>
  <si>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</si>
  <si>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</si>
  <si>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</si>
  <si>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</si>
  <si>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</si>
  <si>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</si>
  <si>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</si>
  <si>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</si>
  <si>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</si>
  <si>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</si>
  <si>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</si>
  <si>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</si>
  <si>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</si>
  <si>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</si>
  <si>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</si>
  <si>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</si>
  <si>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</si>
  <si>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</si>
  <si>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</si>
  <si>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</si>
  <si>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</si>
  <si>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</si>
  <si>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</si>
  <si>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</si>
  <si>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</si>
  <si>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</si>
  <si>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</si>
  <si>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</si>
  <si>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</si>
  <si>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</si>
  <si>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</si>
  <si>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</si>
  <si>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</si>
  <si>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</si>
  <si>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</si>
  <si>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</si>
  <si>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</si>
  <si>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</si>
  <si>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</si>
  <si>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</si>
  <si>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</si>
  <si>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</si>
  <si>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</si>
  <si>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</si>
  <si>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</si>
  <si>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</si>
  <si>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</si>
  <si>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</si>
  <si>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</si>
  <si>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</si>
  <si>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</si>
  <si>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</si>
  <si>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</si>
  <si>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</si>
  <si>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</si>
  <si>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</si>
  <si>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</si>
  <si>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</si>
  <si>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</si>
  <si>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</si>
  <si>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</si>
  <si>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</si>
  <si>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</si>
  <si>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</si>
  <si>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</si>
  <si>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</si>
  <si>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</si>
  <si>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</si>
  <si>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</si>
  <si>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</si>
  <si>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</si>
  <si>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</si>
  <si>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</si>
  <si>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</si>
  <si>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</si>
  <si>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</si>
  <si>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</si>
  <si>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</si>
  <si>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</si>
  <si>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</si>
  <si>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</si>
  <si>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</si>
  <si>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</si>
  <si>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</si>
  <si>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</si>
  <si>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</si>
  <si>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</si>
  <si>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</si>
  <si>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</si>
  <si>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</si>
  <si>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</si>
  <si>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</si>
  <si>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</si>
  <si>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</si>
  <si>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</si>
  <si>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</si>
  <si>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</si>
  <si>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</si>
  <si>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</si>
  <si>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</si>
  <si>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</si>
  <si>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</si>
  <si>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</si>
  <si>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</si>
  <si>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</si>
  <si>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</si>
  <si>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</si>
  <si>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</si>
  <si>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</si>
  <si>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</si>
  <si>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</si>
  <si>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</si>
  <si>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</si>
  <si>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</si>
  <si>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</si>
  <si>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</si>
  <si>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</si>
  <si>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</si>
  <si>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</si>
  <si>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</si>
  <si>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</si>
  <si>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</si>
  <si>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</si>
  <si>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</si>
  <si>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</si>
  <si>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</si>
  <si>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</si>
  <si>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</si>
  <si>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</si>
  <si>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</si>
  <si>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</si>
  <si>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</si>
  <si>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</si>
  <si>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</si>
  <si>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</si>
  <si>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</si>
  <si>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</si>
  <si>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</si>
  <si>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</si>
  <si>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</si>
  <si>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</si>
  <si>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</si>
  <si>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</si>
  <si>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</si>
  <si>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</si>
  <si>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</si>
  <si>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</si>
  <si>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</si>
  <si>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</si>
  <si>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</si>
  <si>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</si>
  <si>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</si>
  <si>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</si>
  <si>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</si>
  <si>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</si>
  <si>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</si>
  <si>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</si>
  <si>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</si>
  <si>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</si>
  <si>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</si>
  <si>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</si>
  <si>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</si>
  <si>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</si>
  <si>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</si>
  <si>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</si>
  <si>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</si>
  <si>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</si>
  <si>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</si>
  <si>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</si>
  <si>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</si>
  <si>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</si>
  <si>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</si>
  <si>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</si>
  <si>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</si>
  <si>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</si>
  <si>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</si>
  <si>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</si>
  <si>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</si>
  <si>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</si>
  <si>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</si>
  <si>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</si>
  <si>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</si>
  <si>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</si>
  <si>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</si>
  <si>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</si>
  <si>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</si>
  <si>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</si>
  <si>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</si>
  <si>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</si>
  <si>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</si>
  <si>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</si>
  <si>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</si>
  <si>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</si>
  <si>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</si>
  <si>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</si>
  <si>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</si>
  <si>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</si>
  <si>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</si>
  <si>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</si>
  <si>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</si>
  <si>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</si>
  <si>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</si>
  <si>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</si>
  <si>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</si>
  <si>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</si>
  <si>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</si>
  <si>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</si>
  <si>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</si>
  <si>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</si>
  <si>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</si>
  <si>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</si>
  <si>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</si>
  <si>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</si>
  <si>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</si>
  <si>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</si>
  <si>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</si>
  <si>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</si>
  <si>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</si>
  <si>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</si>
  <si>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</si>
  <si>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</si>
  <si>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</si>
  <si>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</si>
  <si>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</si>
  <si>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</si>
  <si>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</si>
  <si>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</si>
  <si>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</si>
  <si>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</si>
  <si>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</si>
  <si>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</si>
  <si>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</si>
  <si>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</si>
  <si>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</si>
  <si>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</si>
  <si>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</si>
  <si>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</si>
  <si>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</si>
  <si>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</si>
  <si>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</si>
  <si>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</si>
  <si>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</si>
  <si>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</si>
  <si>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</si>
  <si>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</si>
  <si>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</si>
  <si>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</si>
  <si>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</si>
  <si>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</si>
  <si>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</si>
  <si>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</si>
  <si>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</si>
  <si>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</si>
  <si>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</si>
  <si>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</si>
  <si>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</si>
  <si>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</si>
  <si>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</si>
  <si>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</si>
  <si>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</si>
  <si>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</si>
  <si>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</si>
  <si>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</si>
  <si>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</si>
  <si>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</si>
  <si>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</si>
  <si>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</si>
  <si>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</si>
  <si>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</si>
  <si>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</si>
  <si>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</si>
  <si>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</si>
  <si>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</si>
  <si>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</si>
  <si>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</si>
  <si>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</si>
  <si>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</si>
  <si>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</si>
  <si>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</si>
  <si>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</si>
  <si>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</si>
  <si>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</si>
  <si>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</si>
  <si>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</si>
  <si>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</si>
  <si>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</si>
  <si>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</si>
  <si>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</si>
  <si>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</si>
  <si>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</si>
  <si>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</si>
  <si>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</si>
  <si>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</si>
  <si>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</si>
  <si>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</si>
  <si>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</si>
  <si>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</si>
  <si>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</si>
  <si>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</si>
  <si>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</si>
  <si>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</si>
  <si>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</si>
  <si>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</si>
  <si>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</si>
  <si>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</si>
  <si>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</si>
  <si>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</si>
  <si>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</si>
  <si>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</si>
  <si>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</si>
  <si>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</si>
  <si>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</si>
  <si>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</si>
  <si>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</si>
  <si>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</si>
  <si>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</si>
  <si>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</si>
  <si>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</si>
  <si>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</si>
  <si>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</si>
  <si>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</si>
  <si>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</si>
  <si>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</si>
  <si>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</si>
  <si>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</si>
  <si>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</si>
  <si>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</si>
  <si>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</si>
  <si>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</si>
  <si>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</si>
  <si>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</si>
  <si>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</si>
  <si>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</si>
  <si>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</si>
  <si>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</si>
  <si>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</si>
  <si>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</si>
  <si>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</si>
  <si>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</si>
  <si>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</si>
  <si>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</si>
  <si>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</si>
  <si>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</si>
  <si>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</si>
  <si>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</si>
  <si>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</si>
  <si>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</si>
  <si>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</si>
  <si>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</si>
  <si>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</si>
  <si>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</si>
  <si>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</si>
  <si>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</si>
  <si>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</si>
  <si>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</si>
  <si>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</si>
  <si>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</si>
  <si>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</si>
  <si>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</si>
  <si>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</si>
  <si>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</si>
  <si>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</si>
  <si>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</si>
  <si>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</si>
  <si>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</si>
  <si>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</si>
  <si>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</si>
  <si>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</si>
  <si>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</si>
  <si>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</si>
  <si>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</si>
  <si>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</si>
  <si>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</si>
  <si>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</si>
  <si>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</si>
  <si>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</si>
  <si>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</si>
  <si>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</si>
  <si>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</si>
  <si>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</si>
  <si>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</si>
  <si>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</si>
  <si>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</si>
  <si>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</si>
  <si>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</si>
  <si>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</si>
  <si>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</si>
  <si>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</si>
  <si>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</si>
  <si>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</si>
  <si>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</si>
  <si>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</si>
  <si>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</si>
  <si>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</si>
  <si>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</si>
  <si>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</si>
  <si>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</si>
  <si>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</si>
  <si>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</si>
  <si>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</si>
  <si>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</si>
  <si>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</si>
  <si>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</si>
  <si>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</si>
  <si>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</si>
  <si>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</si>
  <si>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</si>
  <si>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</si>
  <si>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</si>
  <si>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</si>
  <si>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</si>
  <si>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</si>
  <si>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</si>
  <si>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</si>
  <si>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</si>
  <si>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</si>
  <si>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</si>
  <si>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</si>
  <si>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</si>
  <si>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</si>
  <si>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</si>
  <si>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</si>
  <si>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</si>
  <si>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</si>
  <si>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</si>
  <si>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</si>
  <si>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</si>
  <si>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</si>
  <si>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</si>
  <si>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</si>
  <si>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</si>
  <si>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</si>
  <si>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</si>
  <si>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</si>
  <si>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</si>
  <si>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</si>
  <si>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</si>
  <si>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</si>
  <si>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</si>
  <si>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</si>
  <si>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</si>
  <si>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</si>
  <si>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</si>
  <si>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</si>
  <si>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</si>
  <si>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</si>
  <si>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</si>
  <si>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</si>
  <si>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</si>
  <si>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</si>
  <si>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</si>
  <si>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</si>
  <si>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</si>
  <si>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</si>
  <si>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</si>
  <si>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</si>
  <si>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</si>
  <si>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</si>
  <si>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</si>
  <si>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</si>
  <si>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</si>
  <si>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</si>
  <si>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</si>
  <si>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</si>
  <si>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</si>
  <si>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</si>
  <si>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</si>
  <si>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</si>
  <si>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</si>
  <si>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</si>
  <si>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</si>
  <si>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</si>
  <si>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</si>
  <si>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</si>
  <si>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</si>
  <si>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</si>
  <si>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</si>
  <si>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</si>
  <si>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</si>
  <si>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</si>
  <si>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</si>
  <si>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</si>
  <si>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</si>
  <si>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</si>
  <si>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</si>
  <si>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</si>
  <si>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</si>
  <si>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</si>
  <si>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</si>
  <si>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</si>
  <si>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</si>
  <si>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</si>
  <si>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</si>
  <si>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</si>
  <si>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</si>
  <si>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</si>
  <si>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</si>
  <si>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</si>
  <si>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</si>
  <si>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</si>
  <si>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</si>
  <si>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</si>
  <si>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</si>
  <si>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</si>
  <si>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</si>
  <si>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</si>
  <si>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</si>
  <si>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</si>
  <si>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</si>
  <si>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</si>
  <si>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</si>
  <si>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</si>
  <si>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</si>
  <si>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</si>
  <si>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</si>
  <si>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</si>
  <si>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</si>
  <si>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</si>
  <si>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</si>
  <si>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</si>
  <si>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</si>
  <si>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</si>
  <si>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</si>
  <si>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</si>
  <si>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</si>
  <si>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</si>
  <si>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</si>
  <si>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</si>
  <si>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</si>
  <si>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</si>
  <si>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</si>
  <si>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</si>
  <si>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</si>
  <si>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</si>
  <si>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</si>
  <si>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</si>
  <si>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</si>
  <si>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</si>
  <si>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</si>
  <si>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</si>
  <si>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</si>
  <si>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</si>
  <si>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</si>
  <si>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</si>
  <si>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</si>
  <si>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</si>
  <si>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</si>
  <si>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</si>
  <si>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</si>
  <si>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</si>
  <si>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</si>
  <si>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</si>
  <si>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</si>
  <si>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</si>
  <si>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</si>
  <si>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</si>
  <si>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</si>
  <si>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</si>
  <si>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</si>
  <si>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</si>
  <si>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</si>
  <si>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</si>
  <si>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</si>
  <si>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</si>
  <si>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</si>
  <si>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</si>
  <si>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</si>
  <si>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</si>
  <si>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</si>
  <si>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</si>
  <si>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</si>
  <si>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</si>
  <si>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</si>
  <si>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</si>
  <si>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</si>
  <si>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</si>
  <si>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</si>
  <si>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</si>
  <si>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</si>
  <si>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</si>
  <si>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</si>
  <si>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</si>
  <si>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</si>
  <si>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</si>
  <si>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</si>
  <si>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</si>
  <si>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</si>
  <si>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</si>
  <si>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</si>
  <si>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</si>
  <si>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</si>
  <si>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</si>
  <si>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</si>
  <si>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</si>
  <si>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</si>
  <si>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</si>
  <si>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</si>
  <si>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</si>
  <si>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</si>
  <si>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</si>
  <si>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</si>
  <si>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</si>
  <si>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</si>
  <si>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</si>
  <si>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</si>
  <si>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</si>
  <si>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</si>
  <si>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</si>
  <si>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</si>
  <si>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</si>
  <si>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</si>
  <si>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</si>
  <si>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</si>
  <si>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</si>
  <si>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</si>
  <si>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</si>
  <si>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</si>
  <si>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</si>
  <si>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</si>
  <si>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</si>
  <si>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</si>
  <si>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</si>
  <si>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</si>
  <si>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</si>
  <si>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</si>
  <si>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</si>
  <si>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</si>
  <si>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</si>
  <si>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</si>
  <si>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</si>
  <si>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</si>
  <si>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</si>
  <si>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</si>
  <si>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</si>
  <si>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</si>
  <si>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</si>
  <si>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</si>
  <si>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</si>
  <si>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</si>
  <si>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</si>
  <si>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</si>
  <si>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</si>
  <si>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</si>
  <si>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</si>
  <si>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</si>
  <si>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</si>
  <si>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</si>
  <si>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</si>
  <si>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</si>
  <si>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</si>
  <si>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</si>
  <si>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</si>
  <si>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</si>
  <si>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</si>
  <si>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</si>
  <si>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</si>
  <si>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</si>
  <si>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</si>
  <si>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</si>
  <si>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</si>
  <si>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</si>
  <si>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</si>
  <si>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</si>
  <si>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</si>
  <si>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</si>
  <si>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</si>
  <si>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</si>
  <si>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</si>
  <si>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</si>
  <si>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</si>
  <si>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</si>
  <si>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</si>
  <si>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</si>
  <si>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</si>
  <si>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</si>
  <si>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</si>
  <si>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</si>
  <si>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</si>
  <si>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</si>
  <si>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</si>
  <si>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</si>
  <si>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</si>
  <si>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</si>
  <si>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</si>
  <si>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</si>
  <si>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</si>
  <si>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</si>
  <si>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</si>
  <si>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</si>
  <si>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</si>
  <si>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</si>
  <si>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</si>
  <si>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</si>
  <si>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</si>
  <si>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</si>
  <si>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</si>
  <si>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</si>
  <si>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</si>
  <si>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</si>
  <si>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</si>
  <si>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</si>
  <si>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</si>
  <si>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</si>
  <si>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</si>
  <si>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</si>
  <si>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</si>
  <si>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</si>
  <si>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</si>
  <si>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</si>
  <si>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</si>
  <si>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</si>
  <si>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</si>
  <si>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</si>
  <si>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</si>
  <si>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</si>
  <si>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</si>
  <si>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</si>
  <si>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</si>
  <si>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</si>
  <si>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</si>
  <si>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</si>
  <si>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</si>
  <si>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</si>
  <si>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</si>
  <si>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</si>
  <si>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</si>
  <si>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</si>
  <si>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</si>
  <si>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</si>
  <si>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</si>
  <si>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</si>
  <si>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</si>
  <si>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</si>
  <si>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</si>
  <si>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</si>
  <si>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</si>
  <si>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</si>
  <si>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</si>
  <si>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</si>
  <si>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</si>
  <si>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</si>
  <si>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</si>
  <si>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</si>
  <si>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</si>
  <si>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</si>
  <si>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</si>
  <si>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</si>
  <si>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</si>
  <si>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</si>
  <si>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</si>
  <si>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</si>
  <si>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</si>
  <si>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</si>
  <si>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</si>
  <si>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</si>
  <si>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</si>
  <si>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</si>
  <si>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</si>
  <si>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</si>
  <si>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</si>
  <si>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</si>
  <si>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</si>
  <si>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</si>
  <si>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</si>
  <si>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</si>
  <si>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</si>
  <si>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</si>
  <si>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</si>
  <si>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</si>
  <si>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</si>
  <si>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</si>
  <si>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</si>
  <si>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</si>
  <si>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</si>
  <si>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</si>
  <si>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</si>
  <si>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</si>
  <si>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</si>
  <si>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</si>
  <si>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</si>
  <si>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</si>
  <si>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</si>
  <si>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</si>
  <si>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</si>
  <si>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</si>
  <si>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</si>
  <si>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</si>
  <si>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</si>
  <si>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</si>
  <si>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</si>
  <si>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</si>
  <si>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</si>
  <si>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</si>
  <si>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</si>
  <si>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</si>
  <si>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</si>
  <si>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</si>
  <si>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</si>
  <si>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</si>
  <si>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</si>
  <si>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</si>
  <si>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</si>
  <si>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</si>
  <si>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</si>
  <si>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</si>
  <si>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</si>
  <si>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</si>
  <si>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</si>
  <si>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</si>
  <si>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</si>
  <si>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</si>
  <si>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</si>
  <si>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</si>
  <si>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</si>
  <si>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</si>
  <si>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</si>
  <si>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</si>
  <si>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</si>
  <si>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</si>
  <si>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</si>
  <si>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</si>
  <si>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</si>
  <si>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</si>
  <si>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</si>
  <si>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</si>
  <si>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</si>
  <si>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</si>
  <si>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</si>
  <si>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</si>
  <si>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</si>
  <si>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</si>
  <si>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</si>
  <si>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</si>
  <si>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</si>
  <si>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</si>
  <si>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</si>
  <si>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</si>
  <si>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</si>
  <si>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</si>
  <si>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</si>
  <si>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</si>
  <si>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</si>
  <si>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</si>
  <si>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</si>
  <si>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</si>
  <si>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</si>
  <si>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</si>
  <si>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</si>
  <si>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</si>
  <si>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</si>
  <si>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</si>
  <si>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</si>
  <si>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</si>
  <si>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</si>
  <si>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</si>
  <si>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</si>
  <si>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</si>
  <si>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</si>
  <si>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</si>
  <si>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</si>
  <si>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</si>
  <si>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</si>
  <si>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</si>
  <si>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</si>
  <si>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</si>
  <si>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</si>
  <si>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</si>
  <si>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</si>
  <si>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</si>
  <si>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</si>
  <si>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</si>
  <si>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</si>
  <si>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</si>
  <si>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</si>
  <si>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</si>
  <si>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</si>
  <si>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</si>
  <si>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</si>
  <si>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</si>
  <si>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</si>
  <si>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</si>
  <si>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</si>
  <si>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</si>
  <si>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</si>
  <si>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</si>
  <si>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</si>
  <si>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</si>
  <si>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</si>
  <si>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</si>
  <si>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</si>
  <si>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</si>
  <si>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</si>
  <si>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</si>
  <si>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</si>
  <si>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</si>
  <si>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</si>
  <si>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</si>
  <si>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</si>
  <si>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</si>
  <si>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</si>
  <si>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</si>
  <si>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</si>
  <si>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</si>
  <si>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</si>
  <si>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</si>
  <si>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</si>
  <si>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</si>
  <si>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</si>
  <si>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</si>
  <si>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</si>
  <si>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</si>
  <si>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</si>
  <si>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</si>
  <si>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</si>
  <si>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</si>
  <si>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</si>
  <si>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</si>
  <si>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</si>
  <si>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</si>
  <si>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</si>
  <si>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</si>
  <si>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</si>
  <si>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</si>
  <si>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</si>
  <si>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</si>
  <si>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</si>
  <si>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</si>
  <si>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</si>
  <si>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</si>
  <si>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</si>
  <si>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</si>
  <si>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</si>
  <si>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</si>
  <si>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</si>
  <si>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</si>
  <si>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</si>
  <si>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</si>
  <si>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</si>
  <si>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</si>
  <si>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</si>
  <si>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</si>
  <si>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</si>
  <si>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</si>
  <si>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</si>
  <si>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</si>
  <si>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</si>
  <si>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</si>
  <si>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</si>
  <si>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</si>
  <si>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</si>
  <si>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</si>
  <si>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</si>
  <si>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</si>
  <si>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</si>
  <si>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</si>
  <si>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</si>
  <si>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</si>
  <si>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</si>
  <si>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</si>
  <si>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</si>
  <si>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</si>
  <si>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</si>
  <si>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</si>
  <si>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</si>
  <si>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</si>
  <si>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</si>
  <si>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</si>
  <si>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</si>
  <si>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</si>
  <si>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</si>
  <si>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</si>
  <si>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</si>
  <si>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</si>
  <si>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</si>
  <si>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</si>
  <si>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</si>
  <si>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</si>
  <si>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</si>
  <si>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</si>
  <si>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</si>
  <si>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</si>
  <si>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</si>
  <si>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</si>
  <si>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</si>
  <si>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</si>
  <si>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</si>
  <si>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</si>
  <si>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</si>
  <si>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</si>
  <si>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</si>
  <si>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</si>
  <si>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</si>
  <si>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</si>
  <si>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</si>
  <si>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</si>
  <si>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</si>
  <si>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</si>
  <si>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</si>
  <si>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</si>
  <si>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</si>
  <si>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</si>
  <si>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</si>
  <si>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</si>
  <si>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</si>
  <si>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</si>
  <si>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</si>
  <si>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</si>
  <si>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</si>
  <si>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</si>
  <si>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</si>
  <si>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</si>
  <si>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</si>
  <si>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</si>
  <si>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</si>
  <si>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</si>
  <si>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</si>
  <si>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</si>
  <si>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</si>
  <si>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</si>
  <si>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</si>
  <si>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</si>
  <si>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</si>
  <si>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</si>
  <si>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</si>
  <si>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</si>
  <si>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</si>
  <si>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</si>
  <si>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</si>
  <si>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</si>
  <si>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</si>
  <si>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</si>
  <si>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</si>
  <si>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</si>
  <si>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</si>
  <si>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</si>
  <si>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</si>
  <si>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</si>
  <si>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</si>
  <si>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</si>
  <si>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</si>
  <si>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</si>
  <si>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</si>
  <si>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</si>
  <si>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</si>
  <si>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</si>
  <si>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</si>
  <si>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</si>
  <si>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</si>
  <si>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</si>
  <si>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</si>
  <si>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</si>
  <si>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</si>
  <si>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</si>
  <si>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</si>
  <si>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</si>
  <si>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</si>
  <si>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</si>
  <si>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</si>
  <si>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</si>
  <si>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</si>
  <si>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</si>
  <si>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</si>
  <si>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</si>
  <si>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</si>
  <si>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</si>
  <si>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</si>
  <si>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</si>
  <si>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</si>
  <si>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</si>
  <si>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</si>
  <si>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</si>
  <si>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</si>
  <si>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</si>
  <si>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</si>
  <si>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</si>
  <si>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</si>
  <si>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</si>
  <si>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</si>
  <si>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</si>
  <si>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</si>
  <si>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</si>
  <si>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</si>
  <si>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</si>
  <si>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</si>
  <si>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</si>
  <si>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</si>
  <si>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</si>
  <si>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</si>
  <si>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</si>
  <si>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</si>
  <si>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</si>
  <si>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</si>
  <si>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</si>
  <si>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</si>
  <si>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</si>
  <si>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</si>
  <si>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</si>
  <si>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</si>
  <si>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</si>
  <si>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</si>
  <si>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</si>
  <si>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</si>
  <si>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</si>
  <si>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</si>
  <si>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</si>
  <si>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</si>
  <si>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</si>
  <si>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</si>
  <si>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</si>
  <si>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</si>
  <si>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</si>
  <si>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</si>
  <si>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</si>
  <si>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</si>
  <si>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</si>
  <si>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</si>
  <si>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</si>
  <si>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</si>
  <si>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</si>
  <si>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</si>
  <si>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</si>
  <si>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</si>
  <si>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</si>
  <si>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</si>
  <si>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</si>
  <si>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</si>
  <si>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</si>
  <si>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</si>
  <si>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</si>
  <si>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</si>
  <si>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</si>
  <si>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</si>
  <si>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</si>
  <si>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</si>
  <si>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</si>
  <si>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</si>
  <si>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</si>
  <si>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</si>
  <si>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</si>
  <si>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</si>
  <si>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</si>
  <si>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</si>
  <si>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</si>
  <si>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</si>
  <si>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</si>
  <si>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</si>
  <si>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</si>
  <si>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</si>
  <si>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</si>
  <si>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</si>
  <si>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</si>
  <si>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</si>
  <si>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</si>
  <si>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</si>
  <si>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</si>
  <si>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</si>
  <si>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</si>
  <si>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</si>
  <si>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</si>
  <si>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</si>
  <si>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</si>
  <si>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</si>
  <si>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</si>
  <si>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</si>
  <si>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</si>
  <si>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</si>
  <si>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</si>
  <si>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</si>
  <si>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</si>
  <si>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</si>
  <si>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</si>
  <si>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</si>
  <si>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</si>
  <si>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</si>
  <si>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</si>
  <si>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</si>
  <si>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</si>
  <si>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</si>
  <si>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</si>
  <si>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</si>
  <si>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</si>
  <si>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</si>
  <si>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</si>
  <si>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</si>
  <si>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</si>
  <si>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</si>
  <si>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</si>
  <si>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</si>
  <si>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</si>
  <si>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</si>
  <si>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</si>
  <si>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</si>
  <si>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</si>
  <si>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</si>
  <si>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</si>
  <si>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</si>
  <si>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</si>
  <si>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</si>
  <si>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</si>
  <si>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</si>
  <si>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</si>
  <si>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</si>
  <si>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</si>
  <si>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</si>
  <si>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</si>
  <si>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</si>
  <si>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</si>
  <si>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</si>
  <si>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</si>
  <si>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</si>
  <si>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</si>
  <si>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</si>
  <si>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</si>
  <si>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</si>
  <si>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</si>
  <si>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</si>
  <si>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</si>
  <si>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</si>
  <si>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</si>
  <si>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</si>
  <si>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</si>
  <si>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</si>
  <si>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</si>
  <si>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</si>
  <si>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</si>
  <si>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</si>
  <si>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</si>
  <si>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</si>
  <si>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</si>
  <si>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</si>
  <si>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</si>
  <si>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</si>
  <si>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</si>
  <si>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</si>
  <si>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</si>
  <si>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</si>
  <si>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</si>
  <si>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</si>
  <si>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</si>
  <si>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</si>
  <si>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</si>
  <si>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</si>
  <si>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</si>
  <si>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</si>
  <si>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</si>
  <si>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</si>
  <si>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</si>
  <si>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</si>
  <si>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</si>
  <si>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</si>
  <si>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</si>
  <si>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</si>
  <si>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</si>
  <si>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</si>
  <si>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</si>
  <si>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</si>
  <si>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</si>
  <si>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</si>
  <si>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</si>
  <si>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</si>
  <si>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</si>
  <si>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</si>
  <si>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</si>
  <si>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</si>
  <si>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</si>
  <si>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</si>
  <si>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</si>
  <si>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</si>
  <si>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</si>
  <si>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</si>
  <si>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</si>
  <si>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</si>
  <si>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</si>
  <si>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</si>
  <si>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</si>
  <si>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</si>
  <si>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</si>
  <si>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</si>
  <si>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</si>
  <si>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</si>
  <si>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</si>
  <si>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</si>
  <si>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</si>
  <si>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</si>
  <si>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</si>
  <si>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</si>
  <si>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</si>
  <si>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</si>
  <si>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</si>
  <si>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</si>
  <si>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</si>
  <si>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</si>
  <si>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</si>
  <si>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</si>
  <si>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</si>
  <si>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</si>
  <si>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</si>
  <si>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</si>
  <si>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</si>
  <si>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</si>
  <si>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</si>
  <si>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</si>
  <si>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</si>
  <si>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</si>
  <si>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</si>
  <si>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</si>
  <si>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</si>
  <si>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</si>
  <si>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</si>
  <si>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</si>
  <si>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</si>
  <si>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</si>
  <si>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</si>
  <si>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</si>
  <si>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</si>
  <si>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</si>
  <si>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</si>
  <si>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</si>
  <si>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</si>
  <si>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</si>
  <si>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</si>
  <si>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</si>
  <si>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</si>
  <si>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</si>
  <si>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</si>
  <si>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</si>
  <si>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</si>
  <si>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</si>
  <si>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</si>
  <si>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</si>
  <si>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</si>
  <si>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</si>
  <si>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</si>
  <si>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</si>
  <si>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</si>
  <si>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</si>
  <si>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</si>
  <si>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</si>
  <si>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</si>
  <si>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</si>
  <si>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</si>
  <si>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</si>
  <si>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</si>
  <si>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</si>
  <si>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</si>
  <si>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</si>
  <si>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</si>
  <si>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</si>
  <si>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</si>
  <si>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</si>
  <si>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</si>
  <si>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</si>
  <si>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</si>
  <si>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</si>
  <si>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</si>
  <si>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</si>
  <si>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</si>
  <si>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</si>
  <si>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</si>
  <si>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</si>
  <si>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</si>
  <si>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</si>
  <si>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</si>
  <si>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</si>
  <si>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</si>
  <si>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</si>
  <si>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</si>
  <si>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</si>
  <si>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</si>
  <si>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</si>
  <si>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</si>
  <si>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</si>
  <si>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</si>
  <si>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</si>
  <si>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</si>
  <si>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</si>
  <si>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</si>
  <si>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</si>
  <si>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</si>
  <si>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</si>
  <si>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</si>
  <si>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</si>
  <si>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</si>
  <si>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</si>
  <si>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</si>
  <si>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</si>
  <si>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</si>
  <si>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</si>
  <si>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</si>
  <si>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</si>
  <si>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</si>
  <si>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</si>
  <si>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</si>
  <si>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</si>
  <si>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</si>
  <si>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</si>
  <si>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</si>
  <si>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</si>
  <si>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</si>
  <si>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</si>
  <si>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</si>
  <si>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</si>
  <si>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</si>
  <si>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</si>
  <si>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</si>
  <si>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</si>
  <si>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</si>
  <si>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</si>
  <si>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</si>
  <si>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</si>
  <si>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</si>
  <si>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</si>
  <si>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</si>
  <si>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</si>
  <si>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</si>
  <si>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</si>
  <si>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</si>
  <si>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</si>
  <si>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</si>
  <si>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</si>
  <si>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</si>
  <si>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</si>
  <si>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</si>
  <si>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</si>
  <si>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</si>
  <si>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</si>
  <si>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</si>
  <si>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</si>
  <si>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</si>
  <si>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</si>
  <si>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</si>
  <si>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</si>
  <si>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</si>
  <si>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</si>
  <si>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</si>
  <si>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</si>
  <si>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</si>
  <si>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</si>
  <si>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</si>
  <si>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</si>
  <si>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</si>
  <si>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</si>
  <si>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</si>
  <si>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</si>
  <si>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</si>
  <si>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</si>
  <si>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</si>
  <si>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</si>
  <si>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</si>
  <si>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</si>
  <si>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</si>
  <si>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</si>
  <si>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</si>
  <si>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</si>
  <si>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</si>
  <si>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</si>
  <si>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</si>
  <si>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</si>
  <si>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</si>
  <si>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</si>
  <si>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</si>
  <si>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</si>
  <si>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</si>
  <si>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</si>
  <si>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</si>
  <si>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</si>
  <si>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</si>
  <si>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</si>
  <si>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</si>
  <si>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</si>
  <si>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</si>
  <si>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</si>
  <si>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</si>
  <si>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</si>
  <si>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</si>
  <si>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</si>
  <si>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</si>
  <si>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</si>
  <si>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</si>
  <si>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</si>
  <si>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</si>
  <si>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</si>
  <si>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</si>
  <si>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</si>
  <si>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</si>
  <si>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</si>
  <si>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</si>
  <si>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</si>
  <si>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</si>
  <si>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</si>
  <si>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</si>
  <si>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</si>
  <si>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</si>
  <si>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</si>
  <si>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</si>
  <si>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</si>
  <si>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</si>
  <si>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</si>
  <si>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</si>
  <si>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</si>
  <si>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</si>
  <si>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</si>
  <si>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</si>
  <si>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</si>
  <si>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</si>
  <si>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</si>
  <si>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</si>
  <si>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</si>
  <si>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</si>
  <si>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</si>
  <si>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</si>
  <si>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</si>
  <si>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</si>
  <si>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</si>
  <si>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</si>
  <si>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</si>
  <si>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</si>
  <si>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</si>
  <si>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</si>
  <si>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</si>
  <si>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</si>
  <si>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</si>
  <si>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</si>
  <si>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</si>
  <si>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</si>
  <si>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</si>
  <si>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</si>
  <si>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</si>
  <si>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</si>
  <si>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</si>
  <si>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</si>
  <si>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</si>
  <si>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</si>
  <si>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</si>
  <si>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</si>
  <si>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</si>
  <si>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</si>
  <si>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</si>
  <si>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</si>
  <si>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</si>
  <si>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</si>
  <si>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</si>
  <si>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</si>
  <si>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</si>
  <si>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</si>
  <si>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</si>
  <si>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</si>
  <si>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</si>
  <si>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</si>
  <si>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</si>
  <si>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</si>
  <si>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</si>
  <si>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</si>
  <si>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</si>
  <si>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</si>
  <si>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</si>
  <si>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</si>
  <si>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</si>
  <si>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</si>
  <si>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</si>
  <si>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</si>
  <si>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</si>
  <si>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</si>
  <si>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</si>
  <si>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</si>
  <si>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</si>
  <si>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</si>
  <si>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</si>
  <si>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</si>
  <si>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</si>
  <si>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</si>
  <si>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</si>
  <si>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</si>
  <si>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</si>
  <si>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</si>
  <si>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</si>
  <si>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</si>
  <si>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</si>
  <si>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</si>
  <si>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</si>
  <si>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</si>
  <si>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</si>
  <si>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</si>
  <si>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</si>
  <si>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</si>
  <si>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</si>
  <si>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</si>
  <si>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</si>
  <si>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</si>
  <si>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</si>
  <si>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</si>
  <si>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</si>
  <si>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</si>
  <si>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</si>
  <si>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</si>
  <si>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</si>
  <si>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</si>
  <si>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</si>
  <si>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</si>
  <si>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</si>
  <si>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</si>
  <si>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</si>
  <si>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</si>
  <si>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</si>
  <si>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</si>
  <si>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</si>
  <si>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</si>
  <si>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</si>
  <si>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</si>
  <si>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</si>
  <si>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</si>
  <si>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</si>
  <si>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</si>
  <si>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</si>
  <si>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</si>
  <si>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</si>
  <si>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</si>
  <si>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</si>
  <si>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</si>
  <si>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</si>
  <si>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</si>
  <si>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</si>
  <si>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</si>
  <si>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</si>
  <si>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</si>
  <si>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</si>
  <si>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</si>
  <si>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</si>
  <si>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</si>
  <si>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</si>
  <si>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</si>
  <si>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</si>
  <si>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</si>
  <si>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</si>
  <si>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</si>
  <si>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</si>
  <si>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</si>
  <si>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</si>
  <si>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</si>
  <si>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</si>
  <si>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</si>
  <si>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</si>
  <si>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</si>
  <si>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</si>
  <si>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</si>
  <si>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</si>
  <si>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</si>
  <si>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</si>
  <si>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</si>
  <si>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</si>
  <si>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</si>
  <si>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</si>
  <si>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</si>
  <si>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</si>
  <si>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</si>
  <si>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</si>
  <si>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</si>
  <si>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</si>
  <si>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</si>
  <si>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</si>
  <si>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</si>
  <si>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</si>
  <si>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</si>
  <si>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</si>
  <si>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</si>
  <si>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</si>
  <si>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</si>
  <si>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</si>
  <si>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</si>
  <si>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</si>
  <si>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</si>
  <si>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</si>
  <si>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</si>
  <si>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</si>
  <si>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</si>
  <si>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</si>
  <si>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</si>
  <si>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</si>
  <si>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</si>
  <si>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</si>
  <si>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</si>
  <si>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</si>
  <si>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</si>
  <si>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</si>
  <si>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</si>
  <si>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</si>
  <si>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</si>
  <si>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</si>
  <si>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</si>
  <si>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</si>
  <si>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</si>
  <si>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</si>
  <si>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</si>
  <si>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</si>
  <si>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</si>
  <si>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</si>
  <si>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</si>
  <si>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</si>
  <si>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</si>
  <si>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</si>
  <si>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</si>
  <si>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</si>
  <si>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</si>
  <si>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</si>
  <si>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</si>
  <si>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</si>
  <si>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</si>
  <si>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</si>
  <si>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</si>
  <si>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</si>
  <si>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</si>
  <si>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</si>
  <si>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</si>
  <si>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</si>
  <si>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</si>
  <si>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</si>
  <si>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</si>
  <si>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</si>
  <si>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</si>
  <si>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</si>
  <si>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</si>
  <si>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</si>
  <si>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</si>
  <si>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</si>
  <si>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</si>
  <si>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</si>
  <si>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</si>
  <si>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</si>
  <si>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</si>
  <si>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</si>
  <si>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</si>
  <si>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</si>
  <si>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</si>
  <si>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</si>
  <si>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</si>
  <si>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</si>
  <si>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</si>
  <si>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</si>
  <si>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</si>
  <si>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</si>
  <si>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</si>
  <si>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</si>
  <si>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</si>
  <si>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</si>
  <si>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</si>
  <si>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</si>
  <si>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</si>
  <si>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</si>
  <si>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</si>
  <si>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</si>
  <si>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</si>
  <si>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</si>
  <si>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</si>
  <si>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</si>
  <si>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</si>
  <si>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</si>
  <si>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</si>
  <si>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</si>
  <si>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</si>
  <si>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</si>
  <si>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</si>
  <si>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</si>
  <si>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</si>
  <si>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</si>
  <si>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</si>
  <si>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</si>
  <si>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</si>
  <si>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</si>
  <si>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</si>
  <si>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</si>
  <si>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</si>
  <si>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</si>
  <si>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</si>
  <si>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</si>
  <si>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</si>
  <si>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</si>
  <si>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</si>
  <si>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</si>
  <si>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</si>
  <si>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</si>
  <si>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</si>
  <si>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</si>
  <si>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</si>
  <si>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</si>
  <si>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</si>
  <si>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</si>
  <si>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</si>
  <si>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</si>
  <si>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</si>
  <si>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</si>
  <si>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</si>
  <si>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</si>
  <si>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</si>
  <si>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</si>
  <si>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</si>
  <si>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</si>
  <si>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</si>
  <si>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</si>
  <si>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</si>
  <si>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</si>
  <si>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</si>
  <si>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</si>
  <si>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</si>
  <si>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</si>
  <si>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</si>
  <si>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</si>
  <si>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</si>
  <si>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</si>
  <si>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</si>
  <si>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</si>
  <si>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</si>
  <si>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</si>
  <si>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</si>
  <si>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</si>
  <si>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</si>
  <si>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</si>
  <si>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</si>
  <si>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</si>
  <si>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</si>
  <si>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</si>
  <si>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</si>
  <si>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</si>
  <si>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</si>
  <si>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</si>
  <si>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</si>
  <si>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</si>
  <si>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</si>
  <si>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</si>
  <si>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</si>
  <si>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</si>
  <si>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</si>
  <si>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</si>
  <si>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</si>
  <si>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</si>
  <si>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</si>
  <si>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</si>
  <si>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</si>
  <si>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</si>
  <si>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</si>
  <si>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</si>
  <si>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</si>
  <si>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</si>
  <si>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</si>
  <si>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</si>
  <si>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</si>
  <si>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</si>
  <si>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</si>
  <si>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</si>
  <si>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</si>
  <si>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</si>
  <si>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</si>
  <si>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</si>
  <si>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</si>
  <si>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</si>
  <si>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</si>
  <si>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</si>
  <si>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</si>
  <si>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</si>
  <si>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</si>
  <si>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</si>
  <si>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</si>
  <si>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</si>
  <si>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</si>
  <si>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</si>
  <si>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</si>
  <si>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</si>
  <si>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</si>
  <si>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</si>
  <si>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</si>
  <si>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</si>
  <si>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</si>
  <si>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</si>
  <si>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</si>
  <si>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</si>
  <si>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</si>
  <si>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</si>
  <si>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</si>
  <si>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</si>
  <si>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</si>
  <si>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</si>
  <si>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</si>
  <si>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</si>
  <si>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</si>
  <si>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</si>
  <si>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</si>
  <si>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</si>
  <si>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</si>
  <si>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</si>
  <si>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</si>
  <si>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</si>
  <si>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</si>
  <si>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</si>
  <si>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</si>
  <si>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</si>
  <si>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</si>
  <si>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</si>
  <si>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</si>
  <si>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</si>
  <si>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</si>
  <si>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</si>
  <si>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</si>
  <si>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</si>
  <si>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</si>
  <si>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</si>
  <si>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</si>
  <si>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</si>
  <si>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</si>
  <si>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</si>
  <si>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</si>
  <si>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</si>
  <si>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</si>
  <si>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</si>
  <si>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我恨它！！！！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</si>
  <si>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</si>
  <si>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</si>
  <si>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</si>
  <si>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</si>
  <si>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</si>
  <si>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</si>
  <si>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</si>
  <si>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</si>
  <si>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</si>
  <si>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</si>
  <si>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</si>
  <si>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</si>
  <si>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</si>
  <si>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</si>
  <si>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</si>
  <si>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</si>
  <si>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</si>
  <si>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</si>
  <si>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</si>
  <si>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</si>
  <si>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</si>
  <si>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</si>
  <si>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</si>
  <si>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</si>
  <si>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</si>
  <si>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</si>
  <si>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</si>
  <si>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</si>
  <si>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</si>
  <si>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</si>
  <si>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</si>
  <si>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</si>
  <si>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</si>
  <si>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</si>
  <si>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</si>
  <si>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</si>
  <si>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</si>
  <si>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</si>
  <si>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</si>
  <si>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</si>
  <si>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</si>
  <si>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</si>
  <si>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</si>
  <si>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</si>
  <si>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</si>
  <si>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</si>
  <si>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</si>
  <si>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</si>
  <si>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</si>
  <si>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</si>
  <si>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</si>
  <si>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</si>
  <si>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</si>
  <si>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</si>
  <si>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</si>
  <si>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</si>
  <si>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</si>
  <si>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</si>
  <si>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</si>
  <si>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</si>
  <si>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</si>
  <si>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</si>
  <si>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</si>
  <si>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</si>
  <si>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</si>
  <si>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</si>
  <si>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</si>
  <si>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</si>
  <si>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</si>
  <si>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</si>
  <si>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</si>
  <si>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</si>
  <si>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</si>
  <si>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</si>
  <si>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</si>
  <si>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</si>
  <si>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</si>
  <si>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</si>
  <si>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</si>
  <si>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</si>
  <si>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</si>
  <si>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</si>
  <si>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</si>
  <si>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</si>
  <si>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</si>
  <si>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</si>
  <si>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</si>
  <si>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</si>
  <si>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</si>
  <si>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</si>
  <si>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</si>
  <si>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</si>
  <si>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</si>
  <si>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</si>
  <si>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</si>
  <si>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</si>
  <si>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</si>
  <si>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</si>
  <si>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</si>
  <si>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</si>
  <si>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</si>
  <si>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</si>
  <si>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</si>
  <si>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</si>
  <si>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</si>
  <si>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</si>
  <si>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</si>
  <si>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</si>
  <si>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</si>
  <si>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</si>
  <si>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</si>
  <si>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</si>
  <si>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</si>
  <si>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</si>
  <si>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</si>
  <si>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</si>
  <si>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</si>
  <si>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</si>
  <si>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</si>
  <si>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</si>
  <si>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</si>
  <si>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</si>
  <si>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</si>
  <si>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</si>
  <si>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</si>
  <si>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</si>
  <si>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</si>
  <si>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</si>
  <si>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</si>
  <si>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</si>
  <si>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</si>
  <si>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</si>
  <si>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</si>
  <si>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</si>
  <si>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</si>
  <si>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</si>
  <si>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</si>
  <si>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</si>
  <si>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</si>
  <si>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</si>
  <si>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</si>
  <si>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</si>
  <si>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</si>
  <si>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</si>
  <si>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</si>
  <si>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</si>
  <si>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</si>
  <si>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</si>
  <si>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</si>
  <si>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</si>
  <si>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</si>
  <si>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</si>
  <si>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</si>
  <si>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</si>
  <si>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</si>
  <si>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</si>
  <si>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</si>
  <si>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</si>
  <si>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</si>
  <si>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</si>
  <si>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</si>
  <si>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</si>
  <si>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</si>
  <si>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</si>
  <si>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</si>
  <si>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</si>
  <si>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</si>
  <si>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</si>
  <si>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</si>
  <si>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</si>
  <si>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</si>
  <si>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</si>
  <si>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</si>
  <si>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</si>
  <si>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</si>
  <si>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</si>
  <si>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</si>
  <si>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</si>
  <si>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</si>
  <si>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</si>
  <si>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</si>
  <si>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</si>
  <si>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</si>
  <si>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</si>
  <si>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</si>
  <si>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</si>
  <si>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</si>
  <si>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</si>
  <si>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</si>
  <si>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</si>
  <si>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</si>
  <si>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</si>
  <si>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</si>
  <si>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</si>
  <si>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</si>
  <si>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</si>
  <si>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</si>
  <si>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</si>
  <si>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</si>
  <si>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</si>
  <si>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</si>
  <si>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</si>
  <si>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</si>
  <si>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</si>
  <si>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</si>
  <si>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</si>
  <si>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</si>
  <si>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</si>
  <si>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</si>
  <si>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</si>
  <si>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</si>
  <si>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</si>
  <si>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</si>
  <si>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</si>
  <si>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</si>
  <si>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</si>
  <si>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</si>
  <si>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</si>
  <si>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</si>
  <si>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</si>
  <si>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</si>
  <si>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</si>
  <si>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</si>
  <si>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</si>
  <si>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</si>
  <si>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</si>
  <si>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</si>
  <si>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</si>
  <si>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</si>
  <si>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</si>
  <si>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</si>
  <si>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</si>
  <si>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</si>
  <si>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</si>
  <si>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</si>
  <si>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</si>
  <si>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</si>
  <si>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</si>
  <si>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</si>
  <si>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</si>
  <si>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</si>
  <si>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</si>
  <si>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</si>
  <si>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</si>
  <si>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</si>
  <si>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</si>
  <si>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</si>
  <si>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</si>
  <si>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</si>
  <si>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</si>
  <si>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</si>
  <si>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</si>
  <si>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</si>
  <si>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</si>
  <si>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</si>
  <si>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</si>
  <si>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</si>
  <si>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</si>
  <si>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</si>
  <si>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</si>
  <si>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</si>
  <si>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</si>
  <si>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</si>
  <si>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</si>
  <si>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</si>
  <si>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</si>
  <si>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</si>
  <si>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</si>
  <si>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</si>
  <si>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</si>
  <si>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</si>
  <si>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</si>
  <si>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</si>
  <si>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</si>
  <si>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</si>
  <si>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</si>
  <si>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</si>
  <si>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</si>
  <si>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</si>
  <si>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</si>
  <si>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</si>
  <si>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</si>
  <si>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</si>
  <si>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</si>
  <si>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</si>
  <si>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</si>
  <si>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</si>
  <si>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</si>
  <si>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</si>
  <si>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</si>
  <si>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</si>
  <si>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</si>
  <si>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</si>
  <si>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</si>
  <si>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</si>
  <si>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</si>
  <si>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</si>
  <si>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</si>
  <si>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</si>
  <si>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</si>
  <si>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</si>
  <si>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</si>
  <si>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</si>
  <si>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</si>
  <si>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</si>
  <si>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</si>
  <si>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</si>
  <si>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</si>
  <si>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</si>
  <si>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</si>
  <si>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</si>
  <si>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</si>
  <si>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</si>
  <si>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</si>
  <si>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</si>
  <si>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</si>
  <si>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</si>
  <si>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</si>
  <si>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</si>
  <si>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</si>
  <si>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</si>
  <si>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</si>
  <si>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</si>
  <si>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</si>
  <si>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</si>
  <si>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</si>
  <si>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</si>
  <si>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</si>
  <si>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</si>
  <si>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</si>
  <si>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</si>
  <si>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</si>
  <si>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</si>
  <si>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</si>
  <si>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</si>
  <si>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</si>
  <si>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</si>
  <si>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</si>
  <si>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</si>
  <si>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</si>
  <si>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</si>
  <si>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</si>
  <si>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</si>
  <si>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</si>
  <si>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</si>
  <si>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</si>
  <si>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</si>
  <si>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</si>
  <si>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</si>
  <si>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</si>
  <si>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</si>
  <si>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</si>
  <si>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</si>
  <si>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</si>
  <si>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</si>
  <si>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</si>
  <si>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</si>
  <si>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</si>
  <si>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</si>
  <si>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</si>
  <si>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</si>
  <si>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</si>
  <si>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</si>
  <si>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</si>
  <si>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</si>
  <si>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</si>
  <si>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</si>
  <si>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</si>
  <si>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</si>
  <si>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</si>
  <si>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</si>
  <si>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</si>
  <si>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</si>
  <si>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</si>
  <si>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</si>
  <si>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</si>
  <si>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</si>
  <si>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</si>
  <si>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</si>
  <si>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</si>
  <si>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</si>
  <si>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</si>
  <si>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</si>
  <si>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</si>
  <si>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</si>
  <si>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</si>
  <si>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</si>
  <si>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</si>
  <si>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</si>
  <si>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</si>
  <si>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</si>
  <si>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</si>
  <si>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</si>
  <si>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</si>
  <si>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</si>
  <si>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</si>
  <si>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</si>
  <si>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</si>
  <si>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</si>
  <si>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</si>
  <si>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</si>
  <si>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</si>
  <si>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</si>
  <si>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</si>
  <si>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</si>
  <si>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</si>
  <si>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</si>
  <si>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</si>
  <si>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</si>
  <si>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</si>
  <si>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</si>
  <si>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</si>
  <si>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</si>
  <si>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</si>
  <si>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</si>
  <si>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</si>
  <si>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</si>
  <si>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</si>
  <si>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</si>
  <si>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</si>
  <si>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</si>
  <si>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</si>
  <si>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</si>
  <si>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</si>
  <si>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</si>
  <si>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</si>
  <si>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</si>
  <si>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</si>
  <si>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</si>
  <si>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</si>
  <si>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</si>
  <si>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</si>
  <si>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</si>
  <si>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</si>
  <si>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</si>
  <si>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</si>
  <si>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</si>
  <si>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</si>
  <si>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</si>
  <si>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</si>
  <si>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</si>
  <si>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</si>
  <si>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</si>
  <si>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</si>
  <si>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</si>
  <si>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</si>
  <si>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</si>
  <si>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</si>
  <si>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</si>
  <si>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</si>
  <si>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</si>
  <si>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</si>
  <si>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</si>
  <si>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</si>
  <si>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</si>
  <si>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</si>
  <si>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</si>
  <si>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</si>
  <si>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</si>
  <si>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</si>
  <si>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</si>
  <si>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</si>
  <si>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</si>
  <si>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</si>
  <si>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</si>
  <si>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</si>
  <si>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</si>
  <si>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</si>
  <si>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</si>
  <si>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</si>
  <si>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</si>
  <si>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</si>
  <si>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</si>
  <si>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</si>
  <si>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</si>
  <si>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</si>
  <si>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</si>
  <si>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</si>
  <si>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</si>
  <si>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</si>
  <si>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</si>
  <si>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</si>
  <si>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</si>
  <si>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</si>
  <si>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</si>
  <si>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</si>
  <si>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</si>
  <si>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</si>
  <si>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</si>
  <si>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</si>
  <si>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</si>
  <si>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</si>
  <si>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</si>
  <si>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</si>
  <si>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</si>
  <si>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</si>
  <si>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</si>
  <si>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</si>
  <si>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</si>
  <si>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</si>
  <si>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</si>
  <si>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</si>
  <si>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</si>
  <si>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</si>
  <si>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</si>
  <si>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</si>
  <si>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</si>
  <si>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</si>
  <si>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</si>
  <si>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</si>
  <si>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</si>
  <si>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</si>
  <si>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</si>
  <si>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</si>
  <si>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</si>
  <si>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</si>
  <si>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</si>
  <si>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</si>
  <si>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</si>
  <si>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</si>
  <si>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</si>
  <si>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</si>
  <si>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</si>
  <si>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</si>
  <si>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</si>
  <si>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</si>
  <si>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</si>
  <si>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</si>
  <si>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</si>
  <si>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</si>
  <si>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</si>
  <si>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</si>
  <si>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</si>
  <si>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</si>
  <si>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</si>
  <si>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</si>
  <si>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</si>
  <si>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</si>
  <si>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</si>
  <si>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</si>
  <si>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</si>
  <si>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</si>
  <si>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</si>
  <si>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</si>
  <si>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</si>
  <si>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</si>
  <si>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</si>
  <si>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</si>
  <si>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</si>
  <si>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</si>
  <si>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</si>
  <si>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</si>
  <si>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</si>
  <si>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</si>
  <si>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</si>
  <si>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</si>
  <si>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</si>
  <si>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</si>
  <si>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</si>
  <si>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</si>
  <si>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</si>
  <si>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</si>
  <si>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</si>
  <si>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</si>
  <si>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</si>
  <si>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</si>
  <si>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</si>
  <si>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</si>
  <si>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</si>
  <si>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</si>
  <si>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</si>
  <si>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</si>
  <si>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</si>
  <si>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</si>
  <si>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</si>
  <si>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</si>
  <si>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</si>
  <si>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</si>
  <si>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</si>
  <si>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</si>
  <si>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</si>
  <si>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</si>
  <si>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</si>
  <si>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</si>
  <si>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</si>
  <si>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</si>
  <si>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</si>
  <si>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</si>
  <si>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</si>
  <si>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</si>
  <si>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</si>
  <si>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</si>
  <si>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</si>
  <si>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</si>
  <si>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</si>
  <si>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</si>
  <si>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</si>
  <si>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</si>
  <si>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</si>
  <si>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</si>
  <si>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</si>
  <si>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</si>
  <si>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</si>
  <si>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</si>
  <si>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</si>
  <si>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</si>
  <si>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</si>
  <si>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</si>
  <si>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</si>
  <si>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</si>
  <si>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</si>
  <si>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</si>
  <si>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</si>
  <si>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</si>
  <si>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</si>
  <si>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</si>
  <si>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</si>
  <si>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</si>
  <si>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</si>
  <si>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</si>
  <si>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</si>
  <si>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</si>
  <si>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</si>
  <si>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</si>
  <si>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</si>
  <si>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</si>
  <si>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</si>
  <si>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</si>
  <si>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</si>
  <si>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</si>
  <si>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</si>
  <si>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</si>
  <si>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</si>
  <si>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</si>
  <si>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</si>
  <si>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</si>
  <si>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</si>
  <si>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</si>
  <si>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</si>
  <si>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</si>
  <si>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</si>
  <si>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</si>
  <si>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</si>
  <si>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</si>
  <si>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</si>
  <si>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</si>
  <si>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</si>
  <si>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</si>
  <si>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</si>
  <si>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</si>
  <si>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</si>
  <si>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</si>
  <si>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</si>
  <si>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</si>
  <si>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</si>
  <si>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</si>
  <si>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</si>
  <si>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</si>
  <si>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</si>
  <si>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</si>
  <si>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</si>
  <si>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</si>
  <si>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</si>
  <si>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</si>
  <si>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</si>
  <si>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</si>
  <si>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</si>
  <si>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</si>
  <si>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</si>
  <si>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</si>
  <si>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</si>
  <si>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</si>
  <si>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</si>
  <si>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</si>
  <si>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</si>
  <si>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</si>
  <si>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</si>
  <si>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</si>
  <si>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</si>
  <si>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</si>
  <si>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</si>
  <si>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</si>
  <si>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</si>
  <si>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</si>
  <si>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</si>
  <si>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</si>
  <si>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</si>
  <si>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</si>
  <si>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</si>
  <si>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</si>
  <si>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</si>
  <si>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</si>
  <si>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</si>
  <si>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</si>
  <si>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</si>
  <si>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</si>
  <si>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</si>
  <si>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</si>
  <si>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</si>
  <si>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</si>
  <si>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</si>
  <si>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</si>
  <si>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</si>
  <si>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</si>
  <si>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</si>
  <si>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</si>
  <si>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</si>
  <si>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</si>
  <si>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</si>
  <si>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</si>
  <si>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</si>
  <si>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</si>
  <si>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</si>
  <si>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</si>
  <si>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</si>
  <si>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</si>
  <si>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</si>
  <si>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</si>
  <si>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</si>
  <si>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</si>
  <si>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</si>
  <si>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</si>
  <si>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</si>
  <si>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</si>
  <si>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</si>
  <si>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</si>
  <si>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</si>
  <si>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</si>
  <si>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</si>
  <si>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</si>
  <si>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</si>
  <si>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</si>
  <si>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</si>
  <si>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</si>
  <si>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</si>
  <si>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</si>
  <si>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</si>
  <si>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</si>
  <si>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</si>
  <si>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</si>
  <si>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</si>
  <si>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</si>
  <si>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</si>
  <si>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</si>
  <si>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</si>
  <si>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</si>
  <si>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</si>
  <si>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</si>
  <si>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</si>
  <si>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</si>
  <si>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</si>
  <si>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</si>
  <si>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</si>
  <si>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</si>
  <si>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</si>
  <si>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</si>
  <si>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</si>
  <si>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</si>
  <si>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</si>
  <si>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</si>
  <si>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</si>
  <si>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</si>
  <si>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</si>
  <si>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</si>
  <si>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</si>
  <si>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</si>
  <si>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</si>
  <si>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</si>
  <si>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</si>
  <si>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</si>
  <si>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</si>
  <si>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</si>
  <si>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</si>
  <si>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</si>
  <si>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</si>
  <si>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</si>
  <si>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</si>
  <si>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</si>
  <si>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</si>
  <si>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</si>
  <si>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</si>
  <si>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</si>
  <si>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</si>
  <si>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</si>
  <si>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</si>
  <si>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</si>
  <si>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</si>
  <si>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</si>
  <si>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</si>
  <si>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</si>
  <si>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</si>
  <si>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</si>
  <si>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</si>
  <si>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</si>
  <si>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</si>
  <si>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</si>
  <si>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</si>
  <si>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</si>
  <si>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</si>
  <si>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</si>
  <si>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</si>
  <si>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</si>
  <si>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</si>
  <si>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</si>
  <si>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</si>
  <si>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</si>
  <si>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</si>
  <si>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</si>
  <si>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</si>
  <si>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</si>
  <si>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</si>
  <si>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</si>
  <si>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</si>
  <si>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</si>
  <si>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</si>
  <si>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</si>
  <si>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</si>
  <si>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</si>
  <si>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</si>
  <si>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</si>
  <si>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</si>
  <si>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</si>
  <si>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</si>
  <si>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</si>
  <si>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</si>
  <si>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</si>
  <si>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</si>
  <si>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</si>
  <si>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</si>
  <si>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</si>
  <si>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</si>
  <si>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</si>
  <si>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</si>
  <si>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</si>
  <si>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</si>
  <si>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</si>
  <si>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</si>
  <si>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</si>
  <si>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</si>
  <si>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</si>
  <si>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</si>
  <si>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</si>
  <si>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</si>
  <si>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</si>
  <si>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</si>
  <si>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</si>
  <si>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</si>
  <si>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</si>
  <si>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</si>
  <si>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</si>
  <si>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</si>
  <si>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</si>
  <si>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</si>
  <si>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</si>
  <si>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</si>
  <si>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</si>
  <si>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</si>
  <si>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</si>
  <si>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</si>
  <si>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</si>
  <si>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</si>
  <si>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</si>
  <si>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</si>
  <si>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</si>
  <si>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</si>
  <si>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</si>
  <si>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</si>
  <si>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</si>
  <si>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</si>
  <si>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</si>
  <si>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</si>
  <si>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</si>
  <si>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</si>
  <si>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</si>
  <si>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</si>
  <si>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</si>
  <si>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</si>
  <si>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</si>
  <si>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</si>
  <si>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</si>
  <si>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</si>
  <si>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</si>
  <si>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</si>
  <si>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</si>
  <si>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</si>
  <si>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</si>
  <si>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</si>
  <si>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</si>
  <si>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</si>
  <si>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</si>
  <si>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</si>
  <si>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</si>
  <si>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</si>
  <si>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</si>
  <si>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</si>
  <si>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</si>
  <si>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</si>
  <si>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</si>
  <si>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</si>
  <si>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</si>
  <si>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</si>
  <si>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</si>
  <si>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</si>
  <si>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</si>
  <si>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</si>
  <si>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</si>
  <si>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</si>
  <si>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</si>
  <si>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</si>
  <si>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</si>
  <si>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</si>
  <si>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</si>
  <si>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</si>
  <si>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</si>
  <si>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</si>
  <si>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</si>
  <si>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</si>
  <si>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</si>
  <si>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</si>
  <si>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</si>
  <si>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</si>
  <si>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</si>
  <si>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</si>
  <si>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</si>
  <si>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</si>
  <si>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</si>
  <si>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</si>
  <si>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</si>
  <si>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</si>
  <si>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</si>
  <si>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</si>
  <si>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</si>
  <si>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</si>
  <si>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</si>
  <si>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</si>
  <si>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</si>
  <si>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</si>
  <si>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</si>
  <si>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</si>
  <si>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</si>
  <si>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</si>
  <si>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</si>
  <si>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</si>
  <si>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</si>
  <si>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</si>
  <si>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</si>
  <si>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</si>
  <si>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</si>
  <si>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</si>
  <si>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</si>
  <si>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</si>
  <si>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</si>
  <si>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</si>
  <si>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</si>
  <si>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</si>
  <si>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</si>
  <si>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</si>
  <si>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</si>
  <si>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</si>
  <si>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</si>
  <si>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</si>
  <si>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</si>
  <si>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</si>
  <si>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</si>
  <si>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</si>
  <si>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</si>
  <si>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</si>
  <si>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</si>
  <si>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</si>
  <si>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</si>
  <si>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</si>
  <si>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</si>
  <si>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</si>
  <si>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</si>
  <si>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</si>
  <si>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</si>
  <si>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</si>
  <si>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</si>
  <si>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</si>
  <si>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</si>
  <si>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</si>
  <si>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</si>
  <si>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</si>
  <si>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</si>
  <si>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</si>
  <si>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</si>
  <si>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</si>
  <si>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</si>
  <si>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</si>
  <si>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</si>
  <si>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</si>
  <si>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</si>
  <si>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</si>
  <si>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</si>
  <si>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</si>
  <si>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</si>
  <si>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</si>
  <si>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</si>
  <si>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</si>
  <si>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</si>
  <si>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</si>
  <si>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</si>
  <si>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</si>
  <si>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</si>
  <si>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</si>
  <si>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</si>
  <si>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</si>
  <si>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</si>
  <si>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</si>
  <si>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</si>
  <si>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</si>
  <si>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</si>
  <si>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</si>
  <si>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</si>
  <si>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</si>
  <si>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</si>
  <si>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</si>
  <si>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</si>
  <si>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</si>
  <si>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</si>
  <si>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</si>
  <si>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</si>
  <si>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</si>
  <si>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</si>
  <si>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</si>
  <si>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</si>
  <si>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</si>
  <si>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</si>
  <si>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</si>
  <si>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</si>
  <si>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</si>
  <si>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</si>
  <si>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</si>
  <si>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</si>
  <si>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</si>
  <si>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</si>
  <si>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</si>
  <si>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</si>
  <si>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</si>
  <si>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</si>
  <si>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</si>
  <si>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</si>
  <si>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</si>
  <si>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</si>
  <si>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</si>
  <si>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</si>
  <si>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</si>
  <si>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</si>
  <si>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</si>
  <si>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</si>
  <si>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</si>
  <si>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</si>
  <si>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</si>
  <si>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</si>
  <si>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</si>
  <si>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</si>
  <si>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</si>
  <si>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</si>
  <si>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</si>
  <si>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</si>
  <si>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</si>
  <si>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</si>
  <si>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</si>
  <si>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</si>
  <si>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</si>
  <si>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</si>
  <si>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</si>
  <si>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</si>
  <si>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</si>
  <si>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</si>
  <si>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</si>
  <si>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</si>
  <si>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</si>
  <si>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</si>
  <si>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</si>
  <si>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</si>
  <si>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</si>
  <si>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</si>
  <si>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</si>
  <si>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</si>
  <si>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</si>
  <si>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</si>
  <si>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</si>
  <si>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</si>
  <si>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</si>
  <si>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</si>
  <si>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</si>
  <si>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</si>
  <si>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</si>
  <si>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</si>
  <si>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</si>
  <si>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</si>
  <si>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</si>
  <si>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</si>
  <si>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</si>
  <si>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</si>
  <si>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</si>
  <si>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</si>
  <si>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</si>
  <si>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</si>
  <si>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</si>
  <si>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</si>
  <si>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</si>
  <si>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</si>
  <si>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</si>
  <si>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</si>
  <si>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</si>
  <si>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</si>
  <si>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</si>
  <si>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</si>
  <si>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</si>
  <si>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</si>
  <si>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</si>
  <si>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</si>
  <si>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</si>
  <si>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</si>
  <si>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</si>
  <si>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</si>
  <si>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</si>
  <si>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</si>
  <si>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</si>
  <si>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</si>
  <si>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</si>
  <si>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</si>
  <si>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</si>
  <si>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</si>
  <si>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</si>
  <si>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</si>
  <si>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</si>
  <si>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</si>
  <si>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</si>
  <si>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</si>
  <si>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</si>
  <si>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</si>
  <si>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</si>
  <si>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</si>
  <si>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</si>
  <si>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</si>
  <si>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</si>
  <si>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</si>
  <si>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</si>
  <si>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</si>
  <si>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</si>
  <si>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</si>
  <si>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</si>
  <si>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</si>
  <si>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</si>
  <si>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</si>
  <si>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</si>
  <si>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</si>
  <si>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</si>
  <si>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</si>
  <si>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</si>
  <si>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</si>
  <si>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</si>
  <si>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</si>
  <si>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</si>
  <si>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</si>
  <si>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</si>
  <si>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</si>
  <si>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</si>
  <si>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</si>
  <si>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</si>
  <si>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</si>
  <si>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</si>
  <si>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</si>
  <si>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</si>
  <si>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</si>
  <si>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</si>
  <si>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</si>
  <si>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</si>
  <si>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</si>
  <si>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</si>
  <si>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</si>
  <si>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</si>
  <si>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</si>
  <si>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</si>
  <si>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</si>
  <si>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</si>
  <si>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</si>
  <si>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</si>
  <si>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</si>
  <si>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</si>
  <si>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</si>
  <si>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</si>
  <si>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</si>
  <si>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</si>
  <si>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</si>
  <si>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</si>
  <si>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</si>
  <si>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</si>
  <si>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</si>
  <si>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</si>
  <si>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</si>
  <si>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</si>
  <si>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</si>
  <si>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</si>
  <si>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</si>
  <si>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</si>
  <si>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</si>
  <si>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</si>
  <si>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</si>
  <si>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</si>
  <si>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</si>
  <si>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</si>
  <si>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</si>
  <si>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</si>
  <si>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</si>
  <si>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</si>
  <si>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</si>
  <si>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</si>
  <si>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</si>
  <si>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</si>
  <si>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</si>
  <si>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</si>
  <si>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</si>
  <si>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</si>
  <si>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</si>
  <si>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</si>
  <si>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</si>
  <si>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</si>
  <si>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</si>
  <si>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</si>
  <si>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</si>
  <si>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</si>
  <si>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</si>
  <si>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</si>
  <si>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</si>
  <si>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</si>
  <si>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</si>
  <si>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</si>
  <si>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</si>
  <si>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</si>
  <si>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</si>
  <si>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</si>
  <si>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</si>
  <si>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</si>
  <si>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</si>
  <si>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</si>
  <si>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</si>
  <si>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</si>
  <si>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</si>
  <si>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</si>
  <si>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</si>
  <si>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</si>
  <si>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</si>
  <si>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</si>
  <si>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</si>
  <si>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</si>
  <si>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</si>
  <si>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</si>
  <si>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</si>
  <si>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</si>
  <si>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</si>
  <si>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</si>
  <si>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</si>
  <si>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</si>
  <si>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</si>
  <si>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</si>
  <si>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</si>
  <si>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</si>
  <si>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</si>
  <si>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</si>
  <si>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</si>
  <si>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</si>
  <si>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</si>
  <si>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</si>
  <si>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</si>
  <si>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</si>
  <si>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</si>
  <si>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</si>
  <si>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</si>
  <si>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</si>
  <si>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</si>
  <si>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</si>
  <si>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</si>
  <si>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</si>
  <si>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</si>
  <si>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</si>
  <si>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</si>
  <si>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</si>
  <si>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</si>
  <si>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</si>
  <si>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</si>
  <si>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</si>
  <si>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</si>
  <si>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</si>
  <si>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</si>
  <si>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</si>
  <si>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</si>
  <si>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</si>
  <si>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</si>
  <si>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</si>
  <si>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</si>
  <si>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</si>
  <si>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</si>
  <si>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</si>
  <si>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</si>
  <si>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</si>
  <si>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</si>
  <si>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</si>
  <si>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</si>
  <si>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</si>
  <si>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</si>
  <si>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</si>
  <si>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</si>
  <si>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</si>
  <si>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</si>
  <si>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</si>
  <si>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</si>
  <si>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</si>
  <si>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</si>
  <si>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</si>
  <si>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</si>
  <si>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</si>
  <si>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</si>
  <si>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</si>
  <si>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</si>
  <si>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</si>
  <si>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</si>
  <si>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</si>
  <si>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</si>
  <si>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</si>
  <si>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</si>
  <si>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</si>
  <si>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</si>
  <si>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</si>
  <si>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</si>
  <si>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</si>
  <si>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</si>
  <si>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</si>
  <si>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</si>
  <si>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</si>
  <si>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</si>
  <si>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</si>
  <si>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</si>
  <si>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</si>
  <si>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</si>
  <si>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</si>
  <si>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</si>
  <si>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</si>
  <si>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</si>
  <si>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</si>
  <si>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</si>
  <si>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</si>
  <si>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</si>
  <si>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</si>
  <si>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</si>
  <si>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</si>
  <si>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</si>
  <si>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</si>
  <si>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</si>
  <si>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</si>
  <si>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</si>
  <si>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</si>
  <si>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</si>
  <si>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</si>
  <si>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</si>
  <si>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</si>
  <si>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</si>
  <si>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</si>
  <si>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</si>
  <si>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</si>
  <si>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</si>
  <si>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</si>
  <si>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</si>
  <si>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</si>
  <si>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</si>
  <si>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</si>
  <si>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</si>
  <si>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</si>
  <si>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</si>
  <si>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</si>
  <si>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</si>
  <si>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</si>
  <si>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</si>
  <si>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</si>
  <si>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</si>
  <si>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</si>
  <si>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</si>
  <si>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</si>
  <si>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</si>
  <si>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</si>
  <si>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</si>
  <si>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</si>
  <si>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</si>
  <si>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</si>
  <si>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</si>
  <si>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</si>
  <si>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</si>
  <si>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</si>
  <si>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</si>
  <si>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</si>
  <si>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</si>
  <si>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</si>
  <si>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</si>
  <si>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</si>
  <si>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</si>
  <si>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</si>
  <si>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</si>
  <si>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</si>
  <si>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</si>
  <si>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</si>
  <si>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</si>
  <si>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</si>
  <si>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</si>
  <si>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</si>
  <si>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</si>
  <si>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</si>
  <si>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</si>
  <si>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</si>
  <si>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</si>
  <si>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</si>
  <si>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</si>
  <si>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</si>
  <si>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</si>
  <si>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</si>
  <si>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</si>
  <si>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</si>
  <si>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</si>
  <si>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</si>
  <si>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</si>
  <si>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</si>
  <si>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</si>
  <si>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</si>
  <si>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</si>
  <si>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</si>
  <si>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</si>
  <si>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</si>
  <si>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</si>
  <si>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</si>
  <si>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</si>
  <si>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</si>
  <si>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</si>
  <si>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</si>
  <si>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</si>
  <si>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</si>
  <si>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</si>
  <si>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</si>
  <si>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</si>
  <si>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</si>
  <si>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</si>
  <si>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</si>
  <si>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</si>
  <si>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</si>
  <si>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</si>
  <si>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</si>
  <si>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</si>
  <si>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</si>
  <si>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</si>
  <si>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</si>
  <si>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</si>
  <si>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</si>
  <si>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</si>
  <si>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</si>
  <si>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</si>
  <si>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</si>
  <si>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</si>
  <si>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</si>
  <si>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</si>
  <si>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</si>
  <si>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</si>
  <si>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</si>
  <si>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</si>
  <si>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</si>
  <si>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</si>
  <si>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</si>
  <si>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</si>
  <si>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</si>
  <si>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</si>
  <si>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</si>
  <si>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</si>
  <si>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</si>
  <si>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</si>
  <si>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</si>
  <si>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</si>
  <si>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</si>
  <si>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</si>
  <si>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</si>
  <si>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</si>
  <si>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</si>
  <si>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</si>
  <si>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</si>
  <si>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</si>
  <si>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</si>
  <si>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</si>
  <si>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</si>
  <si>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</si>
  <si>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</si>
  <si>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</si>
  <si>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</si>
  <si>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</si>
  <si>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</si>
  <si>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</si>
  <si>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</si>
  <si>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</si>
  <si>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</si>
  <si>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</si>
  <si>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</si>
  <si>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</si>
  <si>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</si>
  <si>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</si>
  <si>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</si>
  <si>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</si>
  <si>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</si>
  <si>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</si>
  <si>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</si>
  <si>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</si>
  <si>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</si>
  <si>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</si>
  <si>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</si>
  <si>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</si>
  <si>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</si>
  <si>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</si>
  <si>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</si>
  <si>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</si>
  <si>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</si>
  <si>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</si>
  <si>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</si>
  <si>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</si>
  <si>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</si>
  <si>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</si>
  <si>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</si>
  <si>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</si>
  <si>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</si>
  <si>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</si>
  <si>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</si>
  <si>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</si>
  <si>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</si>
  <si>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</si>
  <si>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</si>
  <si>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</si>
  <si>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</si>
  <si>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</si>
  <si>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</si>
  <si>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</si>
  <si>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</si>
  <si>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</si>
  <si>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</si>
  <si>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</si>
  <si>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</si>
  <si>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</si>
  <si>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</si>
  <si>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</si>
  <si>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</si>
  <si>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</si>
  <si>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</si>
  <si>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</si>
  <si>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</si>
  <si>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</si>
  <si>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</si>
  <si>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</si>
  <si>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</si>
  <si>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</si>
  <si>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</si>
  <si>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</si>
  <si>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</si>
  <si>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</si>
  <si>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</si>
  <si>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</si>
  <si>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</si>
  <si>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</si>
  <si>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</si>
  <si>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</si>
  <si>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</si>
  <si>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</si>
  <si>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</si>
  <si>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</si>
  <si>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</si>
  <si>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</si>
  <si>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</si>
  <si>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</si>
  <si>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</si>
  <si>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</si>
  <si>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</si>
  <si>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</si>
  <si>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</si>
  <si>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</si>
  <si>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</si>
  <si>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</si>
  <si>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</si>
  <si>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</si>
  <si>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</si>
  <si>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</si>
  <si>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</si>
  <si>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</si>
  <si>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</si>
  <si>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</si>
  <si>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</si>
  <si>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</si>
  <si>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</si>
  <si>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</si>
  <si>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</si>
  <si>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</si>
  <si>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</si>
  <si>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</si>
  <si>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</si>
  <si>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</si>
  <si>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</si>
  <si>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</si>
  <si>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</si>
  <si>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</si>
  <si>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</si>
  <si>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</si>
  <si>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</si>
  <si>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</si>
  <si>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</si>
  <si>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</si>
  <si>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</si>
  <si>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</si>
  <si>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</si>
  <si>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</si>
  <si>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</si>
  <si>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</si>
  <si>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</si>
  <si>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</si>
  <si>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</si>
  <si>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</si>
  <si>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</si>
  <si>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</si>
  <si>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</si>
  <si>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</si>
  <si>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</si>
  <si>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</si>
  <si>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</si>
  <si>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</si>
  <si>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</si>
  <si>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</si>
  <si>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</si>
  <si>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</si>
  <si>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</si>
  <si>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</si>
  <si>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</si>
  <si>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</si>
  <si>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</si>
  <si>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</si>
  <si>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</si>
  <si>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</si>
  <si>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</si>
  <si>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</si>
  <si>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</si>
  <si>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</si>
  <si>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</si>
  <si>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</si>
  <si>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</si>
  <si>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</si>
  <si>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</si>
  <si>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</si>
  <si>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</si>
  <si>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</si>
  <si>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</si>
  <si>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</si>
  <si>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</si>
  <si>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</si>
  <si>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</si>
  <si>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</si>
  <si>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</si>
  <si>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</si>
  <si>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</si>
  <si>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</si>
  <si>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</si>
  <si>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</si>
  <si>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</si>
  <si>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</si>
  <si>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</si>
  <si>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</si>
  <si>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</si>
  <si>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</si>
  <si>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</si>
  <si>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</si>
  <si>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</si>
  <si>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</si>
  <si>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</si>
  <si>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</si>
  <si>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</si>
  <si>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</si>
  <si>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</si>
  <si>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</si>
  <si>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</si>
  <si>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</si>
  <si>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</si>
  <si>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</si>
  <si>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</si>
  <si>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</si>
  <si>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</si>
  <si>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</si>
  <si>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</si>
  <si>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</si>
  <si>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</si>
  <si>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</si>
  <si>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</si>
  <si>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</si>
  <si>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</si>
  <si>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</si>
  <si>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</si>
  <si>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</si>
  <si>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</si>
  <si>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</si>
  <si>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</si>
  <si>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</si>
  <si>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</si>
  <si>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</si>
  <si>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</si>
  <si>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</si>
  <si>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</si>
  <si>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</si>
  <si>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</si>
  <si>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</si>
  <si>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</si>
  <si>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</si>
  <si>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</si>
  <si>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</si>
  <si>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</si>
  <si>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</si>
  <si>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</si>
  <si>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</si>
  <si>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</si>
  <si>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</si>
  <si>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</si>
  <si>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</si>
  <si>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</si>
  <si>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</si>
  <si>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</si>
  <si>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</si>
  <si>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</si>
  <si>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</si>
  <si>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</si>
  <si>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</si>
  <si>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</si>
  <si>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</si>
  <si>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</si>
  <si>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</si>
  <si>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</si>
  <si>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</si>
  <si>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</si>
  <si>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</si>
  <si>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</si>
  <si>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</si>
  <si>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</si>
  <si>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</si>
  <si>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</si>
  <si>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</si>
  <si>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</si>
  <si>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</si>
  <si>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</si>
  <si>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</si>
  <si>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</si>
  <si>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</si>
  <si>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</si>
  <si>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</si>
  <si>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</si>
  <si>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</si>
  <si>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</si>
  <si>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</si>
  <si>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</si>
  <si>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</si>
  <si>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</si>
  <si>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</si>
  <si>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</si>
  <si>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</si>
  <si>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</si>
  <si>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</si>
  <si>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</si>
  <si>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</si>
  <si>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</si>
  <si>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</si>
  <si>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</si>
  <si>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</si>
  <si>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</si>
  <si>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</si>
  <si>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</si>
  <si>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</si>
  <si>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</si>
  <si>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</si>
  <si>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</si>
  <si>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</si>
  <si>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</si>
  <si>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</si>
  <si>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</si>
  <si>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</si>
  <si>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</si>
  <si>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</si>
  <si>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</si>
  <si>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</si>
  <si>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</si>
  <si>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</si>
  <si>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</si>
  <si>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</si>
  <si>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</si>
  <si>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</si>
  <si>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</si>
  <si>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</si>
  <si>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</si>
  <si>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</si>
  <si>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</si>
  <si>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</si>
  <si>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</si>
  <si>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</si>
  <si>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</si>
  <si>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</si>
  <si>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</si>
  <si>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</si>
  <si>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</si>
  <si>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</si>
  <si>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</si>
  <si>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</si>
  <si>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</si>
  <si>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</si>
  <si>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</si>
  <si>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</si>
  <si>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</si>
  <si>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</si>
  <si>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</si>
  <si>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</si>
  <si>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</si>
  <si>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</si>
  <si>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</si>
  <si>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</si>
  <si>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</si>
  <si>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</si>
  <si>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</si>
  <si>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</si>
  <si>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</si>
  <si>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</si>
  <si>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</si>
  <si>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</si>
  <si>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</si>
  <si>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</si>
  <si>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</si>
  <si>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</si>
  <si>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</si>
  <si>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</si>
  <si>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</si>
  <si>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</si>
  <si>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</si>
  <si>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</si>
  <si>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</si>
  <si>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</si>
  <si>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</si>
  <si>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</si>
  <si>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</si>
  <si>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</si>
  <si>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</si>
  <si>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</si>
  <si>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</si>
  <si>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</si>
  <si>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</si>
  <si>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</si>
  <si>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</si>
  <si>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</si>
  <si>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</si>
  <si>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</si>
  <si>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</si>
  <si>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</si>
  <si>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</si>
  <si>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</si>
  <si>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</si>
  <si>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</si>
  <si>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</si>
  <si>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</si>
  <si>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</si>
  <si>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</si>
  <si>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</si>
  <si>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</si>
  <si>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</si>
  <si>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</si>
  <si>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</si>
  <si>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</si>
  <si>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</si>
  <si>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</si>
  <si>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</si>
  <si>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</si>
  <si>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</si>
  <si>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</si>
  <si>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</si>
  <si>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</si>
  <si>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</si>
  <si>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</si>
  <si>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</si>
  <si>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</si>
  <si>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</si>
  <si>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</si>
  <si>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</si>
  <si>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</si>
  <si>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</si>
  <si>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</si>
  <si>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</si>
  <si>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</si>
  <si>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</si>
  <si>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</si>
  <si>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</si>
  <si>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</si>
  <si>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</si>
  <si>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</si>
  <si>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</si>
  <si>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</si>
  <si>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</si>
  <si>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</si>
  <si>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</si>
  <si>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</si>
  <si>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</si>
  <si>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</si>
  <si>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</si>
  <si>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</si>
  <si>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</si>
  <si>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</si>
  <si>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</si>
  <si>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</si>
  <si>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</si>
  <si>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</si>
  <si>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</si>
  <si>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</si>
  <si>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</si>
  <si>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</si>
  <si>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</si>
  <si>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</si>
  <si>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</si>
  <si>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</si>
  <si>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</si>
  <si>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</si>
  <si>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</si>
  <si>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</si>
  <si>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</si>
  <si>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</si>
  <si>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</si>
  <si>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</si>
  <si>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</si>
  <si>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</si>
  <si>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</si>
  <si>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</si>
  <si>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</si>
  <si>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</si>
  <si>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</si>
  <si>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</si>
  <si>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</si>
  <si>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</si>
  <si>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</si>
  <si>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</si>
  <si>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</si>
  <si>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</si>
  <si>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</si>
  <si>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</si>
  <si>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</si>
  <si>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</si>
  <si>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</si>
  <si>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</si>
  <si>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</si>
  <si>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</si>
  <si>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</si>
  <si>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</si>
  <si>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</si>
  <si>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</si>
  <si>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</si>
  <si>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</si>
  <si>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</si>
  <si>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</si>
  <si>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</si>
  <si>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</si>
  <si>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</si>
  <si>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</si>
  <si>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</si>
  <si>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</si>
  <si>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</si>
  <si>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</si>
  <si>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</si>
  <si>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</si>
  <si>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</si>
  <si>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</si>
  <si>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</si>
  <si>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</si>
  <si>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</si>
  <si>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</si>
  <si>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</si>
  <si>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</si>
  <si>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</si>
  <si>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</si>
  <si>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</si>
  <si>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</si>
  <si>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</si>
  <si>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</si>
  <si>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</si>
  <si>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</si>
  <si>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</si>
  <si>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</si>
  <si>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</si>
  <si>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</si>
  <si>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</si>
  <si>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</si>
  <si>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</si>
  <si>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</si>
  <si>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</si>
  <si>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</si>
  <si>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</si>
  <si>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</si>
  <si>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</si>
  <si>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</si>
  <si>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</si>
  <si>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</si>
  <si>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</si>
  <si>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</si>
  <si>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</si>
  <si>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</si>
  <si>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</si>
  <si>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</si>
  <si>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</si>
  <si>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</si>
  <si>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</si>
  <si>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</si>
  <si>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</si>
  <si>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</si>
  <si>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</si>
  <si>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</si>
  <si>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</si>
  <si>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</si>
  <si>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</si>
  <si>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</si>
  <si>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</si>
  <si>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</si>
  <si>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</si>
  <si>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</si>
  <si>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</si>
  <si>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</si>
  <si>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</si>
  <si>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</si>
  <si>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</si>
  <si>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</si>
  <si>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</si>
  <si>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</si>
  <si>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</si>
  <si>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</si>
  <si>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</si>
  <si>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</si>
  <si>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</si>
  <si>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</si>
  <si>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</si>
  <si>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</si>
  <si>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</si>
  <si>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</si>
  <si>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</si>
  <si>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</si>
  <si>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</si>
  <si>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</si>
  <si>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</si>
  <si>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</si>
  <si>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</si>
  <si>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</si>
  <si>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</si>
  <si>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</si>
  <si>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</si>
  <si>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</si>
  <si>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</si>
  <si>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</si>
  <si>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</si>
  <si>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</si>
  <si>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</si>
  <si>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</si>
  <si>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</si>
  <si>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</si>
  <si>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</si>
  <si>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</si>
  <si>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</si>
  <si>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</si>
  <si>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</si>
  <si>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</si>
  <si>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</si>
  <si>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</si>
  <si>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</si>
  <si>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</si>
  <si>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</si>
  <si>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</si>
  <si>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</si>
  <si>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</si>
  <si>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</si>
  <si>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</si>
  <si>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</si>
  <si>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</si>
  <si>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</si>
  <si>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</si>
  <si>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</si>
  <si>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</si>
  <si>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</si>
  <si>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</si>
  <si>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</si>
  <si>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</si>
  <si>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</si>
  <si>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</si>
  <si>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</si>
  <si>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</si>
  <si>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</si>
  <si>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</si>
  <si>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</si>
  <si>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</si>
  <si>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</si>
  <si>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</si>
  <si>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</si>
  <si>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</si>
  <si>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</si>
  <si>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</si>
  <si>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</si>
  <si>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</si>
  <si>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</si>
  <si>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</si>
  <si>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</si>
  <si>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</si>
  <si>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</si>
  <si>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</si>
  <si>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</si>
  <si>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</si>
  <si>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</si>
  <si>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</si>
  <si>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</si>
  <si>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</si>
  <si>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</si>
  <si>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</si>
  <si>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</si>
  <si>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</si>
  <si>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</si>
  <si>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</si>
  <si>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</si>
  <si>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</si>
  <si>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</si>
  <si>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</si>
  <si>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</si>
  <si>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</si>
  <si>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</si>
  <si>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</si>
  <si>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</si>
  <si>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</si>
  <si>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</si>
  <si>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</si>
  <si>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</si>
  <si>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</si>
  <si>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</si>
  <si>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</si>
  <si>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</si>
  <si>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</si>
  <si>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</si>
  <si>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</si>
  <si>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</si>
  <si>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</si>
  <si>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</si>
  <si>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</si>
  <si>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</si>
  <si>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</si>
  <si>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</si>
  <si>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</si>
  <si>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</si>
  <si>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</si>
  <si>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</si>
  <si>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</si>
  <si>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</si>
  <si>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</si>
  <si>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</si>
  <si>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</si>
  <si>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</si>
  <si>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</si>
  <si>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</si>
  <si>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</si>
  <si>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</si>
  <si>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</si>
  <si>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</si>
  <si>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</si>
  <si>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</si>
  <si>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</si>
  <si>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</si>
  <si>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</si>
  <si>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</si>
  <si>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</si>
  <si>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</si>
  <si>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</si>
  <si>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</si>
  <si>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</si>
  <si>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</si>
  <si>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</si>
  <si>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</si>
  <si>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</si>
  <si>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</si>
  <si>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</si>
  <si>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</si>
  <si>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</si>
  <si>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</si>
  <si>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</si>
  <si>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</si>
  <si>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</si>
  <si>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</si>
  <si>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</si>
  <si>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</si>
  <si>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</si>
  <si>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</si>
  <si>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</si>
  <si>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</si>
  <si>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</si>
  <si>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</si>
  <si>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</si>
  <si>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</si>
  <si>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</si>
  <si>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</si>
  <si>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</si>
  <si>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</si>
  <si>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</si>
  <si>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</si>
  <si>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</si>
  <si>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</si>
  <si>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</si>
  <si>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</si>
  <si>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</si>
  <si>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</si>
  <si>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</si>
  <si>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</si>
  <si>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</si>
  <si>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</si>
  <si>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</si>
  <si>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</si>
  <si>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</si>
  <si>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</si>
  <si>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</si>
  <si>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</si>
  <si>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</si>
  <si>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</si>
  <si>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</si>
  <si>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</si>
  <si>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</si>
  <si>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</si>
  <si>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</si>
  <si>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</si>
  <si>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</si>
  <si>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</si>
  <si>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</si>
  <si>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</si>
  <si>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</si>
  <si>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</si>
  <si>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</si>
  <si>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</si>
  <si>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</si>
  <si>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</si>
  <si>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</si>
  <si>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</si>
  <si>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</si>
  <si>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</si>
  <si>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</si>
  <si>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</si>
  <si>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</si>
  <si>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</si>
  <si>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</si>
  <si>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</si>
  <si>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</si>
  <si>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</si>
  <si>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</si>
  <si>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</si>
  <si>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</si>
  <si>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</si>
  <si>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</si>
  <si>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</si>
  <si>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</si>
  <si>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</si>
  <si>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</si>
  <si>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</si>
  <si>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</si>
  <si>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</si>
  <si>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</si>
  <si>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</si>
  <si>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</si>
  <si>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</si>
  <si>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</si>
  <si>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</si>
  <si>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</si>
  <si>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</si>
  <si>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</si>
  <si>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</si>
  <si>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</si>
  <si>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</si>
  <si>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</si>
  <si>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</si>
  <si>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</si>
  <si>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</si>
  <si>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</si>
  <si>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</si>
  <si>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</si>
  <si>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</si>
  <si>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</si>
  <si>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</si>
  <si>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</si>
  <si>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</si>
  <si>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</si>
  <si>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</si>
  <si>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</si>
  <si>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</si>
  <si>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</si>
  <si>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</si>
  <si>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</si>
  <si>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</si>
  <si>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</si>
  <si>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</si>
  <si>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</si>
  <si>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</si>
  <si>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</si>
  <si>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</si>
  <si>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</si>
  <si>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</si>
  <si>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</si>
  <si>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</si>
  <si>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</si>
  <si>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</si>
  <si>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</si>
  <si>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</si>
  <si>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</si>
  <si>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</si>
  <si>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</si>
  <si>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</si>
  <si>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</si>
  <si>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</si>
  <si>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</si>
  <si>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</si>
  <si>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</si>
  <si>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</si>
  <si>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</si>
  <si>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</si>
  <si>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</si>
  <si>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</si>
  <si>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</si>
  <si>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</si>
  <si>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</si>
  <si>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</si>
  <si>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</si>
  <si>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</si>
  <si>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</si>
  <si>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</si>
  <si>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</si>
  <si>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</si>
  <si>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</si>
  <si>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</si>
  <si>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</si>
  <si>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</si>
  <si>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</si>
  <si>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</si>
  <si>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</si>
  <si>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</si>
  <si>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</si>
  <si>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</si>
  <si>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</si>
  <si>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</si>
  <si>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</si>
  <si>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</si>
  <si>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</si>
  <si>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</si>
  <si>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</si>
  <si>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</si>
  <si>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</si>
  <si>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</si>
  <si>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</si>
  <si>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</si>
  <si>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</si>
  <si>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</si>
  <si>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</si>
  <si>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</si>
  <si>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</si>
  <si>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</si>
  <si>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</si>
  <si>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</si>
  <si>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</si>
  <si>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</si>
  <si>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</si>
  <si>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</si>
  <si>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</si>
  <si>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</si>
  <si>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</si>
  <si>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</si>
  <si>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</si>
  <si>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</si>
  <si>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</si>
  <si>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</si>
  <si>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</si>
  <si>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</si>
  <si>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</si>
  <si>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</si>
  <si>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</si>
  <si>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</si>
  <si>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</si>
  <si>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</si>
  <si>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</si>
  <si>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</si>
  <si>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</si>
  <si>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</si>
  <si>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</si>
  <si>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</si>
  <si>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</si>
  <si>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</si>
  <si>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</si>
  <si>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</si>
  <si>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</si>
  <si>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</si>
  <si>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</si>
  <si>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</si>
  <si>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</si>
  <si>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</si>
  <si>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</si>
  <si>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</si>
  <si>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</si>
  <si>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</si>
  <si>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</si>
  <si>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</si>
  <si>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</si>
  <si>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</si>
  <si>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</si>
  <si>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</si>
  <si>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</si>
  <si>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</si>
  <si>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</si>
  <si>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</si>
  <si>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</si>
  <si>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</si>
  <si>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</si>
  <si>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</si>
  <si>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</si>
  <si>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</si>
  <si>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</si>
  <si>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</si>
  <si>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</si>
  <si>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</si>
  <si>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</si>
  <si>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</si>
  <si>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</si>
  <si>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</si>
  <si>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</si>
  <si>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</si>
  <si>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</si>
  <si>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</si>
  <si>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</si>
  <si>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</si>
  <si>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</si>
  <si>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</si>
  <si>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</si>
  <si>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</si>
  <si>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</si>
  <si>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</si>
  <si>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</si>
  <si>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</si>
  <si>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</si>
  <si>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</si>
  <si>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</si>
  <si>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</si>
  <si>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</si>
  <si>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</si>
  <si>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</si>
  <si>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</si>
  <si>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</si>
  <si>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</si>
  <si>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</si>
  <si>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</si>
  <si>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</si>
  <si>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</si>
  <si>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</si>
  <si>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</si>
  <si>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</si>
  <si>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</si>
  <si>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</si>
  <si>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</si>
  <si>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</si>
  <si>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</si>
  <si>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</si>
  <si>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</si>
  <si>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</si>
  <si>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</si>
  <si>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</si>
  <si>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</si>
  <si>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</si>
  <si>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</si>
  <si>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</si>
  <si>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</si>
  <si>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</si>
  <si>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</si>
  <si>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</si>
  <si>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</si>
  <si>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</si>
  <si>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</si>
  <si>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</si>
  <si>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</si>
  <si>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</si>
  <si>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</si>
  <si>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</si>
  <si>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</si>
  <si>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</si>
  <si>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</si>
  <si>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</si>
  <si>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</si>
  <si>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</si>
  <si>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</si>
  <si>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</si>
  <si>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</si>
  <si>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</si>
  <si>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</si>
  <si>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</si>
  <si>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</si>
  <si>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</si>
  <si>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</si>
  <si>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</si>
  <si>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</si>
  <si>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</si>
  <si>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</si>
  <si>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</si>
  <si>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</si>
  <si>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</si>
  <si>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</si>
  <si>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</si>
  <si>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</si>
  <si>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</si>
  <si>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</si>
  <si>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</si>
  <si>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</si>
  <si>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</si>
  <si>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</si>
  <si>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</si>
  <si>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</si>
  <si>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</si>
  <si>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</si>
  <si>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</si>
  <si>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</si>
  <si>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</si>
  <si>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</si>
  <si>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</si>
  <si>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</si>
  <si>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</si>
  <si>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</si>
  <si>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</si>
  <si>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</si>
  <si>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</si>
  <si>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</si>
  <si>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</si>
  <si>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</si>
  <si>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</si>
  <si>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</si>
  <si>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</si>
  <si>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</si>
  <si>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</si>
  <si>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</si>
  <si>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</si>
  <si>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</si>
  <si>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</si>
  <si>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</si>
  <si>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</si>
  <si>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</si>
  <si>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</si>
  <si>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</si>
  <si>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</si>
  <si>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</si>
  <si>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</si>
  <si>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</si>
  <si>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</si>
  <si>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</si>
  <si>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</si>
  <si>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</si>
  <si>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个单词(至少10个）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</si>
  <si>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</si>
  <si>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</si>
  <si>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</si>
  <si>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</si>
  <si>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</si>
  <si>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</si>
  <si>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</si>
  <si>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</si>
  <si>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</si>
  <si>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</si>
  <si>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</si>
  <si>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</si>
  <si>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</si>
  <si>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</si>
  <si>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</si>
  <si>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</si>
  <si>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</si>
  <si>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</si>
  <si>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</si>
  <si>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</si>
  <si>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</si>
  <si>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</si>
  <si>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</si>
  <si>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</si>
  <si>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</si>
  <si>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</si>
  <si>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</si>
  <si>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</si>
  <si>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</si>
  <si>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</si>
  <si>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</si>
  <si>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</si>
  <si>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</si>
  <si>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</si>
  <si>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</si>
  <si>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</si>
  <si>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</si>
  <si>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</si>
  <si>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</si>
  <si>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</si>
  <si>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</si>
  <si>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</si>
  <si>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</si>
  <si>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</si>
  <si>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</si>
  <si>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</si>
  <si>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</si>
  <si>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</si>
  <si>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</si>
  <si>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</si>
  <si>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</si>
  <si>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</si>
  <si>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</si>
  <si>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</si>
  <si>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</si>
  <si>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</si>
  <si>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</si>
  <si>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</si>
  <si>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</si>
  <si>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</si>
  <si>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</si>
  <si>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</si>
  <si>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</si>
  <si>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</si>
  <si>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</si>
  <si>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</si>
  <si>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</si>
  <si>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</si>
  <si>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</si>
  <si>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</si>
  <si>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</si>
  <si>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</si>
  <si>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</si>
  <si>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</si>
  <si>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</si>
  <si>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</si>
  <si>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</si>
  <si>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</si>
  <si>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</si>
  <si>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</si>
  <si>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</si>
  <si>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</si>
  <si>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</si>
  <si>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</si>
  <si>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</si>
  <si>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</si>
  <si>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</si>
  <si>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</si>
  <si>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</si>
  <si>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</si>
  <si>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</si>
  <si>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</si>
  <si>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</si>
  <si>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</si>
  <si>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</si>
  <si>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</si>
  <si>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</si>
  <si>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</si>
  <si>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</si>
  <si>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</si>
  <si>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</si>
  <si>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</si>
  <si>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</si>
  <si>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</si>
  <si>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</si>
  <si>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</si>
  <si>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</si>
  <si>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</si>
  <si>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</si>
  <si>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</si>
  <si>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</si>
  <si>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</si>
  <si>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</si>
  <si>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</si>
  <si>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</si>
  <si>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</si>
  <si>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</si>
  <si>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</si>
  <si>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</si>
  <si>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</si>
  <si>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</si>
  <si>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</si>
  <si>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</si>
  <si>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</si>
  <si>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</si>
  <si>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</si>
  <si>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</si>
  <si>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</si>
  <si>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</si>
  <si>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</si>
  <si>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</si>
  <si>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</si>
  <si>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</si>
  <si>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</si>
  <si>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</si>
  <si>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</si>
  <si>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</si>
  <si>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</si>
  <si>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</si>
  <si>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</si>
  <si>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</si>
  <si>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</si>
  <si>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</si>
  <si>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</si>
  <si>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</si>
  <si>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</si>
  <si>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</si>
  <si>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</si>
  <si>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</si>
  <si>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</si>
  <si>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</si>
  <si>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</si>
  <si>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</si>
  <si>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</si>
  <si>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</si>
  <si>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</si>
  <si>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</si>
  <si>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</si>
  <si>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</si>
  <si>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</si>
  <si>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</si>
  <si>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</si>
  <si>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</si>
  <si>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</si>
  <si>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</si>
  <si>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</si>
  <si>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</si>
  <si>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</si>
  <si>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</si>
  <si>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</si>
  <si>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</si>
  <si>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</si>
  <si>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</si>
  <si>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</si>
  <si>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</si>
  <si>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</si>
  <si>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</si>
  <si>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</si>
  <si>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</si>
  <si>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</si>
  <si>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</si>
  <si>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</si>
  <si>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</si>
  <si>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</si>
  <si>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</si>
  <si>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</si>
  <si>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</si>
  <si>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</si>
  <si>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</si>
  <si>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</si>
  <si>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</si>
  <si>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</si>
  <si>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</si>
  <si>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</si>
  <si>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</si>
  <si>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</si>
  <si>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</si>
  <si>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</si>
  <si>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</si>
  <si>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</si>
  <si>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</si>
  <si>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</si>
  <si>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</si>
  <si>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</si>
  <si>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</si>
  <si>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</si>
  <si>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</si>
  <si>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</si>
  <si>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</si>
  <si>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</si>
  <si>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</si>
  <si>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</si>
  <si>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</si>
  <si>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</si>
  <si>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</si>
  <si>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</si>
  <si>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</si>
  <si>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</si>
  <si>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</si>
  <si>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</si>
  <si>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</si>
  <si>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</si>
  <si>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</si>
  <si>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</si>
  <si>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</si>
  <si>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</si>
  <si>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</si>
  <si>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</si>
  <si>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</si>
  <si>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</si>
  <si>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</si>
  <si>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</si>
  <si>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</si>
  <si>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</si>
  <si>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</si>
  <si>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</si>
  <si>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</si>
  <si>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</si>
  <si>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</si>
  <si>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</si>
  <si>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</si>
  <si>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</si>
  <si>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</si>
  <si>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</si>
  <si>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</si>
  <si>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</si>
  <si>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</si>
  <si>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</si>
  <si>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</si>
  <si>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</si>
  <si>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</si>
  <si>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</si>
  <si>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</si>
  <si>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</si>
  <si>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</si>
  <si>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</si>
  <si>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</si>
  <si>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</si>
  <si>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</si>
  <si>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</si>
  <si>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</si>
  <si>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</si>
  <si>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</si>
  <si>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</si>
  <si>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</si>
  <si>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</si>
  <si>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</si>
  <si>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</si>
  <si>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</si>
  <si>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</si>
  <si>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</si>
  <si>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</si>
  <si>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</si>
  <si>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</si>
  <si>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</si>
  <si>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</si>
  <si>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</si>
  <si>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</si>
  <si>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</si>
  <si>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</si>
  <si>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</si>
  <si>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</si>
  <si>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</si>
  <si>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</si>
  <si>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</si>
  <si>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</si>
  <si>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</si>
  <si>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</si>
  <si>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</si>
  <si>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</si>
  <si>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</si>
  <si>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</si>
  <si>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</si>
  <si>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</si>
  <si>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</si>
  <si>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</si>
  <si>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</si>
  <si>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</si>
  <si>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</si>
  <si>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</si>
  <si>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</si>
  <si>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</si>
  <si>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</si>
  <si>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</si>
  <si>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</si>
  <si>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</si>
  <si>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</si>
  <si>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</si>
  <si>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</si>
  <si>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</si>
  <si>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</si>
  <si>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</si>
  <si>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</si>
  <si>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</si>
  <si>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</si>
  <si>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</si>
  <si>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</si>
  <si>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</si>
  <si>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</si>
  <si>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</si>
  <si>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</si>
  <si>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</si>
  <si>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</si>
  <si>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</si>
  <si>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</si>
  <si>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</si>
  <si>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</si>
  <si>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</si>
  <si>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</si>
  <si>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</si>
  <si>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</si>
  <si>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</si>
  <si>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</si>
  <si>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</si>
  <si>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</si>
  <si>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</si>
  <si>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</si>
  <si>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</si>
  <si>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</si>
  <si>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</si>
  <si>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</si>
  <si>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</si>
  <si>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</si>
  <si>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</si>
  <si>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</si>
  <si>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</si>
  <si>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</si>
  <si>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</si>
  <si>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</si>
  <si>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</si>
  <si>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</si>
  <si>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</si>
  <si>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</si>
  <si>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</si>
  <si>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</si>
  <si>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</si>
  <si>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</si>
  <si>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</si>
  <si>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</si>
  <si>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</si>
  <si>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</si>
  <si>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</si>
  <si>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</si>
  <si>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</si>
  <si>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</si>
  <si>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</si>
  <si>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</si>
  <si>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</si>
  <si>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</si>
  <si>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</si>
  <si>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</si>
  <si>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</si>
  <si>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</si>
  <si>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</si>
  <si>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</si>
  <si>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</si>
  <si>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</si>
  <si>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</si>
  <si>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</si>
  <si>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</si>
  <si>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</si>
  <si>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</si>
  <si>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</si>
  <si>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</si>
  <si>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</si>
  <si>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</si>
  <si>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</si>
  <si>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</si>
  <si>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</si>
  <si>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</si>
  <si>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</si>
  <si>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</si>
  <si>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</si>
  <si>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</si>
  <si>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</si>
  <si>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</si>
  <si>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</si>
  <si>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</si>
  <si>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</si>
  <si>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</si>
  <si>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</si>
  <si>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</si>
  <si>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</si>
  <si>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</si>
  <si>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</si>
  <si>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</si>
  <si>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</si>
  <si>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</si>
  <si>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</si>
  <si>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</si>
  <si>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</si>
  <si>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</si>
  <si>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</si>
  <si>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</si>
  <si>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</si>
  <si>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</si>
  <si>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</si>
  <si>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</si>
  <si>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</si>
  <si>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</si>
  <si>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</si>
  <si>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</si>
  <si>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</si>
  <si>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</si>
  <si>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</si>
  <si>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</si>
  <si>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</si>
  <si>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</si>
  <si>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</si>
  <si>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</si>
  <si>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</si>
  <si>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</si>
  <si>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</si>
  <si>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</si>
  <si>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</si>
  <si>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</si>
  <si>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</si>
  <si>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</si>
  <si>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</si>
  <si>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</si>
  <si>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</si>
  <si>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</si>
  <si>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</si>
  <si>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</si>
  <si>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</si>
  <si>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</si>
  <si>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</si>
  <si>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</si>
  <si>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</si>
  <si>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</si>
  <si>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</si>
  <si>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</si>
  <si>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</si>
  <si>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</si>
  <si>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</si>
  <si>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</si>
  <si>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</si>
  <si>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</si>
  <si>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</si>
  <si>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</si>
  <si>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</si>
  <si>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</si>
  <si>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</si>
  <si>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</si>
  <si>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</si>
  <si>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</si>
  <si>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</si>
  <si>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</si>
  <si>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</si>
  <si>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</si>
  <si>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</si>
  <si>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</si>
  <si>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</si>
  <si>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</si>
  <si>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</si>
  <si>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</si>
  <si>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</si>
  <si>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</si>
  <si>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</si>
  <si>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</si>
  <si>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</si>
  <si>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</si>
  <si>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</si>
  <si>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</si>
  <si>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</si>
  <si>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</si>
  <si>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</si>
  <si>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</si>
  <si>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</si>
  <si>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</si>
  <si>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</si>
  <si>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</si>
  <si>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</si>
  <si>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</si>
  <si>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</si>
  <si>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</si>
  <si>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</si>
  <si>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</si>
  <si>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</si>
  <si>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</si>
  <si>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</si>
  <si>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</si>
  <si>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</si>
  <si>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</si>
  <si>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</si>
  <si>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</si>
  <si>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</si>
  <si>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</si>
  <si>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</si>
  <si>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</si>
  <si>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</si>
  <si>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</si>
  <si>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</si>
  <si>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</si>
  <si>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</si>
  <si>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</si>
  <si>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</si>
  <si>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</si>
  <si>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</si>
  <si>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</si>
  <si>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</si>
  <si>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</si>
  <si>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</si>
  <si>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</si>
  <si>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</si>
  <si>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</si>
  <si>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</si>
  <si>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</si>
  <si>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</si>
  <si>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</si>
  <si>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</si>
  <si>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</si>
  <si>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</si>
  <si>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</si>
  <si>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</si>
  <si>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</si>
  <si>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</si>
  <si>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</si>
  <si>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</si>
  <si>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</si>
  <si>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</si>
  <si>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</si>
  <si>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</si>
  <si>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</si>
  <si>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</si>
  <si>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</si>
  <si>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</si>
  <si>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</si>
  <si>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</si>
  <si>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</si>
  <si>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</si>
  <si>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</si>
  <si>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</si>
  <si>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</si>
  <si>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</si>
  <si>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</si>
  <si>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</si>
  <si>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</si>
  <si>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</si>
  <si>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</si>
  <si>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</si>
  <si>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</si>
  <si>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</si>
  <si>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</si>
  <si>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</si>
  <si>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</si>
  <si>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</si>
  <si>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</si>
  <si>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</si>
  <si>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</si>
  <si>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</si>
  <si>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</si>
  <si>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</si>
  <si>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</si>
  <si>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</si>
  <si>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</si>
  <si>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</si>
  <si>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</si>
  <si>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</si>
  <si>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</si>
  <si>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</si>
  <si>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</si>
  <si>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</si>
  <si>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</si>
  <si>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</si>
  <si>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</si>
  <si>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</si>
  <si>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</si>
  <si>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</si>
  <si>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</si>
  <si>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</si>
  <si>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</si>
  <si>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</si>
  <si>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</si>
  <si>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</si>
  <si>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</si>
  <si>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</si>
  <si>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</si>
  <si>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</si>
  <si>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</si>
  <si>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</si>
  <si>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</si>
  <si>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</si>
  <si>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</si>
  <si>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</si>
  <si>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</si>
  <si>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</si>
  <si>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</si>
  <si>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</si>
  <si>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</si>
  <si>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</si>
  <si>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</si>
  <si>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</si>
  <si>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</si>
  <si>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</si>
  <si>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</si>
  <si>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</si>
  <si>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</si>
  <si>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</si>
  <si>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</si>
  <si>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</si>
  <si>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</si>
  <si>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</si>
  <si>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</si>
  <si>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</si>
  <si>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</si>
  <si>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</si>
  <si>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</si>
  <si>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</si>
  <si>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</si>
  <si>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</si>
  <si>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</si>
  <si>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</si>
  <si>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</si>
  <si>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</si>
  <si>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</si>
  <si>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</si>
  <si>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</si>
  <si>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</si>
  <si>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</si>
  <si>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</si>
  <si>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</si>
  <si>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</si>
  <si>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</si>
  <si>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</si>
  <si>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</si>
  <si>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</si>
  <si>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</si>
  <si>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</si>
  <si>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e</t>
  </si>
  <si>
    <t>a</t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</si>
  <si>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</si>
  <si>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</si>
  <si>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</si>
  <si>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</si>
  <si>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</si>
  <si>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</si>
  <si>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</si>
  <si>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</si>
  <si>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</si>
  <si>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</si>
  <si>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</si>
  <si>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</si>
  <si>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</si>
  <si>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</si>
  <si>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</si>
  <si>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</si>
  <si>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</si>
  <si>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</si>
  <si>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</si>
  <si>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</si>
  <si>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</si>
  <si>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</si>
  <si>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</si>
  <si>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</si>
  <si>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</si>
  <si>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</si>
  <si>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</si>
  <si>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</si>
  <si>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</si>
  <si>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</si>
  <si>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</si>
  <si>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</si>
  <si>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</si>
  <si>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</si>
  <si>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</si>
  <si>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</si>
  <si>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</si>
  <si>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</si>
  <si>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</si>
  <si>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</si>
  <si>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</si>
  <si>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</si>
  <si>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</si>
  <si>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</si>
  <si>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</si>
  <si>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</si>
  <si>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</si>
  <si>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</si>
  <si>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</si>
  <si>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</si>
  <si>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</si>
  <si>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</si>
  <si>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</si>
  <si>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</si>
  <si>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</si>
  <si>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</si>
  <si>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</si>
  <si>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</si>
  <si>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</si>
  <si>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</si>
  <si>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</si>
  <si>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</si>
  <si>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</si>
  <si>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</si>
  <si>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</si>
  <si>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</si>
  <si>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</si>
  <si>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</si>
  <si>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</si>
  <si>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</si>
  <si>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</si>
  <si>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</si>
  <si>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</si>
  <si>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</si>
  <si>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</si>
  <si>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</si>
  <si>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</si>
  <si>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</si>
  <si>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</si>
  <si>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</si>
  <si>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</si>
  <si>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</si>
  <si>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</si>
  <si>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</si>
  <si>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</si>
  <si>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</si>
  <si>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</si>
  <si>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</si>
  <si>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</si>
  <si>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</si>
  <si>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</si>
  <si>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</si>
  <si>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</si>
  <si>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</si>
  <si>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</si>
  <si>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</si>
  <si>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</si>
  <si>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</si>
  <si>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</si>
  <si>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</si>
  <si>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</si>
  <si>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</si>
  <si>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</si>
  <si>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</si>
  <si>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</si>
  <si>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</si>
  <si>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</si>
  <si>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</si>
  <si>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</si>
  <si>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</si>
  <si>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</si>
  <si>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</si>
  <si>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</si>
  <si>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</si>
  <si>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</si>
  <si>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</si>
  <si>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</si>
  <si>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</si>
  <si>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</si>
  <si>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</si>
  <si>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</si>
  <si>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</si>
  <si>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</si>
  <si>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</si>
  <si>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</si>
  <si>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</si>
  <si>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</si>
  <si>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</si>
  <si>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</si>
  <si>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</si>
  <si>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</si>
  <si>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</si>
  <si>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</si>
  <si>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</si>
  <si>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</si>
  <si>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</si>
  <si>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</si>
  <si>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</si>
  <si>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</si>
  <si>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</si>
  <si>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</si>
  <si>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</si>
  <si>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</si>
  <si>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</si>
  <si>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</si>
  <si>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</si>
  <si>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</si>
  <si>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</si>
  <si>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</si>
  <si>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</si>
  <si>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</si>
  <si>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</si>
  <si>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</si>
  <si>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</si>
  <si>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</si>
  <si>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</si>
  <si>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</si>
  <si>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</si>
  <si>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</si>
  <si>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</si>
  <si>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</si>
  <si>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</si>
  <si>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</si>
  <si>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</si>
  <si>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</si>
  <si>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</si>
  <si>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</si>
  <si>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</si>
  <si>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</si>
  <si>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</si>
  <si>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</si>
  <si>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</si>
  <si>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</si>
  <si>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</si>
  <si>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</si>
  <si>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</si>
  <si>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</si>
  <si>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</si>
  <si>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</si>
  <si>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</si>
  <si>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</si>
  <si>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</si>
  <si>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</si>
  <si>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</si>
  <si>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</si>
  <si>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</si>
  <si>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</si>
  <si>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</si>
  <si>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</si>
  <si>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</si>
  <si>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</si>
  <si>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</si>
  <si>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</si>
  <si>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</si>
  <si>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</si>
  <si>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</si>
  <si>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</si>
  <si>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</si>
  <si>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</si>
  <si>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</si>
  <si>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</si>
  <si>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</si>
  <si>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</si>
  <si>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</si>
  <si>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</si>
  <si>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</si>
  <si>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</si>
  <si>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</si>
  <si>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</si>
  <si>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</si>
  <si>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</si>
  <si>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</si>
  <si>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</si>
  <si>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</si>
  <si>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</si>
  <si>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</si>
  <si>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</si>
  <si>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</si>
  <si>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</si>
  <si>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</si>
  <si>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</si>
  <si>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</si>
  <si>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</si>
  <si>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</si>
  <si>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</si>
  <si>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</si>
  <si>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</si>
  <si>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</si>
  <si>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</si>
  <si>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</si>
  <si>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</si>
  <si>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</si>
  <si>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</si>
  <si>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</si>
  <si>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</si>
  <si>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</si>
  <si>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</si>
  <si>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</si>
  <si>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</si>
  <si>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</si>
  <si>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</si>
  <si>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</si>
  <si>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</si>
  <si>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</si>
  <si>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</si>
  <si>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</si>
  <si>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</si>
  <si>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</si>
  <si>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</si>
  <si>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</si>
  <si>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</si>
  <si>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</si>
  <si>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</si>
  <si>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</si>
  <si>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</si>
  <si>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</si>
  <si>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</si>
  <si>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</si>
  <si>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</si>
  <si>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</si>
  <si>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</si>
  <si>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</si>
  <si>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</si>
  <si>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</si>
  <si>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</si>
  <si>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</si>
  <si>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</si>
  <si>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</si>
  <si>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</si>
  <si>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</si>
  <si>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</si>
  <si>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</si>
  <si>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</si>
  <si>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</si>
  <si>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</si>
  <si>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</si>
  <si>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</si>
  <si>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</si>
  <si>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</si>
  <si>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</si>
  <si>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</si>
  <si>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</si>
  <si>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</si>
  <si>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</si>
  <si>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</si>
  <si>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</si>
  <si>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</si>
  <si>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</si>
  <si>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</si>
  <si>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</si>
  <si>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</si>
  <si>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</si>
  <si>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</si>
  <si>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</si>
  <si>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</si>
  <si>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</si>
  <si>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</si>
  <si>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</si>
  <si>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</si>
  <si>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</si>
  <si>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</si>
  <si>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</si>
  <si>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</si>
  <si>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</si>
  <si>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</si>
  <si>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</si>
  <si>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</si>
  <si>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</si>
  <si>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</si>
  <si>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</si>
  <si>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</si>
  <si>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</si>
  <si>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</si>
  <si>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</si>
  <si>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</si>
  <si>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</si>
  <si>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</si>
  <si>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</si>
  <si>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</si>
  <si>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</si>
  <si>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</si>
  <si>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</si>
  <si>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</si>
  <si>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</si>
  <si>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</si>
  <si>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</si>
  <si>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</si>
  <si>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</si>
  <si>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</si>
  <si>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</si>
  <si>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</si>
  <si>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</si>
  <si>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</si>
  <si>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</si>
  <si>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</si>
  <si>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</si>
  <si>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</si>
  <si>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</si>
  <si>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</si>
  <si>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</si>
  <si>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</si>
  <si>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</si>
  <si>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</si>
  <si>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</si>
  <si>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</si>
  <si>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</si>
  <si>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</si>
  <si>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</si>
  <si>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</si>
  <si>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</si>
  <si>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</si>
  <si>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</si>
  <si>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</si>
  <si>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</si>
  <si>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</si>
  <si>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</si>
  <si>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</si>
  <si>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</si>
  <si>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</si>
  <si>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</si>
  <si>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</si>
  <si>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</si>
  <si>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</si>
  <si>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</si>
  <si>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</si>
  <si>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</si>
  <si>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</si>
  <si>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</si>
  <si>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</si>
  <si>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</si>
  <si>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</si>
  <si>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</si>
  <si>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</si>
  <si>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</si>
  <si>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</si>
  <si>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</si>
  <si>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</si>
  <si>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</si>
  <si>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</si>
  <si>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</si>
  <si>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</si>
  <si>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</si>
  <si>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</si>
  <si>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</si>
  <si>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</si>
  <si>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</si>
  <si>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</si>
  <si>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</si>
  <si>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</si>
  <si>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</si>
  <si>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</si>
  <si>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</si>
  <si>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</si>
  <si>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</si>
  <si>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</si>
  <si>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</si>
  <si>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</si>
  <si>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</si>
  <si>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</si>
  <si>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</si>
  <si>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</si>
  <si>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</si>
  <si>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</si>
  <si>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</si>
  <si>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</si>
  <si>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</si>
  <si>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</si>
  <si>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</si>
  <si>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</si>
  <si>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</si>
  <si>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</si>
  <si>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</si>
  <si>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</si>
  <si>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</si>
  <si>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</si>
  <si>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</si>
  <si>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</si>
  <si>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</si>
  <si>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</si>
  <si>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</si>
  <si>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</si>
  <si>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</si>
  <si>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</si>
  <si>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</si>
  <si>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</si>
  <si>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</si>
  <si>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</si>
  <si>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</si>
  <si>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</si>
  <si>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</si>
  <si>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</si>
  <si>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</si>
  <si>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</si>
  <si>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</si>
  <si>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</si>
  <si>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</si>
  <si>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</si>
  <si>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</si>
  <si>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</si>
  <si>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</si>
  <si>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</si>
  <si>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</si>
  <si>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</si>
  <si>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</si>
  <si>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</si>
  <si>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</si>
  <si>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</si>
  <si>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</si>
  <si>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</si>
  <si>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</si>
  <si>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</si>
  <si>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</si>
  <si>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</si>
  <si>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</si>
  <si>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</si>
  <si>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</si>
  <si>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</si>
  <si>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</si>
  <si>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</si>
  <si>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</si>
  <si>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</si>
  <si>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</si>
  <si>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</si>
  <si>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</si>
  <si>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</si>
  <si>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</si>
  <si>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</si>
  <si>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</si>
  <si>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</si>
  <si>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</si>
  <si>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</si>
  <si>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</si>
  <si>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</si>
  <si>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</si>
  <si>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</si>
  <si>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</si>
  <si>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</si>
  <si>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</si>
  <si>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</si>
  <si>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</si>
  <si>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</si>
  <si>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</si>
  <si>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</si>
  <si>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</si>
  <si>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</si>
  <si>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</si>
  <si>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</si>
  <si>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</si>
  <si>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</si>
  <si>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</si>
  <si>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</si>
  <si>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</si>
  <si>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</si>
  <si>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</si>
  <si>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</si>
  <si>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</si>
  <si>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</si>
  <si>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</si>
  <si>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</si>
  <si>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</si>
  <si>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</si>
  <si>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</si>
  <si>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</si>
  <si>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</si>
  <si>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</si>
  <si>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</si>
  <si>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</si>
  <si>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</si>
  <si>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</si>
  <si>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</si>
  <si>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</si>
  <si>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</si>
  <si>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</si>
  <si>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</si>
  <si>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</si>
  <si>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</si>
  <si>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</si>
  <si>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</si>
  <si>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</si>
  <si>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</si>
  <si>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</si>
  <si>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</si>
  <si>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</si>
  <si>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</si>
  <si>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t</t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</si>
  <si>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</si>
  <si>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</si>
  <si>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</si>
  <si>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*</t>
    <phoneticPr fontId="1" type="noConversion"/>
  </si>
  <si>
    <t>Group1</t>
    <phoneticPr fontId="1" type="noConversion"/>
  </si>
  <si>
    <t>Group2</t>
    <phoneticPr fontId="1" type="noConversion"/>
  </si>
  <si>
    <t>achievement</t>
    <phoneticPr fontId="1" type="noConversion"/>
  </si>
  <si>
    <t>affect</t>
    <phoneticPr fontId="1" type="noConversion"/>
  </si>
  <si>
    <t>agreement</t>
    <phoneticPr fontId="1" type="noConversion"/>
  </si>
  <si>
    <t>aim</t>
    <phoneticPr fontId="1" type="noConversion"/>
  </si>
  <si>
    <t>allow</t>
    <phoneticPr fontId="1" type="noConversion"/>
  </si>
  <si>
    <t>ambulance</t>
    <phoneticPr fontId="1" type="noConversion"/>
  </si>
  <si>
    <t>amount</t>
    <phoneticPr fontId="1" type="noConversion"/>
  </si>
  <si>
    <t>application</t>
    <phoneticPr fontId="1" type="noConversion"/>
  </si>
  <si>
    <t>aquarium</t>
    <phoneticPr fontId="1" type="noConversion"/>
  </si>
  <si>
    <t>assume</t>
    <phoneticPr fontId="1" type="noConversion"/>
  </si>
  <si>
    <t>astronaut</t>
    <phoneticPr fontId="1" type="noConversion"/>
  </si>
  <si>
    <t>athletic</t>
    <phoneticPr fontId="1" type="noConversion"/>
  </si>
  <si>
    <t>battery</t>
    <phoneticPr fontId="1" type="noConversion"/>
  </si>
  <si>
    <t>battle</t>
    <phoneticPr fontId="1" type="noConversion"/>
  </si>
  <si>
    <t>blame</t>
    <phoneticPr fontId="1" type="noConversion"/>
  </si>
  <si>
    <t>calculation</t>
    <phoneticPr fontId="1" type="noConversion"/>
  </si>
  <si>
    <t>cancer</t>
    <phoneticPr fontId="1" type="noConversion"/>
  </si>
  <si>
    <t>captive</t>
    <phoneticPr fontId="1" type="noConversion"/>
  </si>
  <si>
    <t>caged</t>
    <phoneticPr fontId="1" type="noConversion"/>
  </si>
  <si>
    <t>cause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</si>
  <si>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</si>
  <si>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</si>
  <si>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</si>
  <si>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captivity</t>
    <phoneticPr fontId="1" type="noConversion"/>
  </si>
  <si>
    <t>完成，成就，成绩</t>
    <phoneticPr fontId="1" type="noConversion"/>
  </si>
  <si>
    <t>影响，感动</t>
    <phoneticPr fontId="1" type="noConversion"/>
  </si>
  <si>
    <t>协定，协议，同意</t>
    <phoneticPr fontId="1" type="noConversion"/>
  </si>
  <si>
    <t>目标，目的</t>
    <phoneticPr fontId="1" type="noConversion"/>
  </si>
  <si>
    <t>允许，准许</t>
    <phoneticPr fontId="1" type="noConversion"/>
  </si>
  <si>
    <t>救护车，野战医院</t>
    <phoneticPr fontId="1" type="noConversion"/>
  </si>
  <si>
    <t>总数，数量，总和</t>
    <phoneticPr fontId="1" type="noConversion"/>
  </si>
  <si>
    <t>请求，申请，施用</t>
    <phoneticPr fontId="1" type="noConversion"/>
  </si>
  <si>
    <t>水族馆</t>
    <phoneticPr fontId="1" type="noConversion"/>
  </si>
  <si>
    <t>假定，承担，呈现</t>
    <phoneticPr fontId="1" type="noConversion"/>
  </si>
  <si>
    <t>宇航员</t>
    <phoneticPr fontId="1" type="noConversion"/>
  </si>
  <si>
    <t>运动的；竞技的</t>
    <phoneticPr fontId="1" type="noConversion"/>
  </si>
  <si>
    <t>电池</t>
    <phoneticPr fontId="1" type="noConversion"/>
  </si>
  <si>
    <t>战役，斗争</t>
    <phoneticPr fontId="1" type="noConversion"/>
  </si>
  <si>
    <t>作战</t>
    <phoneticPr fontId="1" type="noConversion"/>
  </si>
  <si>
    <t>责备，把…归咎于</t>
    <phoneticPr fontId="1" type="noConversion"/>
  </si>
  <si>
    <t>计算</t>
    <phoneticPr fontId="1" type="noConversion"/>
  </si>
  <si>
    <t>癌，癌症</t>
    <phoneticPr fontId="1" type="noConversion"/>
  </si>
  <si>
    <t>俘虏的，捕获的</t>
    <phoneticPr fontId="1" type="noConversion"/>
  </si>
  <si>
    <t>囚禁，被关</t>
    <phoneticPr fontId="1" type="noConversion"/>
  </si>
  <si>
    <t>原因，理由</t>
    <phoneticPr fontId="1" type="noConversion"/>
  </si>
  <si>
    <t>leading</t>
    <phoneticPr fontId="1" type="noConversion"/>
  </si>
  <si>
    <t>lens</t>
    <phoneticPr fontId="1" type="noConversion"/>
  </si>
  <si>
    <t>lower</t>
    <phoneticPr fontId="1" type="noConversion"/>
  </si>
  <si>
    <t>major</t>
    <phoneticPr fontId="1" type="noConversion"/>
  </si>
  <si>
    <t>middle-aged</t>
    <phoneticPr fontId="1" type="noConversion"/>
  </si>
  <si>
    <t>mockingbird</t>
    <phoneticPr fontId="1" type="noConversion"/>
  </si>
  <si>
    <t>nervousness</t>
    <phoneticPr fontId="1" type="noConversion"/>
  </si>
  <si>
    <t>nomads</t>
    <phoneticPr fontId="1" type="noConversion"/>
  </si>
  <si>
    <t>nutritious</t>
    <phoneticPr fontId="1" type="noConversion"/>
  </si>
  <si>
    <t>obstacle</t>
    <phoneticPr fontId="1" type="noConversion"/>
  </si>
  <si>
    <t>operation</t>
    <phoneticPr fontId="1" type="noConversion"/>
  </si>
  <si>
    <t>orbit</t>
    <phoneticPr fontId="1" type="noConversion"/>
  </si>
  <si>
    <t>ornithologist</t>
    <phoneticPr fontId="1" type="noConversion"/>
  </si>
  <si>
    <t>outgoing</t>
    <phoneticPr fontId="1" type="noConversion"/>
  </si>
  <si>
    <t>overacted</t>
    <phoneticPr fontId="1" type="noConversion"/>
  </si>
  <si>
    <t>partnership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</si>
  <si>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</si>
  <si>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</si>
  <si>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</si>
  <si>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</si>
  <si>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最主要的，第一的</t>
    <phoneticPr fontId="1" type="noConversion"/>
  </si>
  <si>
    <t>镜头</t>
    <phoneticPr fontId="1" type="noConversion"/>
  </si>
  <si>
    <t>低下</t>
    <phoneticPr fontId="1" type="noConversion"/>
  </si>
  <si>
    <t>主要的，多数的</t>
    <phoneticPr fontId="1" type="noConversion"/>
  </si>
  <si>
    <t>专业</t>
    <phoneticPr fontId="1" type="noConversion"/>
  </si>
  <si>
    <t>中年的</t>
    <phoneticPr fontId="1" type="noConversion"/>
  </si>
  <si>
    <t>模仿鸟</t>
    <phoneticPr fontId="1" type="noConversion"/>
  </si>
  <si>
    <t>本土的，本国的</t>
    <phoneticPr fontId="1" type="noConversion"/>
  </si>
  <si>
    <t>本地人</t>
    <phoneticPr fontId="1" type="noConversion"/>
  </si>
  <si>
    <t>神经过敏；紧张</t>
    <phoneticPr fontId="1" type="noConversion"/>
  </si>
  <si>
    <t>游牧部落</t>
    <phoneticPr fontId="1" type="noConversion"/>
  </si>
  <si>
    <t>有营养的</t>
    <phoneticPr fontId="1" type="noConversion"/>
  </si>
  <si>
    <t>障碍</t>
    <phoneticPr fontId="1" type="noConversion"/>
  </si>
  <si>
    <t>操作；经营；手术</t>
    <phoneticPr fontId="1" type="noConversion"/>
  </si>
  <si>
    <t>运行轨道</t>
    <phoneticPr fontId="1" type="noConversion"/>
  </si>
  <si>
    <t>绕行</t>
    <phoneticPr fontId="1" type="noConversion"/>
  </si>
  <si>
    <t>鸟类学者</t>
    <phoneticPr fontId="1" type="noConversion"/>
  </si>
  <si>
    <t>友善的，即将离去的</t>
    <phoneticPr fontId="1" type="noConversion"/>
  </si>
  <si>
    <t>行为夸张的</t>
    <phoneticPr fontId="1" type="noConversion"/>
  </si>
  <si>
    <t>合作伙伴关系</t>
    <phoneticPr fontId="1" type="noConversion"/>
  </si>
  <si>
    <t>chain</t>
    <phoneticPr fontId="1" type="noConversion"/>
  </si>
  <si>
    <t>chest</t>
    <phoneticPr fontId="1" type="noConversion"/>
  </si>
  <si>
    <t>claim</t>
    <phoneticPr fontId="1" type="noConversion"/>
  </si>
  <si>
    <t>command</t>
    <phoneticPr fontId="1" type="noConversion"/>
  </si>
  <si>
    <t>compare</t>
    <phoneticPr fontId="1" type="noConversion"/>
  </si>
  <si>
    <t>complaint</t>
    <phoneticPr fontId="1" type="noConversion"/>
  </si>
  <si>
    <t>counter</t>
    <phoneticPr fontId="1" type="noConversion"/>
  </si>
  <si>
    <t>countless</t>
    <phoneticPr fontId="1" type="noConversion"/>
  </si>
  <si>
    <t>cube-shaped</t>
    <phoneticPr fontId="1" type="noConversion"/>
  </si>
  <si>
    <t>dairy</t>
    <phoneticPr fontId="1" type="noConversion"/>
  </si>
  <si>
    <t>deaf</t>
    <phoneticPr fontId="1" type="noConversion"/>
  </si>
  <si>
    <t>direction</t>
    <phoneticPr fontId="1" type="noConversion"/>
  </si>
  <si>
    <t>directly</t>
    <phoneticPr fontId="1" type="noConversion"/>
  </si>
  <si>
    <t>physically</t>
    <phoneticPr fontId="1" type="noConversion"/>
  </si>
  <si>
    <t>pollute</t>
    <phoneticPr fontId="1" type="noConversion"/>
  </si>
  <si>
    <t>powder</t>
    <phoneticPr fontId="1" type="noConversion"/>
  </si>
  <si>
    <t>pressure</t>
    <phoneticPr fontId="1" type="noConversion"/>
  </si>
  <si>
    <t>private</t>
    <phoneticPr fontId="1" type="noConversion"/>
  </si>
  <si>
    <t>producer</t>
    <phoneticPr fontId="1" type="noConversion"/>
  </si>
  <si>
    <t>production</t>
    <phoneticPr fontId="1" type="noConversion"/>
  </si>
  <si>
    <t>prompt</t>
    <phoneticPr fontId="1" type="noConversion"/>
  </si>
  <si>
    <t>prove</t>
    <phoneticPr fontId="1" type="noConversion"/>
  </si>
  <si>
    <t>psychologist</t>
    <phoneticPr fontId="1" type="noConversion"/>
  </si>
  <si>
    <t>punish</t>
    <phoneticPr fontId="1" type="noConversion"/>
  </si>
  <si>
    <t>purpose</t>
    <phoneticPr fontId="1" type="noConversion"/>
  </si>
  <si>
    <t>rate</t>
    <phoneticPr fontId="1" type="noConversion"/>
  </si>
  <si>
    <t>raw</t>
    <phoneticPr fontId="1" type="noConversion"/>
  </si>
  <si>
    <t>reference</t>
    <phoneticPr fontId="1" type="noConversion"/>
  </si>
  <si>
    <t>regular</t>
    <phoneticPr fontId="1" type="noConversion"/>
  </si>
  <si>
    <t>relatively</t>
    <phoneticPr fontId="1" type="noConversion"/>
  </si>
  <si>
    <t>relaxation</t>
    <phoneticPr fontId="1" type="noConversion"/>
  </si>
  <si>
    <t>requirement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</si>
  <si>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</si>
  <si>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</si>
  <si>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</si>
  <si>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n.</t>
    <phoneticPr fontId="1" type="noConversion"/>
  </si>
  <si>
    <t>n.</t>
    <phoneticPr fontId="1" type="noConversion"/>
  </si>
  <si>
    <t>adj.</t>
    <phoneticPr fontId="1" type="noConversion"/>
  </si>
  <si>
    <t>adv.</t>
    <phoneticPr fontId="1" type="noConversion"/>
  </si>
  <si>
    <t>v.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</si>
  <si>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</si>
  <si>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</si>
  <si>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</si>
  <si>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adj.</t>
    <phoneticPr fontId="1" type="noConversion"/>
  </si>
  <si>
    <t>链，链条，项圈</t>
    <phoneticPr fontId="1" type="noConversion"/>
  </si>
  <si>
    <t>胸腔，胸膛，箱子</t>
    <phoneticPr fontId="1" type="noConversion"/>
  </si>
  <si>
    <t>认领</t>
    <phoneticPr fontId="1" type="noConversion"/>
  </si>
  <si>
    <t>命令，指挥，控制</t>
    <phoneticPr fontId="1" type="noConversion"/>
  </si>
  <si>
    <t>比较，对照</t>
    <phoneticPr fontId="1" type="noConversion"/>
  </si>
  <si>
    <t>抱怨，控告</t>
    <phoneticPr fontId="1" type="noConversion"/>
  </si>
  <si>
    <t>柜台，计数器</t>
    <phoneticPr fontId="1" type="noConversion"/>
  </si>
  <si>
    <t>无数的</t>
    <phoneticPr fontId="1" type="noConversion"/>
  </si>
  <si>
    <t>立方体形状的</t>
    <phoneticPr fontId="1" type="noConversion"/>
  </si>
  <si>
    <t>牛奶场，乳制品</t>
    <phoneticPr fontId="1" type="noConversion"/>
  </si>
  <si>
    <t>聋的</t>
    <phoneticPr fontId="1" type="noConversion"/>
  </si>
  <si>
    <t>方向，指导</t>
    <phoneticPr fontId="1" type="noConversion"/>
  </si>
  <si>
    <t>直接地，立即</t>
    <phoneticPr fontId="1" type="noConversion"/>
  </si>
  <si>
    <t>体格上，身体上</t>
    <phoneticPr fontId="1" type="noConversion"/>
  </si>
  <si>
    <t>污染</t>
    <phoneticPr fontId="1" type="noConversion"/>
  </si>
  <si>
    <t>粉末；火药</t>
    <phoneticPr fontId="1" type="noConversion"/>
  </si>
  <si>
    <t>向…施加压力</t>
    <phoneticPr fontId="1" type="noConversion"/>
  </si>
  <si>
    <t>压力</t>
    <phoneticPr fontId="1" type="noConversion"/>
  </si>
  <si>
    <t>私人的，秘密的</t>
    <phoneticPr fontId="1" type="noConversion"/>
  </si>
  <si>
    <t>生产者</t>
    <phoneticPr fontId="1" type="noConversion"/>
  </si>
  <si>
    <t>产品；产量</t>
    <phoneticPr fontId="1" type="noConversion"/>
  </si>
  <si>
    <t>提示</t>
    <phoneticPr fontId="1" type="noConversion"/>
  </si>
  <si>
    <t>证明，结果是</t>
    <phoneticPr fontId="1" type="noConversion"/>
  </si>
  <si>
    <t>心理学家</t>
    <phoneticPr fontId="1" type="noConversion"/>
  </si>
  <si>
    <t>惩罚</t>
    <phoneticPr fontId="1" type="noConversion"/>
  </si>
  <si>
    <t>目的，意图</t>
    <phoneticPr fontId="1" type="noConversion"/>
  </si>
  <si>
    <t>比率；速度；价格</t>
    <phoneticPr fontId="1" type="noConversion"/>
  </si>
  <si>
    <t>rate</t>
    <phoneticPr fontId="1" type="noConversion"/>
  </si>
  <si>
    <t>评价，估价</t>
    <phoneticPr fontId="1" type="noConversion"/>
  </si>
  <si>
    <t>生的；未加工的</t>
    <phoneticPr fontId="1" type="noConversion"/>
  </si>
  <si>
    <t>证明人</t>
    <phoneticPr fontId="1" type="noConversion"/>
  </si>
  <si>
    <t>规则的，常规的</t>
    <phoneticPr fontId="1" type="noConversion"/>
  </si>
  <si>
    <t>比较地，相对地</t>
    <phoneticPr fontId="1" type="noConversion"/>
  </si>
  <si>
    <t>松弛；松懈</t>
    <phoneticPr fontId="1" type="noConversion"/>
  </si>
  <si>
    <t>需要，要求</t>
    <phoneticPr fontId="1" type="noConversion"/>
  </si>
  <si>
    <t>disastrous</t>
    <phoneticPr fontId="1" type="noConversion"/>
  </si>
  <si>
    <t>disorder</t>
    <phoneticPr fontId="1" type="noConversion"/>
  </si>
  <si>
    <t>distract</t>
    <phoneticPr fontId="1" type="noConversion"/>
  </si>
  <si>
    <t>documentary</t>
    <phoneticPr fontId="1" type="noConversion"/>
  </si>
  <si>
    <t>earth-orbiting</t>
    <phoneticPr fontId="1" type="noConversion"/>
  </si>
  <si>
    <t>effect</t>
    <phoneticPr fontId="1" type="noConversion"/>
  </si>
  <si>
    <t>emotionally</t>
    <phoneticPr fontId="1" type="noConversion"/>
  </si>
  <si>
    <t>encourage</t>
    <phoneticPr fontId="1" type="noConversion"/>
  </si>
  <si>
    <t>enhance</t>
    <phoneticPr fontId="1" type="noConversion"/>
  </si>
  <si>
    <t>expect</t>
    <phoneticPr fontId="1" type="noConversion"/>
  </si>
  <si>
    <t>experienced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</si>
  <si>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</si>
  <si>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</si>
  <si>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</si>
  <si>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exploration</t>
    <phoneticPr fontId="1" type="noConversion"/>
  </si>
  <si>
    <t>explorer</t>
    <phoneticPr fontId="1" type="noConversion"/>
  </si>
  <si>
    <t>expression</t>
    <phoneticPr fontId="1" type="noConversion"/>
  </si>
  <si>
    <t>extremely</t>
    <phoneticPr fontId="1" type="noConversion"/>
  </si>
  <si>
    <t>flutter</t>
    <phoneticPr fontId="1" type="noConversion"/>
  </si>
  <si>
    <t>n.</t>
    <phoneticPr fontId="1" type="noConversion"/>
  </si>
  <si>
    <t>adj.</t>
    <phoneticPr fontId="1" type="noConversion"/>
  </si>
  <si>
    <t>v.</t>
    <phoneticPr fontId="1" type="noConversion"/>
  </si>
  <si>
    <t>灾难性的，悲惨的</t>
    <phoneticPr fontId="1" type="noConversion"/>
  </si>
  <si>
    <t>混乱，骚乱</t>
    <phoneticPr fontId="1" type="noConversion"/>
  </si>
  <si>
    <t>分散注意力</t>
    <phoneticPr fontId="1" type="noConversion"/>
  </si>
  <si>
    <t>有文件的；有证件的</t>
    <phoneticPr fontId="1" type="noConversion"/>
  </si>
  <si>
    <t>围绕地球轨道的</t>
    <phoneticPr fontId="1" type="noConversion"/>
  </si>
  <si>
    <t>效果，效力</t>
    <phoneticPr fontId="1" type="noConversion"/>
  </si>
  <si>
    <t>在情绪上</t>
    <phoneticPr fontId="1" type="noConversion"/>
  </si>
  <si>
    <t>鼓励，支持，助长</t>
    <phoneticPr fontId="1" type="noConversion"/>
  </si>
  <si>
    <t>提高，增加，夸张</t>
    <phoneticPr fontId="1" type="noConversion"/>
  </si>
  <si>
    <t>预料，预期，等待</t>
    <phoneticPr fontId="1" type="noConversion"/>
  </si>
  <si>
    <t>经验丰富的</t>
    <phoneticPr fontId="1" type="noConversion"/>
  </si>
  <si>
    <t>实验，试验</t>
    <phoneticPr fontId="1" type="noConversion"/>
  </si>
  <si>
    <t>专家</t>
    <phoneticPr fontId="1" type="noConversion"/>
  </si>
  <si>
    <t>解释，说明，辩解</t>
    <phoneticPr fontId="1" type="noConversion"/>
  </si>
  <si>
    <t>探索</t>
    <phoneticPr fontId="1" type="noConversion"/>
  </si>
  <si>
    <t>探测者</t>
    <phoneticPr fontId="1" type="noConversion"/>
  </si>
  <si>
    <t>词句，表达，表情</t>
    <phoneticPr fontId="1" type="noConversion"/>
  </si>
  <si>
    <t>极其，非常</t>
    <phoneticPr fontId="1" type="noConversion"/>
  </si>
  <si>
    <t>扑腾</t>
    <phoneticPr fontId="1" type="noConversion"/>
  </si>
  <si>
    <t>respond</t>
    <phoneticPr fontId="1" type="noConversion"/>
  </si>
  <si>
    <t>reward</t>
    <phoneticPr fontId="1" type="noConversion"/>
  </si>
  <si>
    <t>roasted</t>
    <phoneticPr fontId="1" type="noConversion"/>
  </si>
  <si>
    <t>satellite</t>
    <phoneticPr fontId="1" type="noConversion"/>
  </si>
  <si>
    <t>satisfy</t>
    <phoneticPr fontId="1" type="noConversion"/>
  </si>
  <si>
    <t>scientific</t>
    <phoneticPr fontId="1" type="noConversion"/>
  </si>
  <si>
    <t>self-centered</t>
    <phoneticPr fontId="1" type="noConversion"/>
  </si>
  <si>
    <t>self-pitying</t>
    <phoneticPr fontId="1" type="noConversion"/>
  </si>
  <si>
    <t>separation</t>
    <phoneticPr fontId="1" type="noConversion"/>
  </si>
  <si>
    <t>signal</t>
    <phoneticPr fontId="1" type="noConversion"/>
  </si>
  <si>
    <t>sledge</t>
    <phoneticPr fontId="1" type="noConversion"/>
  </si>
  <si>
    <t>sponsor</t>
    <phoneticPr fontId="1" type="noConversion"/>
  </si>
  <si>
    <t>start-up</t>
    <phoneticPr fontId="1" type="noConversion"/>
  </si>
  <si>
    <t>strategy</t>
    <phoneticPr fontId="1" type="noConversion"/>
  </si>
  <si>
    <t>n.</t>
    <phoneticPr fontId="1" type="noConversion"/>
  </si>
  <si>
    <t>adj.</t>
    <phoneticPr fontId="1" type="noConversion"/>
  </si>
  <si>
    <t>adj.</t>
    <phoneticPr fontId="1" type="noConversion"/>
  </si>
  <si>
    <t>n.</t>
    <phoneticPr fontId="1" type="noConversion"/>
  </si>
  <si>
    <t>回应，反应</t>
    <phoneticPr fontId="1" type="noConversion"/>
  </si>
  <si>
    <t>报答</t>
    <phoneticPr fontId="1" type="noConversion"/>
  </si>
  <si>
    <t>报答；报酬；酬金</t>
    <phoneticPr fontId="1" type="noConversion"/>
  </si>
  <si>
    <t>烤好的</t>
    <phoneticPr fontId="1" type="noConversion"/>
  </si>
  <si>
    <t>卫星</t>
    <phoneticPr fontId="1" type="noConversion"/>
  </si>
  <si>
    <t>满足，使满意</t>
    <phoneticPr fontId="1" type="noConversion"/>
  </si>
  <si>
    <t>科学的</t>
    <phoneticPr fontId="1" type="noConversion"/>
  </si>
  <si>
    <t>自我中心的，自我本位的，利己主义的</t>
    <phoneticPr fontId="1" type="noConversion"/>
  </si>
  <si>
    <t>顾影自怜的</t>
    <phoneticPr fontId="1" type="noConversion"/>
  </si>
  <si>
    <t>分离，分开</t>
    <phoneticPr fontId="1" type="noConversion"/>
  </si>
  <si>
    <t>信号</t>
    <phoneticPr fontId="1" type="noConversion"/>
  </si>
  <si>
    <t>雪橇</t>
    <phoneticPr fontId="1" type="noConversion"/>
  </si>
  <si>
    <t>发起者，赞助人</t>
    <phoneticPr fontId="1" type="noConversion"/>
  </si>
  <si>
    <t>sponsor</t>
    <phoneticPr fontId="1" type="noConversion"/>
  </si>
  <si>
    <t>v.</t>
    <phoneticPr fontId="1" type="noConversion"/>
  </si>
  <si>
    <t>发起，赞助</t>
    <phoneticPr fontId="1" type="noConversion"/>
  </si>
  <si>
    <t>启动，（刚刚起步的）小公司</t>
    <phoneticPr fontId="1" type="noConversion"/>
  </si>
  <si>
    <t>策略</t>
    <phoneticPr fontId="1" type="noConversion"/>
  </si>
  <si>
    <t>structure</t>
    <phoneticPr fontId="1" type="noConversion"/>
  </si>
  <si>
    <t>结构；建筑物</t>
    <phoneticPr fontId="1" type="noConversion"/>
  </si>
  <si>
    <t>structure</t>
    <phoneticPr fontId="1" type="noConversion"/>
  </si>
  <si>
    <t>建造</t>
    <phoneticPr fontId="1" type="noConversion"/>
  </si>
  <si>
    <t>gadget</t>
    <phoneticPr fontId="1" type="noConversion"/>
  </si>
  <si>
    <t>gradually</t>
    <phoneticPr fontId="1" type="noConversion"/>
  </si>
  <si>
    <t>grain</t>
    <phoneticPr fontId="1" type="noConversion"/>
  </si>
  <si>
    <t>handout</t>
    <phoneticPr fontId="1" type="noConversion"/>
  </si>
  <si>
    <t>headphone</t>
    <phoneticPr fontId="1" type="noConversion"/>
  </si>
  <si>
    <t>height</t>
    <phoneticPr fontId="1" type="noConversion"/>
  </si>
  <si>
    <t>high-fat</t>
    <phoneticPr fontId="1" type="noConversion"/>
  </si>
  <si>
    <t>human-powered</t>
    <phoneticPr fontId="1" type="noConversion"/>
  </si>
  <si>
    <t>ice-covered</t>
    <phoneticPr fontId="1" type="noConversion"/>
  </si>
  <si>
    <t>improve</t>
    <phoneticPr fontId="1" type="noConversion"/>
  </si>
  <si>
    <t>inexpensive</t>
    <phoneticPr fontId="1" type="noConversion"/>
  </si>
  <si>
    <t>injury</t>
    <phoneticPr fontId="1" type="noConversion"/>
  </si>
  <si>
    <t>instruction</t>
    <phoneticPr fontId="1" type="noConversion"/>
  </si>
  <si>
    <t>intellectual</t>
    <phoneticPr fontId="1" type="noConversion"/>
  </si>
  <si>
    <t>introverted</t>
    <phoneticPr fontId="1" type="noConversion"/>
  </si>
  <si>
    <t>invite</t>
    <phoneticPr fontId="1" type="noConversion"/>
  </si>
  <si>
    <t>item</t>
    <phoneticPr fontId="1" type="noConversion"/>
  </si>
  <si>
    <t>suffer</t>
    <phoneticPr fontId="1" type="noConversion"/>
  </si>
  <si>
    <t>system</t>
    <phoneticPr fontId="1" type="noConversion"/>
  </si>
  <si>
    <t>talent</t>
    <phoneticPr fontId="1" type="noConversion"/>
  </si>
  <si>
    <t>telegram</t>
    <phoneticPr fontId="1" type="noConversion"/>
  </si>
  <si>
    <t>theory</t>
    <phoneticPr fontId="1" type="noConversion"/>
  </si>
  <si>
    <t>thumb</t>
    <phoneticPr fontId="1" type="noConversion"/>
  </si>
  <si>
    <t>tremble</t>
    <phoneticPr fontId="1" type="noConversion"/>
  </si>
  <si>
    <t>troop</t>
    <phoneticPr fontId="1" type="noConversion"/>
  </si>
  <si>
    <t>underlined</t>
    <phoneticPr fontId="1" type="noConversion"/>
  </si>
  <si>
    <t>unexpected</t>
    <phoneticPr fontId="1" type="noConversion"/>
  </si>
  <si>
    <t>universal</t>
    <phoneticPr fontId="1" type="noConversion"/>
  </si>
  <si>
    <t>vacuum</t>
    <phoneticPr fontId="1" type="noConversion"/>
  </si>
  <si>
    <t>value</t>
    <phoneticPr fontId="1" type="noConversion"/>
  </si>
  <si>
    <t>value</t>
    <phoneticPr fontId="1" type="noConversion"/>
  </si>
  <si>
    <t>vehicle</t>
    <phoneticPr fontId="1" type="noConversion"/>
  </si>
  <si>
    <t>videophone</t>
    <phoneticPr fontId="1" type="noConversion"/>
  </si>
  <si>
    <t>webcams</t>
    <phoneticPr fontId="1" type="noConversion"/>
  </si>
  <si>
    <t>well-being</t>
    <phoneticPr fontId="1" type="noConversion"/>
  </si>
  <si>
    <t>wizardry</t>
    <phoneticPr fontId="1" type="noConversion"/>
  </si>
  <si>
    <t>worldwide</t>
    <phoneticPr fontId="1" type="noConversion"/>
  </si>
  <si>
    <t>adv.</t>
    <phoneticPr fontId="1" type="noConversion"/>
  </si>
  <si>
    <t>n.</t>
    <phoneticPr fontId="1" type="noConversion"/>
  </si>
  <si>
    <t>unlit</t>
    <phoneticPr fontId="1" type="noConversion"/>
  </si>
  <si>
    <t>n.</t>
    <phoneticPr fontId="1" type="noConversion"/>
  </si>
  <si>
    <t>adj.</t>
    <phoneticPr fontId="1" type="noConversion"/>
  </si>
  <si>
    <t>小器具，小配件</t>
    <phoneticPr fontId="1" type="noConversion"/>
  </si>
  <si>
    <t>逐渐地，逐步地</t>
    <phoneticPr fontId="1" type="noConversion"/>
  </si>
  <si>
    <t>谷物，谷粒，颗粒</t>
    <phoneticPr fontId="1" type="noConversion"/>
  </si>
  <si>
    <t>分发</t>
    <phoneticPr fontId="1" type="noConversion"/>
  </si>
  <si>
    <t>耳机</t>
    <phoneticPr fontId="1" type="noConversion"/>
  </si>
  <si>
    <t>高度</t>
    <phoneticPr fontId="1" type="noConversion"/>
  </si>
  <si>
    <t>高脂肪的</t>
    <phoneticPr fontId="1" type="noConversion"/>
  </si>
  <si>
    <t>人力的</t>
    <phoneticPr fontId="1" type="noConversion"/>
  </si>
  <si>
    <t>冰封的；冰覆盖的</t>
    <phoneticPr fontId="1" type="noConversion"/>
  </si>
  <si>
    <t>改善，提高</t>
    <phoneticPr fontId="1" type="noConversion"/>
  </si>
  <si>
    <t>廉价的</t>
    <phoneticPr fontId="1" type="noConversion"/>
  </si>
  <si>
    <t>损害，伤害，受伤处</t>
    <phoneticPr fontId="1" type="noConversion"/>
  </si>
  <si>
    <t>命令，教学，教训</t>
    <phoneticPr fontId="1" type="noConversion"/>
  </si>
  <si>
    <t>知识分子</t>
    <phoneticPr fontId="1" type="noConversion"/>
  </si>
  <si>
    <t>智力的</t>
    <phoneticPr fontId="1" type="noConversion"/>
  </si>
  <si>
    <t>（性格）内向的</t>
    <phoneticPr fontId="1" type="noConversion"/>
  </si>
  <si>
    <t>吸引</t>
    <phoneticPr fontId="1" type="noConversion"/>
  </si>
  <si>
    <t>提干，条款</t>
    <phoneticPr fontId="1" type="noConversion"/>
  </si>
  <si>
    <t>遭受…痛苦</t>
    <phoneticPr fontId="1" type="noConversion"/>
  </si>
  <si>
    <t>系统；制度</t>
    <phoneticPr fontId="1" type="noConversion"/>
  </si>
  <si>
    <t>天才，才能</t>
    <phoneticPr fontId="1" type="noConversion"/>
  </si>
  <si>
    <t>电报</t>
    <phoneticPr fontId="1" type="noConversion"/>
  </si>
  <si>
    <t>理论，学说</t>
    <phoneticPr fontId="1" type="noConversion"/>
  </si>
  <si>
    <t>大拇指</t>
    <phoneticPr fontId="1" type="noConversion"/>
  </si>
  <si>
    <t>发抖，哆嗦</t>
    <phoneticPr fontId="1" type="noConversion"/>
  </si>
  <si>
    <t>军队</t>
    <phoneticPr fontId="1" type="noConversion"/>
  </si>
  <si>
    <t>划线的，（重点强调的）</t>
    <phoneticPr fontId="1" type="noConversion"/>
  </si>
  <si>
    <t>意外的</t>
    <phoneticPr fontId="1" type="noConversion"/>
  </si>
  <si>
    <t>宇宙的；普遍的</t>
    <phoneticPr fontId="1" type="noConversion"/>
  </si>
  <si>
    <t>未点燃的</t>
    <phoneticPr fontId="1" type="noConversion"/>
  </si>
  <si>
    <t>真空</t>
    <phoneticPr fontId="1" type="noConversion"/>
  </si>
  <si>
    <t>价值，价格</t>
    <phoneticPr fontId="1" type="noConversion"/>
  </si>
  <si>
    <t>评价</t>
    <phoneticPr fontId="1" type="noConversion"/>
  </si>
  <si>
    <t>车辆</t>
    <phoneticPr fontId="1" type="noConversion"/>
  </si>
  <si>
    <t>电视电话</t>
    <phoneticPr fontId="1" type="noConversion"/>
  </si>
  <si>
    <t>网络摄像机</t>
    <phoneticPr fontId="1" type="noConversion"/>
  </si>
  <si>
    <t>安宁，福利</t>
    <phoneticPr fontId="1" type="noConversion"/>
  </si>
  <si>
    <t>巫术</t>
    <phoneticPr fontId="1" type="noConversion"/>
  </si>
  <si>
    <t>全世界的</t>
    <phoneticPr fontId="1" type="noConversion"/>
  </si>
  <si>
    <t>Group3</t>
  </si>
  <si>
    <t>Group4</t>
  </si>
  <si>
    <t>Group5</t>
  </si>
  <si>
    <t>完形填空词汇七下</t>
  </si>
  <si>
    <t>完形填空词汇七下</t>
    <phoneticPr fontId="1" type="noConversion"/>
  </si>
  <si>
    <t>Group1</t>
  </si>
  <si>
    <t>Group2</t>
  </si>
  <si>
    <t>c</t>
  </si>
  <si>
    <t>h</t>
  </si>
  <si>
    <t>i</t>
  </si>
  <si>
    <t>v</t>
  </si>
  <si>
    <t>m</t>
  </si>
  <si>
    <t>n</t>
  </si>
  <si>
    <t>完成，成就，成绩</t>
    <phoneticPr fontId="1" type="noConversion"/>
  </si>
  <si>
    <t>n.</t>
    <phoneticPr fontId="1" type="noConversion"/>
  </si>
  <si>
    <t>native</t>
    <phoneticPr fontId="1" type="noConversion"/>
  </si>
  <si>
    <t>native</t>
  </si>
  <si>
    <t>native</t>
    <phoneticPr fontId="1" type="noConversion"/>
  </si>
  <si>
    <t>achievement</t>
  </si>
  <si>
    <t>ID:3937</t>
  </si>
  <si>
    <t>完成，成就，成绩</t>
  </si>
  <si>
    <t>affect</t>
  </si>
  <si>
    <t>ID:3938</t>
  </si>
  <si>
    <t>影响，感动</t>
  </si>
  <si>
    <t>agreement</t>
  </si>
  <si>
    <t>ID:3939</t>
  </si>
  <si>
    <t>协定，协议，同意</t>
  </si>
  <si>
    <t>ID:3940</t>
  </si>
  <si>
    <t>目标，目的</t>
  </si>
  <si>
    <t>ID:3941</t>
  </si>
  <si>
    <t>允许，准许</t>
  </si>
  <si>
    <t>ID:3942</t>
  </si>
  <si>
    <t>救护车，野战医院</t>
  </si>
  <si>
    <t>ID:3943</t>
  </si>
  <si>
    <t>总数，数量，总和</t>
  </si>
  <si>
    <t>ID:3944</t>
  </si>
  <si>
    <t>请求，申请，施用</t>
  </si>
  <si>
    <t>aquarium</t>
  </si>
  <si>
    <t>ID:3945</t>
  </si>
  <si>
    <t>水族馆</t>
  </si>
  <si>
    <t>assume</t>
  </si>
  <si>
    <t>ID:3946</t>
  </si>
  <si>
    <t>假定，承担，呈现</t>
  </si>
  <si>
    <t>astronaut</t>
  </si>
  <si>
    <t>ID:3947</t>
  </si>
  <si>
    <t>宇航员</t>
  </si>
  <si>
    <t>athletic</t>
  </si>
  <si>
    <t>ID:3948</t>
  </si>
  <si>
    <t>运动的；竞技的</t>
  </si>
  <si>
    <t>ID:3949</t>
  </si>
  <si>
    <t>battle</t>
  </si>
  <si>
    <t>ID:3950</t>
  </si>
  <si>
    <t>战役，斗争</t>
  </si>
  <si>
    <t>ID:3951</t>
  </si>
  <si>
    <t>作战</t>
  </si>
  <si>
    <t>ID:3952</t>
  </si>
  <si>
    <t>责备，把…归咎于</t>
  </si>
  <si>
    <t>calculation</t>
  </si>
  <si>
    <t>ID:3953</t>
  </si>
  <si>
    <t>计算</t>
  </si>
  <si>
    <t>cancer</t>
  </si>
  <si>
    <t>ID:3954</t>
  </si>
  <si>
    <t>癌，癌症</t>
  </si>
  <si>
    <t>captive</t>
  </si>
  <si>
    <t>ID:3955</t>
  </si>
  <si>
    <t>俘虏的，捕获的</t>
  </si>
  <si>
    <t>caged</t>
  </si>
  <si>
    <t>ID:3956</t>
  </si>
  <si>
    <t>captivity</t>
  </si>
  <si>
    <t>ID:3957</t>
  </si>
  <si>
    <t>囚禁，被关</t>
  </si>
  <si>
    <t>ID:3958</t>
  </si>
  <si>
    <t>leading</t>
  </si>
  <si>
    <t>ID:3959</t>
  </si>
  <si>
    <t>最主要的，第一的</t>
  </si>
  <si>
    <t>lens</t>
  </si>
  <si>
    <t>ID:3960</t>
  </si>
  <si>
    <t>镜头</t>
  </si>
  <si>
    <t>lower</t>
  </si>
  <si>
    <t>ID:3961</t>
  </si>
  <si>
    <t>低下</t>
  </si>
  <si>
    <t>major</t>
  </si>
  <si>
    <t>ID:3962</t>
  </si>
  <si>
    <t>主要的，多数的</t>
  </si>
  <si>
    <t>ID:3963</t>
  </si>
  <si>
    <t>专业</t>
  </si>
  <si>
    <t>middle-aged</t>
  </si>
  <si>
    <t>ID:3964</t>
  </si>
  <si>
    <t>中年的</t>
  </si>
  <si>
    <t>mockingbird</t>
  </si>
  <si>
    <t>ID:3965</t>
  </si>
  <si>
    <t>模仿鸟</t>
  </si>
  <si>
    <t>ID:3966</t>
  </si>
  <si>
    <t>本土的，本国的</t>
  </si>
  <si>
    <t>ID:3967</t>
  </si>
  <si>
    <t>本地人</t>
  </si>
  <si>
    <t>nervousness</t>
  </si>
  <si>
    <t>ID:3968</t>
  </si>
  <si>
    <t>神经过敏；紧张</t>
  </si>
  <si>
    <t>nomads</t>
  </si>
  <si>
    <t>ID:3969</t>
  </si>
  <si>
    <t>游牧部落</t>
  </si>
  <si>
    <t>nutritious</t>
  </si>
  <si>
    <t>ID:3970</t>
  </si>
  <si>
    <t>有营养的</t>
  </si>
  <si>
    <t>obstacle</t>
  </si>
  <si>
    <t>ID:3971</t>
  </si>
  <si>
    <t>障碍</t>
  </si>
  <si>
    <t>operation</t>
  </si>
  <si>
    <t>ID:3972</t>
  </si>
  <si>
    <t>操作；经营；手术</t>
  </si>
  <si>
    <t>orbit</t>
  </si>
  <si>
    <t>ID:3973</t>
  </si>
  <si>
    <t>运行轨道</t>
  </si>
  <si>
    <t>ID:3974</t>
  </si>
  <si>
    <t>绕行</t>
  </si>
  <si>
    <t>ornithologist</t>
  </si>
  <si>
    <t>ID:3975</t>
  </si>
  <si>
    <t>鸟类学者</t>
  </si>
  <si>
    <t>outgoing</t>
  </si>
  <si>
    <t>ID:3976</t>
  </si>
  <si>
    <t>友善的，即将离去的</t>
  </si>
  <si>
    <t>overacted</t>
  </si>
  <si>
    <t>ID:3977</t>
  </si>
  <si>
    <t>行为夸张的</t>
  </si>
  <si>
    <t>partnership</t>
  </si>
  <si>
    <t>ID:3978</t>
  </si>
  <si>
    <t>合作伙伴关系</t>
  </si>
  <si>
    <t>ID:3979</t>
  </si>
  <si>
    <t>链，链条，项圈</t>
  </si>
  <si>
    <t>ID:3980</t>
  </si>
  <si>
    <t>胸腔，胸膛，箱子</t>
  </si>
  <si>
    <t>claim</t>
  </si>
  <si>
    <t>ID:3981</t>
  </si>
  <si>
    <t>认领</t>
  </si>
  <si>
    <t>ID:3982</t>
  </si>
  <si>
    <t>命令，指挥，控制</t>
  </si>
  <si>
    <t>ID:3983</t>
  </si>
  <si>
    <t>比较，对照</t>
  </si>
  <si>
    <t>complaint</t>
  </si>
  <si>
    <t>ID:3984</t>
  </si>
  <si>
    <t>抱怨，控告</t>
  </si>
  <si>
    <t>ID:3985</t>
  </si>
  <si>
    <t>柜台，计数器</t>
  </si>
  <si>
    <t>countless</t>
  </si>
  <si>
    <t>ID:3986</t>
  </si>
  <si>
    <t>无数的</t>
  </si>
  <si>
    <t>cube-shaped</t>
  </si>
  <si>
    <t>ID:3987</t>
  </si>
  <si>
    <t>立方体形状的</t>
  </si>
  <si>
    <t>dairy</t>
  </si>
  <si>
    <t>ID:3988</t>
  </si>
  <si>
    <t>牛奶场，乳制品</t>
  </si>
  <si>
    <t>deaf</t>
  </si>
  <si>
    <t>ID:3989</t>
  </si>
  <si>
    <t>聋的</t>
  </si>
  <si>
    <t>ID:3990</t>
  </si>
  <si>
    <t>方向，指导</t>
  </si>
  <si>
    <t>directly</t>
  </si>
  <si>
    <t>ID:3991</t>
  </si>
  <si>
    <t>直接地，立即</t>
  </si>
  <si>
    <t>ID:3992</t>
  </si>
  <si>
    <t>体格上，身体上</t>
  </si>
  <si>
    <t>pollute</t>
  </si>
  <si>
    <t>ID:3993</t>
  </si>
  <si>
    <t>powder</t>
  </si>
  <si>
    <t>ID:3994</t>
  </si>
  <si>
    <t>粉末；火药</t>
  </si>
  <si>
    <t>pressure</t>
  </si>
  <si>
    <t>ID:3995</t>
  </si>
  <si>
    <t>向…施加压力</t>
  </si>
  <si>
    <t>ID:3996</t>
  </si>
  <si>
    <t>ID:3997</t>
  </si>
  <si>
    <t>私人的，秘密的</t>
  </si>
  <si>
    <t>producer</t>
  </si>
  <si>
    <t>ID:3998</t>
  </si>
  <si>
    <t>生产者</t>
  </si>
  <si>
    <t>production</t>
  </si>
  <si>
    <t>ID:3999</t>
  </si>
  <si>
    <t>产品；产量</t>
  </si>
  <si>
    <t>prompt</t>
  </si>
  <si>
    <t>ID:4000</t>
  </si>
  <si>
    <t>提示</t>
  </si>
  <si>
    <t>ID:4001</t>
  </si>
  <si>
    <t>证明，结果是</t>
  </si>
  <si>
    <t>ID:4002</t>
  </si>
  <si>
    <t>punish</t>
  </si>
  <si>
    <t>ID:4003</t>
  </si>
  <si>
    <t>惩罚</t>
  </si>
  <si>
    <t>ID:4004</t>
  </si>
  <si>
    <t>目的，意图</t>
  </si>
  <si>
    <t>rate</t>
  </si>
  <si>
    <t>ID:4005</t>
  </si>
  <si>
    <t>比率；速度；价格</t>
  </si>
  <si>
    <t>ID:4006</t>
  </si>
  <si>
    <t>评价，估价</t>
  </si>
  <si>
    <t>ID:4007</t>
  </si>
  <si>
    <t>生的；未加工的</t>
  </si>
  <si>
    <t>reference</t>
  </si>
  <si>
    <t>ID:4008</t>
  </si>
  <si>
    <t>证明人</t>
  </si>
  <si>
    <t>ID:4009</t>
  </si>
  <si>
    <t>规则的，常规的</t>
  </si>
  <si>
    <t>relatively</t>
  </si>
  <si>
    <t>ID:4010</t>
  </si>
  <si>
    <t>比较地，相对地</t>
  </si>
  <si>
    <t>relaxation</t>
  </si>
  <si>
    <t>ID:4011</t>
  </si>
  <si>
    <t>松弛；松懈</t>
  </si>
  <si>
    <t>requirement</t>
  </si>
  <si>
    <t>ID:4012</t>
  </si>
  <si>
    <t>需要，要求</t>
  </si>
  <si>
    <t>disastrous</t>
  </si>
  <si>
    <t>ID:4013</t>
  </si>
  <si>
    <t>灾难性的，悲惨的</t>
  </si>
  <si>
    <t>disorder</t>
  </si>
  <si>
    <t>ID:4014</t>
  </si>
  <si>
    <t>混乱，骚乱</t>
  </si>
  <si>
    <t>distract</t>
  </si>
  <si>
    <t>ID:4015</t>
  </si>
  <si>
    <t>分散注意力</t>
  </si>
  <si>
    <t>documentary</t>
  </si>
  <si>
    <t>ID:4016</t>
  </si>
  <si>
    <t>有文件的；有证件的</t>
  </si>
  <si>
    <t>earth-orbiting</t>
  </si>
  <si>
    <t>ID:4017</t>
  </si>
  <si>
    <t>围绕地球轨道的</t>
  </si>
  <si>
    <t>effect</t>
  </si>
  <si>
    <t>ID:4018</t>
  </si>
  <si>
    <t>效果，效力</t>
  </si>
  <si>
    <t>emotionally</t>
  </si>
  <si>
    <t>ID:4019</t>
  </si>
  <si>
    <t>在情绪上</t>
  </si>
  <si>
    <t>ID:4020</t>
  </si>
  <si>
    <t>鼓励，支持，助长</t>
  </si>
  <si>
    <t>enhance</t>
  </si>
  <si>
    <t>ID:4021</t>
  </si>
  <si>
    <t>提高，增加，夸张</t>
  </si>
  <si>
    <t>ID:4022</t>
  </si>
  <si>
    <t>预料，预期，等待</t>
  </si>
  <si>
    <t>experienced</t>
  </si>
  <si>
    <t>ID:4023</t>
  </si>
  <si>
    <t>经验丰富的</t>
  </si>
  <si>
    <t>experiment</t>
  </si>
  <si>
    <t>ID:4024</t>
  </si>
  <si>
    <t>实验，试验</t>
  </si>
  <si>
    <t>ID:4025</t>
  </si>
  <si>
    <t>ID:4026</t>
  </si>
  <si>
    <t>解释，说明，辩解</t>
  </si>
  <si>
    <t>exploration</t>
  </si>
  <si>
    <t>ID:4027</t>
  </si>
  <si>
    <t>explorer</t>
  </si>
  <si>
    <t>ID:4028</t>
  </si>
  <si>
    <t>探测者</t>
  </si>
  <si>
    <t>ID:4029</t>
  </si>
  <si>
    <t>词句，表达，表情</t>
  </si>
  <si>
    <t>ID:4030</t>
  </si>
  <si>
    <t>极其，非常</t>
  </si>
  <si>
    <t>flutter</t>
  </si>
  <si>
    <t>ID:4031</t>
  </si>
  <si>
    <t>扑腾</t>
  </si>
  <si>
    <t>respond</t>
  </si>
  <si>
    <t>ID:4032</t>
  </si>
  <si>
    <t>回应，反应</t>
  </si>
  <si>
    <t>reward</t>
  </si>
  <si>
    <t>ID:4033</t>
  </si>
  <si>
    <t>报答；报酬；酬金</t>
  </si>
  <si>
    <t>ID:4034</t>
  </si>
  <si>
    <t>报答</t>
  </si>
  <si>
    <t>roasted</t>
  </si>
  <si>
    <t>ID:4035</t>
  </si>
  <si>
    <t>烤好的</t>
  </si>
  <si>
    <t>satellite</t>
  </si>
  <si>
    <t>ID:4036</t>
  </si>
  <si>
    <t>卫星</t>
  </si>
  <si>
    <t>satisfy</t>
  </si>
  <si>
    <t>ID:4037</t>
  </si>
  <si>
    <t>满足，使满意</t>
  </si>
  <si>
    <t>scientific</t>
  </si>
  <si>
    <t>ID:4038</t>
  </si>
  <si>
    <t>科学的</t>
  </si>
  <si>
    <t>self-centered</t>
  </si>
  <si>
    <t>ID:4039</t>
  </si>
  <si>
    <t>自我中心的，自我本位的，利己主义的</t>
  </si>
  <si>
    <t>self-pitying</t>
  </si>
  <si>
    <t>ID:4040</t>
  </si>
  <si>
    <t>顾影自怜的</t>
  </si>
  <si>
    <t>separation</t>
  </si>
  <si>
    <t>ID:4041</t>
  </si>
  <si>
    <t>分离，分开</t>
  </si>
  <si>
    <t>signal</t>
  </si>
  <si>
    <t>ID:4042</t>
  </si>
  <si>
    <t>信号</t>
  </si>
  <si>
    <t>sledge</t>
  </si>
  <si>
    <t>ID:4043</t>
  </si>
  <si>
    <t>雪橇</t>
  </si>
  <si>
    <t>sponsor</t>
  </si>
  <si>
    <t>ID:4044</t>
  </si>
  <si>
    <t>发起者，赞助人</t>
  </si>
  <si>
    <t>ID:4045</t>
  </si>
  <si>
    <t>发起，赞助</t>
  </si>
  <si>
    <t>start-up</t>
  </si>
  <si>
    <t>ID:4046</t>
  </si>
  <si>
    <t>启动，（刚刚起步的）小公司</t>
  </si>
  <si>
    <t>strategy</t>
  </si>
  <si>
    <t>ID:4047</t>
  </si>
  <si>
    <t>策略</t>
  </si>
  <si>
    <t>structure</t>
  </si>
  <si>
    <t>ID:4048</t>
  </si>
  <si>
    <t>结构；建筑物</t>
  </si>
  <si>
    <t>ID:4049</t>
  </si>
  <si>
    <t>ID:4050</t>
  </si>
  <si>
    <t>小器具，小配件</t>
  </si>
  <si>
    <t>gradually</t>
  </si>
  <si>
    <t>ID:4051</t>
  </si>
  <si>
    <t>逐渐地，逐步地</t>
  </si>
  <si>
    <t>grain</t>
  </si>
  <si>
    <t>ID:4052</t>
  </si>
  <si>
    <t>谷物，谷粒，颗粒</t>
  </si>
  <si>
    <t>handout</t>
  </si>
  <si>
    <t>ID:4053</t>
  </si>
  <si>
    <t>分发</t>
  </si>
  <si>
    <t>headphone</t>
  </si>
  <si>
    <t>ID:4054</t>
  </si>
  <si>
    <t>耳机</t>
  </si>
  <si>
    <t>ID:4055</t>
  </si>
  <si>
    <t>高度</t>
  </si>
  <si>
    <t>high-fat</t>
  </si>
  <si>
    <t>ID:4056</t>
  </si>
  <si>
    <t>高脂肪的</t>
  </si>
  <si>
    <t>human-powered</t>
  </si>
  <si>
    <t>ID:4057</t>
  </si>
  <si>
    <t>人力的</t>
  </si>
  <si>
    <t>ice-covered</t>
  </si>
  <si>
    <t>ID:4058</t>
  </si>
  <si>
    <t>冰封的；冰覆盖的</t>
  </si>
  <si>
    <t>ID:4059</t>
  </si>
  <si>
    <t>改善，提高</t>
  </si>
  <si>
    <t>inexpensive</t>
  </si>
  <si>
    <t>ID:4060</t>
  </si>
  <si>
    <t>廉价的</t>
  </si>
  <si>
    <t>injury</t>
  </si>
  <si>
    <t>ID:4061</t>
  </si>
  <si>
    <t>损害，伤害，受伤处</t>
  </si>
  <si>
    <t>ID:4062</t>
  </si>
  <si>
    <t>命令，教学，教训</t>
  </si>
  <si>
    <t>intellectual</t>
  </si>
  <si>
    <t>ID:4063</t>
  </si>
  <si>
    <t>知识分子</t>
  </si>
  <si>
    <t>ID:4064</t>
  </si>
  <si>
    <t>智力的</t>
  </si>
  <si>
    <t>introverted</t>
  </si>
  <si>
    <t>ID:4065</t>
  </si>
  <si>
    <t>（性格）内向的</t>
  </si>
  <si>
    <t>ID:4066</t>
  </si>
  <si>
    <t>item</t>
  </si>
  <si>
    <t>ID:4067</t>
  </si>
  <si>
    <t>提干，条款</t>
  </si>
  <si>
    <t>suffer</t>
  </si>
  <si>
    <t>ID:4068</t>
  </si>
  <si>
    <t>遭受…痛苦</t>
  </si>
  <si>
    <t>ID:4069</t>
  </si>
  <si>
    <t>系统；制度</t>
  </si>
  <si>
    <t>talent</t>
  </si>
  <si>
    <t>ID:4070</t>
  </si>
  <si>
    <t>天才，才能</t>
  </si>
  <si>
    <t>telegram</t>
  </si>
  <si>
    <t>ID:4071</t>
  </si>
  <si>
    <t>电报</t>
  </si>
  <si>
    <t>theory</t>
  </si>
  <si>
    <t>ID:4072</t>
  </si>
  <si>
    <t>理论，学说</t>
  </si>
  <si>
    <t>ID:4073</t>
  </si>
  <si>
    <t>大拇指</t>
  </si>
  <si>
    <t>tremble</t>
  </si>
  <si>
    <t>ID:4074</t>
  </si>
  <si>
    <t>发抖，哆嗦</t>
  </si>
  <si>
    <t>troop</t>
  </si>
  <si>
    <t>ID:4075</t>
  </si>
  <si>
    <t>underlined</t>
  </si>
  <si>
    <t>ID:4076</t>
  </si>
  <si>
    <t>划线的，（重点强调的）</t>
  </si>
  <si>
    <t>ID:4077</t>
  </si>
  <si>
    <t>意外的</t>
  </si>
  <si>
    <t>universal</t>
  </si>
  <si>
    <t>ID:4078</t>
  </si>
  <si>
    <t>宇宙的；普遍的</t>
  </si>
  <si>
    <t>unlit</t>
  </si>
  <si>
    <t>ID:4079</t>
  </si>
  <si>
    <t>未点燃的</t>
  </si>
  <si>
    <t>ID:4080</t>
  </si>
  <si>
    <t>真空</t>
  </si>
  <si>
    <t>value</t>
  </si>
  <si>
    <t>ID:4081</t>
  </si>
  <si>
    <t>价值，价格</t>
  </si>
  <si>
    <t>ID:4082</t>
  </si>
  <si>
    <t>评价</t>
  </si>
  <si>
    <t>ID:4083</t>
  </si>
  <si>
    <t>车辆</t>
  </si>
  <si>
    <t>videophone</t>
  </si>
  <si>
    <t>ID:4084</t>
  </si>
  <si>
    <t>电视电话</t>
  </si>
  <si>
    <t>webcams</t>
  </si>
  <si>
    <t>ID:4085</t>
  </si>
  <si>
    <t>网络摄像机</t>
  </si>
  <si>
    <t>well-being</t>
  </si>
  <si>
    <t>ID:4086</t>
  </si>
  <si>
    <t>安宁，福利</t>
  </si>
  <si>
    <t>wizardry</t>
  </si>
  <si>
    <t>ID:4087</t>
  </si>
  <si>
    <t>巫术</t>
  </si>
  <si>
    <t>ID:4088</t>
  </si>
  <si>
    <t>全世界的</t>
  </si>
  <si>
    <t>测验模式</t>
    <phoneticPr fontId="1" type="noConversion"/>
  </si>
  <si>
    <t>单词拼写</t>
    <phoneticPr fontId="1" type="noConversion"/>
  </si>
  <si>
    <t>弹钢琴</t>
  </si>
  <si>
    <t>版本号</t>
    <phoneticPr fontId="1" type="noConversion"/>
  </si>
  <si>
    <t>修改人</t>
    <phoneticPr fontId="1" type="noConversion"/>
  </si>
  <si>
    <t>修改时间</t>
    <phoneticPr fontId="1" type="noConversion"/>
  </si>
  <si>
    <t>修改内容</t>
    <phoneticPr fontId="1" type="noConversion"/>
  </si>
  <si>
    <t>1.6.0</t>
    <phoneticPr fontId="1" type="noConversion"/>
  </si>
  <si>
    <t>MG</t>
    <phoneticPr fontId="1" type="noConversion"/>
  </si>
  <si>
    <t>1.第一次上传
2.相对于1.5版本，添加了单词卡片打印的格式设置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</si>
</sst>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24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6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5" fillId="0" borderId="1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 applyAlignment="1">
      <alignment horizontal="center" shrinkToFit="1"/>
    </xf>
    <xf numFmtId="176" fontId="0" fillId="0" borderId="0" xfId="0" applyNumberFormat="1" applyFill="1"/>
    <xf numFmtId="0" fontId="0" fillId="4" borderId="6" xfId="0" applyFill="1" applyBorder="1"/>
    <xf numFmtId="22" fontId="0" fillId="0" borderId="0" xfId="0" applyNumberFormat="1"/>
    <xf numFmtId="0" fontId="0" fillId="0" borderId="0" xfId="0" applyAlignment="1">
      <alignment wrapText="1"/>
    </xf>
  </cellXfs>
  <cellStyles count="3">
    <cellStyle name="Normal 2" xfId="2"/>
    <cellStyle name="常规" xfId="0" builtinId="0"/>
    <cellStyle name="超链接" xfId="1" builtinId="8"/>
  </cellStyles>
  <dxfs count="14"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alignment horizontal="center" readingOrder="0"/>
    </dxf>
    <dxf>
      <fill>
        <patternFill>
          <bgColor rgb="FF92D050"/>
        </patternFill>
      </fill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ng MA" refreshedDate="43285.86066539352" createdVersion="5" refreshedVersion="6" minRefreshableVersion="3" recordCount="4087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88"/>
    </cacheField>
    <cacheField name="单词出处" numFmtId="0">
      <sharedItems count="7">
        <s v="BET第二级"/>
        <s v="PET课外辅导"/>
        <s v="PET高频词汇"/>
        <s v="BET第一级"/>
        <s v="小学数学英语"/>
        <s v="英语七年级下"/>
        <s v="完形填空词汇七下"/>
      </sharedItems>
    </cacheField>
    <cacheField name="章节" numFmtId="0">
      <sharedItems count="79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Group1"/>
        <s v="Group2"/>
        <s v="Group3"/>
        <s v="Group4"/>
        <s v="Group5"/>
        <s v="Module1重点（1）" u="1"/>
        <s v="Module1重点（2）" u="1"/>
        <s v="Module4重点（1）" u="1"/>
        <s v="Module4重点（2）" u="1"/>
        <s v="Module2重点" u="1"/>
        <s v="Module3重点" u="1"/>
        <s v="Module7" u="1"/>
        <s v="Module8" u="1"/>
        <s v="Module5重点" u="1"/>
        <s v="Module9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6-07-06T09:03:53" maxDate="2018-07-04T20:07:38"/>
    </cacheField>
    <cacheField name="学中" numFmtId="176">
      <sharedItems containsNonDate="0" containsDate="1" containsString="0" containsBlank="1" minDate="2016-07-06T20:25:49" maxDate="2018-07-04T20:27:37"/>
    </cacheField>
    <cacheField name="学词" numFmtId="176">
      <sharedItems containsNonDate="0" containsDate="1" containsString="0" containsBlank="1" minDate="2016-07-06T20:22:08" maxDate="2018-07-04T20:27:37"/>
    </cacheField>
    <cacheField name="考英" numFmtId="176">
      <sharedItems containsNonDate="0" containsDate="1" containsString="0" containsBlank="1" minDate="2016-07-08T11:01:28" maxDate="2018-06-28T12:58:21"/>
    </cacheField>
    <cacheField name="考中" numFmtId="176">
      <sharedItems containsNonDate="0" containsDate="1" containsString="0" containsBlank="1" minDate="2016-07-10T18:43:17" maxDate="2018-07-04T20:27:45"/>
    </cacheField>
    <cacheField name="学过" numFmtId="176">
      <sharedItems containsDate="1" containsMixedTypes="1" minDate="2016-07-06T20:25:49" maxDate="2018-07-04T20:27:37"/>
    </cacheField>
    <cacheField name="考过" numFmtId="176">
      <sharedItems containsDate="1" containsMixedTypes="1" minDate="2016-07-10T18:43:17" maxDate="2016-10-07T10:16:28"/>
    </cacheField>
    <cacheField name="备注" numFmtId="0">
      <sharedItems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7">
  <r>
    <n v="1"/>
    <x v="0"/>
    <x v="0"/>
    <s v="introduction"/>
    <s v="n."/>
    <s v="介绍；入门"/>
    <d v="2016-09-13T18:19:39"/>
    <d v="2016-10-06T11:34:34"/>
    <d v="2016-10-06T11:34:33"/>
    <m/>
    <d v="2016-10-06T11:36:20"/>
    <d v="2016-10-06T11:34:34"/>
    <s v=""/>
    <m/>
    <m/>
  </r>
  <r>
    <n v="2"/>
    <x v="0"/>
    <x v="0"/>
    <s v="order"/>
    <s v="n."/>
    <s v="顺序"/>
    <d v="2016-07-06T09:04:24"/>
    <d v="2016-10-06T11:34:38"/>
    <d v="2016-10-06T11:34:37"/>
    <d v="2016-07-09T09:38:44"/>
    <d v="2016-10-06T11:36:23"/>
    <d v="2016-10-06T11:34:38"/>
    <d v="2016-10-06T11:36:23"/>
    <m/>
    <m/>
  </r>
  <r>
    <n v="3"/>
    <x v="0"/>
    <x v="0"/>
    <s v="go with"/>
    <s v="v. phr."/>
    <s v="与…协调"/>
    <d v="2016-07-06T09:04:21"/>
    <d v="2016-10-06T11:34:41"/>
    <d v="2016-10-06T11:34:41"/>
    <d v="2016-07-09T09:39:02"/>
    <d v="2016-10-06T11:36:26"/>
    <d v="2016-10-06T11:34:41"/>
    <d v="2016-10-06T11:36:26"/>
    <m/>
    <m/>
  </r>
  <r>
    <n v="4"/>
    <x v="0"/>
    <x v="0"/>
    <s v="athletics"/>
    <s v="n."/>
    <s v="体育运动"/>
    <d v="2016-07-06T09:04:19"/>
    <d v="2016-09-13T18:19:48"/>
    <d v="2016-09-13T18:22:08"/>
    <d v="2016-07-09T09:39:27"/>
    <d v="2016-10-06T11:24:08"/>
    <d v="2016-09-13T18:22:08"/>
    <d v="2016-10-06T11:24:08"/>
    <m/>
    <m/>
  </r>
  <r>
    <n v="5"/>
    <x v="0"/>
    <x v="0"/>
    <s v="cycling"/>
    <s v="n."/>
    <s v="自行车运动"/>
    <d v="2016-07-06T09:04:13"/>
    <d v="2016-09-13T18:19:52"/>
    <d v="2016-09-13T18:22:09"/>
    <d v="2016-07-09T09:39:40"/>
    <d v="2016-10-06T11:24:12"/>
    <d v="2016-09-13T18:22:09"/>
    <d v="2016-10-06T11:24:12"/>
    <m/>
    <m/>
  </r>
  <r>
    <n v="6"/>
    <x v="0"/>
    <x v="0"/>
    <s v="gymnastics"/>
    <s v="n."/>
    <s v="体操"/>
    <d v="2016-07-06T09:04:10"/>
    <d v="2016-09-13T18:19:56"/>
    <d v="2016-09-13T18:22:11"/>
    <d v="2016-07-09T09:40:07"/>
    <d v="2016-10-06T11:24:15"/>
    <d v="2016-09-13T18:22:11"/>
    <d v="2016-10-06T11:24:15"/>
    <m/>
    <m/>
  </r>
  <r>
    <n v="7"/>
    <x v="0"/>
    <x v="0"/>
    <s v="hockey"/>
    <s v="n."/>
    <s v="曲棍球"/>
    <d v="2016-07-06T09:04:06"/>
    <d v="2016-09-13T18:20:00"/>
    <d v="2016-09-13T18:22:13"/>
    <d v="2016-07-09T09:40:22"/>
    <d v="2016-10-06T11:24:19"/>
    <d v="2016-09-13T18:22:13"/>
    <d v="2016-10-06T11:24:19"/>
    <m/>
    <m/>
  </r>
  <r>
    <n v="8"/>
    <x v="0"/>
    <x v="0"/>
    <s v="horse riding"/>
    <s v="n. phr."/>
    <s v="骑马"/>
    <d v="2016-07-06T09:04:02"/>
    <d v="2016-09-13T18:26:49"/>
    <d v="2016-09-13T18:26:49"/>
    <d v="2016-07-09T10:53:47"/>
    <d v="2016-10-06T11:24:22"/>
    <d v="2016-09-13T18:26:49"/>
    <d v="2016-10-06T11:24:22"/>
    <m/>
    <m/>
  </r>
  <r>
    <n v="9"/>
    <x v="0"/>
    <x v="0"/>
    <s v="rugby"/>
    <s v="n."/>
    <s v="(英式）橄榄球"/>
    <d v="2016-07-06T09:03:59"/>
    <d v="2016-09-13T18:20:07"/>
    <d v="2016-09-13T18:22:15"/>
    <d v="2016-07-09T09:41:30"/>
    <d v="2016-10-06T11:24:27"/>
    <d v="2016-09-13T18:22:15"/>
    <d v="2016-10-06T11:24:27"/>
    <m/>
    <m/>
  </r>
  <r>
    <n v="10"/>
    <x v="0"/>
    <x v="0"/>
    <s v="sailing"/>
    <s v="n."/>
    <s v="帆船运动"/>
    <d v="2016-07-06T09:03:57"/>
    <d v="2016-09-13T18:20:12"/>
    <d v="2016-09-13T18:22:17"/>
    <d v="2016-07-09T09:41:44"/>
    <d v="2016-10-06T11:24:30"/>
    <d v="2016-09-13T18:22:17"/>
    <d v="2016-10-06T11:24:30"/>
    <m/>
    <m/>
  </r>
  <r>
    <n v="11"/>
    <x v="0"/>
    <x v="0"/>
    <s v="surfing"/>
    <s v="n."/>
    <s v="冲浪运动"/>
    <d v="2016-07-06T09:03:53"/>
    <d v="2016-09-13T18:26:51"/>
    <d v="2016-09-13T18:26:51"/>
    <d v="2016-07-09T09:42:22"/>
    <d v="2016-10-06T11:24:34"/>
    <d v="2016-09-13T18:26:51"/>
    <d v="2016-10-06T11:24:34"/>
    <m/>
    <m/>
  </r>
  <r>
    <n v="12"/>
    <x v="0"/>
    <x v="0"/>
    <s v="table tennis"/>
    <s v="n. phr."/>
    <s v="乒乓球"/>
    <d v="2016-07-06T09:05:28"/>
    <d v="2016-10-06T11:34:44"/>
    <d v="2016-10-06T11:34:43"/>
    <d v="2016-07-09T09:43:14"/>
    <d v="2016-10-06T11:36:29"/>
    <d v="2016-10-06T11:34:44"/>
    <d v="2016-10-06T11:36:29"/>
    <m/>
    <m/>
  </r>
  <r>
    <n v="13"/>
    <x v="0"/>
    <x v="0"/>
    <s v="tennis"/>
    <s v="n."/>
    <s v="网球"/>
    <d v="2016-07-06T09:06:41"/>
    <d v="2016-10-06T11:34:47"/>
    <d v="2016-10-06T11:34:46"/>
    <d v="2016-07-09T09:43:27"/>
    <d v="2016-10-06T11:36:32"/>
    <d v="2016-10-06T11:34:47"/>
    <d v="2016-10-06T11:36:32"/>
    <m/>
    <m/>
  </r>
  <r>
    <n v="14"/>
    <x v="0"/>
    <x v="0"/>
    <s v="volleyball"/>
    <s v="n."/>
    <s v="排球"/>
    <d v="2016-07-06T09:05:31"/>
    <d v="2016-10-06T11:34:50"/>
    <d v="2016-10-06T11:34:49"/>
    <d v="2016-07-09T10:54:36"/>
    <d v="2016-10-06T11:36:36"/>
    <d v="2016-10-06T11:34:50"/>
    <d v="2016-10-06T11:36:36"/>
    <m/>
    <m/>
  </r>
  <r>
    <n v="15"/>
    <x v="0"/>
    <x v="0"/>
    <s v="windsurfing"/>
    <s v="n."/>
    <s v="帆板运动"/>
    <d v="2016-07-06T09:06:47"/>
    <d v="2016-09-13T18:20:34"/>
    <d v="2016-09-13T18:22:27"/>
    <d v="2016-07-09T09:44:13"/>
    <d v="2016-10-06T11:24:54"/>
    <d v="2016-09-13T18:22:27"/>
    <d v="2016-10-06T11:24:54"/>
    <m/>
    <m/>
  </r>
  <r>
    <n v="16"/>
    <x v="0"/>
    <x v="0"/>
    <s v="skiing"/>
    <s v="n."/>
    <s v="滑雪"/>
    <d v="2016-07-06T09:07:30"/>
    <d v="2016-09-13T18:28:17"/>
    <d v="2016-09-13T18:28:17"/>
    <d v="2016-07-09T09:44:20"/>
    <d v="2016-10-06T11:24:57"/>
    <d v="2016-09-13T18:28:17"/>
    <d v="2016-10-06T11:24:57"/>
    <m/>
    <m/>
  </r>
  <r>
    <n v="17"/>
    <x v="0"/>
    <x v="0"/>
    <s v="instead"/>
    <s v="adv."/>
    <s v="代替，更换"/>
    <d v="2016-07-06T09:14:06"/>
    <d v="2016-10-06T11:34:54"/>
    <d v="2016-10-06T11:34:53"/>
    <d v="2016-07-09T09:44:43"/>
    <d v="2016-10-06T11:36:41"/>
    <d v="2016-10-06T11:34:54"/>
    <d v="2016-10-06T11:36:41"/>
    <m/>
    <m/>
  </r>
  <r>
    <n v="18"/>
    <x v="0"/>
    <x v="0"/>
    <s v="partner"/>
    <s v="n."/>
    <s v="伙伴"/>
    <d v="2016-07-06T09:13:57"/>
    <d v="2016-09-13T18:26:57"/>
    <d v="2016-09-13T18:26:57"/>
    <d v="2016-07-09T09:44:58"/>
    <d v="2016-10-06T11:25:05"/>
    <d v="2016-09-13T18:26:57"/>
    <d v="2016-10-06T11:25:05"/>
    <m/>
    <m/>
  </r>
  <r>
    <n v="19"/>
    <x v="0"/>
    <x v="0"/>
    <s v="equipment"/>
    <s v="n."/>
    <s v="（运动）器材；设备"/>
    <d v="2016-07-06T09:14:11"/>
    <d v="2016-09-13T18:26:59"/>
    <d v="2016-09-13T18:26:59"/>
    <d v="2016-07-09T09:45:15"/>
    <d v="2016-10-06T11:25:09"/>
    <d v="2016-09-13T18:26:59"/>
    <d v="2016-10-06T11:25:09"/>
    <m/>
    <m/>
  </r>
  <r>
    <n v="20"/>
    <x v="0"/>
    <x v="0"/>
    <s v="next"/>
    <s v="adj."/>
    <s v="邻接的"/>
    <d v="2016-07-08T11:53:43"/>
    <d v="2016-09-13T18:27:02"/>
    <d v="2016-09-13T18:27:03"/>
    <d v="2016-07-09T09:45:23"/>
    <d v="2016-10-06T11:25:13"/>
    <d v="2016-09-13T18:27:03"/>
    <d v="2016-10-06T11:25:13"/>
    <m/>
    <m/>
  </r>
  <r>
    <n v="21"/>
    <x v="0"/>
    <x v="0"/>
    <s v="match"/>
    <s v="v."/>
    <s v="相配；匹配"/>
    <d v="2016-07-08T11:53:59"/>
    <d v="2016-09-13T18:29:07"/>
    <d v="2016-09-13T18:29:07"/>
    <d v="2016-07-09T10:41:58"/>
    <d v="2016-10-06T11:25:16"/>
    <d v="2016-09-13T18:29:07"/>
    <d v="2016-10-06T11:25:16"/>
    <m/>
    <m/>
  </r>
  <r>
    <n v="22"/>
    <x v="0"/>
    <x v="0"/>
    <s v="dictionary"/>
    <s v="n."/>
    <s v="词典"/>
    <d v="2016-07-08T11:54:12"/>
    <d v="2016-07-08T11:48:35"/>
    <d v="2016-07-08T11:54:02"/>
    <d v="2016-07-09T10:42:20"/>
    <d v="2016-10-06T11:25:19"/>
    <d v="2016-07-08T11:54:12"/>
    <d v="2016-10-06T11:25:19"/>
    <m/>
    <m/>
  </r>
  <r>
    <n v="23"/>
    <x v="0"/>
    <x v="0"/>
    <s v="necessary"/>
    <s v="adj."/>
    <s v="必要的，必需的"/>
    <d v="2016-07-08T11:54:22"/>
    <d v="2016-07-08T12:44:00"/>
    <d v="2016-07-08T11:54:26"/>
    <d v="2016-07-09T10:42:46"/>
    <d v="2016-10-06T11:25:22"/>
    <d v="2016-07-08T12:44:00"/>
    <d v="2016-10-06T11:25:22"/>
    <m/>
    <m/>
  </r>
  <r>
    <n v="24"/>
    <x v="0"/>
    <x v="0"/>
    <s v="bat"/>
    <s v="n."/>
    <s v="（板球、乒乓球等的）球拍"/>
    <d v="2016-07-08T11:54:35"/>
    <d v="2016-07-08T12:44:03"/>
    <d v="2016-07-08T11:54:30"/>
    <d v="2016-07-09T10:42:56"/>
    <d v="2016-10-06T11:25:25"/>
    <d v="2016-07-08T12:44:03"/>
    <d v="2016-10-06T11:25:25"/>
    <m/>
    <m/>
  </r>
  <r>
    <n v="25"/>
    <x v="0"/>
    <x v="0"/>
    <s v="board"/>
    <s v="n."/>
    <s v="木板；牌子"/>
    <d v="2016-07-08T11:54:44"/>
    <d v="2016-07-08T11:55:11"/>
    <d v="2016-07-08T11:54:45"/>
    <d v="2016-07-09T10:43:12"/>
    <d v="2016-10-06T11:25:30"/>
    <d v="2016-07-08T11:55:11"/>
    <d v="2016-10-06T11:25:30"/>
    <m/>
    <m/>
  </r>
  <r>
    <n v="26"/>
    <x v="0"/>
    <x v="0"/>
    <s v="helmet"/>
    <s v="n."/>
    <s v="（曲棍球运动的）头盔"/>
    <d v="2016-07-08T12:41:34"/>
    <d v="2016-10-06T11:35:07"/>
    <d v="2016-10-06T11:35:07"/>
    <d v="2016-07-09T10:43:34"/>
    <d v="2016-10-06T11:36:45"/>
    <d v="2016-10-06T11:35:07"/>
    <d v="2016-10-06T11:36:45"/>
    <m/>
    <m/>
  </r>
  <r>
    <n v="27"/>
    <x v="0"/>
    <x v="0"/>
    <s v="net"/>
    <s v="n."/>
    <s v="球网"/>
    <d v="2016-07-08T12:40:53"/>
    <d v="2016-07-08T12:40:41"/>
    <d v="2016-07-08T12:40:53"/>
    <d v="2016-07-09T10:43:43"/>
    <d v="2016-10-06T11:25:37"/>
    <d v="2016-07-08T12:40:53"/>
    <d v="2016-10-06T11:25:37"/>
    <m/>
    <m/>
  </r>
  <r>
    <n v="28"/>
    <x v="0"/>
    <x v="0"/>
    <s v="racket"/>
    <s v="n."/>
    <s v="（网球、羽毛球等的）球拍"/>
    <d v="2016-07-08T12:40:56"/>
    <d v="2016-07-08T11:49:09"/>
    <d v="2016-07-08T12:40:55"/>
    <d v="2016-07-09T10:44:02"/>
    <d v="2016-10-06T11:25:40"/>
    <d v="2016-07-08T12:40:56"/>
    <d v="2016-10-06T11:25:40"/>
    <m/>
    <m/>
  </r>
  <r>
    <n v="29"/>
    <x v="0"/>
    <x v="0"/>
    <s v="sail"/>
    <s v="n."/>
    <s v="帆"/>
    <d v="2016-07-08T12:41:43"/>
    <d v="2016-07-08T12:41:44"/>
    <d v="2016-07-08T12:41:43"/>
    <d v="2016-07-09T10:44:16"/>
    <d v="2016-10-06T11:25:45"/>
    <d v="2016-07-08T12:41:44"/>
    <d v="2016-10-06T11:25:45"/>
    <m/>
    <m/>
  </r>
  <r>
    <n v="30"/>
    <x v="0"/>
    <x v="0"/>
    <s v="ski"/>
    <s v="n."/>
    <s v="（常用复）滑雪板"/>
    <d v="2016-07-08T12:41:46"/>
    <d v="2016-07-08T12:41:48"/>
    <d v="2016-07-08T12:41:48"/>
    <d v="2016-07-09T10:54:51"/>
    <d v="2016-10-06T11:25:49"/>
    <d v="2016-07-08T12:41:48"/>
    <d v="2016-10-06T11:25:49"/>
    <m/>
    <m/>
  </r>
  <r>
    <n v="31"/>
    <x v="0"/>
    <x v="0"/>
    <s v="stick"/>
    <s v="n."/>
    <s v="（曲棍球、马球等的）球棍"/>
    <d v="2016-07-08T12:41:55"/>
    <d v="2016-07-08T12:41:58"/>
    <d v="2016-07-08T12:41:58"/>
    <d v="2016-07-09T10:55:12"/>
    <d v="2016-10-06T11:25:52"/>
    <d v="2016-07-08T12:41:58"/>
    <d v="2016-10-06T11:25:52"/>
    <m/>
    <m/>
  </r>
  <r>
    <n v="32"/>
    <x v="0"/>
    <x v="0"/>
    <s v="vocabulary"/>
    <s v="n."/>
    <s v="词汇"/>
    <d v="2016-07-08T12:43:49"/>
    <d v="2016-07-08T12:42:34"/>
    <d v="2016-07-08T12:43:50"/>
    <d v="2016-07-09T10:55:47"/>
    <d v="2016-10-06T11:25:55"/>
    <d v="2016-07-08T12:43:50"/>
    <d v="2016-10-06T11:25:55"/>
    <m/>
    <m/>
  </r>
  <r>
    <n v="33"/>
    <x v="0"/>
    <x v="0"/>
    <s v="team"/>
    <s v="n."/>
    <s v="球队"/>
    <d v="2016-07-08T12:42:40"/>
    <d v="2016-07-08T12:42:38"/>
    <d v="2016-07-08T12:42:39"/>
    <d v="2016-07-09T10:46:08"/>
    <d v="2016-10-06T11:25:58"/>
    <d v="2016-07-08T12:42:40"/>
    <d v="2016-10-06T11:25:58"/>
    <m/>
    <m/>
  </r>
  <r>
    <n v="34"/>
    <x v="0"/>
    <x v="0"/>
    <s v="player"/>
    <s v="n."/>
    <s v="球员"/>
    <d v="2016-07-08T12:42:47"/>
    <d v="2016-07-08T12:42:48"/>
    <d v="2016-07-08T12:42:47"/>
    <d v="2016-07-09T10:46:29"/>
    <d v="2016-10-06T11:26:03"/>
    <d v="2016-07-08T12:42:48"/>
    <d v="2016-10-06T11:26:03"/>
    <m/>
    <m/>
  </r>
  <r>
    <n v="35"/>
    <x v="0"/>
    <x v="0"/>
    <s v="goalkeeper"/>
    <s v="n."/>
    <s v="（足球）守门员"/>
    <d v="2016-07-08T12:43:32"/>
    <d v="2016-07-08T11:49:47"/>
    <d v="2016-07-08T12:43:32"/>
    <d v="2016-07-09T10:46:49"/>
    <d v="2016-10-06T11:26:06"/>
    <d v="2016-07-08T12:43:32"/>
    <d v="2016-10-06T11:26:06"/>
    <m/>
    <m/>
  </r>
  <r>
    <n v="36"/>
    <x v="0"/>
    <x v="0"/>
    <s v="captain"/>
    <s v="n."/>
    <s v="（球队）队长；船长；机长"/>
    <d v="2016-07-08T12:43:05"/>
    <d v="2016-07-08T12:43:07"/>
    <d v="2016-07-08T12:43:05"/>
    <d v="2016-07-09T10:47:04"/>
    <d v="2016-10-06T11:26:10"/>
    <d v="2016-07-08T12:43:07"/>
    <d v="2016-10-06T11:26:10"/>
    <m/>
    <m/>
  </r>
  <r>
    <n v="37"/>
    <x v="0"/>
    <x v="0"/>
    <s v="shirt"/>
    <s v="n."/>
    <s v="球衫；衬衫"/>
    <d v="2016-07-08T12:43:09"/>
    <d v="2016-07-08T12:43:10"/>
    <d v="2016-07-08T12:43:10"/>
    <d v="2016-07-09T10:47:17"/>
    <d v="2016-10-06T11:26:12"/>
    <d v="2016-07-08T12:43:10"/>
    <d v="2016-10-06T11:26:12"/>
    <m/>
    <m/>
  </r>
  <r>
    <n v="38"/>
    <x v="0"/>
    <x v="0"/>
    <s v="shorts"/>
    <s v="n."/>
    <s v="短裤"/>
    <d v="2016-07-08T12:43:13"/>
    <d v="2016-07-08T11:50:03"/>
    <d v="2016-07-08T12:43:13"/>
    <d v="2016-07-09T10:47:40"/>
    <d v="2016-10-06T11:26:16"/>
    <d v="2016-07-08T12:43:13"/>
    <d v="2016-10-06T11:26:16"/>
    <m/>
    <m/>
  </r>
  <r>
    <n v="39"/>
    <x v="0"/>
    <x v="0"/>
    <s v="boot"/>
    <s v="n."/>
    <s v="靴；胶靴"/>
    <d v="2016-07-08T12:43:15"/>
    <d v="2016-07-08T11:50:07"/>
    <d v="2016-07-08T12:43:16"/>
    <d v="2016-07-09T10:48:00"/>
    <d v="2016-10-06T11:26:19"/>
    <d v="2016-07-08T12:43:16"/>
    <d v="2016-10-06T11:26:19"/>
    <m/>
    <m/>
  </r>
  <r>
    <n v="40"/>
    <x v="0"/>
    <x v="0"/>
    <s v="goal"/>
    <s v="n."/>
    <s v="球门；进球"/>
    <d v="2016-07-09T10:48:14"/>
    <d v="2016-10-06T11:38:06"/>
    <d v="2016-10-06T11:38:05"/>
    <d v="2016-07-09T10:48:14"/>
    <d v="2016-10-06T11:47:50"/>
    <d v="2016-10-06T11:38:06"/>
    <d v="2016-10-06T11:47:50"/>
    <m/>
    <m/>
  </r>
  <r>
    <n v="41"/>
    <x v="0"/>
    <x v="0"/>
    <s v="spot"/>
    <s v="n."/>
    <s v="点；地点"/>
    <d v="2016-07-11T08:13:53"/>
    <d v="2016-07-11T07:59:57"/>
    <d v="2016-07-11T07:59:56"/>
    <d v="2016-07-11T08:20:09"/>
    <d v="2016-10-06T11:26:28"/>
    <d v="2016-07-11T08:13:53"/>
    <d v="2016-10-06T11:26:28"/>
    <m/>
    <m/>
  </r>
  <r>
    <n v="42"/>
    <x v="0"/>
    <x v="0"/>
    <s v="vocabulary spot"/>
    <s v="n. phr."/>
    <s v="词汇点滴"/>
    <d v="2016-07-11T08:00:12"/>
    <d v="2016-09-13T18:29:10"/>
    <d v="2016-09-13T18:29:10"/>
    <d v="2016-07-11T08:20:40"/>
    <d v="2016-10-06T11:26:32"/>
    <d v="2016-09-13T18:29:10"/>
    <d v="2016-10-06T11:26:32"/>
    <m/>
    <m/>
  </r>
  <r>
    <n v="43"/>
    <x v="0"/>
    <x v="0"/>
    <s v="photograph"/>
    <s v="n."/>
    <s v="照片"/>
    <d v="2016-07-11T08:00:21"/>
    <d v="2016-07-11T08:00:22"/>
    <d v="2016-07-11T08:00:21"/>
    <d v="2016-07-11T20:47:57"/>
    <d v="2016-10-06T11:26:36"/>
    <d v="2016-07-11T08:00:22"/>
    <d v="2016-10-06T11:26:36"/>
    <m/>
    <m/>
  </r>
  <r>
    <n v="44"/>
    <x v="0"/>
    <x v="0"/>
    <s v="unusual"/>
    <s v="adj."/>
    <s v="不同寻常的"/>
    <d v="2016-07-11T08:00:32"/>
    <d v="2016-09-13T18:29:12"/>
    <d v="2016-09-13T18:29:12"/>
    <d v="2016-07-11T08:21:14"/>
    <d v="2016-10-06T11:26:41"/>
    <d v="2016-09-13T18:29:12"/>
    <d v="2016-10-06T11:26:41"/>
    <m/>
    <m/>
  </r>
  <r>
    <n v="45"/>
    <x v="0"/>
    <x v="0"/>
    <s v="mountain boarding"/>
    <s v="n. phr."/>
    <s v="高山滑板"/>
    <d v="2016-07-11T08:13:26"/>
    <d v="2016-07-11T08:13:28"/>
    <d v="2016-07-11T08:13:26"/>
    <d v="2016-07-11T08:21:40"/>
    <d v="2016-10-06T11:26:45"/>
    <d v="2016-07-11T08:13:28"/>
    <d v="2016-10-06T11:26:45"/>
    <m/>
    <m/>
  </r>
  <r>
    <n v="46"/>
    <x v="0"/>
    <x v="0"/>
    <s v="snowfering"/>
    <s v="n."/>
    <s v="滑雪冲浪，雪地冲浪"/>
    <d v="2016-07-11T08:13:43"/>
    <d v="2016-07-11T08:13:44"/>
    <d v="2016-07-11T08:13:44"/>
    <d v="2016-07-11T08:21:59"/>
    <d v="2016-10-06T11:26:48"/>
    <d v="2016-07-11T08:13:44"/>
    <d v="2016-10-06T11:26:48"/>
    <m/>
    <m/>
  </r>
  <r>
    <n v="47"/>
    <x v="0"/>
    <x v="0"/>
    <s v="karting"/>
    <s v="n."/>
    <s v="卡丁车运动"/>
    <d v="2016-07-11T08:12:54"/>
    <d v="2016-09-13T18:29:14"/>
    <d v="2016-09-13T18:29:14"/>
    <d v="2016-07-11T20:48:09"/>
    <d v="2016-10-06T11:26:52"/>
    <d v="2016-09-13T18:29:14"/>
    <d v="2016-10-06T11:26:52"/>
    <m/>
    <m/>
  </r>
  <r>
    <n v="48"/>
    <x v="0"/>
    <x v="0"/>
    <s v="information"/>
    <s v="n."/>
    <s v="消息；通知；信息"/>
    <d v="2016-07-11T08:13:06"/>
    <d v="2016-10-06T11:35:14"/>
    <d v="2016-10-06T11:35:13"/>
    <d v="2016-07-11T08:23:39"/>
    <d v="2016-10-06T11:36:53"/>
    <d v="2016-10-06T11:35:14"/>
    <d v="2016-10-06T11:36:53"/>
    <m/>
    <m/>
  </r>
  <r>
    <n v="49"/>
    <x v="0"/>
    <x v="0"/>
    <s v="sometimes"/>
    <s v="adv."/>
    <s v="不时，有时"/>
    <d v="2016-07-11T08:13:12"/>
    <d v="2016-10-06T11:35:18"/>
    <d v="2016-10-06T11:35:16"/>
    <d v="2016-07-11T08:23:51"/>
    <d v="2016-10-06T11:36:57"/>
    <d v="2016-10-06T11:35:18"/>
    <d v="2016-10-06T11:36:57"/>
    <m/>
    <m/>
  </r>
  <r>
    <n v="50"/>
    <x v="0"/>
    <x v="0"/>
    <s v="indoors"/>
    <s v="adv."/>
    <s v="在室内"/>
    <d v="2016-07-11T08:15:25"/>
    <d v="2016-10-06T11:35:21"/>
    <d v="2016-10-06T11:35:20"/>
    <d v="2016-07-11T08:24:00"/>
    <d v="2016-10-06T11:37:02"/>
    <d v="2016-10-06T11:35:21"/>
    <d v="2016-10-06T11:37:02"/>
    <m/>
    <m/>
  </r>
  <r>
    <n v="51"/>
    <x v="0"/>
    <x v="0"/>
    <s v="kart"/>
    <s v="n."/>
    <s v="卡丁车"/>
    <d v="2016-07-11T08:14:08"/>
    <d v="2016-07-11T08:14:08"/>
    <d v="2016-07-11T08:14:08"/>
    <d v="2016-07-11T08:24:06"/>
    <d v="2016-10-06T11:27:11"/>
    <d v="2016-07-11T08:14:08"/>
    <d v="2016-10-06T11:27:11"/>
    <m/>
    <m/>
  </r>
  <r>
    <n v="52"/>
    <x v="0"/>
    <x v="0"/>
    <s v="suggest"/>
    <s v="v."/>
    <s v="建议"/>
    <d v="2016-07-11T08:14:18"/>
    <d v="2016-10-06T11:35:24"/>
    <d v="2016-10-06T11:35:24"/>
    <d v="2016-07-11T08:24:15"/>
    <d v="2016-10-06T11:37:06"/>
    <d v="2016-10-06T11:35:24"/>
    <d v="2016-10-06T11:37:06"/>
    <m/>
    <m/>
  </r>
  <r>
    <n v="53"/>
    <x v="0"/>
    <x v="0"/>
    <s v="language"/>
    <s v="n."/>
    <s v="语言"/>
    <d v="2016-07-11T08:15:46"/>
    <d v="2016-07-11T08:15:47"/>
    <d v="2016-07-11T08:15:46"/>
    <d v="2016-07-11T08:24:31"/>
    <d v="2016-10-06T11:27:20"/>
    <d v="2016-07-11T08:15:47"/>
    <d v="2016-10-06T11:27:20"/>
    <m/>
    <m/>
  </r>
  <r>
    <n v="54"/>
    <x v="0"/>
    <x v="0"/>
    <s v="focus"/>
    <s v="n."/>
    <s v="焦点；中心"/>
    <d v="2016-07-11T08:16:36"/>
    <d v="2016-10-06T11:35:28"/>
    <d v="2016-10-06T11:35:27"/>
    <d v="2016-07-11T20:49:07"/>
    <d v="2016-10-06T11:37:09"/>
    <d v="2016-10-06T11:35:28"/>
    <d v="2016-10-06T11:37:09"/>
    <m/>
    <m/>
  </r>
  <r>
    <n v="55"/>
    <x v="0"/>
    <x v="0"/>
    <s v="language focus"/>
    <s v="n. phr."/>
    <s v="语言点"/>
    <d v="2016-07-11T08:17:33"/>
    <d v="2016-10-06T11:35:32"/>
    <d v="2016-10-06T11:35:32"/>
    <d v="2016-07-11T08:25:53"/>
    <d v="2016-10-06T11:37:14"/>
    <d v="2016-10-06T11:35:32"/>
    <d v="2016-10-06T11:37:14"/>
    <m/>
    <m/>
  </r>
  <r>
    <n v="56"/>
    <x v="0"/>
    <x v="0"/>
    <s v="surf"/>
    <s v="v."/>
    <s v="冲浪"/>
    <d v="2016-07-11T08:16:51"/>
    <d v="2016-10-06T11:38:08"/>
    <d v="2016-10-06T11:38:08"/>
    <d v="2016-07-11T08:26:03"/>
    <d v="2016-10-06T11:47:53"/>
    <d v="2016-10-06T11:38:08"/>
    <d v="2016-10-06T11:47:53"/>
    <m/>
    <m/>
  </r>
  <r>
    <n v="57"/>
    <x v="0"/>
    <x v="0"/>
    <s v="never"/>
    <s v="adv."/>
    <s v="决不；从未"/>
    <d v="2016-07-11T08:14:51"/>
    <d v="2016-10-06T11:35:41"/>
    <d v="2016-10-06T11:35:40"/>
    <d v="2016-07-11T08:26:10"/>
    <d v="2016-10-06T11:37:42"/>
    <d v="2016-10-06T11:35:41"/>
    <d v="2016-10-06T11:37:42"/>
    <m/>
    <m/>
  </r>
  <r>
    <n v="58"/>
    <x v="0"/>
    <x v="0"/>
    <s v="rewrite"/>
    <s v="v."/>
    <s v="重写；改写"/>
    <d v="2016-07-11T08:15:00"/>
    <d v="2016-10-06T11:35:49"/>
    <d v="2016-10-06T11:35:48"/>
    <d v="2016-07-11T08:26:23"/>
    <d v="2016-10-06T11:37:46"/>
    <d v="2016-10-06T11:35:49"/>
    <d v="2016-10-06T11:37:46"/>
    <m/>
    <m/>
  </r>
  <r>
    <n v="59"/>
    <x v="0"/>
    <x v="0"/>
    <s v="add"/>
    <s v="v."/>
    <s v="增加；添加"/>
    <d v="2016-07-17T21:29:52"/>
    <d v="2016-07-17T21:29:52"/>
    <d v="2016-07-17T21:29:52"/>
    <m/>
    <d v="2016-10-06T11:27:42"/>
    <d v="2016-07-17T21:29:52"/>
    <s v=""/>
    <m/>
    <m/>
  </r>
  <r>
    <n v="60"/>
    <x v="0"/>
    <x v="0"/>
    <s v="agree with"/>
    <s v="v. phr."/>
    <s v="同意（某人的观点）"/>
    <d v="2016-07-11T08:18:41"/>
    <d v="2016-10-06T11:35:54"/>
    <d v="2016-10-06T11:35:52"/>
    <d v="2016-07-11T08:26:57"/>
    <d v="2016-10-06T11:37:50"/>
    <d v="2016-10-06T11:35:54"/>
    <d v="2016-10-06T11:37:50"/>
    <m/>
    <m/>
  </r>
  <r>
    <n v="61"/>
    <x v="0"/>
    <x v="0"/>
    <s v="cyclist"/>
    <s v="n."/>
    <s v="自行车运动员"/>
    <d v="2016-10-06T11:35:58"/>
    <d v="2016-09-13T17:54:15"/>
    <d v="2016-10-06T11:35:56"/>
    <m/>
    <d v="2016-10-06T11:37:53"/>
    <d v="2016-10-06T11:35:58"/>
    <s v=""/>
    <m/>
    <m/>
  </r>
  <r>
    <n v="62"/>
    <x v="0"/>
    <x v="0"/>
    <s v="footballer"/>
    <s v="n."/>
    <s v="足球运动员"/>
    <d v="2016-10-06T11:38:12"/>
    <d v="2016-09-13T17:54:18"/>
    <d v="2016-10-06T11:38:11"/>
    <m/>
    <d v="2016-10-06T11:47:56"/>
    <d v="2016-10-06T11:38:12"/>
    <s v=""/>
    <m/>
    <m/>
  </r>
  <r>
    <n v="63"/>
    <x v="0"/>
    <x v="0"/>
    <s v="surfer"/>
    <s v="n."/>
    <s v="冲浪运动员"/>
    <d v="2016-10-06T11:38:14"/>
    <d v="2016-09-13T17:54:23"/>
    <d v="2016-10-06T11:38:14"/>
    <m/>
    <d v="2016-10-06T11:47:59"/>
    <d v="2016-10-06T11:38:14"/>
    <s v=""/>
    <m/>
    <m/>
  </r>
  <r>
    <n v="64"/>
    <x v="0"/>
    <x v="0"/>
    <s v="gymnast"/>
    <s v="n."/>
    <s v="体操运动员"/>
    <d v="2016-10-06T11:38:16"/>
    <d v="2016-09-13T17:54:30"/>
    <d v="2016-10-06T11:38:17"/>
    <m/>
    <d v="2016-10-06T11:48:01"/>
    <d v="2016-10-06T11:38:17"/>
    <s v=""/>
    <m/>
    <m/>
  </r>
  <r>
    <n v="65"/>
    <x v="0"/>
    <x v="0"/>
    <s v="athlete"/>
    <s v="n."/>
    <s v="运动员"/>
    <d v="2016-10-06T11:38:26"/>
    <d v="2016-10-06T11:38:28"/>
    <d v="2016-10-06T11:38:27"/>
    <m/>
    <d v="2016-10-06T11:48:05"/>
    <d v="2016-10-06T11:38:28"/>
    <s v=""/>
    <m/>
    <m/>
  </r>
  <r>
    <n v="66"/>
    <x v="0"/>
    <x v="0"/>
    <s v="tidy"/>
    <s v="adj."/>
    <s v="整洁的"/>
    <d v="2016-07-06T20:46:19"/>
    <d v="2016-07-06T20:47:09"/>
    <d v="2016-07-06T20:46:20"/>
    <d v="2016-07-08T11:04:45"/>
    <d v="2016-10-06T11:28:09"/>
    <d v="2016-07-06T20:47:09"/>
    <d v="2016-10-06T11:28:09"/>
    <m/>
    <m/>
  </r>
  <r>
    <n v="67"/>
    <x v="0"/>
    <x v="0"/>
    <s v="tidy"/>
    <s v="v."/>
    <s v="使整洁"/>
    <d v="2016-07-06T20:46:24"/>
    <d v="2016-07-06T20:47:07"/>
    <d v="2016-07-06T20:46:24"/>
    <d v="2016-07-08T11:04:50"/>
    <d v="2016-10-06T11:28:12"/>
    <d v="2016-07-06T20:47:07"/>
    <d v="2016-10-06T11:28:12"/>
    <m/>
    <m/>
  </r>
  <r>
    <n v="68"/>
    <x v="0"/>
    <x v="0"/>
    <s v="complete"/>
    <s v="v."/>
    <s v="完成；填写"/>
    <d v="2016-07-11T21:36:54"/>
    <d v="2016-07-11T21:36:55"/>
    <d v="2016-07-11T21:36:54"/>
    <d v="2016-07-11T22:04:43"/>
    <d v="2016-10-06T11:28:16"/>
    <d v="2016-07-11T21:36:55"/>
    <d v="2016-10-06T11:28:16"/>
    <m/>
    <m/>
  </r>
  <r>
    <n v="69"/>
    <x v="0"/>
    <x v="0"/>
    <s v="cheese"/>
    <s v="n."/>
    <s v="奶酪"/>
    <d v="2016-10-06T11:38:29"/>
    <d v="2016-09-13T18:11:42"/>
    <d v="2016-10-06T11:38:30"/>
    <m/>
    <d v="2016-10-06T11:48:07"/>
    <d v="2016-10-06T11:38:30"/>
    <s v=""/>
    <m/>
    <m/>
  </r>
  <r>
    <n v="70"/>
    <x v="0"/>
    <x v="0"/>
    <s v="televsion"/>
    <s v="n."/>
    <s v="电视；电视机"/>
    <d v="2016-10-06T11:38:31"/>
    <d v="2016-09-13T18:12:18"/>
    <d v="2016-10-06T11:38:32"/>
    <m/>
    <d v="2016-10-06T11:48:10"/>
    <d v="2016-10-06T11:38:32"/>
    <s v=""/>
    <m/>
    <m/>
  </r>
  <r>
    <n v="71"/>
    <x v="0"/>
    <x v="0"/>
    <s v="pronunciation"/>
    <s v="n."/>
    <s v="发音"/>
    <d v="2016-10-06T11:38:54"/>
    <d v="2016-10-06T11:38:56"/>
    <d v="2016-10-06T11:38:55"/>
    <m/>
    <d v="2016-10-06T11:48:14"/>
    <d v="2016-10-06T11:38:56"/>
    <s v=""/>
    <m/>
    <m/>
  </r>
  <r>
    <n v="72"/>
    <x v="0"/>
    <x v="0"/>
    <s v="wheel"/>
    <s v="n."/>
    <s v="车轮"/>
    <d v="2016-10-06T11:38:59"/>
    <d v="2016-09-13T18:12:38"/>
    <d v="2016-10-06T11:38:59"/>
    <m/>
    <d v="2016-10-06T11:48:17"/>
    <d v="2016-10-06T11:38:59"/>
    <s v=""/>
    <m/>
    <m/>
  </r>
  <r>
    <n v="73"/>
    <x v="0"/>
    <x v="0"/>
    <s v="column"/>
    <s v="n."/>
    <s v="（印刷物上的）栏"/>
    <d v="2016-10-06T11:39:02"/>
    <d v="2016-10-06T11:39:03"/>
    <d v="2016-10-06T11:39:02"/>
    <m/>
    <d v="2016-10-06T11:48:21"/>
    <d v="2016-10-06T11:39:03"/>
    <s v=""/>
    <m/>
    <m/>
  </r>
  <r>
    <n v="74"/>
    <x v="0"/>
    <x v="0"/>
    <s v="steep"/>
    <s v="adj."/>
    <s v="陡峭的"/>
    <d v="2016-10-06T11:39:08"/>
    <d v="2016-10-06T11:39:09"/>
    <d v="2016-10-06T11:39:08"/>
    <m/>
    <d v="2016-10-06T11:48:24"/>
    <d v="2016-10-06T11:39:09"/>
    <s v=""/>
    <m/>
    <m/>
  </r>
  <r>
    <n v="75"/>
    <x v="0"/>
    <x v="0"/>
    <s v="knee"/>
    <s v="n."/>
    <s v="膝盖"/>
    <d v="2016-10-06T11:39:11"/>
    <d v="2016-10-06T11:39:11"/>
    <d v="2016-10-06T11:39:11"/>
    <m/>
    <d v="2016-10-06T11:48:28"/>
    <d v="2016-10-06T11:39:11"/>
    <s v=""/>
    <m/>
    <m/>
  </r>
  <r>
    <n v="76"/>
    <x v="0"/>
    <x v="0"/>
    <s v="recording"/>
    <s v="n."/>
    <s v="录音；唱片"/>
    <d v="2016-10-06T11:39:14"/>
    <d v="2016-10-06T11:39:15"/>
    <d v="2016-10-06T11:39:14"/>
    <m/>
    <d v="2016-10-06T11:48:50"/>
    <d v="2016-10-06T11:39:15"/>
    <s v=""/>
    <m/>
    <m/>
  </r>
  <r>
    <n v="77"/>
    <x v="0"/>
    <x v="0"/>
    <s v="activity"/>
    <s v="n."/>
    <s v="活动"/>
    <d v="2016-10-06T11:39:17"/>
    <d v="2016-10-06T11:39:18"/>
    <d v="2016-10-06T11:39:18"/>
    <m/>
    <d v="2016-10-06T11:48:53"/>
    <d v="2016-10-06T11:39:18"/>
    <s v=""/>
    <m/>
    <m/>
  </r>
  <r>
    <n v="78"/>
    <x v="0"/>
    <x v="0"/>
    <s v="choose"/>
    <s v="v."/>
    <s v="选择"/>
    <d v="2016-10-06T11:39:20"/>
    <d v="2016-10-06T11:39:21"/>
    <d v="2016-10-06T11:39:21"/>
    <m/>
    <d v="2016-10-06T11:48:57"/>
    <d v="2016-10-06T11:39:21"/>
    <s v=""/>
    <m/>
    <m/>
  </r>
  <r>
    <n v="79"/>
    <x v="0"/>
    <x v="0"/>
    <s v="hobby"/>
    <s v="n."/>
    <s v="业余爱好"/>
    <d v="2016-10-06T11:39:23"/>
    <d v="2016-10-06T11:39:24"/>
    <d v="2016-10-06T11:39:23"/>
    <m/>
    <d v="2016-10-06T11:49:01"/>
    <d v="2016-10-06T11:39:24"/>
    <s v=""/>
    <m/>
    <m/>
  </r>
  <r>
    <n v="80"/>
    <x v="0"/>
    <x v="0"/>
    <s v="alone"/>
    <s v="adv."/>
    <s v="独自一人"/>
    <d v="2016-10-06T11:39:26"/>
    <d v="2016-10-06T11:49:42"/>
    <d v="2016-10-06T11:49:41"/>
    <m/>
    <d v="2016-10-06T11:51:41"/>
    <d v="2016-10-06T11:49:42"/>
    <s v=""/>
    <m/>
    <m/>
  </r>
  <r>
    <n v="81"/>
    <x v="0"/>
    <x v="0"/>
    <s v="field"/>
    <s v="n."/>
    <s v="（足球）场地"/>
    <d v="2016-10-06T11:39:30"/>
    <d v="2016-10-06T11:39:32"/>
    <d v="2016-10-06T11:39:31"/>
    <m/>
    <d v="2016-10-06T11:49:08"/>
    <d v="2016-10-06T11:39:32"/>
    <s v=""/>
    <m/>
    <m/>
  </r>
  <r>
    <n v="82"/>
    <x v="0"/>
    <x v="0"/>
    <s v="fall over"/>
    <s v="v. phr."/>
    <s v="跌倒"/>
    <d v="2016-10-06T11:39:34"/>
    <d v="2016-10-06T11:39:35"/>
    <d v="2016-10-06T11:39:34"/>
    <m/>
    <d v="2016-10-06T11:49:24"/>
    <d v="2016-10-06T11:39:35"/>
    <s v=""/>
    <m/>
    <m/>
  </r>
  <r>
    <n v="83"/>
    <x v="0"/>
    <x v="0"/>
    <s v="dangerous"/>
    <s v="adj."/>
    <s v="危险的"/>
    <d v="2016-10-06T11:39:36"/>
    <d v="2016-10-06T11:39:37"/>
    <d v="2016-10-06T11:39:37"/>
    <m/>
    <d v="2016-10-06T11:49:27"/>
    <d v="2016-10-06T11:39:37"/>
    <s v=""/>
    <m/>
    <m/>
  </r>
  <r>
    <n v="84"/>
    <x v="0"/>
    <x v="0"/>
    <s v="poster"/>
    <s v="n."/>
    <s v="张贴画；海报"/>
    <d v="2016-10-06T11:39:39"/>
    <d v="2016-10-06T11:39:41"/>
    <d v="2016-10-06T11:39:40"/>
    <m/>
    <d v="2016-10-06T11:49:31"/>
    <d v="2016-10-06T11:39:41"/>
    <s v=""/>
    <m/>
    <m/>
  </r>
  <r>
    <n v="85"/>
    <x v="0"/>
    <x v="0"/>
    <s v="sportsman"/>
    <s v="n."/>
    <s v="男运动员"/>
    <d v="2016-10-06T11:49:45"/>
    <d v="2016-10-06T11:49:45"/>
    <d v="2016-10-06T11:49:44"/>
    <m/>
    <d v="2016-10-06T11:51:44"/>
    <d v="2016-10-06T11:49:45"/>
    <s v=""/>
    <m/>
    <m/>
  </r>
  <r>
    <n v="86"/>
    <x v="0"/>
    <x v="0"/>
    <s v="sportswoman"/>
    <s v="n."/>
    <s v="女运动员"/>
    <d v="2016-10-06T11:49:48"/>
    <d v="2016-10-06T11:49:48"/>
    <d v="2016-10-06T11:49:48"/>
    <m/>
    <d v="2016-10-06T11:51:48"/>
    <d v="2016-10-06T11:49:48"/>
    <s v=""/>
    <m/>
    <m/>
  </r>
  <r>
    <n v="87"/>
    <x v="0"/>
    <x v="0"/>
    <s v="admire"/>
    <s v="v."/>
    <s v="敬慕"/>
    <d v="2016-10-06T11:50:12"/>
    <d v="2016-10-06T11:50:14"/>
    <d v="2016-10-06T11:50:13"/>
    <m/>
    <d v="2016-10-06T11:52:00"/>
    <d v="2016-10-06T11:50:14"/>
    <s v=""/>
    <m/>
    <m/>
  </r>
  <r>
    <n v="88"/>
    <x v="0"/>
    <x v="0"/>
    <s v="summary"/>
    <s v="n."/>
    <s v="总结；概要"/>
    <d v="2016-10-06T11:50:17"/>
    <d v="2016-10-06T11:53:29"/>
    <d v="2016-10-06T11:53:28"/>
    <m/>
    <d v="2016-10-06T11:53:36"/>
    <d v="2016-10-06T11:53:29"/>
    <s v=""/>
    <m/>
    <m/>
  </r>
  <r>
    <n v="89"/>
    <x v="0"/>
    <x v="0"/>
    <s v="language summary"/>
    <s v="n. phr."/>
    <s v="语言总结"/>
    <d v="2016-10-06T11:50:21"/>
    <d v="2016-10-06T11:50:22"/>
    <d v="2016-10-06T11:50:22"/>
    <m/>
    <d v="2016-10-06T11:52:07"/>
    <d v="2016-10-06T11:50:22"/>
    <s v=""/>
    <m/>
    <m/>
  </r>
  <r>
    <n v="90"/>
    <x v="0"/>
    <x v="0"/>
    <s v="folder"/>
    <s v="n."/>
    <s v="文件夹"/>
    <d v="2016-10-06T11:50:24"/>
    <d v="2016-10-06T11:50:27"/>
    <d v="2016-10-06T11:50:25"/>
    <m/>
    <d v="2016-10-06T11:52:10"/>
    <d v="2016-10-06T11:50:27"/>
    <s v=""/>
    <m/>
    <m/>
  </r>
  <r>
    <n v="91"/>
    <x v="0"/>
    <x v="0"/>
    <s v="exam folder"/>
    <s v="n. phr."/>
    <s v="考试活页夹"/>
    <d v="2016-10-06T11:50:29"/>
    <d v="2016-10-06T11:50:30"/>
    <d v="2016-10-06T11:50:30"/>
    <m/>
    <d v="2016-10-06T11:52:14"/>
    <d v="2016-10-06T11:50:30"/>
    <s v=""/>
    <m/>
    <m/>
  </r>
  <r>
    <n v="92"/>
    <x v="0"/>
    <x v="0"/>
    <s v="email"/>
    <s v="n."/>
    <s v="电子邮件"/>
    <d v="2016-10-06T11:50:32"/>
    <d v="2016-10-06T11:50:34"/>
    <d v="2016-10-06T11:50:34"/>
    <m/>
    <d v="2016-10-06T11:52:17"/>
    <d v="2016-10-06T11:50:34"/>
    <s v=""/>
    <m/>
    <m/>
  </r>
  <r>
    <n v="93"/>
    <x v="0"/>
    <x v="0"/>
    <s v="message"/>
    <s v="n."/>
    <s v="短信；留言"/>
    <d v="2016-10-06T11:50:36"/>
    <d v="2016-10-06T11:50:36"/>
    <d v="2016-10-06T11:50:36"/>
    <m/>
    <d v="2016-10-06T11:52:20"/>
    <d v="2016-10-06T11:50:36"/>
    <s v=""/>
    <m/>
    <m/>
  </r>
  <r>
    <n v="94"/>
    <x v="0"/>
    <x v="0"/>
    <s v="notice"/>
    <s v="n."/>
    <s v="通知"/>
    <d v="2016-10-06T11:50:38"/>
    <d v="2016-10-06T11:50:41"/>
    <d v="2016-10-06T11:50:40"/>
    <m/>
    <d v="2016-10-06T11:52:25"/>
    <d v="2016-10-06T11:50:41"/>
    <s v=""/>
    <m/>
    <m/>
  </r>
  <r>
    <n v="95"/>
    <x v="0"/>
    <x v="0"/>
    <s v="notice"/>
    <s v="v."/>
    <s v="注意到"/>
    <d v="2016-10-06T11:50:43"/>
    <d v="2016-10-06T11:50:45"/>
    <d v="2016-10-06T11:50:44"/>
    <m/>
    <d v="2016-10-06T11:52:29"/>
    <d v="2016-10-06T11:50:45"/>
    <s v=""/>
    <m/>
    <m/>
  </r>
  <r>
    <n v="96"/>
    <x v="0"/>
    <x v="0"/>
    <s v="college"/>
    <s v="n."/>
    <s v="学院"/>
    <d v="2016-10-06T11:50:47"/>
    <d v="2016-10-06T11:50:48"/>
    <d v="2016-10-06T11:50:47"/>
    <m/>
    <d v="2016-10-06T11:52:34"/>
    <d v="2016-10-06T11:50:48"/>
    <s v=""/>
    <m/>
    <m/>
  </r>
  <r>
    <n v="97"/>
    <x v="0"/>
    <x v="0"/>
    <s v="as usual"/>
    <s v="adv. phr."/>
    <s v="像往常一样"/>
    <d v="2016-10-06T11:50:52"/>
    <d v="2016-10-06T11:50:53"/>
    <d v="2016-10-06T11:50:52"/>
    <m/>
    <d v="2016-10-06T11:52:38"/>
    <d v="2016-10-06T11:50:53"/>
    <s v=""/>
    <m/>
    <m/>
  </r>
  <r>
    <n v="98"/>
    <x v="0"/>
    <x v="0"/>
    <s v="except"/>
    <s v="prep."/>
    <s v="除了…以外"/>
    <d v="2016-10-06T11:50:56"/>
    <d v="2016-10-06T11:51:00"/>
    <d v="2016-10-06T11:50:59"/>
    <m/>
    <d v="2016-10-06T11:52:50"/>
    <d v="2016-10-06T11:51:00"/>
    <s v=""/>
    <m/>
    <m/>
  </r>
  <r>
    <n v="99"/>
    <x v="0"/>
    <x v="0"/>
    <s v="underline"/>
    <s v="v."/>
    <s v="在…下划线"/>
    <d v="2016-10-06T11:51:02"/>
    <d v="2016-10-06T11:51:03"/>
    <d v="2016-10-06T11:51:02"/>
    <m/>
    <d v="2016-10-06T11:52:53"/>
    <d v="2016-10-06T11:51:03"/>
    <s v=""/>
    <m/>
    <m/>
  </r>
  <r>
    <n v="100"/>
    <x v="0"/>
    <x v="0"/>
    <s v="cancel"/>
    <s v="v."/>
    <s v="取消"/>
    <d v="2016-10-06T11:51:05"/>
    <d v="2016-10-06T11:51:10"/>
    <d v="2016-10-06T11:51:09"/>
    <m/>
    <d v="2016-10-06T11:53:03"/>
    <d v="2016-10-06T11:51:10"/>
    <s v=""/>
    <m/>
    <m/>
  </r>
  <r>
    <n v="101"/>
    <x v="0"/>
    <x v="0"/>
    <s v="shut"/>
    <s v="v."/>
    <s v="停止营业（尤指暂时的）"/>
    <d v="2016-10-06T11:51:12"/>
    <d v="2016-10-06T11:51:13"/>
    <d v="2016-10-06T11:51:13"/>
    <m/>
    <d v="2016-10-06T11:53:06"/>
    <d v="2016-10-06T11:51:13"/>
    <s v=""/>
    <m/>
    <m/>
  </r>
  <r>
    <n v="102"/>
    <x v="0"/>
    <x v="0"/>
    <s v="Spanish"/>
    <s v="n."/>
    <s v="西班牙人；西班牙语"/>
    <d v="2016-10-06T11:51:16"/>
    <d v="2016-10-06T11:51:18"/>
    <d v="2016-10-06T11:51:17"/>
    <m/>
    <d v="2016-10-06T11:53:10"/>
    <d v="2016-10-06T11:51:18"/>
    <s v=""/>
    <m/>
    <m/>
  </r>
  <r>
    <n v="103"/>
    <x v="0"/>
    <x v="0"/>
    <s v="Mexican"/>
    <s v="n."/>
    <s v="墨西哥人"/>
    <d v="2016-10-06T11:51:23"/>
    <d v="2016-10-06T11:51:22"/>
    <d v="2016-10-06T11:51:21"/>
    <m/>
    <d v="2016-10-06T11:53:13"/>
    <d v="2016-10-06T11:51:23"/>
    <s v=""/>
    <m/>
    <m/>
  </r>
  <r>
    <n v="104"/>
    <x v="0"/>
    <x v="0"/>
    <s v="capital"/>
    <s v="n."/>
    <s v="首都"/>
    <d v="2016-10-06T11:51:25"/>
    <d v="2016-10-06T11:51:26"/>
    <d v="2016-10-06T11:51:25"/>
    <m/>
    <d v="2016-10-06T11:53:17"/>
    <d v="2016-10-06T11:51:26"/>
    <s v=""/>
    <m/>
    <m/>
  </r>
  <r>
    <n v="105"/>
    <x v="1"/>
    <x v="1"/>
    <s v="goal"/>
    <s v="n."/>
    <s v="目标"/>
    <d v="2016-07-12T09:08:20"/>
    <d v="2016-07-12T09:08:20"/>
    <d v="2016-07-12T09:08:20"/>
    <d v="2016-07-08T11:01:28"/>
    <d v="2016-07-24T11:10:32"/>
    <d v="2016-07-12T09:08:20"/>
    <d v="2016-07-24T11:10:32"/>
    <m/>
    <m/>
  </r>
  <r>
    <n v="106"/>
    <x v="1"/>
    <x v="1"/>
    <s v="aim"/>
    <s v="n."/>
    <s v="目标；瞄准"/>
    <d v="2016-07-06T20:23:45"/>
    <d v="2016-07-06T20:26:40"/>
    <d v="2016-07-06T20:23:45"/>
    <d v="2016-07-08T11:01:46"/>
    <d v="2016-07-10T18:43:17"/>
    <d v="2016-07-06T20:26:40"/>
    <d v="2016-07-10T18:43:17"/>
    <m/>
    <m/>
  </r>
  <r>
    <n v="107"/>
    <x v="1"/>
    <x v="1"/>
    <s v="come up with"/>
    <s v="v. phr."/>
    <s v="想出主意"/>
    <d v="2016-07-06T20:22:08"/>
    <d v="2016-07-06T20:25:49"/>
    <d v="2016-07-06T20:22:08"/>
    <d v="2016-07-08T11:01:59"/>
    <d v="2016-07-10T18:43:30"/>
    <d v="2016-07-06T20:25:49"/>
    <d v="2016-07-10T18:43:30"/>
    <m/>
    <m/>
  </r>
  <r>
    <n v="108"/>
    <x v="1"/>
    <x v="1"/>
    <s v="deposit"/>
    <s v="n."/>
    <s v="押金；定金"/>
    <d v="2016-07-06T20:23:27"/>
    <d v="2016-07-06T20:26:55"/>
    <d v="2016-07-06T20:23:30"/>
    <d v="2016-07-08T11:02:07"/>
    <d v="2016-07-10T18:43:44"/>
    <d v="2016-07-06T20:26:55"/>
    <d v="2016-07-10T18:43:44"/>
    <m/>
    <m/>
  </r>
  <r>
    <n v="109"/>
    <x v="1"/>
    <x v="1"/>
    <s v="refund"/>
    <s v="v."/>
    <s v="退款"/>
    <d v="2016-07-06T20:29:49"/>
    <d v="2016-07-06T20:32:09"/>
    <d v="2016-07-06T20:29:49"/>
    <d v="2016-07-08T11:02:43"/>
    <d v="2016-07-24T11:10:35"/>
    <d v="2016-07-06T20:32:09"/>
    <d v="2016-07-24T11:10:35"/>
    <m/>
    <m/>
  </r>
  <r>
    <n v="110"/>
    <x v="1"/>
    <x v="1"/>
    <s v="replace"/>
    <s v="v."/>
    <s v="代替，取代"/>
    <d v="2016-07-06T20:30:04"/>
    <d v="2016-07-06T20:58:48"/>
    <d v="2016-07-06T20:30:05"/>
    <d v="2016-07-08T11:03:02"/>
    <d v="2016-07-10T18:44:19"/>
    <d v="2016-07-06T20:58:48"/>
    <d v="2016-07-10T18:44:19"/>
    <m/>
    <m/>
  </r>
  <r>
    <n v="111"/>
    <x v="1"/>
    <x v="1"/>
    <s v="charge"/>
    <s v="v."/>
    <s v="收费（动词）"/>
    <d v="2016-07-06T20:30:19"/>
    <d v="2016-07-06T21:04:12"/>
    <d v="2016-07-06T20:30:20"/>
    <d v="2016-07-08T11:03:11"/>
    <d v="2016-07-10T18:44:30"/>
    <d v="2016-07-06T21:04:12"/>
    <d v="2016-07-10T18:44:30"/>
    <m/>
    <m/>
  </r>
  <r>
    <n v="112"/>
    <x v="1"/>
    <x v="1"/>
    <s v="charge"/>
    <s v="n."/>
    <s v="收费（名词），费用"/>
    <d v="2016-07-06T20:30:24"/>
    <d v="2016-07-06T21:04:09"/>
    <d v="2016-07-06T20:30:24"/>
    <d v="2016-07-08T11:03:20"/>
    <d v="2016-07-10T18:44:34"/>
    <d v="2016-07-06T21:04:09"/>
    <d v="2016-07-10T18:44:34"/>
    <m/>
    <m/>
  </r>
  <r>
    <n v="113"/>
    <x v="1"/>
    <x v="1"/>
    <s v="collect"/>
    <s v="v."/>
    <s v="收集；接，捡，摘，拿，取"/>
    <d v="2016-07-06T20:30:39"/>
    <d v="2016-07-06T20:42:36"/>
    <d v="2016-07-06T20:30:40"/>
    <d v="2016-07-08T11:03:33"/>
    <d v="2016-07-10T18:44:46"/>
    <d v="2016-07-06T20:42:36"/>
    <d v="2016-07-10T18:44:46"/>
    <m/>
    <m/>
  </r>
  <r>
    <n v="114"/>
    <x v="1"/>
    <x v="1"/>
    <s v="lock"/>
    <s v="n."/>
    <s v="锁"/>
    <d v="2016-07-06T20:38:44"/>
    <d v="2016-07-06T20:42:38"/>
    <d v="2016-07-06T20:38:44"/>
    <d v="2016-07-08T11:03:38"/>
    <d v="2016-07-10T18:44:53"/>
    <d v="2016-07-06T20:42:38"/>
    <d v="2016-07-10T18:44:53"/>
    <m/>
    <m/>
  </r>
  <r>
    <n v="115"/>
    <x v="1"/>
    <x v="1"/>
    <s v="not … until"/>
    <s v="phrase"/>
    <s v="直到…才"/>
    <d v="2016-07-06T20:39:04"/>
    <d v="2016-07-06T20:40:51"/>
    <d v="2016-07-06T20:39:05"/>
    <d v="2016-07-08T11:03:49"/>
    <d v="2016-07-10T18:44:57"/>
    <d v="2016-07-06T20:40:51"/>
    <d v="2016-07-10T18:44:57"/>
    <m/>
    <m/>
  </r>
  <r>
    <n v="116"/>
    <x v="1"/>
    <x v="1"/>
    <s v="concert"/>
    <s v="n."/>
    <s v="音乐会"/>
    <d v="2016-07-06T20:39:15"/>
    <d v="2016-07-06T20:58:58"/>
    <d v="2016-07-06T20:39:16"/>
    <d v="2016-07-08T11:04:03"/>
    <d v="2016-07-10T18:45:03"/>
    <d v="2016-07-06T20:58:58"/>
    <d v="2016-07-10T18:45:03"/>
    <m/>
    <m/>
  </r>
  <r>
    <n v="117"/>
    <x v="1"/>
    <x v="1"/>
    <s v="would rather"/>
    <s v="v. phr."/>
    <s v="宁愿"/>
    <d v="2016-07-06T20:39:31"/>
    <d v="2016-07-06T20:41:00"/>
    <d v="2016-07-06T20:39:32"/>
    <d v="2016-07-08T11:04:14"/>
    <d v="2016-07-10T18:45:15"/>
    <d v="2016-07-06T20:41:00"/>
    <d v="2016-07-10T18:45:15"/>
    <m/>
    <m/>
  </r>
  <r>
    <n v="118"/>
    <x v="1"/>
    <x v="1"/>
    <s v="possible"/>
    <s v="adj."/>
    <s v="可能的"/>
    <d v="2016-07-06T20:40:33"/>
    <d v="2016-07-06T20:41:06"/>
    <d v="2016-07-06T20:40:34"/>
    <d v="2016-07-08T11:04:22"/>
    <d v="2016-07-10T18:45:21"/>
    <d v="2016-07-06T20:41:06"/>
    <d v="2016-07-10T18:45:21"/>
    <m/>
    <m/>
  </r>
  <r>
    <n v="119"/>
    <x v="1"/>
    <x v="1"/>
    <s v="refreshment"/>
    <s v="n."/>
    <s v="点心，茶点"/>
    <d v="2016-07-06T20:40:43"/>
    <d v="2016-07-06T20:41:10"/>
    <d v="2016-07-06T20:40:43"/>
    <d v="2016-07-08T11:04:35"/>
    <d v="2016-07-10T18:45:30"/>
    <d v="2016-07-06T20:41:10"/>
    <d v="2016-07-10T18:45:30"/>
    <m/>
    <m/>
  </r>
  <r>
    <n v="120"/>
    <x v="1"/>
    <x v="1"/>
    <s v="neat"/>
    <s v="adj."/>
    <s v="干净的"/>
    <d v="2016-07-06T20:45:58"/>
    <d v="2016-07-06T20:47:11"/>
    <d v="2016-07-06T20:45:58"/>
    <d v="2016-07-08T11:04:40"/>
    <d v="2016-07-10T18:45:35"/>
    <d v="2016-07-06T20:47:11"/>
    <d v="2016-07-10T18:45:35"/>
    <m/>
    <m/>
  </r>
  <r>
    <n v="121"/>
    <x v="1"/>
    <x v="1"/>
    <s v="make sure"/>
    <s v="v. phr."/>
    <s v="确保"/>
    <d v="2016-07-06T20:47:03"/>
    <d v="2016-07-06T20:58:41"/>
    <d v="2016-07-06T20:47:02"/>
    <d v="2016-07-08T11:43:05"/>
    <d v="2016-07-10T18:45:57"/>
    <d v="2016-07-06T20:58:41"/>
    <d v="2016-07-10T18:45:57"/>
    <m/>
    <m/>
  </r>
  <r>
    <n v="122"/>
    <x v="1"/>
    <x v="1"/>
    <s v="remind"/>
    <s v="v."/>
    <s v="提醒"/>
    <d v="2016-07-06T20:46:48"/>
    <d v="2016-07-06T21:08:57"/>
    <d v="2016-07-06T20:46:48"/>
    <d v="2016-07-08T11:43:55"/>
    <d v="2016-07-10T18:46:10"/>
    <d v="2016-07-06T21:08:57"/>
    <d v="2016-07-10T18:46:10"/>
    <m/>
    <m/>
  </r>
  <r>
    <n v="123"/>
    <x v="1"/>
    <x v="1"/>
    <s v="fitness"/>
    <s v="n."/>
    <s v="健身"/>
    <d v="2016-07-06T20:47:25"/>
    <d v="2016-07-06T20:58:18"/>
    <d v="2016-07-06T20:47:23"/>
    <d v="2016-07-08T11:44:04"/>
    <d v="2016-07-10T18:46:19"/>
    <d v="2016-07-06T20:58:18"/>
    <d v="2016-07-10T18:46:19"/>
    <m/>
    <m/>
  </r>
  <r>
    <n v="124"/>
    <x v="1"/>
    <x v="1"/>
    <s v="weekday"/>
    <s v="n."/>
    <s v="工作日"/>
    <d v="2016-07-06T20:48:12"/>
    <d v="2016-07-06T20:48:14"/>
    <d v="2016-07-06T20:48:13"/>
    <d v="2016-07-08T11:44:17"/>
    <d v="2016-07-10T18:46:27"/>
    <d v="2016-07-06T20:48:14"/>
    <d v="2016-07-10T18:46:27"/>
    <m/>
    <m/>
  </r>
  <r>
    <n v="125"/>
    <x v="1"/>
    <x v="1"/>
    <s v="weekend"/>
    <s v="n."/>
    <s v="周末"/>
    <d v="2016-07-06T20:49:05"/>
    <d v="2016-07-06T20:49:07"/>
    <d v="2016-07-06T20:49:06"/>
    <d v="2016-07-08T11:44:29"/>
    <d v="2016-07-10T18:46:31"/>
    <d v="2016-07-06T20:49:07"/>
    <d v="2016-07-10T18:46:31"/>
    <m/>
    <m/>
  </r>
  <r>
    <n v="126"/>
    <x v="1"/>
    <x v="1"/>
    <s v="move"/>
    <s v="v."/>
    <s v="移动"/>
    <d v="2016-07-06T20:49:17"/>
    <d v="2016-07-06T20:49:18"/>
    <d v="2016-07-06T20:49:18"/>
    <d v="2016-07-08T11:44:36"/>
    <d v="2016-07-10T18:46:39"/>
    <d v="2016-07-06T20:49:18"/>
    <d v="2016-07-10T18:46:39"/>
    <m/>
    <m/>
  </r>
  <r>
    <n v="127"/>
    <x v="1"/>
    <x v="1"/>
    <s v="plan"/>
    <s v="n."/>
    <s v="计划"/>
    <d v="2016-07-06T20:58:37"/>
    <d v="2016-07-06T20:58:37"/>
    <d v="2016-07-06T20:58:37"/>
    <d v="2016-07-08T11:44:44"/>
    <d v="2016-07-10T18:46:43"/>
    <d v="2016-07-06T20:58:37"/>
    <d v="2016-07-10T18:46:43"/>
    <m/>
    <m/>
  </r>
  <r>
    <n v="128"/>
    <x v="1"/>
    <x v="1"/>
    <s v="upset"/>
    <s v="v."/>
    <s v="打乱"/>
    <d v="2016-07-06T21:03:37"/>
    <d v="2016-07-06T21:02:01"/>
    <d v="2016-07-06T21:02:02"/>
    <d v="2016-07-08T11:44:52"/>
    <d v="2016-07-10T18:46:50"/>
    <d v="2016-07-06T21:03:37"/>
    <d v="2016-07-10T18:46:50"/>
    <m/>
    <m/>
  </r>
  <r>
    <n v="129"/>
    <x v="1"/>
    <x v="1"/>
    <s v="upset"/>
    <s v="adj."/>
    <s v="心烦的"/>
    <d v="2016-07-06T21:03:35"/>
    <d v="2016-07-06T21:01:21"/>
    <d v="2016-07-06T21:01:22"/>
    <d v="2016-07-08T11:44:57"/>
    <d v="2016-07-10T18:46:54"/>
    <d v="2016-07-06T21:03:35"/>
    <d v="2016-07-10T18:46:54"/>
    <m/>
    <m/>
  </r>
  <r>
    <n v="130"/>
    <x v="1"/>
    <x v="1"/>
    <s v="look forward to"/>
    <s v="v. phr."/>
    <s v="对...期望"/>
    <d v="2016-07-06T21:03:33"/>
    <d v="2016-07-06T21:01:31"/>
    <d v="2016-07-06T21:01:30"/>
    <d v="2016-07-08T11:45:20"/>
    <d v="2016-07-10T18:46:59"/>
    <d v="2016-07-06T21:03:33"/>
    <d v="2016-07-10T18:46:59"/>
    <m/>
    <m/>
  </r>
  <r>
    <n v="131"/>
    <x v="1"/>
    <x v="1"/>
    <s v="after all"/>
    <s v="adv. phr."/>
    <s v="毕竟"/>
    <d v="2016-07-06T21:03:30"/>
    <d v="2016-07-06T21:02:25"/>
    <d v="2016-07-06T21:01:38"/>
    <d v="2016-07-08T11:45:40"/>
    <d v="2016-07-10T18:47:06"/>
    <d v="2016-07-06T21:03:30"/>
    <d v="2016-07-10T18:47:06"/>
    <m/>
    <m/>
  </r>
  <r>
    <n v="132"/>
    <x v="1"/>
    <x v="1"/>
    <s v="select"/>
    <s v="v."/>
    <s v="选择"/>
    <d v="2016-07-06T21:07:12"/>
    <d v="2016-07-06T21:07:12"/>
    <d v="2016-07-06T21:07:12"/>
    <d v="2016-07-08T11:46:01"/>
    <d v="2016-07-10T18:47:15"/>
    <d v="2016-07-06T21:07:12"/>
    <d v="2016-07-10T18:47:15"/>
    <m/>
    <m/>
  </r>
  <r>
    <n v="133"/>
    <x v="1"/>
    <x v="1"/>
    <s v="tour"/>
    <s v="n."/>
    <s v="旅行"/>
    <d v="2016-07-06T21:03:26"/>
    <d v="2016-07-06T21:03:24"/>
    <d v="2016-07-06T21:03:24"/>
    <d v="2016-07-08T11:46:08"/>
    <d v="2016-07-10T18:47:19"/>
    <d v="2016-07-06T21:03:26"/>
    <d v="2016-07-10T18:47:19"/>
    <m/>
    <m/>
  </r>
  <r>
    <n v="134"/>
    <x v="1"/>
    <x v="1"/>
    <s v="explain"/>
    <s v="v."/>
    <s v="解释"/>
    <d v="2016-07-06T21:07:22"/>
    <d v="2016-07-06T21:07:23"/>
    <d v="2016-07-06T21:07:23"/>
    <d v="2016-07-08T11:46:33"/>
    <d v="2016-07-10T18:47:30"/>
    <d v="2016-07-06T21:07:23"/>
    <d v="2016-07-10T18:47:30"/>
    <m/>
    <m/>
  </r>
  <r>
    <n v="135"/>
    <x v="1"/>
    <x v="1"/>
    <s v="miss"/>
    <s v="v."/>
    <s v="错过；想念"/>
    <d v="2016-07-06T21:07:34"/>
    <d v="2016-07-06T21:07:35"/>
    <d v="2016-07-06T21:08:04"/>
    <d v="2016-07-08T11:46:37"/>
    <d v="2016-07-10T18:47:49"/>
    <d v="2016-07-06T21:08:04"/>
    <d v="2016-07-10T18:47:49"/>
    <m/>
    <m/>
  </r>
  <r>
    <n v="136"/>
    <x v="1"/>
    <x v="1"/>
    <s v="nervous"/>
    <s v="adj."/>
    <s v="紧张的"/>
    <d v="2016-07-06T21:07:42"/>
    <d v="2016-07-06T21:07:43"/>
    <d v="2016-07-06T21:07:42"/>
    <d v="2016-07-08T11:46:58"/>
    <d v="2016-07-10T18:48:01"/>
    <d v="2016-07-06T21:07:43"/>
    <d v="2016-07-10T18:48:01"/>
    <m/>
    <m/>
  </r>
  <r>
    <n v="137"/>
    <x v="1"/>
    <x v="1"/>
    <s v="disappoint"/>
    <s v="v."/>
    <s v="失望"/>
    <d v="2016-07-06T21:07:53"/>
    <d v="2016-07-06T21:07:55"/>
    <d v="2016-07-06T21:07:54"/>
    <d v="2016-07-08T11:47:14"/>
    <d v="2016-07-10T18:48:06"/>
    <d v="2016-07-06T21:07:55"/>
    <d v="2016-07-10T18:48:06"/>
    <m/>
    <m/>
  </r>
  <r>
    <n v="138"/>
    <x v="1"/>
    <x v="2"/>
    <s v="wind screen"/>
    <s v="n. phr."/>
    <s v="挡风板"/>
    <d v="2016-07-12T09:21:56"/>
    <d v="2016-07-12T09:21:56"/>
    <d v="2016-07-12T09:21:56"/>
    <d v="2016-07-12T09:16:58"/>
    <d v="2016-07-12T09:25:18"/>
    <d v="2016-07-12T09:21:56"/>
    <d v="2016-07-12T09:25:18"/>
    <m/>
    <m/>
  </r>
  <r>
    <n v="139"/>
    <x v="1"/>
    <x v="2"/>
    <s v="screen"/>
    <s v="n."/>
    <s v="屏幕"/>
    <d v="2016-07-11T20:52:13"/>
    <d v="2016-07-11T20:52:14"/>
    <d v="2016-07-11T20:52:13"/>
    <d v="2016-07-12T09:17:14"/>
    <d v="2016-07-12T09:25:26"/>
    <d v="2016-07-11T20:52:14"/>
    <d v="2016-07-12T09:25:26"/>
    <m/>
    <m/>
  </r>
  <r>
    <n v="140"/>
    <x v="1"/>
    <x v="2"/>
    <s v="fill in"/>
    <s v="v. phr."/>
    <s v="填满"/>
    <d v="2016-07-11T20:52:29"/>
    <d v="2016-07-11T20:52:30"/>
    <d v="2016-07-11T20:52:30"/>
    <d v="2016-07-12T09:17:23"/>
    <d v="2016-07-12T09:25:32"/>
    <d v="2016-07-11T20:52:30"/>
    <d v="2016-07-12T09:25:32"/>
    <m/>
    <m/>
  </r>
  <r>
    <n v="141"/>
    <x v="1"/>
    <x v="2"/>
    <s v="register"/>
    <s v="v."/>
    <s v="注册（动）"/>
    <d v="2016-07-11T21:14:30"/>
    <d v="2016-07-11T21:14:31"/>
    <d v="2016-07-11T21:14:30"/>
    <d v="2016-07-12T09:17:40"/>
    <d v="2016-07-12T09:25:43"/>
    <d v="2016-07-11T21:14:31"/>
    <d v="2016-07-12T09:25:43"/>
    <s v="我恨这个单词，尤其是读音。"/>
    <m/>
  </r>
  <r>
    <n v="142"/>
    <x v="1"/>
    <x v="2"/>
    <s v="registration"/>
    <s v="n."/>
    <s v="注册（名）"/>
    <d v="2016-07-11T21:42:03"/>
    <d v="2016-07-11T21:42:08"/>
    <d v="2016-07-11T21:42:03"/>
    <d v="2016-07-12T09:17:57"/>
    <d v="2016-07-12T09:25:52"/>
    <d v="2016-07-11T21:42:08"/>
    <d v="2016-07-12T09:25:52"/>
    <s v=""/>
    <m/>
  </r>
  <r>
    <n v="143"/>
    <x v="1"/>
    <x v="2"/>
    <s v="flight"/>
    <s v="n."/>
    <s v="航班"/>
    <d v="2016-07-11T21:14:35"/>
    <d v="2016-07-11T21:14:35"/>
    <d v="2016-07-11T21:14:35"/>
    <d v="2016-07-12T09:18:02"/>
    <d v="2016-07-12T09:26:02"/>
    <d v="2016-07-11T21:14:35"/>
    <d v="2016-07-12T09:26:02"/>
    <m/>
    <m/>
  </r>
  <r>
    <n v="144"/>
    <x v="1"/>
    <x v="2"/>
    <s v="luggage"/>
    <s v="n."/>
    <s v="行李"/>
    <d v="2016-07-11T21:11:15"/>
    <d v="2016-07-11T21:11:17"/>
    <d v="2016-07-11T21:11:16"/>
    <d v="2016-07-12T09:18:11"/>
    <d v="2016-07-12T09:26:10"/>
    <d v="2016-07-11T21:11:17"/>
    <d v="2016-07-12T09:26:10"/>
    <m/>
    <m/>
  </r>
  <r>
    <n v="145"/>
    <x v="1"/>
    <x v="2"/>
    <s v="parcel"/>
    <s v="n."/>
    <s v="包裹"/>
    <d v="2016-07-11T21:13:59"/>
    <d v="2016-07-11T21:13:59"/>
    <d v="2016-07-11T21:13:59"/>
    <d v="2016-07-12T09:18:24"/>
    <d v="2016-07-12T09:26:16"/>
    <d v="2016-07-11T21:13:59"/>
    <d v="2016-07-12T09:26:16"/>
    <m/>
    <m/>
  </r>
  <r>
    <n v="146"/>
    <x v="1"/>
    <x v="2"/>
    <s v="complete"/>
    <s v="v."/>
    <s v="完成；填写"/>
    <d v="2016-07-11T21:36:54"/>
    <d v="2016-07-11T21:36:55"/>
    <d v="2016-07-11T21:36:54"/>
    <d v="2016-07-12T09:18:43"/>
    <d v="2016-07-12T09:26:21"/>
    <d v="2016-07-11T21:36:55"/>
    <d v="2016-07-12T09:26:21"/>
    <m/>
    <m/>
  </r>
  <r>
    <n v="147"/>
    <x v="1"/>
    <x v="2"/>
    <s v="trip"/>
    <s v="n."/>
    <s v="短程旅行"/>
    <d v="2016-07-11T21:16:03"/>
    <d v="2016-07-11T21:16:03"/>
    <d v="2016-07-11T21:16:03"/>
    <d v="2016-07-12T09:18:52"/>
    <d v="2016-07-12T09:26:27"/>
    <d v="2016-07-11T21:16:03"/>
    <d v="2016-07-12T09:26:27"/>
    <m/>
    <m/>
  </r>
  <r>
    <n v="148"/>
    <x v="1"/>
    <x v="2"/>
    <s v="level"/>
    <s v="n."/>
    <s v="水平"/>
    <d v="2016-07-11T21:16:20"/>
    <d v="2016-07-11T21:16:22"/>
    <d v="2016-07-11T21:16:21"/>
    <d v="2016-07-12T09:19:01"/>
    <d v="2016-07-12T09:26:35"/>
    <d v="2016-07-11T21:16:22"/>
    <d v="2016-07-12T09:26:35"/>
    <m/>
    <m/>
  </r>
  <r>
    <n v="149"/>
    <x v="1"/>
    <x v="2"/>
    <s v="journey"/>
    <s v="n."/>
    <s v="长程旅行"/>
    <d v="2016-07-11T21:16:36"/>
    <d v="2016-07-11T21:16:37"/>
    <d v="2016-07-11T21:16:37"/>
    <d v="2016-07-12T09:19:14"/>
    <d v="2016-07-12T09:26:39"/>
    <d v="2016-07-11T21:16:37"/>
    <d v="2016-07-12T09:26:39"/>
    <m/>
    <m/>
  </r>
  <r>
    <n v="150"/>
    <x v="1"/>
    <x v="2"/>
    <s v="pick up"/>
    <s v="v. phr."/>
    <s v="捡起；接；学会某预言"/>
    <d v="2016-07-11T21:17:00"/>
    <d v="2016-07-11T21:17:02"/>
    <d v="2016-07-11T21:17:01"/>
    <d v="2016-07-12T09:19:25"/>
    <d v="2016-07-12T09:26:50"/>
    <d v="2016-07-11T21:17:02"/>
    <d v="2016-07-12T09:26:50"/>
    <m/>
    <m/>
  </r>
  <r>
    <n v="151"/>
    <x v="1"/>
    <x v="2"/>
    <s v="voyage"/>
    <s v="n."/>
    <s v="海上旅行，航海"/>
    <d v="2016-07-11T21:37:10"/>
    <d v="2016-07-11T21:37:12"/>
    <d v="2016-07-11T21:37:11"/>
    <d v="2016-07-12T09:19:54"/>
    <d v="2016-07-12T09:26:57"/>
    <d v="2016-07-11T21:37:12"/>
    <d v="2016-07-12T09:26:57"/>
    <m/>
    <m/>
  </r>
  <r>
    <n v="152"/>
    <x v="1"/>
    <x v="2"/>
    <s v="remain"/>
    <s v="v."/>
    <s v="逗留；剩余；继续存在；仍然是"/>
    <d v="2016-07-11T21:21:42"/>
    <d v="2016-07-11T21:21:44"/>
    <d v="2016-07-11T21:21:43"/>
    <d v="2016-07-12T09:20:28"/>
    <d v="2016-07-12T09:27:07"/>
    <d v="2016-07-11T21:21:44"/>
    <d v="2016-07-12T09:27:07"/>
    <m/>
    <m/>
  </r>
  <r>
    <n v="153"/>
    <x v="1"/>
    <x v="2"/>
    <s v="departure"/>
    <s v="n."/>
    <s v="出发；起飞"/>
    <d v="2016-07-11T21:37:37"/>
    <d v="2016-07-11T21:37:38"/>
    <d v="2016-07-11T21:37:42"/>
    <d v="2016-07-12T09:20:58"/>
    <d v="2016-07-11T22:11:42"/>
    <d v="2016-07-11T21:37:42"/>
    <d v="2016-07-12T09:20:58"/>
    <m/>
    <m/>
  </r>
  <r>
    <n v="154"/>
    <x v="1"/>
    <x v="2"/>
    <s v="place"/>
    <s v="n."/>
    <s v="地方"/>
    <d v="2016-07-11T21:22:29"/>
    <d v="2016-07-11T21:22:30"/>
    <d v="2016-07-11T21:22:29"/>
    <d v="2016-07-12T09:21:04"/>
    <d v="2016-07-12T09:27:27"/>
    <d v="2016-07-11T21:22:30"/>
    <d v="2016-07-12T09:27:27"/>
    <m/>
    <m/>
  </r>
  <r>
    <n v="155"/>
    <x v="1"/>
    <x v="2"/>
    <s v="place"/>
    <s v="v."/>
    <s v="放置"/>
    <d v="2016-07-11T21:22:37"/>
    <d v="2016-07-11T21:22:39"/>
    <d v="2016-07-11T21:22:38"/>
    <d v="2016-07-12T09:21:09"/>
    <d v="2016-07-12T09:27:35"/>
    <d v="2016-07-11T21:22:39"/>
    <d v="2016-07-12T09:27:35"/>
    <m/>
    <m/>
  </r>
  <r>
    <n v="156"/>
    <x v="1"/>
    <x v="2"/>
    <s v="take place"/>
    <s v="v. phr."/>
    <s v="发生"/>
    <d v="2016-07-11T21:22:51"/>
    <d v="2016-07-11T21:22:53"/>
    <d v="2016-07-11T21:22:52"/>
    <d v="2016-07-12T09:21:28"/>
    <d v="2016-07-12T09:27:53"/>
    <d v="2016-07-11T21:22:53"/>
    <d v="2016-07-12T09:27:53"/>
    <m/>
    <m/>
  </r>
  <r>
    <n v="157"/>
    <x v="1"/>
    <x v="2"/>
    <s v="due to"/>
    <s v="prep. phr."/>
    <s v="由于；因为"/>
    <d v="2016-07-11T21:30:24"/>
    <d v="2016-07-11T21:30:26"/>
    <d v="2016-07-11T21:30:25"/>
    <d v="2016-07-12T09:21:36"/>
    <d v="2016-07-12T09:28:14"/>
    <d v="2016-07-11T21:30:26"/>
    <d v="2016-07-12T09:28:14"/>
    <m/>
    <m/>
  </r>
  <r>
    <n v="158"/>
    <x v="1"/>
    <x v="2"/>
    <s v="fetch"/>
    <s v="v."/>
    <s v="去取"/>
    <d v="2016-07-11T21:42:27"/>
    <d v="2016-07-11T21:42:28"/>
    <d v="2016-07-11T21:42:27"/>
    <d v="2016-07-12T09:22:38"/>
    <d v="2016-07-12T09:28:22"/>
    <d v="2016-07-11T21:42:28"/>
    <d v="2016-07-12T09:28:22"/>
    <m/>
    <m/>
  </r>
  <r>
    <n v="159"/>
    <x v="1"/>
    <x v="2"/>
    <s v="deliver"/>
    <s v="v."/>
    <s v="送"/>
    <d v="2016-07-11T21:30:52"/>
    <d v="2016-07-11T21:30:54"/>
    <d v="2016-07-11T21:30:53"/>
    <d v="2016-07-12T09:22:54"/>
    <d v="2016-07-12T09:28:26"/>
    <d v="2016-07-11T21:30:54"/>
    <d v="2016-07-12T09:28:26"/>
    <m/>
    <m/>
  </r>
  <r>
    <n v="160"/>
    <x v="1"/>
    <x v="2"/>
    <s v="minimum"/>
    <s v="adj."/>
    <s v="最少的；最小限度的"/>
    <d v="2016-07-11T21:31:10"/>
    <d v="2016-07-11T21:31:11"/>
    <d v="2016-07-11T21:31:11"/>
    <d v="2016-07-12T09:23:06"/>
    <d v="2016-07-12T09:28:32"/>
    <d v="2016-07-11T21:31:11"/>
    <d v="2016-07-12T09:28:32"/>
    <m/>
    <m/>
  </r>
  <r>
    <n v="161"/>
    <x v="1"/>
    <x v="2"/>
    <s v="maximum"/>
    <s v="adj."/>
    <s v="最大限度的"/>
    <d v="2016-07-11T21:31:35"/>
    <d v="2016-07-11T21:31:36"/>
    <d v="2016-07-11T21:31:35"/>
    <d v="2016-07-12T09:23:19"/>
    <d v="2016-07-12T09:28:37"/>
    <d v="2016-07-11T21:31:36"/>
    <d v="2016-07-12T09:28:37"/>
    <m/>
    <m/>
  </r>
  <r>
    <n v="162"/>
    <x v="1"/>
    <x v="2"/>
    <s v="recommend"/>
    <s v="v."/>
    <s v="推荐"/>
    <d v="2016-07-11T21:38:22"/>
    <d v="2016-07-11T21:38:11"/>
    <d v="2016-07-11T21:38:11"/>
    <d v="2016-07-12T09:23:36"/>
    <d v="2016-07-12T09:28:44"/>
    <d v="2016-07-11T21:38:22"/>
    <d v="2016-07-12T09:28:44"/>
    <m/>
    <m/>
  </r>
  <r>
    <n v="163"/>
    <x v="1"/>
    <x v="2"/>
    <s v="last"/>
    <s v="v."/>
    <s v="持续"/>
    <d v="2016-07-11T21:35:29"/>
    <d v="2016-07-11T21:32:13"/>
    <d v="2016-07-11T21:38:29"/>
    <d v="2016-07-12T09:23:43"/>
    <d v="2016-07-12T09:28:49"/>
    <d v="2016-07-11T21:38:29"/>
    <d v="2016-07-12T09:28:49"/>
    <m/>
    <m/>
  </r>
  <r>
    <n v="164"/>
    <x v="1"/>
    <x v="2"/>
    <s v="at least"/>
    <s v="prep. phr."/>
    <s v="至少"/>
    <d v="2016-07-11T21:32:30"/>
    <d v="2016-07-11T21:32:31"/>
    <d v="2016-07-11T21:32:30"/>
    <d v="2016-07-12T09:23:56"/>
    <d v="2016-07-11T22:10:29"/>
    <d v="2016-07-11T21:32:31"/>
    <d v="2016-07-12T09:23:56"/>
    <m/>
    <m/>
  </r>
  <r>
    <n v="165"/>
    <x v="1"/>
    <x v="2"/>
    <s v="receive from"/>
    <s v="v. phr."/>
    <s v="从…收到"/>
    <d v="2016-07-11T21:38:44"/>
    <d v="2016-07-11T21:34:11"/>
    <d v="2016-07-11T21:35:34"/>
    <d v="2016-07-12T09:24:13"/>
    <d v="2016-07-12T09:29:14"/>
    <d v="2016-07-11T21:38:44"/>
    <d v="2016-07-12T09:29:14"/>
    <m/>
    <m/>
  </r>
  <r>
    <n v="166"/>
    <x v="1"/>
    <x v="2"/>
    <s v="catch up with"/>
    <s v="v. phr."/>
    <s v="赶上"/>
    <d v="2016-07-11T21:33:10"/>
    <d v="2016-07-11T21:33:12"/>
    <d v="2016-07-11T21:33:11"/>
    <d v="2016-07-12T09:24:31"/>
    <d v="2016-07-12T09:29:25"/>
    <d v="2016-07-11T21:33:12"/>
    <d v="2016-07-12T09:29:25"/>
    <m/>
    <m/>
  </r>
  <r>
    <n v="167"/>
    <x v="1"/>
    <x v="2"/>
    <s v="if"/>
    <s v="conj."/>
    <s v="如果；是否"/>
    <d v="2016-07-11T21:42:17"/>
    <d v="2016-07-11T21:42:17"/>
    <d v="2016-07-11T21:42:17"/>
    <d v="2016-07-12T09:24:35"/>
    <d v="2016-07-12T09:29:34"/>
    <d v="2016-07-11T21:42:17"/>
    <d v="2016-07-12T09:29:34"/>
    <m/>
    <m/>
  </r>
  <r>
    <n v="168"/>
    <x v="1"/>
    <x v="2"/>
    <s v="unless"/>
    <s v="conj."/>
    <s v="除非；如果不"/>
    <d v="2016-07-11T21:39:18"/>
    <d v="2016-07-11T21:39:18"/>
    <d v="2016-07-11T21:39:18"/>
    <d v="2016-07-12T09:24:42"/>
    <d v="2016-07-12T09:29:41"/>
    <d v="2016-07-11T21:39:18"/>
    <d v="2016-07-12T09:29:41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d v="2016-08-15T11:13:55"/>
    <d v="2016-08-15T11:13:56"/>
    <d v="2016-08-15T11:13:55"/>
    <d v="2016-08-15T11:49:33"/>
    <d v="2016-10-07T09:34:11"/>
    <d v="2016-08-15T11:13:56"/>
    <d v="2016-10-07T09:34:11"/>
    <m/>
    <m/>
  </r>
  <r>
    <n v="195"/>
    <x v="0"/>
    <x v="4"/>
    <s v="identity card"/>
    <s v="n. phr."/>
    <s v="身份证；学生证"/>
    <d v="2016-08-15T11:13:58"/>
    <d v="2016-08-15T11:13:59"/>
    <d v="2016-08-15T11:13:58"/>
    <d v="2016-08-15T11:49:45"/>
    <d v="2016-10-07T09:34:14"/>
    <d v="2016-08-15T11:13:59"/>
    <d v="2016-10-07T09:34:14"/>
    <m/>
    <m/>
  </r>
  <r>
    <n v="196"/>
    <x v="0"/>
    <x v="4"/>
    <s v="belong"/>
    <s v="v."/>
    <s v="(to)属于"/>
    <d v="2016-08-15T11:14:03"/>
    <d v="2016-10-07T10:06:28"/>
    <d v="2016-10-07T10:06:27"/>
    <d v="2016-08-15T11:49:53"/>
    <d v="2016-10-07T10:09:24"/>
    <d v="2016-10-07T10:06:28"/>
    <d v="2016-10-07T10:09:24"/>
    <m/>
    <m/>
  </r>
  <r>
    <n v="197"/>
    <x v="0"/>
    <x v="4"/>
    <s v="department"/>
    <s v="n."/>
    <s v="系；部"/>
    <d v="2016-08-15T11:14:11"/>
    <d v="2016-09-17T11:39:33"/>
    <d v="2016-09-17T11:39:31"/>
    <d v="2016-08-15T11:50:00"/>
    <d v="2016-10-07T09:34:24"/>
    <d v="2016-09-17T11:39:33"/>
    <d v="2016-10-07T09:34:24"/>
    <m/>
    <m/>
  </r>
  <r>
    <n v="198"/>
    <x v="0"/>
    <x v="4"/>
    <s v="medical"/>
    <s v="adj."/>
    <s v="医学的"/>
    <d v="2016-08-15T11:18:08"/>
    <d v="2016-08-15T11:18:10"/>
    <d v="2016-08-15T11:18:09"/>
    <d v="2016-08-15T11:50:13"/>
    <d v="2016-10-07T09:34:28"/>
    <d v="2016-08-15T11:18:10"/>
    <d v="2016-10-07T09:34:28"/>
    <m/>
    <m/>
  </r>
  <r>
    <n v="199"/>
    <x v="0"/>
    <x v="4"/>
    <s v="conversation"/>
    <s v="n."/>
    <s v="对话；交谈"/>
    <d v="2016-10-07T10:16:10"/>
    <d v="2016-09-17T11:39:43"/>
    <d v="2016-09-17T11:39:42"/>
    <d v="2016-10-07T10:16:28"/>
    <d v="2016-10-07T09:34:32"/>
    <d v="2016-10-07T10:16:10"/>
    <d v="2016-10-07T10:16:28"/>
    <m/>
    <m/>
  </r>
  <r>
    <n v="200"/>
    <x v="0"/>
    <x v="4"/>
    <s v="box"/>
    <s v="n."/>
    <s v="方框；箱子"/>
    <d v="2016-08-15T11:17:46"/>
    <d v="2016-08-15T11:17:45"/>
    <d v="2016-08-15T11:17:45"/>
    <d v="2016-08-15T11:50:29"/>
    <d v="2016-10-07T09:34:35"/>
    <d v="2016-08-15T11:17:46"/>
    <d v="2016-10-07T09:34:35"/>
    <m/>
    <m/>
  </r>
  <r>
    <n v="201"/>
    <x v="0"/>
    <x v="4"/>
    <s v="imagine"/>
    <s v="v."/>
    <s v="想象"/>
    <d v="2016-08-15T13:16:22"/>
    <d v="2016-09-17T11:39:45"/>
    <d v="2016-09-17T11:39:45"/>
    <d v="2016-08-15T14:07:46"/>
    <d v="2016-10-07T09:34:39"/>
    <d v="2016-09-17T11:39:45"/>
    <d v="2016-10-07T09:34:39"/>
    <m/>
    <m/>
  </r>
  <r>
    <n v="202"/>
    <x v="0"/>
    <x v="4"/>
    <s v="describe"/>
    <s v="v."/>
    <s v="描绘，描述（动词）"/>
    <d v="2016-08-15T11:17:51"/>
    <d v="2016-10-07T10:06:30"/>
    <d v="2016-10-07T10:06:30"/>
    <d v="2016-08-15T11:50:53"/>
    <d v="2016-10-07T10:09:28"/>
    <d v="2016-10-07T10:06:30"/>
    <d v="2016-10-07T10:09:28"/>
    <m/>
    <m/>
  </r>
  <r>
    <n v="203"/>
    <x v="0"/>
    <x v="4"/>
    <s v="description"/>
    <s v="n."/>
    <s v="描绘，描述（名词）"/>
    <d v="2016-08-15T14:35:46"/>
    <d v="2016-08-15T11:17:57"/>
    <d v="2016-08-15T11:17:55"/>
    <d v="2016-08-15T14:40:01"/>
    <d v="2016-10-07T09:34:48"/>
    <d v="2016-08-15T14:35:46"/>
    <d v="2016-10-07T09:34:48"/>
    <m/>
    <m/>
  </r>
  <r>
    <n v="204"/>
    <x v="0"/>
    <x v="4"/>
    <s v="fold"/>
    <s v="v."/>
    <s v="折叠"/>
    <d v="2016-08-15T11:19:47"/>
    <d v="2016-10-07T09:46:16"/>
    <d v="2016-10-07T09:46:17"/>
    <d v="2016-08-15T11:51:16"/>
    <d v="2016-10-07T09:58:10"/>
    <d v="2016-10-07T09:46:17"/>
    <d v="2016-10-07T09:58:10"/>
    <m/>
    <m/>
  </r>
  <r>
    <n v="205"/>
    <x v="0"/>
    <x v="4"/>
    <s v="put together"/>
    <s v="v. phr."/>
    <s v="把…放在一起"/>
    <d v="2016-08-15T11:19:57"/>
    <d v="2016-10-07T10:06:33"/>
    <d v="2016-10-07T10:06:32"/>
    <d v="2016-08-15T11:51:33"/>
    <d v="2016-10-07T10:09:30"/>
    <d v="2016-10-07T10:06:33"/>
    <d v="2016-10-07T10:09:30"/>
    <m/>
    <m/>
  </r>
  <r>
    <n v="206"/>
    <x v="0"/>
    <x v="4"/>
    <s v="in turn"/>
    <s v="adv. phr."/>
    <s v="轮流"/>
    <d v="2016-08-15T13:16:26"/>
    <d v="2016-10-07T10:10:13"/>
    <d v="2016-10-07T10:10:12"/>
    <d v="2016-08-15T14:08:56"/>
    <d v="2016-10-07T10:10:39"/>
    <d v="2016-10-07T10:10:13"/>
    <d v="2016-10-07T10:10:39"/>
    <m/>
    <m/>
  </r>
  <r>
    <n v="207"/>
    <x v="0"/>
    <x v="4"/>
    <s v="aloud"/>
    <s v="adv."/>
    <s v="大声地"/>
    <d v="2016-08-15T11:20:24"/>
    <d v="2016-09-17T12:44:41"/>
    <d v="2016-09-17T12:44:40"/>
    <d v="2016-08-15T11:51:46"/>
    <d v="2016-10-07T09:35:09"/>
    <d v="2016-09-17T12:44:41"/>
    <d v="2016-10-07T09:35:09"/>
    <m/>
    <m/>
  </r>
  <r>
    <n v="208"/>
    <x v="0"/>
    <x v="4"/>
    <s v="politician"/>
    <s v="n."/>
    <s v="政客；政治家"/>
    <d v="2016-08-15T11:29:08"/>
    <d v="2016-10-07T09:46:38"/>
    <d v="2016-10-07T09:46:38"/>
    <d v="2016-08-15T11:52:13"/>
    <d v="2016-10-07T09:58:26"/>
    <d v="2016-10-07T09:46:38"/>
    <d v="2016-10-07T09:58:26"/>
    <m/>
    <m/>
  </r>
  <r>
    <n v="209"/>
    <x v="0"/>
    <x v="4"/>
    <s v="reason"/>
    <s v="n."/>
    <s v="原因，理由"/>
    <d v="2016-08-15T11:29:23"/>
    <d v="2016-10-07T10:12:10"/>
    <d v="2016-10-07T10:12:08"/>
    <d v="2016-08-15T11:52:27"/>
    <d v="2016-10-07T10:13:33"/>
    <d v="2016-10-07T10:12:10"/>
    <d v="2016-10-07T10:13:33"/>
    <m/>
    <m/>
  </r>
  <r>
    <n v="210"/>
    <x v="0"/>
    <x v="4"/>
    <s v="height"/>
    <s v="n."/>
    <s v="身高；高度"/>
    <d v="2016-08-15T11:29:26"/>
    <d v="2016-08-15T11:29:28"/>
    <d v="2016-08-15T11:29:26"/>
    <d v="2016-08-15T11:52:31"/>
    <d v="2016-10-07T09:35:23"/>
    <d v="2016-08-15T11:29:28"/>
    <d v="2016-10-07T09:35:23"/>
    <m/>
    <m/>
  </r>
  <r>
    <n v="211"/>
    <x v="0"/>
    <x v="4"/>
    <s v="grammar"/>
    <s v="n."/>
    <s v="语法"/>
    <d v="2016-08-15T13:16:27"/>
    <d v="2016-08-15T11:29:30"/>
    <d v="2016-08-15T11:29:30"/>
    <d v="2016-08-15T14:09:03"/>
    <d v="2016-10-07T09:35:26"/>
    <d v="2016-08-15T13:16:27"/>
    <d v="2016-10-07T09:35:26"/>
    <m/>
    <m/>
  </r>
  <r>
    <n v="212"/>
    <x v="0"/>
    <x v="4"/>
    <s v="grammar spot"/>
    <s v="n. phr."/>
    <s v="语法点滴"/>
    <d v="2016-08-15T14:45:40"/>
    <d v="2016-08-15T11:29:33"/>
    <d v="2016-08-15T11:29:32"/>
    <d v="2016-08-15T14:45:54"/>
    <d v="2016-10-07T09:35:29"/>
    <d v="2016-08-15T14:45:40"/>
    <d v="2016-10-07T09:35:29"/>
    <m/>
    <m/>
  </r>
  <r>
    <n v="213"/>
    <x v="0"/>
    <x v="4"/>
    <s v="club"/>
    <s v="n."/>
    <s v="俱乐部"/>
    <d v="2016-08-15T11:29:35"/>
    <d v="2016-08-15T11:29:36"/>
    <d v="2016-08-15T11:29:35"/>
    <d v="2016-08-15T11:52:55"/>
    <d v="2016-10-07T09:35:31"/>
    <d v="2016-08-15T11:29:36"/>
    <d v="2016-10-07T09:35:31"/>
    <m/>
    <m/>
  </r>
  <r>
    <n v="214"/>
    <x v="0"/>
    <x v="4"/>
    <s v="member"/>
    <s v="n."/>
    <s v="成员；会员"/>
    <d v="2016-08-15T11:30:14"/>
    <d v="2016-08-15T11:30:15"/>
    <d v="2016-08-15T11:30:14"/>
    <d v="2016-08-15T11:53:03"/>
    <d v="2016-10-07T09:35:35"/>
    <d v="2016-08-15T11:30:15"/>
    <d v="2016-10-07T09:35:35"/>
    <m/>
    <m/>
  </r>
  <r>
    <n v="215"/>
    <x v="0"/>
    <x v="4"/>
    <s v="notice board"/>
    <s v="n. phr."/>
    <s v="通知栏"/>
    <d v="2016-08-15T11:30:17"/>
    <d v="2016-10-07T09:47:47"/>
    <d v="2016-10-07T09:47:47"/>
    <d v="2016-08-15T11:53:13"/>
    <d v="2016-10-07T09:58:36"/>
    <d v="2016-10-07T09:47:47"/>
    <d v="2016-10-07T09:58:36"/>
    <m/>
    <m/>
  </r>
  <r>
    <n v="216"/>
    <x v="0"/>
    <x v="4"/>
    <s v="advertisement"/>
    <s v="n."/>
    <s v="广告"/>
    <d v="2016-08-15T11:30:23"/>
    <d v="2016-10-07T09:48:00"/>
    <d v="2016-10-07T09:47:59"/>
    <d v="2016-08-15T11:53:39"/>
    <d v="2016-10-07T09:58:39"/>
    <d v="2016-10-07T09:48:00"/>
    <d v="2016-10-07T09:58:39"/>
    <m/>
    <m/>
  </r>
  <r>
    <n v="217"/>
    <x v="0"/>
    <x v="4"/>
    <s v="travel"/>
    <s v="n."/>
    <s v="旅行"/>
    <d v="2016-08-15T11:31:03"/>
    <d v="2016-09-17T12:44:52"/>
    <d v="2016-09-17T12:44:52"/>
    <d v="2016-08-15T11:53:42"/>
    <d v="2016-10-07T09:35:50"/>
    <d v="2016-09-17T12:44:52"/>
    <d v="2016-10-07T09:35:50"/>
    <m/>
    <m/>
  </r>
  <r>
    <n v="218"/>
    <x v="0"/>
    <x v="4"/>
    <s v="contact"/>
    <s v="n."/>
    <s v="联络方式"/>
    <d v="2016-08-15T11:31:08"/>
    <d v="2016-10-07T10:10:18"/>
    <d v="2016-10-07T10:10:18"/>
    <d v="2016-08-15T11:53:49"/>
    <d v="2016-10-07T10:10:48"/>
    <d v="2016-10-07T10:10:18"/>
    <d v="2016-10-07T10:10:48"/>
    <m/>
    <m/>
  </r>
  <r>
    <n v="219"/>
    <x v="0"/>
    <x v="4"/>
    <s v="accommodation"/>
    <s v="n."/>
    <s v="住宿"/>
    <d v="2016-08-15T11:35:30"/>
    <d v="2016-09-17T12:44:57"/>
    <d v="2016-09-17T12:44:56"/>
    <d v="2016-08-15T11:53:57"/>
    <d v="2016-10-07T09:36:02"/>
    <d v="2016-09-17T12:44:57"/>
    <d v="2016-10-07T09:36:02"/>
    <m/>
    <m/>
  </r>
  <r>
    <n v="220"/>
    <x v="0"/>
    <x v="4"/>
    <s v="above"/>
    <s v="adv."/>
    <s v="在上面"/>
    <d v="2016-08-15T11:35:34"/>
    <d v="2016-10-07T10:15:07"/>
    <d v="2016-10-07T10:15:07"/>
    <d v="2016-08-15T11:54:04"/>
    <d v="2016-10-07T10:15:18"/>
    <d v="2016-10-07T10:15:07"/>
    <d v="2016-10-07T10:15:18"/>
    <m/>
    <m/>
  </r>
  <r>
    <n v="221"/>
    <x v="0"/>
    <x v="4"/>
    <s v="leisure"/>
    <s v="n."/>
    <s v="休闲"/>
    <d v="2016-08-15T13:16:31"/>
    <d v="2016-10-07T09:50:10"/>
    <d v="2016-10-07T09:50:09"/>
    <d v="2016-08-15T14:09:51"/>
    <d v="2016-10-07T09:58:57"/>
    <d v="2016-10-07T09:50:10"/>
    <d v="2016-10-07T09:58:57"/>
    <m/>
    <m/>
  </r>
  <r>
    <n v="222"/>
    <x v="0"/>
    <x v="4"/>
    <s v="transport"/>
    <s v="n."/>
    <s v="运输；交通工具"/>
    <d v="2016-07-11T21:34:39"/>
    <d v="2016-07-11T21:34:39"/>
    <d v="2016-07-11T21:37:22"/>
    <d v="2016-07-12T09:20:42"/>
    <d v="2016-10-07T09:36:14"/>
    <d v="2016-07-11T21:37:22"/>
    <d v="2016-10-07T09:36:14"/>
    <m/>
    <m/>
  </r>
  <r>
    <n v="223"/>
    <x v="0"/>
    <x v="4"/>
    <s v="transport"/>
    <s v="v."/>
    <s v="运输"/>
    <d v="2016-08-15T13:16:33"/>
    <d v="2016-09-17T12:45:04"/>
    <d v="2016-09-17T12:45:03"/>
    <d v="2016-08-15T14:09:58"/>
    <d v="2016-10-07T09:36:18"/>
    <d v="2016-09-17T12:45:04"/>
    <d v="2016-10-07T09:36:18"/>
    <m/>
    <m/>
  </r>
  <r>
    <n v="224"/>
    <x v="0"/>
    <x v="4"/>
    <s v="lift"/>
    <s v="n."/>
    <s v="搭便车"/>
    <d v="2016-08-15T11:38:02"/>
    <d v="2016-10-07T09:50:28"/>
    <d v="2016-10-07T09:50:28"/>
    <d v="2016-08-15T11:54:18"/>
    <d v="2016-10-07T09:59:01"/>
    <d v="2016-10-07T09:50:28"/>
    <d v="2016-10-07T09:59:01"/>
    <m/>
    <m/>
  </r>
  <r>
    <n v="225"/>
    <x v="0"/>
    <x v="4"/>
    <s v="pop music"/>
    <s v="n. phr."/>
    <s v="流行音乐"/>
    <d v="2016-08-15T11:38:04"/>
    <d v="2016-08-15T11:38:05"/>
    <d v="2016-08-15T11:38:05"/>
    <d v="2016-08-15T11:54:50"/>
    <d v="2016-10-07T09:36:26"/>
    <d v="2016-08-15T11:38:05"/>
    <d v="2016-10-07T09:36:26"/>
    <m/>
    <m/>
  </r>
  <r>
    <n v="226"/>
    <x v="0"/>
    <x v="4"/>
    <s v="petrol"/>
    <s v="n."/>
    <s v="汽油"/>
    <d v="2016-08-15T11:40:41"/>
    <d v="2016-08-15T11:40:42"/>
    <d v="2016-08-15T11:40:42"/>
    <d v="2016-08-15T11:55:03"/>
    <d v="2016-10-07T09:36:30"/>
    <d v="2016-08-15T11:40:42"/>
    <d v="2016-10-07T09:36:30"/>
    <m/>
    <m/>
  </r>
  <r>
    <n v="227"/>
    <x v="0"/>
    <x v="4"/>
    <s v="self-confident"/>
    <s v="adj."/>
    <s v="自信的"/>
    <d v="2016-08-15T13:16:34"/>
    <d v="2016-09-17T13:06:04"/>
    <d v="2016-09-17T13:06:02"/>
    <d v="2016-08-15T14:10:19"/>
    <d v="2016-10-07T09:36:35"/>
    <d v="2016-09-17T13:06:04"/>
    <d v="2016-10-07T09:36:35"/>
    <m/>
    <m/>
  </r>
  <r>
    <n v="228"/>
    <x v="0"/>
    <x v="4"/>
    <s v="flat"/>
    <s v="n."/>
    <s v="（英）公寓里的一套房间"/>
    <d v="2016-08-15T11:40:50"/>
    <d v="2016-10-07T09:50:33"/>
    <d v="2016-10-07T09:50:33"/>
    <d v="2016-08-15T11:55:18"/>
    <d v="2016-10-07T09:59:05"/>
    <d v="2016-10-07T09:50:33"/>
    <d v="2016-10-07T09:59:05"/>
    <m/>
    <m/>
  </r>
  <r>
    <n v="229"/>
    <x v="0"/>
    <x v="4"/>
    <s v="independent"/>
    <s v="adj."/>
    <s v="独立的"/>
    <d v="2016-08-15T11:40:53"/>
    <d v="2016-10-07T10:06:45"/>
    <d v="2016-10-07T10:06:44"/>
    <d v="2016-08-15T11:55:38"/>
    <d v="2016-10-07T10:10:57"/>
    <d v="2016-10-07T10:06:45"/>
    <d v="2016-10-07T10:10:57"/>
    <m/>
    <m/>
  </r>
  <r>
    <n v="230"/>
    <x v="0"/>
    <x v="4"/>
    <s v="university"/>
    <s v="n."/>
    <s v="大学"/>
    <d v="2016-08-15T11:40:56"/>
    <d v="2016-08-15T11:40:57"/>
    <d v="2016-08-15T11:40:57"/>
    <d v="2016-08-15T11:55:45"/>
    <d v="2016-10-07T09:36:50"/>
    <d v="2016-08-15T11:40:57"/>
    <d v="2016-10-07T09:36:50"/>
    <m/>
    <m/>
  </r>
  <r>
    <n v="231"/>
    <x v="0"/>
    <x v="4"/>
    <s v="lifestyle"/>
    <s v="n."/>
    <s v="生活方式"/>
    <d v="2016-08-15T11:41:21"/>
    <d v="2016-10-07T09:51:13"/>
    <d v="2016-10-07T09:51:12"/>
    <d v="2016-08-15T11:55:57"/>
    <d v="2016-10-07T09:59:15"/>
    <d v="2016-10-07T09:51:13"/>
    <d v="2016-10-07T09:59:15"/>
    <m/>
    <m/>
  </r>
  <r>
    <n v="232"/>
    <x v="0"/>
    <x v="4"/>
    <s v="space"/>
    <s v="n."/>
    <s v="空间；空格"/>
    <d v="2016-08-15T11:41:24"/>
    <d v="2016-09-17T12:45:18"/>
    <d v="2016-09-17T12:45:18"/>
    <d v="2016-08-15T11:56:02"/>
    <d v="2016-10-07T09:37:00"/>
    <d v="2016-09-17T12:45:18"/>
    <d v="2016-10-07T09:37:00"/>
    <m/>
    <m/>
  </r>
  <r>
    <n v="233"/>
    <x v="0"/>
    <x v="4"/>
    <s v="penfriend"/>
    <s v="n."/>
    <s v="笔友"/>
    <d v="2016-08-15T14:35:49"/>
    <d v="2016-08-15T11:41:29"/>
    <d v="2016-08-15T11:41:27"/>
    <d v="2016-08-15T14:40:47"/>
    <d v="2016-10-07T09:37:03"/>
    <d v="2016-08-15T14:35:49"/>
    <d v="2016-10-07T09:37:03"/>
    <m/>
    <m/>
  </r>
  <r>
    <n v="234"/>
    <x v="0"/>
    <x v="4"/>
    <s v="serious"/>
    <s v="adj."/>
    <s v="严肃的；认真的"/>
    <d v="2016-08-15T11:41:34"/>
    <d v="2016-09-17T12:45:20"/>
    <d v="2016-09-17T12:45:20"/>
    <d v="2016-08-15T11:56:28"/>
    <d v="2016-10-07T09:37:07"/>
    <d v="2016-09-17T12:45:20"/>
    <d v="2016-10-07T09:37:07"/>
    <m/>
    <m/>
  </r>
  <r>
    <n v="235"/>
    <x v="0"/>
    <x v="4"/>
    <s v="hard-working"/>
    <s v="adj."/>
    <s v="努力工作的"/>
    <d v="2016-08-15T11:41:37"/>
    <d v="2016-09-17T12:45:22"/>
    <d v="2016-09-17T12:45:22"/>
    <d v="2016-08-15T11:56:43"/>
    <d v="2016-10-07T09:37:10"/>
    <d v="2016-09-17T12:45:22"/>
    <d v="2016-10-07T09:37:10"/>
    <m/>
    <m/>
  </r>
  <r>
    <n v="236"/>
    <x v="0"/>
    <x v="4"/>
    <s v="adventure"/>
    <s v="n."/>
    <s v="冒险"/>
    <d v="2016-08-15T11:43:55"/>
    <d v="2016-09-17T12:56:32"/>
    <d v="2016-09-17T12:56:32"/>
    <d v="2016-08-15T11:56:51"/>
    <d v="2016-10-07T09:37:15"/>
    <d v="2016-09-17T12:56:32"/>
    <d v="2016-10-07T09:37:15"/>
    <m/>
    <m/>
  </r>
  <r>
    <n v="237"/>
    <x v="0"/>
    <x v="4"/>
    <s v="jazz"/>
    <s v="n."/>
    <s v="爵士乐"/>
    <d v="2016-08-15T11:43:58"/>
    <d v="2016-08-15T11:44:00"/>
    <d v="2016-08-15T11:43:59"/>
    <d v="2016-08-15T11:56:55"/>
    <d v="2016-10-07T09:37:19"/>
    <d v="2016-08-15T11:44:00"/>
    <d v="2016-10-07T09:37:19"/>
    <m/>
    <m/>
  </r>
  <r>
    <n v="238"/>
    <x v="0"/>
    <x v="4"/>
    <s v="non-smoker"/>
    <s v="n."/>
    <s v="不吸烟的人"/>
    <d v="2016-08-15T11:44:02"/>
    <d v="2016-08-15T11:44:03"/>
    <d v="2016-08-15T11:44:03"/>
    <d v="2016-08-15T11:57:10"/>
    <d v="2016-10-07T09:37:22"/>
    <d v="2016-08-15T11:44:03"/>
    <d v="2016-10-07T09:37:22"/>
    <m/>
    <m/>
  </r>
  <r>
    <n v="239"/>
    <x v="0"/>
    <x v="4"/>
    <s v="chess"/>
    <s v="n."/>
    <s v="国际象棋"/>
    <d v="2016-08-15T11:44:05"/>
    <d v="2016-08-15T11:44:07"/>
    <d v="2016-08-15T11:44:05"/>
    <d v="2016-08-15T11:57:17"/>
    <d v="2016-10-07T09:37:25"/>
    <d v="2016-08-15T11:44:07"/>
    <d v="2016-10-07T09:37:25"/>
    <m/>
    <m/>
  </r>
  <r>
    <n v="240"/>
    <x v="0"/>
    <x v="4"/>
    <s v="rent"/>
    <s v="n."/>
    <s v="房租"/>
    <d v="2016-08-15T11:44:09"/>
    <d v="2016-09-17T12:45:27"/>
    <d v="2016-09-17T12:45:26"/>
    <d v="2016-08-15T11:57:21"/>
    <d v="2016-10-07T09:37:29"/>
    <d v="2016-09-17T12:45:27"/>
    <d v="2016-10-07T09:37:29"/>
    <m/>
    <m/>
  </r>
  <r>
    <n v="241"/>
    <x v="0"/>
    <x v="4"/>
    <s v="rent"/>
    <s v="v."/>
    <s v="租用"/>
    <d v="2016-08-15T11:44:11"/>
    <d v="2016-08-15T11:44:12"/>
    <d v="2016-08-15T11:44:12"/>
    <d v="2016-08-15T11:57:26"/>
    <d v="2016-10-07T09:37:32"/>
    <d v="2016-08-15T11:44:12"/>
    <d v="2016-10-07T09:37:32"/>
    <m/>
    <m/>
  </r>
  <r>
    <n v="242"/>
    <x v="0"/>
    <x v="4"/>
    <s v="tick"/>
    <s v="v."/>
    <s v="打对勾"/>
    <d v="2016-08-15T11:44:19"/>
    <d v="2016-08-15T11:44:20"/>
    <d v="2016-08-15T11:44:20"/>
    <d v="2016-08-15T11:57:30"/>
    <d v="2016-10-07T09:37:36"/>
    <d v="2016-08-15T11:44:20"/>
    <d v="2016-10-07T09:37:36"/>
    <m/>
    <m/>
  </r>
  <r>
    <n v="243"/>
    <x v="0"/>
    <x v="4"/>
    <s v="tick"/>
    <s v="n."/>
    <s v="对勾"/>
    <d v="2016-08-15T11:44:21"/>
    <d v="2016-08-15T11:44:22"/>
    <d v="2016-08-15T11:44:22"/>
    <d v="2016-08-15T11:57:32"/>
    <d v="2016-10-07T09:37:39"/>
    <d v="2016-08-15T11:44:22"/>
    <d v="2016-10-07T09:37:39"/>
    <m/>
    <m/>
  </r>
  <r>
    <n v="244"/>
    <x v="0"/>
    <x v="4"/>
    <s v="offer"/>
    <s v="v."/>
    <s v="提供"/>
    <d v="2016-08-15T11:44:24"/>
    <d v="2016-10-07T09:51:19"/>
    <d v="2016-10-07T09:51:18"/>
    <d v="2016-08-15T11:57:38"/>
    <d v="2016-10-07T09:59:20"/>
    <d v="2016-10-07T09:51:19"/>
    <d v="2016-10-07T09:59:20"/>
    <m/>
    <m/>
  </r>
  <r>
    <n v="245"/>
    <x v="0"/>
    <x v="4"/>
    <s v="somewhere"/>
    <s v="pron."/>
    <s v="某个地方"/>
    <d v="2016-08-15T11:44:28"/>
    <d v="2016-10-07T10:12:18"/>
    <d v="2016-10-07T10:12:18"/>
    <d v="2016-08-15T11:57:45"/>
    <d v="2016-10-07T10:13:40"/>
    <d v="2016-10-07T10:12:18"/>
    <d v="2016-10-07T10:13:40"/>
    <m/>
    <m/>
  </r>
  <r>
    <n v="246"/>
    <x v="0"/>
    <x v="4"/>
    <s v="quiz"/>
    <s v="n."/>
    <s v="小测试"/>
    <d v="2016-08-15T14:05:23"/>
    <d v="2016-09-17T12:45:33"/>
    <d v="2016-09-17T12:45:32"/>
    <d v="2016-08-15T14:10:37"/>
    <d v="2016-10-07T09:37:53"/>
    <d v="2016-09-17T12:45:33"/>
    <d v="2016-10-07T09:37:53"/>
    <m/>
    <m/>
  </r>
  <r>
    <n v="247"/>
    <x v="0"/>
    <x v="4"/>
    <s v="result"/>
    <s v="n."/>
    <s v="结果"/>
    <d v="2016-08-15T11:45:42"/>
    <d v="2016-10-07T10:12:23"/>
    <d v="2016-10-07T10:12:22"/>
    <d v="2016-08-15T11:58:18"/>
    <d v="2016-10-07T10:13:45"/>
    <d v="2016-10-07T10:12:23"/>
    <d v="2016-10-07T10:13:45"/>
    <m/>
    <m/>
  </r>
  <r>
    <n v="248"/>
    <x v="0"/>
    <x v="4"/>
    <s v="classical"/>
    <s v="adj."/>
    <s v="古典的"/>
    <d v="2016-08-15T11:45:46"/>
    <d v="2016-09-17T12:45:39"/>
    <d v="2016-09-17T12:45:38"/>
    <d v="2016-08-15T11:58:34"/>
    <d v="2016-10-07T09:38:03"/>
    <d v="2016-09-17T12:45:39"/>
    <d v="2016-10-07T09:38:03"/>
    <m/>
    <m/>
  </r>
  <r>
    <n v="249"/>
    <x v="0"/>
    <x v="4"/>
    <s v="subject"/>
    <s v="n."/>
    <s v="科目；学科"/>
    <d v="2016-08-15T11:45:48"/>
    <d v="2016-09-17T12:45:42"/>
    <d v="2016-09-17T12:45:41"/>
    <d v="2016-08-15T11:58:40"/>
    <d v="2016-10-07T09:38:06"/>
    <d v="2016-09-17T12:45:42"/>
    <d v="2016-10-07T09:38:06"/>
    <m/>
    <m/>
  </r>
  <r>
    <n v="250"/>
    <x v="0"/>
    <x v="4"/>
    <s v="celebrate"/>
    <s v="v."/>
    <s v="庆祝，祝贺"/>
    <d v="2016-08-15T14:05:25"/>
    <d v="2016-10-07T09:51:32"/>
    <d v="2016-10-07T09:51:31"/>
    <d v="2016-08-15T14:10:44"/>
    <d v="2016-10-07T09:59:35"/>
    <d v="2016-10-07T09:51:32"/>
    <d v="2016-10-07T09:59:35"/>
    <m/>
    <m/>
  </r>
  <r>
    <n v="251"/>
    <x v="0"/>
    <x v="4"/>
    <s v="beach"/>
    <s v="n."/>
    <s v="海滩"/>
    <d v="2016-08-15T11:45:56"/>
    <d v="2016-08-15T11:45:57"/>
    <d v="2016-08-15T11:45:56"/>
    <d v="2016-08-15T11:58:59"/>
    <d v="2016-10-07T09:38:17"/>
    <d v="2016-08-15T11:45:57"/>
    <d v="2016-10-07T09:38:17"/>
    <m/>
    <m/>
  </r>
  <r>
    <n v="252"/>
    <x v="0"/>
    <x v="4"/>
    <s v="restaurant"/>
    <s v="n."/>
    <s v="餐馆，饭店"/>
    <d v="2016-08-15T11:47:24"/>
    <d v="2016-08-15T11:47:25"/>
    <d v="2016-08-15T11:47:24"/>
    <d v="2016-08-15T11:59:20"/>
    <d v="2016-10-07T09:38:22"/>
    <d v="2016-08-15T11:47:25"/>
    <d v="2016-10-07T09:38:22"/>
    <m/>
    <m/>
  </r>
  <r>
    <n v="253"/>
    <x v="0"/>
    <x v="4"/>
    <s v="invite"/>
    <s v="v."/>
    <s v="邀请"/>
    <d v="2016-08-15T11:47:27"/>
    <d v="2016-08-15T11:47:28"/>
    <d v="2016-08-15T11:47:27"/>
    <d v="2016-08-15T11:59:28"/>
    <d v="2016-10-07T09:38:27"/>
    <d v="2016-08-15T11:47:28"/>
    <d v="2016-10-07T09:38:27"/>
    <m/>
    <m/>
  </r>
  <r>
    <n v="254"/>
    <x v="0"/>
    <x v="4"/>
    <s v="pea"/>
    <s v="n."/>
    <s v="豌豆"/>
    <d v="2016-08-15T14:35:51"/>
    <d v="2016-08-15T11:47:31"/>
    <d v="2016-08-15T11:47:30"/>
    <d v="2016-08-15T14:40:53"/>
    <d v="2016-10-07T09:38:31"/>
    <d v="2016-08-15T14:35:51"/>
    <d v="2016-10-07T09:38:31"/>
    <m/>
    <m/>
  </r>
  <r>
    <n v="255"/>
    <x v="0"/>
    <x v="4"/>
    <s v="chip"/>
    <s v="n."/>
    <s v="炸薯条"/>
    <d v="2016-08-15T11:47:34"/>
    <d v="2016-09-17T12:45:44"/>
    <d v="2016-09-17T12:45:44"/>
    <d v="2016-08-15T11:59:44"/>
    <d v="2016-10-07T09:38:35"/>
    <d v="2016-09-17T12:45:44"/>
    <d v="2016-10-07T09:38:35"/>
    <m/>
    <m/>
  </r>
  <r>
    <n v="256"/>
    <x v="0"/>
    <x v="4"/>
    <s v="cage"/>
    <s v="n."/>
    <s v="笼子"/>
    <d v="2016-08-15T14:05:28"/>
    <d v="2016-08-15T11:47:38"/>
    <d v="2016-08-15T11:47:37"/>
    <d v="2016-08-15T14:11:00"/>
    <d v="2016-10-07T09:38:38"/>
    <d v="2016-08-15T14:05:28"/>
    <d v="2016-10-07T09:38:38"/>
    <m/>
    <m/>
  </r>
  <r>
    <n v="257"/>
    <x v="0"/>
    <x v="4"/>
    <s v="shop assistant"/>
    <s v="n. phr."/>
    <s v="商店营业员"/>
    <d v="2016-08-15T11:47:40"/>
    <d v="2016-08-15T11:47:41"/>
    <d v="2016-08-15T11:47:41"/>
    <d v="2016-08-15T12:00:10"/>
    <d v="2016-10-07T09:38:41"/>
    <d v="2016-08-15T11:47:41"/>
    <d v="2016-10-07T09:38:41"/>
    <m/>
    <m/>
  </r>
  <r>
    <n v="258"/>
    <x v="0"/>
    <x v="4"/>
    <s v="discuss"/>
    <s v="v."/>
    <s v="讨论"/>
    <d v="2016-08-15T14:05:30"/>
    <d v="2016-10-07T09:51:35"/>
    <d v="2016-10-07T09:51:35"/>
    <d v="2016-08-15T14:11:10"/>
    <d v="2016-10-07T09:59:38"/>
    <d v="2016-10-07T09:51:35"/>
    <d v="2016-10-07T09:59:38"/>
    <m/>
    <m/>
  </r>
  <r>
    <n v="259"/>
    <x v="0"/>
    <x v="4"/>
    <s v="afraid"/>
    <s v="v."/>
    <s v="恐怕；担心"/>
    <d v="2016-08-15T14:05:33"/>
    <d v="2016-10-07T10:06:54"/>
    <d v="2016-10-07T10:06:53"/>
    <d v="2016-08-15T14:11:26"/>
    <d v="2016-10-07T10:11:11"/>
    <d v="2016-10-07T10:06:54"/>
    <d v="2016-10-07T10:11:11"/>
    <m/>
    <m/>
  </r>
  <r>
    <n v="260"/>
    <x v="0"/>
    <x v="4"/>
    <s v="divide"/>
    <s v="v."/>
    <s v="划分，分开"/>
    <d v="2016-08-15T14:05:35"/>
    <d v="2016-10-07T10:06:57"/>
    <d v="2016-10-07T10:06:56"/>
    <d v="2016-08-15T14:11:36"/>
    <d v="2016-10-07T10:11:33"/>
    <d v="2016-10-07T10:06:57"/>
    <d v="2016-10-07T10:11:33"/>
    <m/>
    <m/>
  </r>
  <r>
    <n v="261"/>
    <x v="0"/>
    <x v="4"/>
    <s v="according to"/>
    <s v="prep. phr."/>
    <s v="根据"/>
    <d v="2016-08-15T14:06:03"/>
    <d v="2016-10-07T10:15:10"/>
    <d v="2016-10-07T10:15:10"/>
    <d v="2016-08-15T14:11:54"/>
    <d v="2016-10-07T10:15:23"/>
    <d v="2016-10-07T10:15:10"/>
    <d v="2016-10-07T10:15:23"/>
    <m/>
    <m/>
  </r>
  <r>
    <n v="262"/>
    <x v="0"/>
    <x v="4"/>
    <s v="content"/>
    <s v="n."/>
    <s v="（常用复）目录；内容"/>
    <d v="2016-08-15T14:35:56"/>
    <d v="2016-10-07T10:12:31"/>
    <d v="2016-10-07T10:12:31"/>
    <d v="2016-08-15T14:41:03"/>
    <d v="2016-10-07T10:14:04"/>
    <d v="2016-10-07T10:12:31"/>
    <d v="2016-10-07T10:14:04"/>
    <m/>
    <m/>
  </r>
  <r>
    <n v="263"/>
    <x v="0"/>
    <x v="4"/>
    <s v="exactly"/>
    <s v="adv."/>
    <s v="确切地"/>
    <d v="2016-08-15T14:06:12"/>
    <d v="2016-10-07T09:52:28"/>
    <d v="2016-10-07T09:52:28"/>
    <d v="2016-08-15T14:12:28"/>
    <d v="2016-10-07T10:00:05"/>
    <d v="2016-10-07T09:52:28"/>
    <d v="2016-10-07T10:00:05"/>
    <m/>
    <m/>
  </r>
  <r>
    <n v="264"/>
    <x v="0"/>
    <x v="4"/>
    <s v="huge"/>
    <s v="adj."/>
    <s v="巨大的；大量的"/>
    <d v="2016-08-15T14:06:15"/>
    <d v="2016-08-15T14:06:16"/>
    <d v="2016-08-15T14:06:15"/>
    <d v="2016-08-15T14:12:41"/>
    <d v="2016-10-07T09:39:24"/>
    <d v="2016-08-15T14:06:16"/>
    <d v="2016-10-07T09:39:24"/>
    <m/>
    <m/>
  </r>
  <r>
    <n v="265"/>
    <x v="0"/>
    <x v="4"/>
    <s v="geography"/>
    <s v="n."/>
    <s v="地理学"/>
    <d v="2016-08-15T14:06:19"/>
    <d v="2016-08-15T14:06:20"/>
    <d v="2016-08-15T14:06:19"/>
    <d v="2016-08-15T14:12:51"/>
    <d v="2016-10-07T09:39:29"/>
    <d v="2016-08-15T14:06:20"/>
    <d v="2016-10-07T09:39:29"/>
    <m/>
    <m/>
  </r>
  <r>
    <n v="266"/>
    <x v="0"/>
    <x v="4"/>
    <s v="script"/>
    <s v="n."/>
    <s v="原稿"/>
    <d v="2016-08-15T14:06:24"/>
    <d v="2016-10-07T09:52:37"/>
    <d v="2016-10-07T09:52:37"/>
    <d v="2016-08-15T14:13:09"/>
    <d v="2016-10-07T10:00:10"/>
    <d v="2016-10-07T09:52:37"/>
    <d v="2016-10-07T10:00:10"/>
    <m/>
    <m/>
  </r>
  <r>
    <n v="267"/>
    <x v="0"/>
    <x v="4"/>
    <s v="on foot"/>
    <s v="phrase"/>
    <s v="步行"/>
    <d v="2016-08-15T14:06:38"/>
    <d v="2016-09-17T13:07:51"/>
    <d v="2016-09-17T13:07:50"/>
    <d v="2016-08-15T14:13:15"/>
    <d v="2016-10-07T09:39:39"/>
    <d v="2016-09-17T13:07:51"/>
    <d v="2016-10-07T09:39:39"/>
    <m/>
    <m/>
  </r>
  <r>
    <n v="268"/>
    <x v="0"/>
    <x v="4"/>
    <s v="course"/>
    <s v="n."/>
    <s v="课程"/>
    <d v="2016-08-15T14:35:57"/>
    <d v="2016-09-17T12:46:29"/>
    <d v="2016-09-17T12:46:29"/>
    <d v="2016-08-15T14:41:21"/>
    <d v="2016-10-07T09:39:42"/>
    <d v="2016-09-17T12:46:29"/>
    <d v="2016-10-07T09:39:42"/>
    <m/>
    <m/>
  </r>
  <r>
    <n v="269"/>
    <x v="0"/>
    <x v="4"/>
    <s v="lawyer"/>
    <s v="n."/>
    <s v="律师"/>
    <d v="2016-08-15T14:05:13"/>
    <d v="2016-10-07T09:52:44"/>
    <d v="2016-10-07T09:52:43"/>
    <d v="2016-08-15T14:13:43"/>
    <d v="2016-10-07T10:00:14"/>
    <d v="2016-10-07T09:52:44"/>
    <d v="2016-10-07T10:00:14"/>
    <m/>
    <m/>
  </r>
  <r>
    <n v="270"/>
    <x v="0"/>
    <x v="4"/>
    <s v="capital"/>
    <s v="adj."/>
    <s v="大写的"/>
    <d v="2016-08-15T14:05:09"/>
    <d v="2016-10-07T10:12:33"/>
    <d v="2016-10-07T10:12:34"/>
    <d v="2016-08-15T14:14:26"/>
    <d v="2016-10-07T10:14:07"/>
    <d v="2016-10-07T10:12:34"/>
    <d v="2016-10-07T10:14:07"/>
    <m/>
    <m/>
  </r>
  <r>
    <n v="271"/>
    <x v="0"/>
    <x v="4"/>
    <s v="quotation"/>
    <s v="n."/>
    <s v="引用语"/>
    <d v="2016-08-15T14:05:05"/>
    <d v="2016-10-07T09:57:09"/>
    <d v="2016-10-07T09:57:08"/>
    <d v="2016-08-15T14:15:29"/>
    <d v="2016-10-07T10:00:25"/>
    <d v="2016-10-07T09:57:09"/>
    <d v="2016-10-07T10:00:25"/>
    <m/>
    <m/>
  </r>
  <r>
    <n v="272"/>
    <x v="0"/>
    <x v="4"/>
    <s v="mark"/>
    <s v="v."/>
    <s v="标出"/>
    <d v="2016-08-15T14:04:58"/>
    <d v="2016-08-15T14:05:00"/>
    <d v="2016-08-15T14:04:59"/>
    <d v="2016-08-15T14:15:52"/>
    <d v="2016-10-07T09:40:02"/>
    <d v="2016-08-15T14:05:00"/>
    <d v="2016-10-07T09:40:02"/>
    <m/>
    <m/>
  </r>
  <r>
    <n v="273"/>
    <x v="0"/>
    <x v="4"/>
    <s v="mark"/>
    <s v="n."/>
    <s v="符号"/>
    <d v="2016-08-15T14:04:53"/>
    <d v="2016-08-15T14:04:54"/>
    <d v="2016-08-15T14:04:54"/>
    <d v="2016-08-15T14:15:55"/>
    <d v="2016-10-07T09:40:05"/>
    <d v="2016-08-15T14:04:54"/>
    <d v="2016-10-07T09:40:05"/>
    <m/>
    <m/>
  </r>
  <r>
    <n v="274"/>
    <x v="0"/>
    <x v="4"/>
    <s v="quotation mark"/>
    <s v="n. phr."/>
    <s v="引号"/>
    <d v="2016-08-15T13:17:20"/>
    <d v="2016-09-17T13:09:52"/>
    <d v="2016-09-17T13:09:51"/>
    <d v="2016-08-15T14:16:05"/>
    <d v="2016-10-07T09:40:10"/>
    <d v="2016-09-17T13:09:52"/>
    <d v="2016-10-07T09:40:10"/>
    <m/>
    <m/>
  </r>
  <r>
    <n v="275"/>
    <x v="0"/>
    <x v="4"/>
    <s v="apostrophe"/>
    <s v="n."/>
    <s v="撇号；省略号"/>
    <d v="2016-08-15T14:38:26"/>
    <d v="2016-10-07T10:12:37"/>
    <d v="2016-10-07T10:12:36"/>
    <d v="2016-08-15T14:41:39"/>
    <d v="2016-10-07T10:14:10"/>
    <d v="2016-10-07T10:12:37"/>
    <d v="2016-10-07T10:14:10"/>
    <m/>
    <m/>
  </r>
  <r>
    <n v="276"/>
    <x v="0"/>
    <x v="4"/>
    <s v="statement"/>
    <s v="n."/>
    <s v="陈述；叙述"/>
    <d v="2016-08-15T13:17:11"/>
    <d v="2016-10-07T10:14:34"/>
    <d v="2016-10-07T10:14:33"/>
    <d v="2016-08-15T14:18:01"/>
    <d v="2016-10-07T10:14:55"/>
    <d v="2016-10-07T10:14:34"/>
    <d v="2016-10-07T10:14:55"/>
    <m/>
    <m/>
  </r>
  <r>
    <n v="277"/>
    <x v="0"/>
    <x v="4"/>
    <s v="question mark"/>
    <s v="n. phr."/>
    <s v="问号"/>
    <d v="2016-08-15T13:17:08"/>
    <d v="2016-08-15T13:17:09"/>
    <d v="2016-08-15T13:17:09"/>
    <d v="2016-08-15T14:19:21"/>
    <d v="2016-10-07T09:40:26"/>
    <d v="2016-08-15T13:17:09"/>
    <d v="2016-10-07T09:40:26"/>
    <m/>
    <m/>
  </r>
  <r>
    <n v="278"/>
    <x v="0"/>
    <x v="4"/>
    <s v="comma"/>
    <s v="n."/>
    <s v="逗号"/>
    <d v="2016-08-15T13:17:05"/>
    <d v="2016-08-15T13:17:06"/>
    <d v="2016-08-15T13:17:05"/>
    <d v="2016-08-15T14:19:57"/>
    <d v="2016-10-07T09:40:31"/>
    <d v="2016-08-15T13:17:06"/>
    <d v="2016-10-07T09:40:31"/>
    <m/>
    <m/>
  </r>
  <r>
    <n v="279"/>
    <x v="0"/>
    <x v="4"/>
    <s v="punctuation"/>
    <s v="n."/>
    <s v="标点符号"/>
    <d v="2016-08-15T13:17:01"/>
    <d v="2016-10-07T09:57:34"/>
    <d v="2016-10-07T09:57:33"/>
    <d v="2016-08-15T14:20:52"/>
    <d v="2016-10-07T10:00:40"/>
    <d v="2016-10-07T09:57:34"/>
    <d v="2016-10-07T10:00:40"/>
    <m/>
    <m/>
  </r>
  <r>
    <n v="280"/>
    <x v="0"/>
    <x v="4"/>
    <s v="Italy"/>
    <s v="n."/>
    <s v="意大利"/>
    <d v="2016-08-15T14:38:29"/>
    <d v="2016-08-15T13:17:00"/>
    <d v="2016-08-15T13:16:59"/>
    <d v="2016-08-15T14:41:58"/>
    <d v="2016-10-07T09:40:39"/>
    <d v="2016-08-15T14:38:29"/>
    <d v="2016-10-07T09:40:39"/>
    <m/>
    <m/>
  </r>
  <r>
    <n v="281"/>
    <x v="0"/>
    <x v="4"/>
    <s v="Scotland"/>
    <s v="n."/>
    <s v="苏格兰"/>
    <d v="2016-08-15T13:16:55"/>
    <d v="2016-08-15T13:16:56"/>
    <d v="2016-08-15T13:16:56"/>
    <d v="2016-08-15T14:22:00"/>
    <d v="2016-10-07T09:40:43"/>
    <d v="2016-08-15T13:16:56"/>
    <d v="2016-10-07T09:40:43"/>
    <m/>
    <m/>
  </r>
  <r>
    <n v="282"/>
    <x v="0"/>
    <x v="4"/>
    <s v="Edinburgh"/>
    <s v="n."/>
    <s v="爱丁堡（英国城市）"/>
    <d v="2016-08-15T14:38:34"/>
    <d v="2016-08-15T13:16:54"/>
    <d v="2016-08-15T13:16:53"/>
    <d v="2016-08-15T14:43:47"/>
    <d v="2016-10-07T09:40:45"/>
    <d v="2016-08-15T14:38:34"/>
    <d v="2016-10-07T09:40:45"/>
    <m/>
    <m/>
  </r>
  <r>
    <n v="283"/>
    <x v="0"/>
    <x v="4"/>
    <s v="castle"/>
    <s v="n."/>
    <s v="城堡"/>
    <d v="2016-08-15T14:44:20"/>
    <d v="2016-08-15T13:16:51"/>
    <d v="2016-08-15T13:16:50"/>
    <d v="2016-08-15T14:44:52"/>
    <d v="2016-10-07T09:40:50"/>
    <d v="2016-08-15T14:44:20"/>
    <d v="2016-10-07T09:40:50"/>
    <m/>
    <m/>
  </r>
  <r>
    <n v="284"/>
    <x v="0"/>
    <x v="4"/>
    <s v="national"/>
    <s v="adj."/>
    <s v="国家的"/>
    <d v="2016-08-15T13:16:47"/>
    <d v="2016-09-17T12:46:47"/>
    <d v="2016-09-17T12:46:47"/>
    <d v="2016-08-15T14:44:05"/>
    <d v="2016-10-07T09:40:54"/>
    <d v="2016-09-17T12:46:47"/>
    <d v="2016-10-07T09:40:54"/>
    <m/>
    <m/>
  </r>
  <r>
    <n v="285"/>
    <x v="0"/>
    <x v="4"/>
    <s v="gallery"/>
    <s v="n."/>
    <s v="画廊；美术馆，艺术馆"/>
    <d v="2016-08-15T13:16:44"/>
    <d v="2016-08-15T13:16:45"/>
    <d v="2016-08-15T13:16:44"/>
    <d v="2016-08-15T14:22:56"/>
    <d v="2016-10-07T09:40:57"/>
    <d v="2016-08-15T13:16:45"/>
    <d v="2016-10-07T09:40:57"/>
    <m/>
    <m/>
  </r>
  <r>
    <n v="286"/>
    <x v="0"/>
    <x v="4"/>
    <s v="museum"/>
    <s v="n."/>
    <s v="博物馆"/>
    <d v="2016-08-15T14:38:30"/>
    <d v="2016-08-15T13:16:42"/>
    <d v="2016-08-15T13:16:41"/>
    <d v="2016-08-15T14:45:16"/>
    <d v="2016-10-07T09:41:00"/>
    <d v="2016-08-15T14:38:30"/>
    <d v="2016-10-07T09:41:00"/>
    <m/>
    <m/>
  </r>
  <r>
    <n v="287"/>
    <x v="0"/>
    <x v="4"/>
    <s v="umbrella"/>
    <s v="n."/>
    <s v="雨伞"/>
    <d v="2016-08-15T13:16:37"/>
    <d v="2016-08-15T13:16:39"/>
    <d v="2016-08-15T13:16:38"/>
    <d v="2016-08-15T14:24:12"/>
    <d v="2016-10-07T09:41:03"/>
    <d v="2016-08-15T13:16:39"/>
    <d v="2016-10-07T09:41:03"/>
    <m/>
    <m/>
  </r>
  <r>
    <n v="288"/>
    <x v="2"/>
    <x v="5"/>
    <s v="comedy"/>
    <s v="n."/>
    <s v="喜剧"/>
    <d v="2016-08-05T10:41:30"/>
    <d v="2016-07-16T12:56:32"/>
    <d v="2016-07-16T12:56:32"/>
    <d v="2016-08-05T10:48:59"/>
    <d v="2016-08-05T10:52:44"/>
    <d v="2016-08-05T10:41:30"/>
    <d v="2016-08-05T10:52:44"/>
    <s v=""/>
    <m/>
  </r>
  <r>
    <n v="289"/>
    <x v="2"/>
    <x v="5"/>
    <s v="comedian"/>
    <s v="n."/>
    <s v="喜剧演员"/>
    <d v="2016-08-05T10:41:32"/>
    <d v="2016-07-13T11:14:52"/>
    <d v="2016-07-13T11:14:52"/>
    <d v="2016-08-05T10:49:08"/>
    <d v="2016-08-05T10:52:49"/>
    <d v="2016-08-05T10:41:32"/>
    <d v="2016-08-05T10:52:49"/>
    <m/>
    <m/>
  </r>
  <r>
    <n v="290"/>
    <x v="2"/>
    <x v="5"/>
    <s v="own"/>
    <s v="adj."/>
    <s v="自己的"/>
    <d v="2016-07-15T10:34:33"/>
    <d v="2016-07-15T10:34:33"/>
    <d v="2016-07-15T10:34:33"/>
    <d v="2016-08-05T10:49:11"/>
    <d v="2016-08-05T10:52:54"/>
    <d v="2016-07-15T10:34:33"/>
    <d v="2016-08-05T10:52:54"/>
    <m/>
    <m/>
  </r>
  <r>
    <n v="291"/>
    <x v="2"/>
    <x v="5"/>
    <s v="perform"/>
    <s v="v."/>
    <s v="执行"/>
    <d v="2016-07-16T12:39:55"/>
    <d v="2016-07-16T12:39:47"/>
    <d v="2016-07-16T12:39:47"/>
    <d v="2016-08-05T10:49:24"/>
    <d v="2016-08-05T10:37:33"/>
    <d v="2016-07-16T12:39:55"/>
    <d v="2016-08-05T10:49:24"/>
    <m/>
    <m/>
  </r>
  <r>
    <n v="292"/>
    <x v="2"/>
    <x v="5"/>
    <s v="leap"/>
    <s v="v."/>
    <s v="飞跃（动）"/>
    <d v="2016-08-05T10:54:15"/>
    <d v="2016-07-17T08:29:38"/>
    <d v="2016-07-17T08:29:37"/>
    <d v="2016-08-05T10:54:57"/>
    <d v="2016-08-05T10:37:35"/>
    <d v="2016-08-05T10:54:15"/>
    <d v="2016-08-05T10:54:57"/>
    <m/>
    <m/>
  </r>
  <r>
    <n v="293"/>
    <x v="2"/>
    <x v="5"/>
    <s v="leap"/>
    <s v="n."/>
    <s v="飞跃（名）"/>
    <d v="2016-07-13T11:22:16"/>
    <d v="2016-07-13T11:22:16"/>
    <d v="2016-07-13T11:22:16"/>
    <d v="2016-08-05T10:49:42"/>
    <d v="2016-08-05T10:37:38"/>
    <d v="2016-07-13T11:22:16"/>
    <d v="2016-08-05T10:49:42"/>
    <m/>
    <m/>
  </r>
  <r>
    <n v="294"/>
    <x v="2"/>
    <x v="5"/>
    <s v="circus"/>
    <s v="n."/>
    <s v="马戏团"/>
    <d v="2016-08-05T10:54:18"/>
    <d v="2016-07-13T11:22:27"/>
    <d v="2016-07-13T11:22:27"/>
    <d v="2016-08-05T10:55:11"/>
    <d v="2016-08-05T10:37:42"/>
    <d v="2016-08-05T10:54:18"/>
    <d v="2016-08-05T10:55:11"/>
    <m/>
    <m/>
  </r>
  <r>
    <n v="295"/>
    <x v="2"/>
    <x v="5"/>
    <s v="clown"/>
    <s v="n."/>
    <s v="小丑"/>
    <d v="2016-07-13T11:21:36"/>
    <d v="2016-07-13T11:21:37"/>
    <d v="2016-07-13T11:21:37"/>
    <d v="2016-08-05T10:50:02"/>
    <d v="2016-08-05T10:37:45"/>
    <d v="2016-07-13T11:21:37"/>
    <d v="2016-08-05T10:50:02"/>
    <m/>
    <m/>
  </r>
  <r>
    <n v="296"/>
    <x v="2"/>
    <x v="5"/>
    <s v="discover"/>
    <s v="v."/>
    <s v="发现"/>
    <d v="2016-08-05T10:54:19"/>
    <d v="2016-07-13T11:21:52"/>
    <d v="2016-07-13T11:21:52"/>
    <d v="2016-08-05T10:55:16"/>
    <d v="2016-08-05T10:37:49"/>
    <d v="2016-08-05T10:54:19"/>
    <d v="2016-08-05T10:55:16"/>
    <m/>
    <m/>
  </r>
  <r>
    <n v="297"/>
    <x v="2"/>
    <x v="5"/>
    <s v="brilliant"/>
    <s v="adj."/>
    <s v="杰出的"/>
    <d v="2016-08-05T10:54:22"/>
    <d v="2016-07-15T10:34:19"/>
    <d v="2016-07-15T10:34:19"/>
    <d v="2016-08-05T10:55:30"/>
    <d v="2016-08-05T10:37:51"/>
    <d v="2016-08-05T10:54:22"/>
    <d v="2016-08-05T10:55:30"/>
    <m/>
    <m/>
  </r>
  <r>
    <n v="298"/>
    <x v="2"/>
    <x v="5"/>
    <s v="preparation"/>
    <s v="n."/>
    <s v="准备"/>
    <d v="2016-07-16T12:43:23"/>
    <d v="2016-08-05T10:41:39"/>
    <d v="2016-08-05T10:41:39"/>
    <d v="2016-08-05T10:32:12"/>
    <d v="2016-08-05T10:53:30"/>
    <d v="2016-08-05T10:41:39"/>
    <d v="2016-08-05T10:53:30"/>
    <m/>
    <m/>
  </r>
  <r>
    <n v="299"/>
    <x v="2"/>
    <x v="5"/>
    <s v="set up"/>
    <s v="v. phr."/>
    <s v="建立"/>
    <d v="2016-07-13T11:27:31"/>
    <d v="2016-07-13T11:27:32"/>
    <d v="2016-07-13T11:27:32"/>
    <d v="2016-08-05T10:32:22"/>
    <d v="2016-08-05T10:38:06"/>
    <d v="2016-07-13T11:27:32"/>
    <d v="2016-08-05T10:38:06"/>
    <m/>
    <m/>
  </r>
  <r>
    <n v="300"/>
    <x v="2"/>
    <x v="5"/>
    <s v="monthly"/>
    <s v="adj."/>
    <s v="每月的"/>
    <d v="2016-07-15T10:34:13"/>
    <d v="2016-07-15T10:34:13"/>
    <d v="2016-07-15T10:34:13"/>
    <d v="2016-08-05T10:32:30"/>
    <d v="2016-08-05T10:38:09"/>
    <d v="2016-07-15T10:34:13"/>
    <d v="2016-08-05T10:38:09"/>
    <m/>
    <m/>
  </r>
  <r>
    <n v="301"/>
    <x v="2"/>
    <x v="5"/>
    <s v="lack"/>
    <s v="n."/>
    <s v="缺乏（名）"/>
    <d v="2016-07-16T12:40:25"/>
    <d v="2016-07-16T12:40:27"/>
    <d v="2016-07-16T12:28:41"/>
    <d v="2016-08-05T10:32:39"/>
    <d v="2016-08-05T10:38:13"/>
    <d v="2016-07-16T12:40:27"/>
    <d v="2016-08-05T10:38:13"/>
    <m/>
    <m/>
  </r>
  <r>
    <n v="302"/>
    <x v="2"/>
    <x v="5"/>
    <s v="lack"/>
    <s v="v."/>
    <s v="缺乏（动）"/>
    <d v="2016-07-16T12:40:31"/>
    <d v="2016-07-16T12:34:50"/>
    <d v="2016-07-16T12:30:06"/>
    <d v="2016-08-05T10:32:42"/>
    <d v="2016-08-05T10:38:15"/>
    <d v="2016-07-16T12:40:31"/>
    <d v="2016-08-05T10:38:15"/>
    <m/>
    <m/>
  </r>
  <r>
    <n v="303"/>
    <x v="2"/>
    <x v="5"/>
    <s v="confidence"/>
    <s v="n."/>
    <s v="信任，信心"/>
    <d v="2016-08-05T10:41:42"/>
    <d v="2016-08-05T10:41:43"/>
    <d v="2016-08-05T10:41:44"/>
    <d v="2016-08-05T10:55:46"/>
    <d v="2016-08-05T10:53:34"/>
    <d v="2016-08-05T10:41:44"/>
    <d v="2016-08-05T10:55:46"/>
    <m/>
    <m/>
  </r>
  <r>
    <n v="304"/>
    <x v="2"/>
    <x v="5"/>
    <s v="creative"/>
    <s v="adj."/>
    <s v="创造性的"/>
    <d v="2016-08-05T10:41:46"/>
    <d v="2016-07-16T12:39:12"/>
    <d v="2016-07-16T12:39:12"/>
    <d v="2016-08-05T10:56:02"/>
    <d v="2016-08-05T10:38:33"/>
    <d v="2016-08-05T10:41:46"/>
    <d v="2016-08-05T10:56:02"/>
    <m/>
    <m/>
  </r>
  <r>
    <n v="305"/>
    <x v="2"/>
    <x v="5"/>
    <s v="stand-up comedian"/>
    <s v="n. phr."/>
    <s v="独角滑稽秀演员"/>
    <d v="2016-08-05T10:41:48"/>
    <d v="2016-07-13T11:38:48"/>
    <d v="2016-07-13T11:38:48"/>
    <d v="2016-08-05T10:56:14"/>
    <d v="2016-08-05T10:38:37"/>
    <d v="2016-08-05T10:41:48"/>
    <d v="2016-08-05T10:56:14"/>
    <m/>
    <m/>
  </r>
  <r>
    <n v="306"/>
    <x v="2"/>
    <x v="5"/>
    <s v="be able to"/>
    <s v="v. phr."/>
    <s v="能够，有能力（或办法、机会）做某事"/>
    <d v="2016-07-15T10:33:54"/>
    <d v="2016-07-15T10:33:54"/>
    <d v="2016-07-15T10:33:54"/>
    <d v="2016-08-05T10:33:50"/>
    <d v="2016-08-05T10:38:41"/>
    <d v="2016-07-15T10:33:54"/>
    <d v="2016-08-05T10:38:41"/>
    <m/>
    <m/>
  </r>
  <r>
    <n v="307"/>
    <x v="2"/>
    <x v="5"/>
    <s v="accurate"/>
    <s v="adj."/>
    <s v="准确的"/>
    <d v="2016-08-05T10:41:50"/>
    <d v="2016-07-16T12:33:17"/>
    <d v="2016-07-16T12:33:16"/>
    <d v="2016-08-05T10:56:30"/>
    <d v="2016-08-05T10:38:47"/>
    <d v="2016-08-05T10:41:50"/>
    <d v="2016-08-05T10:56:30"/>
    <m/>
    <m/>
  </r>
  <r>
    <n v="308"/>
    <x v="2"/>
    <x v="5"/>
    <s v="achieve"/>
    <s v="v."/>
    <s v="到达；得到"/>
    <d v="2016-07-17T08:30:21"/>
    <d v="2016-07-16T12:38:24"/>
    <d v="2016-07-16T12:38:23"/>
    <d v="2016-08-05T10:34:10"/>
    <d v="2016-08-05T10:39:00"/>
    <d v="2016-07-17T08:30:21"/>
    <d v="2016-08-05T10:39:00"/>
    <m/>
    <m/>
  </r>
  <r>
    <n v="309"/>
    <x v="2"/>
    <x v="5"/>
    <s v="actress"/>
    <s v="n."/>
    <s v="女演员"/>
    <d v="2016-07-15T10:33:44"/>
    <d v="2016-07-15T10:33:44"/>
    <d v="2016-07-15T10:33:44"/>
    <d v="2016-08-05T10:34:20"/>
    <d v="2016-08-05T10:39:03"/>
    <d v="2016-07-15T10:33:44"/>
    <d v="2016-08-05T10:39:03"/>
    <m/>
    <m/>
  </r>
  <r>
    <n v="310"/>
    <x v="2"/>
    <x v="5"/>
    <s v="additional"/>
    <s v="adj."/>
    <s v="附加的"/>
    <d v="2016-07-16T12:37:40"/>
    <d v="2016-07-16T12:37:38"/>
    <d v="2016-07-16T12:37:39"/>
    <d v="2016-08-05T10:34:34"/>
    <d v="2016-08-05T10:39:12"/>
    <d v="2016-07-16T12:37:40"/>
    <d v="2016-08-05T10:39:12"/>
    <m/>
    <m/>
  </r>
  <r>
    <n v="311"/>
    <x v="2"/>
    <x v="5"/>
    <s v="admission"/>
    <s v="n."/>
    <s v="进入权；招供；承认；允许"/>
    <d v="2016-08-05T10:41:52"/>
    <d v="2016-08-05T10:41:53"/>
    <d v="2016-08-05T10:41:52"/>
    <d v="2016-08-05T10:56:45"/>
    <d v="2016-08-05T10:53:40"/>
    <d v="2016-08-05T10:41:53"/>
    <d v="2016-08-05T10:56:45"/>
    <s v=""/>
    <m/>
  </r>
  <r>
    <n v="312"/>
    <x v="2"/>
    <x v="5"/>
    <s v="advanced"/>
    <s v="adj."/>
    <s v="先进的"/>
    <d v="2016-08-05T10:41:55"/>
    <d v="2016-07-17T08:30:30"/>
    <d v="2016-07-17T08:35:23"/>
    <d v="2016-08-05T10:56:59"/>
    <d v="2016-08-05T10:39:23"/>
    <d v="2016-08-05T10:41:55"/>
    <d v="2016-08-05T10:56:59"/>
    <s v="我恨它！！！！"/>
    <m/>
  </r>
  <r>
    <n v="313"/>
    <x v="2"/>
    <x v="5"/>
    <s v="afford"/>
    <s v="v."/>
    <s v="提供"/>
    <d v="2016-07-16T12:36:52"/>
    <d v="2016-07-16T12:27:05"/>
    <d v="2016-07-16T12:27:05"/>
    <d v="2016-08-05T10:35:02"/>
    <d v="2016-08-05T10:39:43"/>
    <d v="2016-07-16T12:36:52"/>
    <d v="2016-08-05T10:39:43"/>
    <m/>
    <m/>
  </r>
  <r>
    <n v="314"/>
    <x v="2"/>
    <x v="5"/>
    <s v="agent"/>
    <s v="n."/>
    <s v="代理人"/>
    <d v="2016-07-13T11:44:33"/>
    <d v="2016-07-13T11:44:33"/>
    <d v="2016-07-13T11:44:33"/>
    <d v="2016-08-05T10:35:07"/>
    <d v="2016-08-05T10:39:47"/>
    <d v="2016-07-13T11:44:33"/>
    <d v="2016-08-05T10:39:47"/>
    <m/>
    <m/>
  </r>
  <r>
    <n v="315"/>
    <x v="2"/>
    <x v="6"/>
    <s v="agency"/>
    <s v="n."/>
    <s v="代理处"/>
    <d v="2016-07-17T16:20:52"/>
    <d v="2016-08-05T11:13:59"/>
    <d v="2016-08-05T11:13:58"/>
    <d v="2016-08-05T11:03:24"/>
    <d v="2016-08-05T11:34:56"/>
    <d v="2016-08-05T11:13:59"/>
    <d v="2016-08-05T11:34:56"/>
    <m/>
    <m/>
  </r>
  <r>
    <n v="316"/>
    <x v="2"/>
    <x v="6"/>
    <s v="alike"/>
    <s v="adv."/>
    <s v="同样地"/>
    <d v="2016-07-14T13:06:12"/>
    <d v="2016-08-05T10:57:19"/>
    <d v="2016-08-05T10:57:19"/>
    <d v="2016-08-05T11:03:29"/>
    <d v="2016-08-05T10:58:13"/>
    <d v="2016-08-05T10:57:19"/>
    <d v="2016-08-05T11:03:29"/>
    <m/>
    <m/>
  </r>
  <r>
    <n v="317"/>
    <x v="2"/>
    <x v="6"/>
    <s v="allow"/>
    <s v="v."/>
    <s v="同意"/>
    <d v="2016-07-14T13:06:24"/>
    <d v="2016-07-14T13:06:25"/>
    <d v="2016-07-14T13:06:24"/>
    <d v="2016-08-05T11:03:40"/>
    <d v="2016-08-05T10:58:20"/>
    <d v="2016-07-14T13:06:25"/>
    <d v="2016-08-05T11:03:40"/>
    <m/>
    <m/>
  </r>
  <r>
    <n v="318"/>
    <x v="2"/>
    <x v="6"/>
    <s v="altogether"/>
    <s v="adv."/>
    <s v="完全，总共"/>
    <d v="2016-08-05T11:14:00"/>
    <d v="2016-07-17T16:27:59"/>
    <d v="2016-07-17T16:27:58"/>
    <d v="2016-08-05T11:34:01"/>
    <d v="2016-08-05T10:58:41"/>
    <d v="2016-08-05T11:14:00"/>
    <d v="2016-08-05T11:34:01"/>
    <m/>
    <m/>
  </r>
  <r>
    <n v="319"/>
    <x v="2"/>
    <x v="6"/>
    <s v="amazing"/>
    <s v="adj."/>
    <s v="令人惊讶的"/>
    <d v="2016-08-05T11:14:04"/>
    <d v="2016-08-05T10:57:21"/>
    <d v="2016-08-05T10:57:21"/>
    <d v="2016-08-05T11:34:10"/>
    <d v="2016-08-05T10:58:48"/>
    <d v="2016-08-05T11:14:04"/>
    <d v="2016-08-05T11:34:10"/>
    <m/>
    <m/>
  </r>
  <r>
    <n v="320"/>
    <x v="2"/>
    <x v="6"/>
    <s v="ambition"/>
    <s v="n."/>
    <s v="野心；雄心，抱负"/>
    <d v="2016-07-14T13:10:50"/>
    <d v="2016-07-14T13:10:50"/>
    <d v="2016-07-14T13:10:50"/>
    <d v="2016-08-05T11:04:21"/>
    <d v="2016-08-05T10:58:57"/>
    <d v="2016-07-14T13:10:50"/>
    <d v="2016-08-05T11:04:21"/>
    <m/>
    <m/>
  </r>
  <r>
    <n v="321"/>
    <x v="2"/>
    <x v="6"/>
    <s v="amusing"/>
    <s v="adj."/>
    <s v="有趣的"/>
    <d v="2016-08-05T11:14:06"/>
    <d v="2016-08-05T10:57:24"/>
    <d v="2016-08-05T10:57:24"/>
    <d v="2016-08-05T11:34:16"/>
    <d v="2016-08-05T10:59:01"/>
    <d v="2016-08-05T11:14:06"/>
    <d v="2016-08-05T11:34:16"/>
    <m/>
    <m/>
  </r>
  <r>
    <n v="322"/>
    <x v="2"/>
    <x v="6"/>
    <s v="ancient"/>
    <s v="adj."/>
    <s v="古代的"/>
    <d v="2016-07-17T16:19:32"/>
    <d v="2016-07-17T16:19:14"/>
    <d v="2016-07-17T16:19:14"/>
    <d v="2016-08-05T11:04:50"/>
    <d v="2016-08-05T10:59:32"/>
    <d v="2016-07-17T16:19:32"/>
    <d v="2016-08-05T11:04:50"/>
    <m/>
    <m/>
  </r>
  <r>
    <n v="323"/>
    <x v="2"/>
    <x v="6"/>
    <s v="anniversary"/>
    <s v="n."/>
    <s v="周年纪念"/>
    <d v="2016-08-05T11:14:08"/>
    <d v="2016-07-17T14:37:37"/>
    <d v="2016-07-17T14:37:37"/>
    <d v="2016-08-05T11:34:40"/>
    <d v="2016-08-05T10:59:43"/>
    <d v="2016-08-05T11:14:08"/>
    <d v="2016-08-05T11:34:40"/>
    <m/>
    <m/>
  </r>
  <r>
    <n v="324"/>
    <x v="2"/>
    <x v="6"/>
    <s v="apologize"/>
    <s v="v."/>
    <s v="道歉"/>
    <d v="2016-07-17T14:38:05"/>
    <d v="2016-08-05T10:57:26"/>
    <d v="2016-08-05T10:57:26"/>
    <d v="2016-07-17T16:32:47"/>
    <d v="2016-08-05T10:59:47"/>
    <d v="2016-08-05T10:57:26"/>
    <d v="2016-08-05T10:59:47"/>
    <m/>
    <m/>
  </r>
  <r>
    <n v="325"/>
    <x v="2"/>
    <x v="6"/>
    <s v="appointment"/>
    <s v="n."/>
    <s v="约会，预约"/>
    <d v="2016-07-17T14:38:18"/>
    <d v="2016-07-17T14:35:52"/>
    <d v="2016-07-17T14:35:52"/>
    <d v="2016-07-17T16:33:11"/>
    <d v="2016-08-05T10:59:53"/>
    <d v="2016-07-17T14:38:18"/>
    <d v="2016-08-05T10:59:53"/>
    <m/>
    <m/>
  </r>
  <r>
    <n v="326"/>
    <x v="2"/>
    <x v="6"/>
    <s v="approve"/>
    <s v="v."/>
    <s v="赞同，批准"/>
    <d v="2016-07-17T17:04:55"/>
    <d v="2016-07-17T17:02:42"/>
    <d v="2016-07-17T17:02:42"/>
    <d v="2016-07-17T17:05:25"/>
    <d v="2016-08-05T11:00:04"/>
    <d v="2016-07-17T17:04:55"/>
    <d v="2016-08-05T11:00:04"/>
    <m/>
    <m/>
  </r>
  <r>
    <n v="327"/>
    <x v="2"/>
    <x v="6"/>
    <s v="application"/>
    <s v="n."/>
    <s v="申请"/>
    <d v="2016-07-17T16:58:39"/>
    <d v="2016-07-17T14:38:52"/>
    <d v="2016-07-17T14:38:51"/>
    <d v="2016-07-17T17:00:15"/>
    <d v="2016-08-05T11:00:23"/>
    <d v="2016-07-17T16:58:39"/>
    <d v="2016-08-05T11:00:23"/>
    <m/>
    <m/>
  </r>
  <r>
    <n v="328"/>
    <x v="2"/>
    <x v="6"/>
    <s v="arrange"/>
    <s v="v."/>
    <s v="安排"/>
    <d v="2016-07-17T17:06:36"/>
    <d v="2016-08-05T11:14:11"/>
    <d v="2016-08-05T11:14:11"/>
    <d v="2016-07-17T17:06:50"/>
    <d v="2016-08-05T11:35:07"/>
    <d v="2016-08-05T11:14:11"/>
    <d v="2016-08-05T11:35:07"/>
    <m/>
    <m/>
  </r>
  <r>
    <n v="329"/>
    <x v="2"/>
    <x v="6"/>
    <s v="as well"/>
    <s v="adv. phr."/>
    <s v="也"/>
    <d v="2016-07-17T17:08:54"/>
    <d v="2016-08-05T10:57:40"/>
    <d v="2016-08-05T10:57:39"/>
    <d v="2016-07-17T17:10:21"/>
    <d v="2016-08-05T11:00:49"/>
    <d v="2016-08-05T10:57:40"/>
    <d v="2016-08-05T11:00:49"/>
    <m/>
    <m/>
  </r>
  <r>
    <n v="330"/>
    <x v="2"/>
    <x v="6"/>
    <s v="as well as"/>
    <s v="phrase"/>
    <s v="和什么一样，也"/>
    <d v="2016-07-15T10:32:18"/>
    <d v="2016-08-05T10:57:37"/>
    <d v="2016-08-05T10:57:36"/>
    <d v="2016-07-14T13:36:50"/>
    <d v="2016-08-05T11:01:04"/>
    <d v="2016-08-05T10:57:37"/>
    <d v="2016-08-05T11:01:04"/>
    <m/>
    <m/>
  </r>
  <r>
    <n v="331"/>
    <x v="2"/>
    <x v="6"/>
    <s v="at all"/>
    <s v="prep. phr."/>
    <s v="根本"/>
    <d v="2016-07-17T14:39:09"/>
    <d v="2016-08-05T11:14:13"/>
    <d v="2016-08-05T11:14:13"/>
    <d v="2016-07-17T16:34:04"/>
    <d v="2016-08-05T11:35:23"/>
    <d v="2016-08-05T11:14:13"/>
    <d v="2016-08-05T11:35:23"/>
    <m/>
    <m/>
  </r>
  <r>
    <n v="332"/>
    <x v="2"/>
    <x v="6"/>
    <s v="at first"/>
    <s v="prep. phr."/>
    <s v="首先，一开始"/>
    <d v="2016-07-14T13:16:45"/>
    <d v="2016-07-14T13:16:46"/>
    <d v="2016-07-14T13:16:46"/>
    <d v="2016-07-14T00:00:00"/>
    <d v="2016-08-05T11:01:30"/>
    <d v="2016-07-14T13:16:46"/>
    <d v="2016-08-05T11:01:30"/>
    <m/>
    <m/>
  </r>
  <r>
    <n v="333"/>
    <x v="2"/>
    <x v="6"/>
    <s v="at last"/>
    <s v="prep. phr."/>
    <s v="最后"/>
    <d v="2016-07-17T14:39:22"/>
    <d v="2016-07-17T14:39:22"/>
    <d v="2016-07-17T14:39:22"/>
    <d v="2016-07-17T16:34:12"/>
    <d v="2016-08-05T11:01:34"/>
    <d v="2016-07-17T14:39:22"/>
    <d v="2016-08-05T11:01:34"/>
    <m/>
    <m/>
  </r>
  <r>
    <n v="334"/>
    <x v="2"/>
    <x v="6"/>
    <s v="at once"/>
    <s v="prep. phr."/>
    <s v="马上，立刻"/>
    <d v="2016-07-14T13:16:41"/>
    <d v="2016-07-14T13:16:42"/>
    <d v="2016-07-14T13:16:42"/>
    <d v="2016-07-14T13:38:16"/>
    <d v="2016-08-05T11:01:45"/>
    <d v="2016-07-14T13:16:42"/>
    <d v="2016-08-05T11:01:45"/>
    <m/>
    <m/>
  </r>
  <r>
    <n v="335"/>
    <x v="2"/>
    <x v="6"/>
    <s v="at present"/>
    <s v="prep. phr."/>
    <s v="目前"/>
    <d v="2016-07-14T13:18:11"/>
    <d v="2016-07-14T13:18:12"/>
    <d v="2016-07-14T13:18:12"/>
    <d v="2016-07-14T00:00:00"/>
    <d v="2016-08-05T11:01:52"/>
    <d v="2016-07-14T13:18:12"/>
    <d v="2016-08-05T11:01:52"/>
    <m/>
    <m/>
  </r>
  <r>
    <n v="336"/>
    <x v="2"/>
    <x v="6"/>
    <s v="at the same time"/>
    <s v="prep. phr."/>
    <s v="同时"/>
    <d v="2016-07-15T10:32:06"/>
    <d v="2016-07-15T10:32:06"/>
    <d v="2016-07-15T10:32:06"/>
    <d v="2016-07-14T13:39:07"/>
    <d v="2016-08-05T11:01:56"/>
    <d v="2016-07-15T10:32:06"/>
    <d v="2016-08-05T11:01:56"/>
    <m/>
    <m/>
  </r>
  <r>
    <n v="337"/>
    <x v="2"/>
    <x v="6"/>
    <s v="souvenir"/>
    <s v="n."/>
    <s v="纪念品"/>
    <d v="2016-07-17T16:19:24"/>
    <d v="2016-07-17T16:19:26"/>
    <d v="2016-07-17T16:19:24"/>
    <d v="2016-07-17T16:34:33"/>
    <d v="2016-08-05T11:02:01"/>
    <d v="2016-07-17T16:19:26"/>
    <d v="2016-08-05T11:02:01"/>
    <m/>
    <m/>
  </r>
  <r>
    <n v="338"/>
    <x v="2"/>
    <x v="6"/>
    <s v="permit"/>
    <s v="v."/>
    <s v="准许"/>
    <d v="2016-07-17T16:58:59"/>
    <d v="2016-07-17T16:19:46"/>
    <d v="2016-07-17T16:19:44"/>
    <d v="2016-07-17T17:01:11"/>
    <d v="2016-08-05T11:02:10"/>
    <d v="2016-07-17T16:58:59"/>
    <d v="2016-08-05T11:02:10"/>
    <m/>
    <m/>
  </r>
  <r>
    <n v="339"/>
    <x v="2"/>
    <x v="6"/>
    <s v="coastal"/>
    <s v="adj."/>
    <s v="沿海的"/>
    <d v="2016-07-17T16:19:49"/>
    <d v="2016-07-17T16:19:50"/>
    <d v="2016-07-17T16:19:48"/>
    <d v="2016-07-17T16:34:55"/>
    <d v="2016-08-05T11:02:20"/>
    <d v="2016-07-17T16:19:50"/>
    <d v="2016-08-05T11:02:20"/>
    <m/>
    <m/>
  </r>
  <r>
    <n v="340"/>
    <x v="2"/>
    <x v="6"/>
    <s v="path"/>
    <s v="n."/>
    <s v="小路"/>
    <d v="2016-07-15T10:31:50"/>
    <d v="2016-07-15T10:31:50"/>
    <d v="2016-07-15T10:31:50"/>
    <d v="2016-07-14T13:40:00"/>
    <d v="2016-08-05T11:02:25"/>
    <d v="2016-07-15T10:31:50"/>
    <d v="2016-08-05T11:02:25"/>
    <m/>
    <m/>
  </r>
  <r>
    <n v="341"/>
    <x v="2"/>
    <x v="6"/>
    <s v="surround"/>
    <s v="v."/>
    <s v="环绕"/>
    <d v="2016-07-17T16:19:54"/>
    <d v="2016-08-05T11:33:39"/>
    <d v="2016-08-05T11:33:38"/>
    <d v="2016-07-17T16:35:23"/>
    <d v="2016-08-05T11:35:32"/>
    <d v="2016-08-05T11:33:39"/>
    <d v="2016-08-05T11:35:32"/>
    <m/>
    <m/>
  </r>
  <r>
    <n v="342"/>
    <x v="2"/>
    <x v="6"/>
    <s v="cliff"/>
    <s v="n."/>
    <s v="悬崖"/>
    <d v="2016-07-14T13:20:30"/>
    <d v="2016-07-14T13:20:31"/>
    <d v="2016-07-14T13:20:30"/>
    <d v="2016-07-14T13:47:54"/>
    <d v="2016-08-05T11:02:36"/>
    <d v="2016-07-14T13:20:31"/>
    <d v="2016-08-05T11:02:36"/>
    <m/>
    <m/>
  </r>
  <r>
    <n v="343"/>
    <x v="2"/>
    <x v="7"/>
    <s v="access"/>
    <s v="v."/>
    <s v="准入"/>
    <d v="2016-07-17T21:38:56"/>
    <d v="2016-07-17T21:38:56"/>
    <d v="2016-07-17T21:38:56"/>
    <d v="2016-08-09T10:09:32"/>
    <d v="2016-07-17T21:39:19"/>
    <d v="2016-07-17T21:38:56"/>
    <d v="2016-08-09T10:09:32"/>
    <m/>
    <m/>
  </r>
  <r>
    <n v="344"/>
    <x v="2"/>
    <x v="7"/>
    <s v="facility"/>
    <s v="n."/>
    <s v="设备"/>
    <d v="2016-07-17T17:53:47"/>
    <d v="2016-07-17T17:53:46"/>
    <d v="2016-07-17T17:53:46"/>
    <d v="2016-08-09T10:09:46"/>
    <d v="2016-07-17T21:39:39"/>
    <d v="2016-07-17T17:53:47"/>
    <d v="2016-08-09T10:09:46"/>
    <m/>
    <m/>
  </r>
  <r>
    <n v="345"/>
    <x v="2"/>
    <x v="7"/>
    <s v="attract"/>
    <s v="v."/>
    <s v="吸引"/>
    <d v="2016-07-17T21:31:01"/>
    <d v="2016-07-15T11:36:19"/>
    <d v="2016-07-15T11:36:19"/>
    <d v="2016-08-09T10:10:01"/>
    <d v="2016-07-17T21:39:56"/>
    <d v="2016-07-17T21:31:01"/>
    <d v="2016-08-09T10:10:01"/>
    <m/>
    <m/>
  </r>
  <r>
    <n v="346"/>
    <x v="2"/>
    <x v="7"/>
    <s v="worth"/>
    <s v="adj."/>
    <s v="值得的"/>
    <d v="2016-08-09T11:28:50"/>
    <d v="2016-07-15T11:36:33"/>
    <d v="2016-07-15T11:36:32"/>
    <d v="2016-08-09T11:30:09"/>
    <d v="2016-07-17T21:34:08"/>
    <d v="2016-08-09T11:28:50"/>
    <d v="2016-08-09T11:30:09"/>
    <m/>
    <m/>
  </r>
  <r>
    <n v="347"/>
    <x v="2"/>
    <x v="7"/>
    <s v="attempt"/>
    <s v="v."/>
    <s v="尝试（动）"/>
    <d v="2016-07-17T17:49:42"/>
    <d v="2016-07-17T21:39:00"/>
    <d v="2016-07-17T21:38:59"/>
    <d v="2016-08-09T10:10:18"/>
    <d v="2016-07-17T21:40:48"/>
    <d v="2016-07-17T21:39:00"/>
    <d v="2016-08-09T10:10:18"/>
    <m/>
    <m/>
  </r>
  <r>
    <n v="348"/>
    <x v="2"/>
    <x v="7"/>
    <s v="attempt"/>
    <s v="n."/>
    <s v="尝试（名）"/>
    <d v="2016-07-15T11:50:48"/>
    <d v="2016-07-15T11:50:49"/>
    <d v="2016-07-15T11:50:48"/>
    <d v="2016-08-09T10:10:25"/>
    <d v="2016-07-17T21:34:35"/>
    <d v="2016-07-15T11:50:49"/>
    <d v="2016-08-09T10:10:25"/>
    <m/>
    <m/>
  </r>
  <r>
    <n v="349"/>
    <x v="2"/>
    <x v="7"/>
    <s v="attraction"/>
    <s v="n."/>
    <s v="吸引"/>
    <d v="2016-08-09T11:28:51"/>
    <d v="2016-07-17T17:58:28"/>
    <d v="2016-07-17T17:58:28"/>
    <d v="2016-08-09T11:30:16"/>
    <d v="2016-07-17T21:34:41"/>
    <d v="2016-08-09T11:28:51"/>
    <d v="2016-08-09T11:30:16"/>
    <m/>
    <m/>
  </r>
  <r>
    <n v="350"/>
    <x v="2"/>
    <x v="7"/>
    <s v="attractive"/>
    <s v="adj."/>
    <s v="有吸引力的"/>
    <d v="2016-07-17T17:58:33"/>
    <d v="2016-07-15T11:30:56"/>
    <d v="2016-07-15T11:30:56"/>
    <d v="2016-08-09T10:11:09"/>
    <d v="2016-07-17T21:34:46"/>
    <d v="2016-07-17T17:58:33"/>
    <d v="2016-08-09T10:11:09"/>
    <m/>
    <m/>
  </r>
  <r>
    <n v="351"/>
    <x v="2"/>
    <x v="7"/>
    <s v="audience"/>
    <s v="n."/>
    <s v="观众"/>
    <d v="2016-08-09T11:28:53"/>
    <d v="2016-07-15T11:57:17"/>
    <d v="2016-07-15T11:57:17"/>
    <d v="2016-08-09T11:30:23"/>
    <d v="2016-07-17T21:34:51"/>
    <d v="2016-08-09T11:28:53"/>
    <d v="2016-08-09T11:30:23"/>
    <m/>
    <m/>
  </r>
  <r>
    <n v="352"/>
    <x v="2"/>
    <x v="7"/>
    <s v="baggage"/>
    <s v="n."/>
    <s v="行李"/>
    <d v="2016-07-15T11:30:59"/>
    <d v="2016-07-15T11:30:59"/>
    <d v="2016-07-15T11:30:59"/>
    <d v="2016-08-09T10:12:02"/>
    <d v="2016-07-17T21:34:54"/>
    <d v="2016-07-15T11:30:59"/>
    <d v="2016-08-09T10:12:02"/>
    <m/>
    <m/>
  </r>
  <r>
    <n v="353"/>
    <x v="2"/>
    <x v="7"/>
    <s v="balcony"/>
    <s v="n."/>
    <s v="阳台"/>
    <d v="2016-07-17T17:50:06"/>
    <d v="2016-07-15T11:57:03"/>
    <d v="2016-07-15T11:57:02"/>
    <d v="2016-08-09T10:12:17"/>
    <d v="2016-07-17T21:34:58"/>
    <d v="2016-07-17T17:50:06"/>
    <d v="2016-08-09T10:12:17"/>
    <m/>
    <m/>
  </r>
  <r>
    <n v="354"/>
    <x v="2"/>
    <x v="7"/>
    <s v="banknote"/>
    <s v="n."/>
    <s v="纸币"/>
    <d v="2016-08-09T11:40:00"/>
    <d v="2016-07-15T11:50:10"/>
    <d v="2016-07-15T11:50:09"/>
    <d v="2016-08-09T12:11:20"/>
    <d v="2016-07-17T21:35:01"/>
    <d v="2016-08-09T11:40:00"/>
    <d v="2016-08-09T12:11:20"/>
    <m/>
    <m/>
  </r>
  <r>
    <n v="355"/>
    <x v="2"/>
    <x v="7"/>
    <s v="bear"/>
    <s v="n."/>
    <s v="忍耐；熊"/>
    <d v="2016-07-15T11:14:44"/>
    <d v="2016-07-15T11:14:46"/>
    <d v="2016-07-15T11:14:45"/>
    <d v="2016-08-09T10:12:37"/>
    <d v="2016-07-17T21:35:06"/>
    <d v="2016-07-15T11:14:46"/>
    <d v="2016-08-09T10:12:37"/>
    <m/>
    <m/>
  </r>
  <r>
    <n v="356"/>
    <x v="2"/>
    <x v="7"/>
    <s v="behave"/>
    <s v="v."/>
    <s v="表现；展现行为"/>
    <d v="2016-07-17T21:31:05"/>
    <d v="2016-07-17T21:39:02"/>
    <d v="2016-07-17T21:39:01"/>
    <d v="2016-08-09T10:12:50"/>
    <d v="2016-07-17T21:40:53"/>
    <d v="2016-07-17T21:39:02"/>
    <d v="2016-08-09T10:12:50"/>
    <m/>
    <m/>
  </r>
  <r>
    <n v="357"/>
    <x v="2"/>
    <x v="7"/>
    <s v="belongings"/>
    <s v="n."/>
    <s v="所有物"/>
    <d v="2016-07-17T17:51:07"/>
    <d v="2016-07-15T11:56:32"/>
    <d v="2016-07-15T11:56:31"/>
    <d v="2016-08-09T10:13:10"/>
    <d v="2016-07-17T21:37:05"/>
    <d v="2016-07-17T17:51:07"/>
    <d v="2016-08-09T10:13:10"/>
    <m/>
    <m/>
  </r>
  <r>
    <n v="358"/>
    <x v="2"/>
    <x v="7"/>
    <s v="biography"/>
    <s v="n."/>
    <s v="传记;档案;传记体文学;个人简介"/>
    <d v="2016-07-17T17:51:16"/>
    <d v="2016-07-15T11:57:54"/>
    <d v="2016-07-15T11:57:53"/>
    <d v="2016-08-09T10:14:22"/>
    <d v="2016-07-17T21:37:18"/>
    <d v="2016-07-17T17:51:16"/>
    <d v="2016-08-09T10:14:22"/>
    <m/>
    <m/>
  </r>
  <r>
    <n v="359"/>
    <x v="2"/>
    <x v="7"/>
    <s v="biology"/>
    <s v="n."/>
    <s v="生物学"/>
    <d v="2016-07-15T11:57:43"/>
    <d v="2016-07-15T11:57:44"/>
    <d v="2016-07-15T11:57:43"/>
    <d v="2016-08-09T10:14:34"/>
    <d v="2016-07-17T21:37:26"/>
    <d v="2016-07-15T11:57:44"/>
    <d v="2016-08-09T10:14:34"/>
    <m/>
    <m/>
  </r>
  <r>
    <n v="360"/>
    <x v="2"/>
    <x v="7"/>
    <s v="blank"/>
    <s v="adj."/>
    <s v="空白的"/>
    <d v="2016-07-15T11:58:04"/>
    <d v="2016-07-15T11:58:05"/>
    <d v="2016-07-15T11:58:04"/>
    <d v="2016-08-09T10:14:43"/>
    <d v="2016-07-17T21:37:30"/>
    <d v="2016-07-15T11:58:05"/>
    <d v="2016-08-09T10:14:43"/>
    <m/>
    <m/>
  </r>
  <r>
    <n v="361"/>
    <x v="2"/>
    <x v="7"/>
    <s v="board"/>
    <s v="v."/>
    <s v="上飞机"/>
    <d v="2016-08-09T11:28:57"/>
    <d v="2016-07-17T21:39:04"/>
    <d v="2016-07-17T21:39:03"/>
    <d v="2016-08-09T11:30:37"/>
    <d v="2016-07-17T21:40:56"/>
    <d v="2016-08-09T11:28:57"/>
    <d v="2016-08-09T11:30:37"/>
    <m/>
    <m/>
  </r>
  <r>
    <n v="362"/>
    <x v="2"/>
    <x v="7"/>
    <s v="boarding pass"/>
    <s v="n. phr."/>
    <s v="登记证，登机牌"/>
    <d v="2016-07-15T11:32:16"/>
    <d v="2016-07-15T11:32:17"/>
    <d v="2016-07-15T11:32:17"/>
    <d v="2016-08-09T10:15:10"/>
    <d v="2016-07-17T21:37:43"/>
    <d v="2016-07-15T11:32:17"/>
    <d v="2016-08-09T10:15:10"/>
    <m/>
    <m/>
  </r>
  <r>
    <n v="363"/>
    <x v="2"/>
    <x v="7"/>
    <s v="bold"/>
    <s v="adj."/>
    <s v="大胆的"/>
    <d v="2016-07-17T17:51:34"/>
    <d v="2016-07-15T11:58:20"/>
    <d v="2016-07-15T11:58:19"/>
    <d v="2016-08-09T10:15:23"/>
    <d v="2016-07-17T21:37:48"/>
    <d v="2016-07-17T17:51:34"/>
    <d v="2016-08-09T10:15:23"/>
    <m/>
    <m/>
  </r>
  <r>
    <n v="364"/>
    <x v="2"/>
    <x v="7"/>
    <s v="brake"/>
    <s v="n."/>
    <s v="刹车（名）"/>
    <d v="2016-08-09T11:28:58"/>
    <d v="2016-07-15T11:58:23"/>
    <d v="2016-07-15T11:58:22"/>
    <d v="2016-08-09T11:30:42"/>
    <d v="2016-07-17T21:37:55"/>
    <d v="2016-08-09T11:28:58"/>
    <d v="2016-08-09T11:30:42"/>
    <m/>
    <m/>
  </r>
  <r>
    <n v="365"/>
    <x v="2"/>
    <x v="7"/>
    <s v="brake"/>
    <s v="v."/>
    <s v="刹车（动）"/>
    <d v="2016-07-15T11:58:24"/>
    <d v="2016-07-15T11:58:25"/>
    <d v="2016-07-15T11:58:24"/>
    <d v="2016-08-09T10:15:31"/>
    <d v="2016-07-17T21:37:57"/>
    <d v="2016-07-15T11:58:25"/>
    <d v="2016-08-09T10:15:31"/>
    <m/>
    <m/>
  </r>
  <r>
    <n v="366"/>
    <x v="2"/>
    <x v="7"/>
    <s v="branch"/>
    <s v="n."/>
    <s v="树枝；分公司"/>
    <d v="2016-07-15T11:58:31"/>
    <d v="2016-07-15T11:58:32"/>
    <d v="2016-07-15T11:58:32"/>
    <d v="2016-08-09T10:15:55"/>
    <d v="2016-07-17T21:38:01"/>
    <d v="2016-07-15T11:58:32"/>
    <d v="2016-08-09T10:15:55"/>
    <m/>
    <m/>
  </r>
  <r>
    <n v="367"/>
    <x v="2"/>
    <x v="7"/>
    <s v="brave"/>
    <s v="adj."/>
    <s v="勇敢的"/>
    <d v="2016-07-17T17:37:42"/>
    <d v="2016-07-15T11:32:30"/>
    <d v="2016-07-15T11:32:30"/>
    <d v="2016-08-09T10:15:59"/>
    <d v="2016-07-17T21:38:05"/>
    <d v="2016-07-17T17:37:42"/>
    <d v="2016-08-09T10:15:59"/>
    <m/>
    <m/>
  </r>
  <r>
    <n v="368"/>
    <x v="2"/>
    <x v="7"/>
    <s v="dull"/>
    <s v="adj."/>
    <s v="愚蠢的"/>
    <d v="2016-07-15T11:52:06"/>
    <d v="2016-07-15T11:52:07"/>
    <d v="2016-07-15T11:52:06"/>
    <d v="2016-08-09T10:16:09"/>
    <d v="2016-07-17T21:38:16"/>
    <d v="2016-07-15T11:52:07"/>
    <d v="2016-08-09T10:16:09"/>
    <m/>
    <m/>
  </r>
  <r>
    <n v="369"/>
    <x v="2"/>
    <x v="8"/>
    <s v="snorkel"/>
    <s v="n."/>
    <s v="潜艇换气装置"/>
    <d v="2016-07-18T20:49:01"/>
    <d v="2016-07-18T18:53:15"/>
    <d v="2016-07-18T18:53:15"/>
    <d v="2016-08-09T10:18:15"/>
    <d v="2016-07-23T10:15:11"/>
    <d v="2016-07-18T20:49:01"/>
    <d v="2016-08-09T10:18:15"/>
    <m/>
    <m/>
  </r>
  <r>
    <n v="370"/>
    <x v="2"/>
    <x v="8"/>
    <s v="contact"/>
    <s v="v."/>
    <s v="联系（动）"/>
    <d v="2016-07-18T21:07:09"/>
    <d v="2016-07-18T15:36:21"/>
    <d v="2016-07-18T15:36:21"/>
    <d v="2016-08-09T10:18:28"/>
    <d v="2016-07-23T10:15:17"/>
    <d v="2016-07-18T21:07:09"/>
    <d v="2016-08-09T10:18:28"/>
    <m/>
    <m/>
  </r>
  <r>
    <n v="371"/>
    <x v="2"/>
    <x v="8"/>
    <s v="amazingly"/>
    <s v="adv."/>
    <s v="令人惊讶地"/>
    <d v="2016-07-18T20:49:04"/>
    <d v="2016-07-18T12:02:16"/>
    <d v="2016-07-18T12:02:15"/>
    <d v="2016-08-09T10:18:37"/>
    <d v="2016-07-23T10:15:22"/>
    <d v="2016-07-18T20:49:04"/>
    <d v="2016-08-09T10:18:37"/>
    <m/>
    <m/>
  </r>
  <r>
    <n v="372"/>
    <x v="2"/>
    <x v="8"/>
    <s v="similar"/>
    <s v="adj."/>
    <s v="相似的"/>
    <d v="2016-07-23T10:29:27"/>
    <d v="2016-07-18T15:35:29"/>
    <d v="2016-07-18T15:35:29"/>
    <d v="2016-08-09T10:18:52"/>
    <d v="2016-07-23T10:15:27"/>
    <d v="2016-07-23T10:29:27"/>
    <d v="2016-08-09T10:18:52"/>
    <m/>
    <m/>
  </r>
  <r>
    <n v="373"/>
    <x v="2"/>
    <x v="8"/>
    <s v="realize"/>
    <s v="v."/>
    <s v="意识到"/>
    <d v="2016-07-23T10:29:29"/>
    <d v="2016-07-18T14:57:55"/>
    <d v="2016-07-18T14:57:55"/>
    <d v="2016-08-09T10:19:13"/>
    <d v="2016-07-23T10:15:34"/>
    <d v="2016-07-23T10:29:29"/>
    <d v="2016-08-09T10:19:13"/>
    <m/>
    <m/>
  </r>
  <r>
    <n v="374"/>
    <x v="2"/>
    <x v="8"/>
    <s v="concentrate"/>
    <s v="v."/>
    <s v="集中"/>
    <d v="2016-07-23T11:46:03"/>
    <d v="2016-07-18T12:02:30"/>
    <d v="2016-07-18T12:02:30"/>
    <d v="2016-08-09T10:19:29"/>
    <d v="2016-07-23T10:15:47"/>
    <d v="2016-07-23T11:46:03"/>
    <d v="2016-08-09T10:19:29"/>
    <m/>
    <m/>
  </r>
  <r>
    <n v="375"/>
    <x v="2"/>
    <x v="8"/>
    <s v="consist"/>
    <s v="v."/>
    <s v="组成"/>
    <d v="2016-07-23T11:46:22"/>
    <d v="2016-07-18T15:37:32"/>
    <d v="2016-07-18T15:37:31"/>
    <d v="2016-08-09T10:19:48"/>
    <d v="2016-07-23T10:16:07"/>
    <d v="2016-07-23T11:46:22"/>
    <d v="2016-08-09T10:19:48"/>
    <m/>
    <m/>
  </r>
  <r>
    <n v="376"/>
    <x v="2"/>
    <x v="8"/>
    <s v="contract"/>
    <s v="n."/>
    <s v="合同"/>
    <d v="2016-08-09T11:40:02"/>
    <d v="2016-07-18T12:01:58"/>
    <d v="2016-07-18T12:01:58"/>
    <d v="2016-08-09T12:11:27"/>
    <d v="2016-07-23T10:16:12"/>
    <d v="2016-08-09T11:40:02"/>
    <d v="2016-08-09T12:11:27"/>
    <m/>
    <m/>
  </r>
  <r>
    <n v="377"/>
    <x v="2"/>
    <x v="8"/>
    <s v="costume"/>
    <s v="n."/>
    <s v="服装"/>
    <d v="2016-07-18T20:49:13"/>
    <d v="2016-07-18T12:02:36"/>
    <d v="2016-07-18T12:02:35"/>
    <d v="2016-08-09T10:20:05"/>
    <d v="2016-07-23T10:16:18"/>
    <d v="2016-07-18T20:49:13"/>
    <d v="2016-08-09T10:20:05"/>
    <m/>
    <m/>
  </r>
  <r>
    <n v="378"/>
    <x v="2"/>
    <x v="8"/>
    <s v="cottage"/>
    <s v="n."/>
    <s v="小木屋"/>
    <d v="2016-07-18T18:54:46"/>
    <d v="2016-07-18T12:02:39"/>
    <d v="2016-07-18T12:02:39"/>
    <d v="2016-08-09T10:20:11"/>
    <d v="2016-07-23T10:16:24"/>
    <d v="2016-07-18T18:54:46"/>
    <d v="2016-08-09T10:20:11"/>
    <m/>
    <m/>
  </r>
  <r>
    <n v="379"/>
    <x v="2"/>
    <x v="8"/>
    <s v="couple"/>
    <s v="n."/>
    <s v="夫妻，一对"/>
    <d v="2016-08-09T11:40:04"/>
    <d v="2016-07-18T15:39:15"/>
    <d v="2016-07-18T15:39:15"/>
    <d v="2016-08-09T12:11:34"/>
    <d v="2016-07-23T10:16:29"/>
    <d v="2016-08-09T11:40:04"/>
    <d v="2016-08-09T12:11:34"/>
    <m/>
    <m/>
  </r>
  <r>
    <n v="380"/>
    <x v="2"/>
    <x v="8"/>
    <s v="crew"/>
    <s v="n."/>
    <s v="成员"/>
    <d v="2016-07-23T10:41:08"/>
    <d v="2016-07-18T15:39:51"/>
    <d v="2016-07-18T15:39:50"/>
    <d v="2016-08-09T10:20:32"/>
    <d v="2016-07-23T10:16:38"/>
    <d v="2016-07-23T10:41:08"/>
    <d v="2016-08-09T10:20:32"/>
    <m/>
    <m/>
  </r>
  <r>
    <n v="381"/>
    <x v="2"/>
    <x v="8"/>
    <s v="crime"/>
    <s v="n."/>
    <s v="犯罪"/>
    <d v="2016-08-09T11:29:03"/>
    <d v="2016-07-23T10:29:42"/>
    <d v="2016-07-23T10:29:39"/>
    <d v="2016-08-09T11:31:18"/>
    <d v="2016-07-23T11:49:16"/>
    <d v="2016-08-09T11:29:03"/>
    <d v="2016-08-09T11:31:18"/>
    <m/>
    <m/>
  </r>
  <r>
    <n v="382"/>
    <x v="2"/>
    <x v="8"/>
    <s v="criminal"/>
    <s v="n."/>
    <s v="罪犯"/>
    <d v="2016-07-18T20:49:15"/>
    <d v="2016-07-18T15:39:21"/>
    <d v="2016-07-18T15:39:21"/>
    <d v="2016-08-09T10:25:12"/>
    <d v="2016-07-23T10:16:57"/>
    <d v="2016-07-18T20:49:15"/>
    <d v="2016-08-09T10:25:12"/>
    <m/>
    <m/>
  </r>
  <r>
    <n v="383"/>
    <x v="2"/>
    <x v="8"/>
    <s v="cultural"/>
    <s v="adj."/>
    <s v="文化的"/>
    <d v="2016-07-23T10:42:07"/>
    <d v="2016-07-18T18:09:15"/>
    <d v="2016-07-18T18:09:14"/>
    <d v="2016-08-09T10:25:42"/>
    <d v="2016-07-23T10:17:20"/>
    <d v="2016-07-23T10:42:07"/>
    <d v="2016-08-09T10:25:42"/>
    <m/>
    <m/>
  </r>
  <r>
    <n v="384"/>
    <x v="2"/>
    <x v="8"/>
    <s v="currency"/>
    <s v="n."/>
    <s v="现金，流行"/>
    <d v="2016-08-09T11:29:05"/>
    <d v="2016-07-18T18:09:10"/>
    <d v="2016-07-18T19:07:44"/>
    <d v="2016-08-09T11:31:32"/>
    <d v="2016-07-23T10:17:34"/>
    <d v="2016-08-09T11:29:05"/>
    <d v="2016-08-09T11:31:32"/>
    <m/>
    <m/>
  </r>
  <r>
    <n v="385"/>
    <x v="2"/>
    <x v="8"/>
    <s v="curriculum"/>
    <s v="n."/>
    <s v="总课程"/>
    <d v="2016-08-09T11:40:05"/>
    <d v="2016-07-18T18:09:05"/>
    <d v="2016-07-18T18:09:04"/>
    <d v="2016-08-09T12:11:56"/>
    <d v="2016-07-23T10:17:47"/>
    <d v="2016-08-09T11:40:05"/>
    <d v="2016-08-09T12:11:56"/>
    <m/>
    <m/>
  </r>
  <r>
    <n v="386"/>
    <x v="2"/>
    <x v="8"/>
    <s v="deal"/>
    <s v="v."/>
    <s v="处理"/>
    <d v="2016-07-23T10:41:36"/>
    <d v="2016-07-23T10:29:50"/>
    <d v="2016-07-23T10:29:50"/>
    <d v="2016-08-09T10:26:12"/>
    <d v="2016-07-23T11:49:20"/>
    <d v="2016-07-23T10:41:36"/>
    <d v="2016-08-09T10:26:12"/>
    <m/>
    <m/>
  </r>
  <r>
    <n v="387"/>
    <x v="2"/>
    <x v="8"/>
    <s v="decide"/>
    <s v="v."/>
    <s v="决定"/>
    <d v="2016-07-18T20:49:32"/>
    <d v="2016-07-18T12:03:14"/>
    <d v="2016-07-18T12:03:12"/>
    <d v="2016-08-09T10:26:24"/>
    <d v="2016-07-23T10:18:05"/>
    <d v="2016-07-18T20:49:32"/>
    <d v="2016-08-09T10:26:24"/>
    <m/>
    <m/>
  </r>
  <r>
    <n v="388"/>
    <x v="2"/>
    <x v="8"/>
    <s v="declare"/>
    <s v="v."/>
    <s v="宣布"/>
    <d v="2016-07-23T10:37:50"/>
    <d v="2016-07-18T18:08:50"/>
    <d v="2016-07-18T18:08:50"/>
    <d v="2016-08-09T10:26:35"/>
    <d v="2016-07-23T10:20:13"/>
    <d v="2016-07-23T10:37:50"/>
    <d v="2016-08-09T10:26:35"/>
    <m/>
    <m/>
  </r>
  <r>
    <n v="389"/>
    <x v="2"/>
    <x v="8"/>
    <s v="decrease"/>
    <s v="v."/>
    <s v="减少（动）"/>
    <d v="2016-07-23T11:46:39"/>
    <d v="2016-07-18T19:16:22"/>
    <d v="2016-07-18T19:16:22"/>
    <d v="2016-08-09T10:26:47"/>
    <d v="2016-07-23T10:21:02"/>
    <d v="2016-07-23T11:46:39"/>
    <d v="2016-08-09T10:26:47"/>
    <m/>
    <m/>
  </r>
  <r>
    <n v="390"/>
    <x v="2"/>
    <x v="8"/>
    <s v="decrease"/>
    <s v="n."/>
    <s v="减少（名）"/>
    <d v="2016-07-18T20:50:21"/>
    <d v="2016-07-18T18:08:35"/>
    <d v="2016-07-18T18:08:35"/>
    <d v="2016-08-09T10:26:58"/>
    <d v="2016-07-23T10:21:06"/>
    <d v="2016-07-18T20:50:21"/>
    <d v="2016-08-09T10:26:58"/>
    <m/>
    <m/>
  </r>
  <r>
    <n v="391"/>
    <x v="2"/>
    <x v="8"/>
    <s v="delay"/>
    <s v="v."/>
    <s v="耽搁（动）"/>
    <d v="2016-07-18T21:07:15"/>
    <d v="2016-07-18T15:41:37"/>
    <d v="2016-07-18T15:41:37"/>
    <d v="2016-08-09T10:27:06"/>
    <d v="2016-07-23T10:21:11"/>
    <d v="2016-07-18T21:07:15"/>
    <d v="2016-08-09T10:27:06"/>
    <m/>
    <m/>
  </r>
  <r>
    <n v="392"/>
    <x v="2"/>
    <x v="8"/>
    <s v="delay"/>
    <s v="n."/>
    <s v="耽搁（名）"/>
    <d v="2016-07-18T18:08:19"/>
    <d v="2016-07-18T12:03:33"/>
    <d v="2016-07-18T12:03:32"/>
    <d v="2016-08-09T10:27:12"/>
    <d v="2016-07-23T10:21:17"/>
    <d v="2016-07-18T18:08:19"/>
    <d v="2016-08-09T10:27:12"/>
    <m/>
    <m/>
  </r>
  <r>
    <n v="393"/>
    <x v="2"/>
    <x v="8"/>
    <s v="delighted"/>
    <s v="adj."/>
    <s v="高兴的"/>
    <d v="2016-07-18T19:09:45"/>
    <d v="2016-07-18T15:45:43"/>
    <d v="2016-07-18T15:45:43"/>
    <d v="2016-08-09T10:27:26"/>
    <d v="2016-07-23T10:21:22"/>
    <d v="2016-07-18T19:09:45"/>
    <d v="2016-08-09T10:27:26"/>
    <m/>
    <m/>
  </r>
  <r>
    <n v="394"/>
    <x v="2"/>
    <x v="8"/>
    <s v="depend"/>
    <s v="v."/>
    <s v="靠，决定于"/>
    <d v="2016-07-23T10:29:53"/>
    <d v="2016-07-18T18:08:08"/>
    <d v="2016-07-18T18:08:08"/>
    <d v="2016-08-09T10:27:41"/>
    <d v="2016-07-23T10:22:11"/>
    <d v="2016-07-23T10:29:53"/>
    <d v="2016-08-09T10:27:41"/>
    <m/>
    <m/>
  </r>
  <r>
    <n v="395"/>
    <x v="2"/>
    <x v="8"/>
    <s v="recent"/>
    <s v="adj."/>
    <s v="近期的"/>
    <d v="2016-08-09T11:29:09"/>
    <d v="2016-07-18T18:08:12"/>
    <d v="2016-07-18T18:08:11"/>
    <d v="2016-08-09T11:32:34"/>
    <d v="2016-07-23T10:22:38"/>
    <d v="2016-08-09T11:29:09"/>
    <d v="2016-08-09T11:32:34"/>
    <m/>
    <m/>
  </r>
  <r>
    <n v="396"/>
    <x v="2"/>
    <x v="9"/>
    <s v="skill"/>
    <s v="n."/>
    <s v="技能"/>
    <d v="2016-07-19T09:40:06"/>
    <d v="2016-07-19T09:40:09"/>
    <d v="2016-07-19T09:40:07"/>
    <d v="2016-08-09T10:28:10"/>
    <d v="2016-07-23T11:15:08"/>
    <d v="2016-07-19T09:40:09"/>
    <d v="2016-08-09T10:28:10"/>
    <m/>
    <m/>
  </r>
  <r>
    <n v="397"/>
    <x v="2"/>
    <x v="9"/>
    <s v="expert"/>
    <s v="n."/>
    <s v="专家"/>
    <d v="2016-07-19T09:49:32"/>
    <d v="2016-07-19T09:49:33"/>
    <d v="2016-07-19T09:49:32"/>
    <d v="2016-08-09T10:28:15"/>
    <d v="2016-07-23T11:15:12"/>
    <d v="2016-07-19T09:49:33"/>
    <d v="2016-08-09T10:28:15"/>
    <m/>
    <m/>
  </r>
  <r>
    <n v="398"/>
    <x v="2"/>
    <x v="9"/>
    <s v="routine"/>
    <s v="n."/>
    <s v="例行公事"/>
    <d v="2016-07-20T10:59:58"/>
    <d v="2016-07-23T11:24:51"/>
    <d v="2016-07-23T11:24:50"/>
    <d v="2016-08-09T10:28:26"/>
    <d v="2016-07-23T11:48:36"/>
    <d v="2016-07-23T11:24:51"/>
    <d v="2016-08-09T10:28:26"/>
    <m/>
    <m/>
  </r>
  <r>
    <n v="399"/>
    <x v="2"/>
    <x v="9"/>
    <s v="challenge"/>
    <s v="v."/>
    <s v="挑战"/>
    <d v="2016-07-20T11:38:42"/>
    <d v="2016-07-20T11:10:50"/>
    <d v="2016-07-20T11:10:49"/>
    <d v="2016-08-09T10:28:39"/>
    <d v="2016-07-23T11:15:42"/>
    <d v="2016-07-20T11:38:42"/>
    <d v="2016-08-09T10:28:39"/>
    <m/>
    <m/>
  </r>
  <r>
    <n v="400"/>
    <x v="2"/>
    <x v="9"/>
    <s v="completely"/>
    <s v="adv."/>
    <s v="完全地"/>
    <d v="2016-08-09T11:29:13"/>
    <d v="2016-07-19T10:43:29"/>
    <d v="2016-07-19T10:43:28"/>
    <d v="2016-08-09T11:32:46"/>
    <d v="2016-07-23T11:15:46"/>
    <d v="2016-08-09T11:29:13"/>
    <d v="2016-08-09T11:32:46"/>
    <m/>
    <m/>
  </r>
  <r>
    <n v="401"/>
    <x v="2"/>
    <x v="9"/>
    <s v="competition"/>
    <s v="n."/>
    <s v="竞赛，比赛"/>
    <d v="2016-07-23T11:28:16"/>
    <d v="2016-07-20T10:49:43"/>
    <d v="2016-07-20T10:49:42"/>
    <d v="2016-08-09T10:29:15"/>
    <d v="2016-07-23T11:15:53"/>
    <d v="2016-07-23T11:28:16"/>
    <d v="2016-08-09T10:29:15"/>
    <m/>
    <m/>
  </r>
  <r>
    <n v="402"/>
    <x v="2"/>
    <x v="9"/>
    <s v="employ"/>
    <s v="v."/>
    <s v="雇佣"/>
    <d v="2016-08-09T11:29:15"/>
    <d v="2016-07-20T10:49:47"/>
    <d v="2016-07-20T10:49:46"/>
    <d v="2016-08-09T11:32:57"/>
    <d v="2016-07-23T11:15:57"/>
    <d v="2016-08-09T11:29:15"/>
    <d v="2016-08-09T11:32:57"/>
    <m/>
    <m/>
  </r>
  <r>
    <n v="403"/>
    <x v="2"/>
    <x v="9"/>
    <s v="basic"/>
    <s v="adj."/>
    <s v="基本的"/>
    <d v="2016-07-20T11:00:29"/>
    <d v="2016-07-19T09:58:56"/>
    <d v="2016-07-19T09:58:55"/>
    <d v="2016-08-09T10:29:41"/>
    <d v="2016-07-23T11:16:03"/>
    <d v="2016-07-20T11:00:29"/>
    <d v="2016-08-09T10:29:41"/>
    <m/>
    <m/>
  </r>
  <r>
    <n v="404"/>
    <x v="2"/>
    <x v="9"/>
    <s v="actual"/>
    <s v="adj."/>
    <s v="实际上的"/>
    <d v="2016-08-09T11:29:17"/>
    <d v="2016-07-19T10:41:45"/>
    <d v="2016-07-19T10:41:44"/>
    <d v="2016-08-09T11:33:13"/>
    <d v="2016-07-23T11:16:11"/>
    <d v="2016-08-09T11:29:17"/>
    <d v="2016-08-09T11:33:13"/>
    <m/>
    <m/>
  </r>
  <r>
    <n v="405"/>
    <x v="2"/>
    <x v="9"/>
    <s v="judge"/>
    <s v="n."/>
    <s v="法官"/>
    <d v="2016-07-19T09:55:44"/>
    <d v="2016-07-19T09:55:47"/>
    <d v="2016-07-19T09:55:45"/>
    <d v="2016-08-09T10:30:19"/>
    <d v="2016-07-23T11:16:14"/>
    <d v="2016-07-19T09:55:47"/>
    <d v="2016-08-09T10:30:19"/>
    <m/>
    <m/>
  </r>
  <r>
    <n v="406"/>
    <x v="2"/>
    <x v="9"/>
    <s v="seriously"/>
    <s v="adv."/>
    <s v="严肃地"/>
    <d v="2016-07-23T11:30:42"/>
    <d v="2016-07-19T10:39:09"/>
    <d v="2016-07-19T10:39:07"/>
    <d v="2016-08-09T10:30:55"/>
    <d v="2016-07-23T11:16:20"/>
    <d v="2016-07-23T11:30:42"/>
    <d v="2016-08-09T10:30:55"/>
    <m/>
    <m/>
  </r>
  <r>
    <n v="407"/>
    <x v="2"/>
    <x v="9"/>
    <s v="depressed"/>
    <s v="adj."/>
    <s v="失落的"/>
    <d v="2016-07-23T11:35:46"/>
    <d v="2016-07-19T09:52:45"/>
    <d v="2016-07-19T09:52:44"/>
    <d v="2016-08-09T10:31:06"/>
    <d v="2016-07-23T11:16:25"/>
    <d v="2016-07-23T11:35:46"/>
    <d v="2016-08-09T10:31:06"/>
    <m/>
    <m/>
  </r>
  <r>
    <n v="408"/>
    <x v="2"/>
    <x v="9"/>
    <s v="deserve"/>
    <s v="v."/>
    <s v="值得"/>
    <d v="2016-07-20T11:22:03"/>
    <d v="2016-07-20T11:00:44"/>
    <d v="2016-07-20T11:00:44"/>
    <d v="2016-08-09T10:31:18"/>
    <d v="2016-07-23T11:17:59"/>
    <d v="2016-07-20T11:22:03"/>
    <d v="2016-08-09T10:31:18"/>
    <m/>
    <m/>
  </r>
  <r>
    <n v="409"/>
    <x v="2"/>
    <x v="9"/>
    <s v="digital"/>
    <s v="adj."/>
    <s v="数码的"/>
    <d v="2016-07-20T11:33:04"/>
    <d v="2016-07-19T10:37:01"/>
    <d v="2016-07-19T10:37:00"/>
    <d v="2016-08-09T10:31:23"/>
    <d v="2016-07-23T11:18:05"/>
    <d v="2016-07-20T11:33:04"/>
    <d v="2016-08-09T10:31:23"/>
    <m/>
    <m/>
  </r>
  <r>
    <n v="410"/>
    <x v="2"/>
    <x v="9"/>
    <s v="diploma"/>
    <s v="n."/>
    <s v="毕业证"/>
    <d v="2016-07-20T11:33:07"/>
    <d v="2016-07-19T10:45:30"/>
    <d v="2016-07-19T10:45:30"/>
    <d v="2016-08-09T10:31:35"/>
    <d v="2016-07-23T11:18:11"/>
    <d v="2016-07-20T11:33:07"/>
    <d v="2016-08-09T10:31:35"/>
    <m/>
    <m/>
  </r>
  <r>
    <n v="411"/>
    <x v="2"/>
    <x v="9"/>
    <s v="disabled"/>
    <s v="adj."/>
    <s v="伤残的"/>
    <d v="2016-08-09T11:40:07"/>
    <d v="2016-07-19T10:41:36"/>
    <d v="2016-07-19T10:41:35"/>
    <d v="2016-08-09T12:12:06"/>
    <d v="2016-07-23T11:18:18"/>
    <d v="2016-08-09T11:40:07"/>
    <d v="2016-08-09T12:12:06"/>
    <m/>
    <m/>
  </r>
  <r>
    <n v="412"/>
    <x v="2"/>
    <x v="9"/>
    <s v="disadvantage"/>
    <s v="n."/>
    <s v="弱势"/>
    <d v="2016-07-23T11:29:00"/>
    <d v="2016-07-19T10:47:05"/>
    <d v="2016-07-19T10:47:04"/>
    <d v="2016-08-09T10:32:07"/>
    <d v="2016-07-23T11:18:25"/>
    <d v="2016-07-23T11:29:00"/>
    <d v="2016-08-09T10:32:07"/>
    <m/>
    <m/>
  </r>
  <r>
    <n v="413"/>
    <x v="2"/>
    <x v="9"/>
    <s v="discuss"/>
    <s v="v."/>
    <s v="讨论"/>
    <d v="2016-07-20T11:09:12"/>
    <d v="2016-07-19T10:35:35"/>
    <d v="2016-07-19T10:35:34"/>
    <d v="2016-08-09T10:32:34"/>
    <d v="2016-07-23T11:18:30"/>
    <d v="2016-07-20T11:09:12"/>
    <d v="2016-08-09T10:32:34"/>
    <m/>
    <m/>
  </r>
  <r>
    <n v="414"/>
    <x v="2"/>
    <x v="9"/>
    <s v="distance"/>
    <s v="n."/>
    <s v="距离"/>
    <d v="2016-07-20T10:50:10"/>
    <d v="2016-07-19T10:35:47"/>
    <d v="2016-07-19T10:35:46"/>
    <d v="2016-08-09T10:32:40"/>
    <d v="2016-07-23T11:18:52"/>
    <d v="2016-07-20T10:50:10"/>
    <d v="2016-08-09T10:32:40"/>
    <m/>
    <m/>
  </r>
  <r>
    <n v="415"/>
    <x v="2"/>
    <x v="9"/>
    <s v="dizzy"/>
    <s v="adj."/>
    <s v="晕的"/>
    <d v="2016-07-20T10:50:12"/>
    <d v="2016-07-19T10:35:43"/>
    <d v="2016-07-19T10:35:42"/>
    <d v="2016-08-09T10:32:52"/>
    <d v="2016-07-23T11:19:01"/>
    <d v="2016-07-20T10:50:12"/>
    <d v="2016-08-09T10:32:52"/>
    <m/>
    <m/>
  </r>
  <r>
    <n v="416"/>
    <x v="2"/>
    <x v="9"/>
    <s v="document"/>
    <s v="n."/>
    <s v="文件"/>
    <d v="2016-07-20T10:50:15"/>
    <d v="2016-07-19T10:41:29"/>
    <d v="2016-07-19T10:41:29"/>
    <d v="2016-08-09T10:32:58"/>
    <d v="2016-07-23T11:19:13"/>
    <d v="2016-07-20T10:50:15"/>
    <d v="2016-08-09T10:32:58"/>
    <m/>
    <m/>
  </r>
  <r>
    <n v="417"/>
    <x v="2"/>
    <x v="9"/>
    <s v="drawer"/>
    <s v="n."/>
    <s v="抽屉"/>
    <d v="2016-07-23T11:29:08"/>
    <d v="2016-07-19T09:55:34"/>
    <d v="2016-07-19T09:55:34"/>
    <d v="2016-08-09T10:33:10"/>
    <d v="2016-07-23T11:19:19"/>
    <d v="2016-07-23T11:29:08"/>
    <d v="2016-08-09T10:33:10"/>
    <m/>
    <m/>
  </r>
  <r>
    <n v="418"/>
    <x v="2"/>
    <x v="9"/>
    <s v="earring"/>
    <s v="n."/>
    <s v="耳环"/>
    <d v="2016-07-19T11:10:52"/>
    <d v="2016-07-19T10:36:56"/>
    <d v="2016-07-19T10:36:55"/>
    <d v="2016-08-09T10:33:15"/>
    <d v="2016-07-23T11:19:22"/>
    <d v="2016-07-19T11:10:52"/>
    <d v="2016-08-09T10:33:15"/>
    <m/>
    <m/>
  </r>
  <r>
    <n v="419"/>
    <x v="2"/>
    <x v="9"/>
    <s v="economics"/>
    <s v="n."/>
    <s v="经济学"/>
    <d v="2016-08-09T11:40:08"/>
    <d v="2016-07-19T09:52:55"/>
    <d v="2016-07-19T09:52:54"/>
    <d v="2016-08-09T12:12:20"/>
    <d v="2016-07-23T11:19:33"/>
    <d v="2016-08-09T11:40:08"/>
    <d v="2016-08-09T12:12:20"/>
    <m/>
    <m/>
  </r>
  <r>
    <n v="420"/>
    <x v="2"/>
    <x v="9"/>
    <s v="education"/>
    <s v="n."/>
    <s v="教育"/>
    <d v="2016-07-23T11:29:27"/>
    <d v="2016-07-19T10:46:37"/>
    <d v="2016-07-19T10:46:36"/>
    <d v="2016-08-09T10:33:39"/>
    <d v="2016-07-23T11:19:36"/>
    <d v="2016-07-23T11:29:27"/>
    <d v="2016-08-09T10:33:39"/>
    <m/>
    <m/>
  </r>
  <r>
    <n v="421"/>
    <x v="2"/>
    <x v="9"/>
    <s v="entertain"/>
    <s v="v."/>
    <s v="娱乐"/>
    <d v="2016-07-23T11:29:38"/>
    <d v="2016-07-23T11:29:41"/>
    <d v="2016-07-23T11:29:39"/>
    <d v="2016-08-09T10:34:04"/>
    <d v="2016-07-23T11:48:42"/>
    <d v="2016-07-23T11:29:41"/>
    <d v="2016-08-09T10:34:04"/>
    <m/>
    <m/>
  </r>
  <r>
    <n v="422"/>
    <x v="2"/>
    <x v="9"/>
    <s v="essential"/>
    <s v="adj."/>
    <s v="本质的，重要的"/>
    <d v="2016-08-09T11:29:22"/>
    <d v="2016-07-19T10:42:53"/>
    <d v="2016-07-19T10:42:53"/>
    <d v="2016-08-09T11:33:56"/>
    <d v="2016-07-23T11:20:20"/>
    <d v="2016-08-09T11:29:22"/>
    <d v="2016-08-09T11:33:56"/>
    <m/>
    <m/>
  </r>
  <r>
    <n v="423"/>
    <x v="2"/>
    <x v="10"/>
    <s v="event"/>
    <s v="n."/>
    <s v="事件"/>
    <d v="2016-07-21T19:29:28"/>
    <d v="2016-07-21T19:29:28"/>
    <d v="2016-07-21T19:29:28"/>
    <d v="2016-07-21T19:29:28"/>
    <d v="2016-07-24T10:47:32"/>
    <d v="2016-07-21T19:29:28"/>
    <d v="2016-07-24T10:47:32"/>
    <m/>
    <m/>
  </r>
  <r>
    <n v="424"/>
    <x v="2"/>
    <x v="10"/>
    <s v="supply"/>
    <s v="v."/>
    <s v="提供"/>
    <d v="2016-07-24T11:00:27"/>
    <d v="2016-07-24T11:00:29"/>
    <d v="2016-07-24T11:00:28"/>
    <d v="2016-07-24T11:07:00"/>
    <d v="2016-07-24T11:09:02"/>
    <d v="2016-07-24T11:00:29"/>
    <d v="2016-07-24T11:09:02"/>
    <m/>
    <m/>
  </r>
  <r>
    <n v="425"/>
    <x v="2"/>
    <x v="10"/>
    <s v="support"/>
    <s v="v."/>
    <s v="支持"/>
    <d v="2016-07-24T11:00:37"/>
    <d v="2016-07-21T19:29:28"/>
    <d v="2016-07-21T19:29:28"/>
    <d v="2016-07-24T11:07:10"/>
    <d v="2016-07-24T10:51:39"/>
    <d v="2016-07-24T11:00:37"/>
    <d v="2016-07-24T11:07:10"/>
    <s v=""/>
    <m/>
  </r>
  <r>
    <n v="426"/>
    <x v="2"/>
    <x v="10"/>
    <s v="encourage"/>
    <s v="v."/>
    <s v="鼓励"/>
    <d v="2016-07-21T19:29:28"/>
    <d v="2016-07-21T19:29:28"/>
    <d v="2016-07-21T19:29:28"/>
    <d v="2016-07-21T19:31:05"/>
    <d v="2016-07-24T10:47:27"/>
    <d v="2016-07-21T19:29:28"/>
    <d v="2016-07-24T10:47:27"/>
    <s v="词根：courage，勇气"/>
    <m/>
  </r>
  <r>
    <n v="427"/>
    <x v="2"/>
    <x v="10"/>
    <s v="suppose"/>
    <s v="v."/>
    <s v="认为"/>
    <d v="2016-07-24T11:00:47"/>
    <d v="2016-07-21T19:29:28"/>
    <d v="2016-07-21T19:29:28"/>
    <d v="2016-07-24T11:07:18"/>
    <d v="2016-07-24T10:51:49"/>
    <d v="2016-07-24T11:00:47"/>
    <d v="2016-07-24T11:07:18"/>
    <s v=""/>
    <m/>
  </r>
  <r>
    <n v="428"/>
    <x v="2"/>
    <x v="10"/>
    <s v="science project"/>
    <s v="n. phr."/>
    <s v="科技工程"/>
    <d v="2016-07-21T19:29:28"/>
    <d v="2016-07-21T19:29:28"/>
    <d v="2016-07-21T19:29:28"/>
    <d v="2016-07-21T19:32:29"/>
    <d v="2016-07-24T10:50:38"/>
    <d v="2016-07-21T19:29:28"/>
    <d v="2016-07-24T10:50:38"/>
    <m/>
    <m/>
  </r>
  <r>
    <n v="429"/>
    <x v="2"/>
    <x v="10"/>
    <s v="professional"/>
    <s v="adj."/>
    <s v="专业的"/>
    <d v="2016-07-24T11:01:05"/>
    <d v="2016-07-21T19:29:28"/>
    <d v="2016-07-21T19:29:28"/>
    <d v="2016-07-24T11:07:35"/>
    <d v="2016-07-24T10:50:17"/>
    <d v="2016-07-24T11:01:05"/>
    <d v="2016-07-24T11:07:35"/>
    <m/>
    <m/>
  </r>
  <r>
    <n v="430"/>
    <x v="2"/>
    <x v="10"/>
    <s v="creature"/>
    <s v="n."/>
    <s v="生物"/>
    <d v="2016-07-21T19:29:28"/>
    <d v="2016-07-21T19:29:28"/>
    <d v="2016-07-21T19:29:28"/>
    <d v="2016-07-21T19:33:28"/>
    <d v="2016-07-24T10:47:18"/>
    <d v="2016-07-21T19:29:28"/>
    <d v="2016-07-24T10:47:18"/>
    <m/>
    <m/>
  </r>
  <r>
    <n v="431"/>
    <x v="2"/>
    <x v="10"/>
    <s v="temperature"/>
    <s v="n."/>
    <s v="温度"/>
    <d v="2016-07-24T11:01:14"/>
    <d v="2016-07-21T19:29:28"/>
    <d v="2016-07-21T19:29:28"/>
    <d v="2016-07-24T11:07:45"/>
    <d v="2016-07-24T10:51:53"/>
    <d v="2016-07-24T11:01:14"/>
    <d v="2016-07-24T11:07:45"/>
    <s v=""/>
    <m/>
  </r>
  <r>
    <n v="432"/>
    <x v="2"/>
    <x v="10"/>
    <s v="definitely"/>
    <s v="adv."/>
    <s v="清楚地，明确地"/>
    <d v="2016-07-24T11:01:26"/>
    <d v="2016-07-21T19:29:28"/>
    <d v="2016-07-21T19:29:28"/>
    <d v="2016-07-24T11:07:54"/>
    <d v="2016-07-24T10:47:22"/>
    <d v="2016-07-24T11:01:26"/>
    <d v="2016-07-24T11:07:54"/>
    <m/>
    <m/>
  </r>
  <r>
    <n v="433"/>
    <x v="2"/>
    <x v="10"/>
    <s v="shore"/>
    <s v="n."/>
    <s v="海滨"/>
    <d v="2016-07-21T19:29:28"/>
    <d v="2016-07-24T11:01:34"/>
    <d v="2016-07-24T11:01:34"/>
    <d v="2016-07-21T19:34:28"/>
    <d v="2016-07-24T11:09:06"/>
    <d v="2016-07-24T11:01:34"/>
    <d v="2016-07-24T11:09:06"/>
    <m/>
    <m/>
  </r>
  <r>
    <n v="434"/>
    <x v="2"/>
    <x v="10"/>
    <s v="operate"/>
    <s v="v."/>
    <s v="运作，操纵"/>
    <d v="2016-07-24T11:04:36"/>
    <d v="2016-07-24T11:04:38"/>
    <d v="2016-07-24T11:04:38"/>
    <d v="2016-07-24T11:08:16"/>
    <d v="2016-07-24T11:09:09"/>
    <d v="2016-07-24T11:04:38"/>
    <d v="2016-07-24T11:09:09"/>
    <m/>
    <m/>
  </r>
  <r>
    <n v="435"/>
    <x v="2"/>
    <x v="10"/>
    <s v="research"/>
    <s v="n."/>
    <s v="研究"/>
    <d v="2016-07-21T19:29:28"/>
    <d v="2016-07-24T11:05:50"/>
    <d v="2016-07-24T11:05:48"/>
    <d v="2016-07-21T19:35:18"/>
    <d v="2016-07-24T11:09:19"/>
    <d v="2016-07-24T11:05:50"/>
    <d v="2016-07-24T11:09:19"/>
    <m/>
    <m/>
  </r>
  <r>
    <n v="436"/>
    <x v="2"/>
    <x v="10"/>
    <s v="measure"/>
    <s v="v."/>
    <s v="衡量"/>
    <d v="2016-07-24T11:05:19"/>
    <d v="2016-07-21T19:29:28"/>
    <d v="2016-07-21T19:29:28"/>
    <d v="2016-07-24T11:08:35"/>
    <d v="2016-07-24T10:49:32"/>
    <d v="2016-07-24T11:05:19"/>
    <d v="2016-07-24T11:08:35"/>
    <m/>
    <m/>
  </r>
  <r>
    <n v="437"/>
    <x v="2"/>
    <x v="10"/>
    <s v="frightened"/>
    <s v="adj."/>
    <s v="害怕的"/>
    <d v="2016-07-21T19:29:28"/>
    <d v="2016-07-21T19:29:28"/>
    <d v="2016-07-21T19:29:28"/>
    <d v="2016-07-21T19:43:26"/>
    <d v="2016-07-24T10:49:17"/>
    <d v="2016-07-21T19:29:28"/>
    <d v="2016-07-24T10:49:17"/>
    <m/>
    <m/>
  </r>
  <r>
    <n v="438"/>
    <x v="2"/>
    <x v="10"/>
    <s v="opportunity"/>
    <s v="n."/>
    <s v="机会"/>
    <d v="2016-07-24T11:06:03"/>
    <d v="2016-07-21T19:29:28"/>
    <d v="2016-07-21T19:29:28"/>
    <d v="2016-07-24T11:08:42"/>
    <d v="2016-07-24T10:50:12"/>
    <d v="2016-07-24T11:06:03"/>
    <d v="2016-07-24T11:08:42"/>
    <m/>
    <m/>
  </r>
  <r>
    <n v="439"/>
    <x v="2"/>
    <x v="10"/>
    <s v="chance"/>
    <s v="n."/>
    <s v="机会"/>
    <d v="2016-07-21T19:29:28"/>
    <d v="2016-07-21T19:29:28"/>
    <d v="2016-07-21T19:29:28"/>
    <d v="2016-07-21T19:36:45"/>
    <d v="2016-07-24T10:47:09"/>
    <d v="2016-07-21T19:29:28"/>
    <d v="2016-07-24T10:47:09"/>
    <m/>
    <m/>
  </r>
  <r>
    <n v="440"/>
    <x v="2"/>
    <x v="10"/>
    <s v="exact"/>
    <s v="adj."/>
    <s v="确切的"/>
    <d v="2016-07-21T19:29:28"/>
    <d v="2016-07-21T19:29:28"/>
    <d v="2016-07-21T19:29:28"/>
    <d v="2016-07-21T19:37:09"/>
    <d v="2016-07-24T10:47:52"/>
    <d v="2016-07-21T19:29:28"/>
    <d v="2016-07-24T10:47:52"/>
    <m/>
    <m/>
  </r>
  <r>
    <n v="441"/>
    <x v="2"/>
    <x v="10"/>
    <s v="exist"/>
    <s v="v."/>
    <s v="存在"/>
    <d v="2016-07-21T19:29:28"/>
    <d v="2016-07-24T11:06:06"/>
    <d v="2016-07-24T11:06:05"/>
    <d v="2016-07-21T19:37:35"/>
    <d v="2016-07-24T11:09:38"/>
    <d v="2016-07-24T11:06:06"/>
    <d v="2016-07-24T11:09:38"/>
    <m/>
    <m/>
  </r>
  <r>
    <n v="442"/>
    <x v="2"/>
    <x v="10"/>
    <s v="exit"/>
    <s v="n."/>
    <s v="出口"/>
    <d v="2016-07-21T19:29:28"/>
    <d v="2016-07-21T19:29:28"/>
    <d v="2016-07-21T19:29:28"/>
    <d v="2016-07-21T19:37:48"/>
    <d v="2016-07-24T10:48:04"/>
    <d v="2016-07-21T19:29:28"/>
    <d v="2016-07-24T10:48:04"/>
    <m/>
    <m/>
  </r>
  <r>
    <n v="443"/>
    <x v="2"/>
    <x v="10"/>
    <s v="faint"/>
    <s v="adj."/>
    <s v="模糊的，虚弱的"/>
    <d v="2016-07-21T19:29:28"/>
    <d v="2016-07-21T19:29:28"/>
    <d v="2016-07-21T19:29:28"/>
    <d v="2016-07-21T19:38:03"/>
    <d v="2016-07-24T10:48:43"/>
    <d v="2016-07-21T19:29:28"/>
    <d v="2016-07-24T10:48:43"/>
    <m/>
    <m/>
  </r>
  <r>
    <n v="444"/>
    <x v="2"/>
    <x v="10"/>
    <s v="fairly"/>
    <s v="adv."/>
    <s v="公平地，十分"/>
    <d v="2016-07-21T19:29:28"/>
    <d v="2016-07-21T19:29:28"/>
    <d v="2016-07-21T19:29:28"/>
    <d v="2016-07-21T19:38:13"/>
    <d v="2016-07-24T10:48:52"/>
    <d v="2016-07-21T19:29:28"/>
    <d v="2016-07-24T10:48:52"/>
    <m/>
    <m/>
  </r>
  <r>
    <n v="445"/>
    <x v="2"/>
    <x v="10"/>
    <s v="figure"/>
    <s v="n."/>
    <s v="形象，数字"/>
    <d v="2016-07-21T19:29:28"/>
    <d v="2016-07-21T19:29:28"/>
    <d v="2016-07-21T19:29:28"/>
    <d v="2016-07-21T19:38:22"/>
    <d v="2016-07-24T10:48:55"/>
    <d v="2016-07-21T19:29:28"/>
    <d v="2016-07-24T10:48:55"/>
    <m/>
    <m/>
  </r>
  <r>
    <n v="446"/>
    <x v="2"/>
    <x v="10"/>
    <s v="fill up"/>
    <s v="v. phr."/>
    <s v="使充满"/>
    <d v="2016-07-21T19:29:28"/>
    <d v="2016-07-21T19:29:28"/>
    <d v="2016-07-21T19:29:28"/>
    <d v="2016-07-21T19:38:28"/>
    <d v="2016-07-24T10:49:02"/>
    <d v="2016-07-21T19:29:28"/>
    <d v="2016-07-24T10:49:02"/>
    <m/>
    <m/>
  </r>
  <r>
    <n v="447"/>
    <x v="2"/>
    <x v="10"/>
    <s v="flu"/>
    <s v="n."/>
    <s v="流行性感冒，流感"/>
    <d v="2016-07-21T19:29:28"/>
    <d v="2016-07-24T13:49:05"/>
    <d v="2016-07-22T11:20:36"/>
    <d v="2016-07-21T19:38:33"/>
    <d v="2016-07-24T13:49:23"/>
    <d v="2016-07-24T13:49:05"/>
    <d v="2016-07-24T13:49:23"/>
    <m/>
    <m/>
  </r>
  <r>
    <n v="448"/>
    <x v="2"/>
    <x v="10"/>
    <s v="force"/>
    <s v="n."/>
    <s v="武力"/>
    <d v="2016-07-24T11:02:30"/>
    <d v="2016-07-21T19:29:28"/>
    <d v="2016-07-21T19:29:28"/>
    <d v="2016-07-24T11:08:49"/>
    <d v="2016-07-24T10:49:12"/>
    <d v="2016-07-24T11:02:30"/>
    <d v="2016-07-24T11:08:49"/>
    <m/>
    <m/>
  </r>
  <r>
    <n v="449"/>
    <x v="2"/>
    <x v="11"/>
    <s v="force"/>
    <s v="v."/>
    <s v="强迫"/>
    <d v="2016-07-22T11:50:39"/>
    <d v="2016-07-22T11:50:40"/>
    <d v="2016-07-22T11:50:39"/>
    <d v="2016-07-22T12:01:03"/>
    <d v="2016-07-22T12:18:44"/>
    <d v="2016-07-22T11:50:40"/>
    <d v="2016-07-22T12:18:44"/>
    <m/>
    <m/>
  </r>
  <r>
    <n v="450"/>
    <x v="2"/>
    <x v="11"/>
    <s v="forgive"/>
    <s v="v."/>
    <s v="原谅"/>
    <d v="2016-07-22T11:50:42"/>
    <d v="2016-07-22T11:50:43"/>
    <d v="2016-07-22T11:50:43"/>
    <d v="2016-07-22T12:01:20"/>
    <d v="2016-07-22T12:18:52"/>
    <d v="2016-07-22T11:50:43"/>
    <d v="2016-07-22T12:18:52"/>
    <m/>
    <m/>
  </r>
  <r>
    <n v="451"/>
    <x v="2"/>
    <x v="11"/>
    <s v="former"/>
    <s v="adj."/>
    <s v="前者的"/>
    <d v="2016-07-22T11:50:45"/>
    <d v="2016-07-22T11:50:46"/>
    <d v="2016-07-22T11:50:46"/>
    <d v="2016-07-22T12:01:38"/>
    <d v="2016-07-22T12:18:57"/>
    <d v="2016-07-22T11:50:46"/>
    <d v="2016-07-22T12:18:57"/>
    <m/>
    <m/>
  </r>
  <r>
    <n v="452"/>
    <x v="2"/>
    <x v="11"/>
    <s v="fortnight"/>
    <s v="n."/>
    <s v="十四天"/>
    <d v="2016-07-22T15:06:11"/>
    <d v="2016-07-22T11:50:49"/>
    <d v="2016-07-22T11:50:49"/>
    <d v="2016-07-22T15:07:19"/>
    <d v="2016-07-22T12:19:00"/>
    <d v="2016-07-22T15:06:11"/>
    <d v="2016-07-22T15:07:19"/>
    <m/>
    <m/>
  </r>
  <r>
    <n v="453"/>
    <x v="2"/>
    <x v="11"/>
    <s v="switch"/>
    <s v="v."/>
    <s v="(+on)打开；(+off)关上；转换"/>
    <d v="2016-07-22T11:50:51"/>
    <d v="2016-07-26T10:38:09"/>
    <d v="2016-07-26T10:38:07"/>
    <d v="2016-07-22T12:02:03"/>
    <d v="2016-07-26T10:38:29"/>
    <d v="2016-07-26T10:38:09"/>
    <d v="2016-07-26T10:38:29"/>
    <m/>
    <m/>
  </r>
  <r>
    <n v="454"/>
    <x v="2"/>
    <x v="11"/>
    <s v="switch"/>
    <s v="n."/>
    <s v="开关"/>
    <d v="2016-07-22T11:50:55"/>
    <d v="2016-07-26T10:38:12"/>
    <d v="2016-07-26T10:38:11"/>
    <d v="2016-07-22T12:02:15"/>
    <d v="2016-07-26T10:38:32"/>
    <d v="2016-07-26T10:38:12"/>
    <d v="2016-07-26T10:38:32"/>
    <m/>
    <m/>
  </r>
  <r>
    <n v="455"/>
    <x v="2"/>
    <x v="11"/>
    <s v="system"/>
    <s v="n."/>
    <s v="系统，制度"/>
    <d v="2016-07-22T15:06:22"/>
    <d v="2016-07-22T11:51:00"/>
    <d v="2016-07-22T11:50:59"/>
    <d v="2016-07-22T15:07:34"/>
    <d v="2016-07-22T12:19:27"/>
    <d v="2016-07-22T15:06:22"/>
    <d v="2016-07-22T15:07:34"/>
    <m/>
    <m/>
  </r>
  <r>
    <n v="456"/>
    <x v="2"/>
    <x v="11"/>
    <s v="technique"/>
    <s v="n."/>
    <s v="技术，技巧"/>
    <d v="2016-07-22T15:06:25"/>
    <d v="2016-07-22T11:51:03"/>
    <d v="2016-07-22T11:51:03"/>
    <d v="2016-07-22T15:08:15"/>
    <d v="2016-07-22T12:19:33"/>
    <d v="2016-07-22T15:06:25"/>
    <d v="2016-07-22T15:08:15"/>
    <m/>
    <m/>
  </r>
  <r>
    <n v="457"/>
    <x v="2"/>
    <x v="11"/>
    <s v="forward(s)"/>
    <s v="adv."/>
    <s v="向前地"/>
    <d v="2016-07-22T11:51:05"/>
    <d v="2016-07-22T11:51:08"/>
    <d v="2016-07-22T11:51:06"/>
    <d v="2016-07-22T12:03:30"/>
    <d v="2016-07-22T12:19:45"/>
    <d v="2016-07-22T11:51:08"/>
    <d v="2016-07-22T12:19:45"/>
    <m/>
    <m/>
  </r>
  <r>
    <n v="458"/>
    <x v="2"/>
    <x v="11"/>
    <s v="thermometer"/>
    <s v="n."/>
    <s v="温度计"/>
    <d v="2016-07-22T15:06:27"/>
    <d v="2016-07-22T11:51:13"/>
    <d v="2016-07-22T11:51:12"/>
    <d v="2016-07-22T15:08:40"/>
    <d v="2016-07-22T12:19:51"/>
    <d v="2016-07-22T15:06:27"/>
    <d v="2016-07-22T15:08:40"/>
    <m/>
    <m/>
  </r>
  <r>
    <n v="459"/>
    <x v="2"/>
    <x v="11"/>
    <s v="throw away"/>
    <s v="v. phr."/>
    <s v="扔掉"/>
    <d v="2016-07-22T11:51:15"/>
    <d v="2016-07-22T11:51:17"/>
    <d v="2016-07-22T11:51:16"/>
    <d v="2016-07-22T12:04:30"/>
    <d v="2016-07-22T12:19:56"/>
    <d v="2016-07-22T11:51:17"/>
    <d v="2016-07-22T12:19:56"/>
    <m/>
    <m/>
  </r>
  <r>
    <n v="460"/>
    <x v="2"/>
    <x v="11"/>
    <s v="trumpet"/>
    <s v="n."/>
    <s v="小号"/>
    <d v="2016-07-22T11:51:19"/>
    <d v="2016-07-22T11:51:20"/>
    <d v="2016-07-22T11:51:20"/>
    <d v="2016-07-22T12:04:39"/>
    <d v="2016-07-22T12:20:00"/>
    <d v="2016-07-22T11:51:20"/>
    <d v="2016-07-22T12:20:00"/>
    <m/>
    <m/>
  </r>
  <r>
    <n v="461"/>
    <x v="2"/>
    <x v="11"/>
    <s v="local"/>
    <s v="adj."/>
    <s v="当地的"/>
    <d v="2016-07-22T11:51:22"/>
    <d v="2016-07-22T11:51:23"/>
    <d v="2016-07-22T11:51:23"/>
    <d v="2016-07-22T12:04:44"/>
    <d v="2016-07-22T12:20:03"/>
    <d v="2016-07-22T11:51:23"/>
    <d v="2016-07-22T12:20:03"/>
    <m/>
    <m/>
  </r>
  <r>
    <n v="463"/>
    <x v="2"/>
    <x v="11"/>
    <s v="range"/>
    <s v="v."/>
    <s v="把…分类"/>
    <d v="2016-07-22T11:51:31"/>
    <d v="2016-07-22T11:51:32"/>
    <d v="2016-07-22T11:51:32"/>
    <d v="2016-07-22T12:05:04"/>
    <d v="2016-07-22T12:20:59"/>
    <d v="2016-07-22T11:51:32"/>
    <d v="2016-07-22T12:20:59"/>
    <m/>
    <m/>
  </r>
  <r>
    <n v="464"/>
    <x v="2"/>
    <x v="11"/>
    <s v="adult"/>
    <s v="n."/>
    <s v="成人"/>
    <d v="2016-07-22T11:51:35"/>
    <d v="2016-07-22T11:51:36"/>
    <d v="2016-07-22T11:51:35"/>
    <d v="2016-07-22T12:05:10"/>
    <d v="2016-07-22T12:21:03"/>
    <d v="2016-07-22T11:51:36"/>
    <d v="2016-07-22T12:21:03"/>
    <m/>
    <m/>
  </r>
  <r>
    <n v="465"/>
    <x v="2"/>
    <x v="11"/>
    <s v="quality"/>
    <s v="n."/>
    <s v="质量"/>
    <d v="2016-07-22T15:06:31"/>
    <d v="2016-07-22T11:51:44"/>
    <d v="2016-07-22T11:51:43"/>
    <d v="2016-07-22T15:08:49"/>
    <d v="2016-07-22T12:21:08"/>
    <d v="2016-07-22T15:06:31"/>
    <d v="2016-07-22T15:08:49"/>
    <m/>
    <m/>
  </r>
  <r>
    <n v="466"/>
    <x v="2"/>
    <x v="11"/>
    <s v="consider"/>
    <s v="v."/>
    <s v="考虑"/>
    <d v="2016-07-22T11:55:03"/>
    <d v="2016-07-22T11:55:04"/>
    <d v="2016-07-22T11:55:03"/>
    <d v="2016-07-22T12:05:43"/>
    <d v="2016-07-22T12:21:24"/>
    <d v="2016-07-22T11:55:04"/>
    <d v="2016-07-22T12:21:24"/>
    <m/>
    <m/>
  </r>
  <r>
    <n v="467"/>
    <x v="2"/>
    <x v="11"/>
    <s v="accept"/>
    <s v="v."/>
    <s v="接受；同意"/>
    <d v="2016-07-22T15:06:33"/>
    <d v="2016-07-26T10:38:15"/>
    <d v="2016-07-26T10:38:14"/>
    <d v="2016-07-22T15:09:14"/>
    <d v="2016-07-26T10:38:37"/>
    <d v="2016-07-26T10:38:15"/>
    <d v="2016-07-26T10:38:37"/>
    <m/>
    <m/>
  </r>
  <r>
    <n v="468"/>
    <x v="2"/>
    <x v="11"/>
    <s v="reserve"/>
    <s v="v."/>
    <s v="预定"/>
    <d v="2016-07-22T15:06:35"/>
    <d v="2016-07-22T15:06:37"/>
    <d v="2016-07-22T15:06:36"/>
    <d v="2016-07-22T15:09:22"/>
    <d v="2016-07-22T15:09:56"/>
    <d v="2016-07-22T15:06:37"/>
    <d v="2016-07-22T15:09:56"/>
    <m/>
    <m/>
  </r>
  <r>
    <n v="469"/>
    <x v="2"/>
    <x v="11"/>
    <s v="text"/>
    <s v="v."/>
    <s v="发短信"/>
    <d v="2016-07-22T11:54:52"/>
    <d v="2016-07-22T11:54:53"/>
    <d v="2016-07-22T11:54:53"/>
    <d v="2016-07-22T12:06:30"/>
    <d v="2016-07-22T12:21:45"/>
    <d v="2016-07-22T11:54:53"/>
    <d v="2016-07-22T12:21:45"/>
    <m/>
    <m/>
  </r>
  <r>
    <n v="470"/>
    <x v="2"/>
    <x v="11"/>
    <s v="return"/>
    <s v="v."/>
    <s v="还，送还"/>
    <d v="2016-07-22T11:54:48"/>
    <d v="2016-07-22T11:54:50"/>
    <d v="2016-07-22T11:54:49"/>
    <d v="2016-07-22T12:06:36"/>
    <d v="2016-07-22T12:21:50"/>
    <d v="2016-07-22T11:54:50"/>
    <d v="2016-07-22T12:21:50"/>
    <m/>
    <m/>
  </r>
  <r>
    <n v="471"/>
    <x v="2"/>
    <x v="11"/>
    <s v="ready"/>
    <s v="adj."/>
    <s v="准备好的"/>
    <d v="2016-07-22T11:54:45"/>
    <d v="2016-07-22T11:54:45"/>
    <d v="2016-07-22T11:54:44"/>
    <d v="2016-07-22T12:06:44"/>
    <d v="2016-07-22T12:21:54"/>
    <d v="2016-07-22T11:54:45"/>
    <d v="2016-07-22T12:21:54"/>
    <m/>
    <m/>
  </r>
  <r>
    <n v="472"/>
    <x v="2"/>
    <x v="11"/>
    <s v="match"/>
    <s v="n."/>
    <s v="比赛"/>
    <d v="2016-07-22T11:54:38"/>
    <d v="2016-07-22T11:54:39"/>
    <d v="2016-07-22T11:54:39"/>
    <d v="2016-07-22T12:06:50"/>
    <d v="2016-07-22T12:21:58"/>
    <d v="2016-07-22T11:54:39"/>
    <d v="2016-07-22T12:21:58"/>
    <m/>
    <m/>
  </r>
  <r>
    <n v="473"/>
    <x v="2"/>
    <x v="12"/>
    <s v="warning"/>
    <s v="v."/>
    <s v="警告"/>
    <d v="2016-07-25T15:15:59"/>
    <d v="2016-07-25T15:06:47"/>
    <d v="2016-07-25T15:06:47"/>
    <d v="2016-07-25T15:16:23"/>
    <d v="2016-07-25T15:16:48"/>
    <d v="2016-07-25T15:15:59"/>
    <d v="2016-07-25T15:16:48"/>
    <m/>
    <m/>
  </r>
  <r>
    <n v="474"/>
    <x v="2"/>
    <x v="12"/>
    <s v="tunnel"/>
    <s v="n."/>
    <s v="隧道"/>
    <d v="2016-07-25T15:06:49"/>
    <d v="2016-07-25T15:06:50"/>
    <d v="2016-07-25T15:06:50"/>
    <d v="2016-07-25T15:10:19"/>
    <d v="2016-07-25T15:16:51"/>
    <d v="2016-07-25T15:06:50"/>
    <d v="2016-07-25T15:16:51"/>
    <m/>
    <m/>
  </r>
  <r>
    <n v="475"/>
    <x v="2"/>
    <x v="12"/>
    <s v="freeze"/>
    <s v="v."/>
    <s v="冷冻"/>
    <d v="2016-07-25T15:06:53"/>
    <d v="2016-07-25T15:06:54"/>
    <d v="2016-07-25T15:06:54"/>
    <d v="2016-07-25T15:10:27"/>
    <d v="2016-07-25T15:16:54"/>
    <d v="2016-07-25T15:06:54"/>
    <d v="2016-07-25T15:16:54"/>
    <m/>
    <m/>
  </r>
  <r>
    <n v="476"/>
    <x v="2"/>
    <x v="12"/>
    <s v="freeze"/>
    <s v="adj."/>
    <s v="冰冷的"/>
    <d v="2016-07-25T15:06:57"/>
    <d v="2016-07-25T15:06:57"/>
    <d v="2016-07-25T15:06:57"/>
    <d v="2016-07-25T15:10:31"/>
    <d v="2016-07-25T15:16:57"/>
    <d v="2016-07-25T15:06:57"/>
    <d v="2016-07-25T15:16:57"/>
    <m/>
    <m/>
  </r>
  <r>
    <n v="477"/>
    <x v="2"/>
    <x v="12"/>
    <s v="frequent"/>
    <s v="adj."/>
    <s v="频繁的"/>
    <d v="2016-07-25T15:06:59"/>
    <d v="2016-07-25T15:07:00"/>
    <d v="2016-07-25T15:07:00"/>
    <d v="2016-07-25T15:10:48"/>
    <d v="2016-07-25T15:17:02"/>
    <d v="2016-07-25T15:07:00"/>
    <d v="2016-07-25T15:17:02"/>
    <m/>
    <m/>
  </r>
  <r>
    <n v="478"/>
    <x v="2"/>
    <x v="12"/>
    <s v="further"/>
    <s v="adj."/>
    <s v="更加的，更进一步的"/>
    <d v="2016-07-25T15:07:02"/>
    <d v="2016-07-25T15:07:03"/>
    <d v="2016-07-25T15:07:03"/>
    <d v="2016-07-25T15:10:53"/>
    <d v="2016-07-25T15:17:05"/>
    <d v="2016-07-25T15:07:03"/>
    <d v="2016-07-25T15:17:05"/>
    <m/>
    <m/>
  </r>
  <r>
    <n v="479"/>
    <x v="2"/>
    <x v="12"/>
    <s v="further"/>
    <s v="adv."/>
    <s v="更加地，更进一步地"/>
    <d v="2016-07-25T15:07:05"/>
    <d v="2016-07-25T15:07:06"/>
    <d v="2016-07-25T15:07:05"/>
    <d v="2016-07-25T15:10:59"/>
    <d v="2016-07-25T15:17:08"/>
    <d v="2016-07-25T15:07:06"/>
    <d v="2016-07-25T15:17:08"/>
    <m/>
    <m/>
  </r>
  <r>
    <n v="480"/>
    <x v="2"/>
    <x v="12"/>
    <s v="garage"/>
    <s v="n."/>
    <s v="车库"/>
    <d v="2016-07-25T15:16:06"/>
    <d v="2016-07-25T15:07:08"/>
    <d v="2016-07-25T15:07:08"/>
    <d v="2016-07-25T15:16:28"/>
    <d v="2016-07-25T15:17:11"/>
    <d v="2016-07-25T15:16:06"/>
    <d v="2016-07-25T15:17:11"/>
    <m/>
    <m/>
  </r>
  <r>
    <n v="481"/>
    <x v="2"/>
    <x v="12"/>
    <s v="get along with"/>
    <s v="v. phr."/>
    <s v="相处"/>
    <d v="2016-07-25T15:07:10"/>
    <d v="2016-07-25T15:07:11"/>
    <d v="2016-07-25T15:07:11"/>
    <d v="2016-07-25T15:11:33"/>
    <d v="2016-07-25T15:17:21"/>
    <d v="2016-07-25T15:07:11"/>
    <d v="2016-07-25T15:17:21"/>
    <m/>
    <m/>
  </r>
  <r>
    <n v="482"/>
    <x v="2"/>
    <x v="12"/>
    <s v="get back"/>
    <s v="v. phr."/>
    <s v="回去"/>
    <d v="2016-07-25T15:07:14"/>
    <d v="2016-07-25T15:07:15"/>
    <d v="2016-07-25T15:07:14"/>
    <d v="2016-07-25T15:11:41"/>
    <d v="2016-07-25T15:17:26"/>
    <d v="2016-07-25T15:07:15"/>
    <d v="2016-07-25T15:17:26"/>
    <m/>
    <m/>
  </r>
  <r>
    <n v="483"/>
    <x v="2"/>
    <x v="12"/>
    <s v="get down"/>
    <s v="v. phr."/>
    <s v="着手进行，写下"/>
    <d v="2016-07-25T15:07:17"/>
    <d v="2016-07-25T15:07:18"/>
    <d v="2016-07-25T15:07:17"/>
    <d v="2016-07-25T15:11:53"/>
    <d v="2016-07-25T15:17:32"/>
    <d v="2016-07-25T15:07:18"/>
    <d v="2016-07-25T15:17:32"/>
    <m/>
    <m/>
  </r>
  <r>
    <n v="484"/>
    <x v="2"/>
    <x v="12"/>
    <s v="get in"/>
    <s v="v. phr."/>
    <s v="插话，到达，看到"/>
    <d v="2016-07-25T15:07:19"/>
    <d v="2016-07-25T15:07:20"/>
    <d v="2016-07-25T15:07:20"/>
    <d v="2016-07-25T15:11:58"/>
    <d v="2016-07-25T15:17:37"/>
    <d v="2016-07-25T15:07:20"/>
    <d v="2016-07-25T15:17:37"/>
    <m/>
    <m/>
  </r>
  <r>
    <n v="485"/>
    <x v="2"/>
    <x v="12"/>
    <s v="get off"/>
    <s v="v. phr."/>
    <s v="下车"/>
    <d v="2016-07-25T15:07:22"/>
    <d v="2016-07-25T15:07:24"/>
    <d v="2016-07-25T15:07:23"/>
    <d v="2016-07-25T15:12:06"/>
    <d v="2016-07-25T15:17:44"/>
    <d v="2016-07-25T15:07:24"/>
    <d v="2016-07-25T15:17:44"/>
    <m/>
    <m/>
  </r>
  <r>
    <n v="486"/>
    <x v="2"/>
    <x v="12"/>
    <s v="get on"/>
    <s v="v. phr."/>
    <s v="上车"/>
    <d v="2016-07-25T15:07:26"/>
    <d v="2016-07-25T15:07:28"/>
    <d v="2016-07-25T15:07:26"/>
    <d v="2016-07-25T15:12:11"/>
    <d v="2016-07-25T15:17:48"/>
    <d v="2016-07-25T15:07:28"/>
    <d v="2016-07-25T15:17:48"/>
    <m/>
    <m/>
  </r>
  <r>
    <n v="487"/>
    <x v="2"/>
    <x v="12"/>
    <s v="get rid of"/>
    <s v="v. phr."/>
    <s v="处理"/>
    <d v="2016-07-27T11:21:58"/>
    <d v="2016-07-26T15:18:00"/>
    <d v="2016-07-26T15:18:00"/>
    <d v="2016-07-27T11:44:15"/>
    <d v="2016-07-26T15:18:17"/>
    <d v="2016-07-27T11:21:58"/>
    <d v="2016-07-27T11:44:15"/>
    <m/>
    <m/>
  </r>
  <r>
    <n v="488"/>
    <x v="2"/>
    <x v="12"/>
    <s v="give up"/>
    <s v="v. phr."/>
    <s v="放弃"/>
    <d v="2016-07-25T15:07:32"/>
    <d v="2016-07-25T15:07:34"/>
    <d v="2016-07-25T15:07:34"/>
    <d v="2016-07-25T15:12:39"/>
    <d v="2016-07-25T15:18:03"/>
    <d v="2016-07-25T15:07:34"/>
    <d v="2016-07-25T15:18:03"/>
    <m/>
    <m/>
  </r>
  <r>
    <n v="489"/>
    <x v="2"/>
    <x v="12"/>
    <s v="government"/>
    <s v="n."/>
    <s v="政府"/>
    <d v="2016-07-25T15:07:36"/>
    <d v="2016-07-25T15:07:37"/>
    <d v="2016-07-25T15:07:37"/>
    <d v="2016-07-25T15:12:48"/>
    <d v="2016-07-25T15:18:07"/>
    <d v="2016-07-25T15:07:37"/>
    <d v="2016-07-25T15:18:07"/>
    <m/>
    <m/>
  </r>
  <r>
    <n v="490"/>
    <x v="2"/>
    <x v="12"/>
    <s v="hammer"/>
    <s v="n."/>
    <s v="锤子"/>
    <d v="2016-07-25T15:07:40"/>
    <d v="2016-07-25T15:07:42"/>
    <d v="2016-07-25T15:07:41"/>
    <d v="2016-07-25T15:13:00"/>
    <d v="2016-07-25T15:18:11"/>
    <d v="2016-07-25T15:07:42"/>
    <d v="2016-07-25T15:18:11"/>
    <m/>
    <m/>
  </r>
  <r>
    <n v="491"/>
    <x v="2"/>
    <x v="12"/>
    <s v="hammer"/>
    <s v="v."/>
    <s v="锤打"/>
    <d v="2016-07-25T15:07:44"/>
    <d v="2016-07-25T15:07:46"/>
    <d v="2016-07-25T15:07:45"/>
    <d v="2016-07-25T15:13:04"/>
    <d v="2016-07-25T15:18:14"/>
    <d v="2016-07-25T15:07:46"/>
    <d v="2016-07-25T15:18:14"/>
    <m/>
    <m/>
  </r>
  <r>
    <n v="492"/>
    <x v="2"/>
    <x v="12"/>
    <s v="handwriting"/>
    <s v="n."/>
    <s v="书法"/>
    <d v="2016-07-25T15:07:48"/>
    <d v="2016-07-25T15:07:50"/>
    <d v="2016-07-25T15:07:49"/>
    <d v="2016-07-25T15:13:26"/>
    <d v="2016-07-25T15:18:24"/>
    <d v="2016-07-25T15:07:50"/>
    <d v="2016-07-25T15:18:24"/>
    <m/>
    <m/>
  </r>
  <r>
    <n v="493"/>
    <x v="2"/>
    <x v="12"/>
    <s v="headline"/>
    <s v="n."/>
    <s v="新闻提要，大字标题"/>
    <d v="2016-07-25T15:07:51"/>
    <d v="2016-07-25T15:07:52"/>
    <d v="2016-07-25T15:07:52"/>
    <d v="2016-07-25T15:13:34"/>
    <d v="2016-07-25T15:18:29"/>
    <d v="2016-07-25T15:07:52"/>
    <d v="2016-07-25T15:18:29"/>
    <m/>
    <m/>
  </r>
  <r>
    <n v="494"/>
    <x v="2"/>
    <x v="12"/>
    <s v="hire"/>
    <s v="v."/>
    <s v="租，雇用"/>
    <d v="2016-07-25T15:07:54"/>
    <d v="2016-07-25T15:07:55"/>
    <d v="2016-07-25T15:07:55"/>
    <d v="2016-07-25T15:13:43"/>
    <d v="2016-07-25T15:18:39"/>
    <d v="2016-07-25T15:07:55"/>
    <d v="2016-07-25T15:18:39"/>
    <m/>
    <m/>
  </r>
  <r>
    <n v="495"/>
    <x v="2"/>
    <x v="12"/>
    <s v="hostel"/>
    <s v="n."/>
    <s v="青年宿舍"/>
    <d v="2016-07-25T15:07:57"/>
    <d v="2016-07-25T15:08:00"/>
    <d v="2016-07-25T15:07:58"/>
    <d v="2016-07-25T15:13:57"/>
    <d v="2016-07-25T15:18:42"/>
    <d v="2016-07-25T15:08:00"/>
    <d v="2016-07-25T15:18:42"/>
    <m/>
    <m/>
  </r>
  <r>
    <n v="496"/>
    <x v="2"/>
    <x v="12"/>
    <s v="hydrofoil"/>
    <s v="n."/>
    <s v="水翼艇"/>
    <d v="2016-07-25T15:08:03"/>
    <d v="2016-07-25T15:08:04"/>
    <d v="2016-07-25T15:08:04"/>
    <d v="2016-07-25T15:14:20"/>
    <d v="2016-07-25T15:18:49"/>
    <d v="2016-07-25T15:08:04"/>
    <d v="2016-07-25T15:18:49"/>
    <m/>
    <m/>
  </r>
  <r>
    <n v="497"/>
    <x v="2"/>
    <x v="12"/>
    <s v="immigration"/>
    <s v="n."/>
    <s v="移民"/>
    <d v="2016-07-25T15:08:06"/>
    <d v="2016-07-25T15:08:06"/>
    <d v="2016-07-25T15:08:06"/>
    <d v="2016-07-25T15:14:37"/>
    <d v="2016-07-25T15:18:54"/>
    <d v="2016-07-25T15:08:06"/>
    <d v="2016-07-25T15:18:54"/>
    <m/>
    <m/>
  </r>
  <r>
    <n v="498"/>
    <x v="2"/>
    <x v="12"/>
    <s v="improve"/>
    <s v="v."/>
    <s v="提高"/>
    <d v="2016-07-25T15:08:09"/>
    <d v="2016-07-25T15:08:10"/>
    <d v="2016-07-25T15:08:10"/>
    <d v="2016-07-25T15:14:46"/>
    <d v="2016-07-25T15:19:03"/>
    <d v="2016-07-25T15:08:10"/>
    <d v="2016-07-25T15:19:03"/>
    <m/>
    <m/>
  </r>
  <r>
    <n v="499"/>
    <x v="2"/>
    <x v="12"/>
    <s v="in advance"/>
    <s v="prep. phr."/>
    <s v="提前，预先"/>
    <d v="2016-07-25T15:16:04"/>
    <d v="2016-07-25T15:08:15"/>
    <d v="2016-07-25T15:08:14"/>
    <d v="2016-07-25T15:16:37"/>
    <d v="2016-07-25T15:19:22"/>
    <d v="2016-07-25T15:16:04"/>
    <d v="2016-07-25T15:19:22"/>
    <m/>
    <m/>
  </r>
  <r>
    <n v="500"/>
    <x v="2"/>
    <x v="13"/>
    <s v="in case of"/>
    <s v="prep. phr."/>
    <s v="万一；要是"/>
    <d v="2016-07-26T11:13:54"/>
    <d v="2016-07-26T11:13:55"/>
    <d v="2016-07-26T11:13:55"/>
    <d v="2016-07-26T11:56:27"/>
    <d v="2016-07-26T12:05:46"/>
    <d v="2016-07-26T11:13:55"/>
    <d v="2016-07-26T12:05:46"/>
    <m/>
    <m/>
  </r>
  <r>
    <n v="501"/>
    <x v="2"/>
    <x v="13"/>
    <s v="in the end"/>
    <s v="adv. phr."/>
    <s v="最后"/>
    <d v="2016-07-27T11:43:05"/>
    <d v="2016-07-26T11:13:59"/>
    <d v="2016-07-26T11:13:58"/>
    <d v="2016-07-27T11:43:31"/>
    <d v="2016-07-26T12:05:59"/>
    <d v="2016-07-27T11:43:05"/>
    <d v="2016-07-27T11:43:31"/>
    <m/>
    <m/>
  </r>
  <r>
    <n v="502"/>
    <x v="2"/>
    <x v="13"/>
    <s v="in order to"/>
    <s v="prep. phr."/>
    <s v="为了"/>
    <d v="2016-07-27T11:22:03"/>
    <d v="2016-07-26T15:18:39"/>
    <d v="2016-07-26T15:18:39"/>
    <d v="2016-07-27T11:42:36"/>
    <d v="2016-07-26T15:18:55"/>
    <d v="2016-07-27T11:22:03"/>
    <d v="2016-07-27T11:42:36"/>
    <m/>
    <m/>
  </r>
  <r>
    <n v="503"/>
    <x v="2"/>
    <x v="13"/>
    <s v="in public"/>
    <s v="prep. phr."/>
    <s v="公共的"/>
    <d v="2016-07-26T15:25:09"/>
    <d v="2016-07-26T11:14:08"/>
    <d v="2016-07-26T11:14:08"/>
    <d v="2016-07-26T15:26:05"/>
    <d v="2016-07-26T12:06:24"/>
    <d v="2016-07-26T15:25:09"/>
    <d v="2016-07-26T15:26:05"/>
    <m/>
    <m/>
  </r>
  <r>
    <n v="504"/>
    <x v="2"/>
    <x v="13"/>
    <s v="indeed"/>
    <s v="adv."/>
    <s v="的确，真是地"/>
    <d v="2016-07-28T13:22:40"/>
    <d v="2016-07-26T11:14:13"/>
    <d v="2016-07-26T11:14:12"/>
    <d v="2016-07-28T13:23:23"/>
    <d v="2016-07-26T12:06:32"/>
    <d v="2016-07-28T13:22:40"/>
    <d v="2016-07-28T13:23:23"/>
    <m/>
    <m/>
  </r>
  <r>
    <n v="505"/>
    <x v="2"/>
    <x v="13"/>
    <s v="index"/>
    <s v="n."/>
    <s v="索引"/>
    <d v="2016-07-26T11:14:16"/>
    <d v="2016-07-26T15:16:34"/>
    <d v="2016-07-26T15:16:33"/>
    <d v="2016-07-26T11:57:32"/>
    <d v="2016-07-26T15:17:34"/>
    <d v="2016-07-26T15:16:34"/>
    <d v="2016-07-26T15:17:34"/>
    <m/>
    <m/>
  </r>
  <r>
    <n v="506"/>
    <x v="2"/>
    <x v="13"/>
    <s v="inform"/>
    <s v="v."/>
    <s v="通知"/>
    <d v="2016-07-26T12:04:04"/>
    <d v="2016-07-26T12:04:06"/>
    <d v="2016-07-26T12:04:05"/>
    <d v="2016-07-26T15:20:14"/>
    <d v="2016-07-26T12:06:53"/>
    <d v="2016-07-26T12:04:06"/>
    <d v="2016-07-26T15:20:14"/>
    <m/>
    <m/>
  </r>
  <r>
    <n v="507"/>
    <x v="2"/>
    <x v="13"/>
    <s v="offer"/>
    <s v="v."/>
    <s v="供给，提供"/>
    <d v="2016-07-26T12:04:07"/>
    <d v="2016-07-26T12:04:09"/>
    <d v="2016-07-26T12:04:08"/>
    <d v="2016-07-26T15:20:27"/>
    <d v="2016-07-26T12:07:03"/>
    <d v="2016-07-26T12:04:09"/>
    <d v="2016-07-26T15:20:27"/>
    <m/>
    <m/>
  </r>
  <r>
    <n v="508"/>
    <x v="2"/>
    <x v="13"/>
    <s v="route"/>
    <s v="n."/>
    <s v="路线"/>
    <d v="2016-07-26T12:04:10"/>
    <d v="2016-07-26T12:04:12"/>
    <d v="2016-07-26T12:04:11"/>
    <d v="2016-07-26T15:20:39"/>
    <d v="2016-07-26T12:07:10"/>
    <d v="2016-07-26T12:04:12"/>
    <d v="2016-07-26T15:20:39"/>
    <m/>
    <m/>
  </r>
  <r>
    <n v="509"/>
    <x v="2"/>
    <x v="13"/>
    <s v="simply"/>
    <s v="adv."/>
    <s v="简单地"/>
    <d v="2016-07-26T12:04:13"/>
    <d v="2016-07-26T12:04:14"/>
    <d v="2016-07-26T12:04:14"/>
    <d v="2016-07-26T15:20:46"/>
    <d v="2016-07-26T12:07:14"/>
    <d v="2016-07-26T12:04:14"/>
    <d v="2016-07-26T15:20:46"/>
    <m/>
    <m/>
  </r>
  <r>
    <n v="510"/>
    <x v="2"/>
    <x v="13"/>
    <s v="fellow"/>
    <s v="n."/>
    <s v="伙伴"/>
    <d v="2016-07-26T12:04:16"/>
    <d v="2016-07-26T12:04:17"/>
    <d v="2016-07-26T12:04:17"/>
    <d v="2016-07-26T15:20:58"/>
    <d v="2016-07-26T12:07:19"/>
    <d v="2016-07-26T12:04:17"/>
    <d v="2016-07-26T15:20:58"/>
    <m/>
    <m/>
  </r>
  <r>
    <n v="511"/>
    <x v="2"/>
    <x v="13"/>
    <s v="range"/>
    <s v="n."/>
    <s v="范围"/>
    <d v="2016-07-26T12:04:19"/>
    <d v="2016-07-26T12:04:20"/>
    <d v="2016-07-26T12:04:19"/>
    <d v="2016-07-26T15:21:09"/>
    <d v="2016-07-26T12:07:36"/>
    <d v="2016-07-26T12:04:20"/>
    <d v="2016-07-26T15:21:09"/>
    <m/>
    <m/>
  </r>
  <r>
    <n v="512"/>
    <x v="2"/>
    <x v="13"/>
    <s v="crowned"/>
    <s v="adj."/>
    <s v="加冕的"/>
    <d v="2016-07-26T15:25:13"/>
    <d v="2016-07-26T12:04:25"/>
    <d v="2016-07-26T12:04:24"/>
    <d v="2016-07-26T15:26:19"/>
    <d v="2016-07-26T12:07:40"/>
    <d v="2016-07-26T15:25:13"/>
    <d v="2016-07-26T15:26:19"/>
    <m/>
    <m/>
  </r>
  <r>
    <n v="513"/>
    <x v="2"/>
    <x v="13"/>
    <s v="antique"/>
    <s v="n."/>
    <s v="古董"/>
    <d v="2016-07-26T15:25:15"/>
    <d v="2016-07-26T12:04:28"/>
    <d v="2016-07-26T12:04:27"/>
    <d v="2016-07-26T15:26:32"/>
    <d v="2016-07-26T12:07:50"/>
    <d v="2016-07-26T15:25:15"/>
    <d v="2016-07-26T15:26:32"/>
    <m/>
    <m/>
  </r>
  <r>
    <n v="514"/>
    <x v="2"/>
    <x v="13"/>
    <s v="discount"/>
    <s v="n."/>
    <s v="折扣"/>
    <d v="2016-07-26T12:04:30"/>
    <d v="2016-07-26T12:04:32"/>
    <d v="2016-07-26T12:04:31"/>
    <d v="2016-07-26T15:21:57"/>
    <d v="2016-07-26T12:07:55"/>
    <d v="2016-07-26T12:04:32"/>
    <d v="2016-07-26T15:21:57"/>
    <m/>
    <m/>
  </r>
  <r>
    <n v="515"/>
    <x v="2"/>
    <x v="13"/>
    <s v="discount"/>
    <s v="v."/>
    <s v="打折"/>
    <d v="2016-07-26T12:04:34"/>
    <d v="2016-07-26T12:04:35"/>
    <d v="2016-07-26T12:04:34"/>
    <d v="2016-07-26T15:22:06"/>
    <d v="2016-07-26T12:07:58"/>
    <d v="2016-07-26T12:04:35"/>
    <d v="2016-07-26T15:22:06"/>
    <m/>
    <m/>
  </r>
  <r>
    <n v="516"/>
    <x v="2"/>
    <x v="13"/>
    <s v="normal"/>
    <s v="adj."/>
    <s v="正常的"/>
    <d v="2016-07-26T12:04:38"/>
    <d v="2016-07-26T12:04:38"/>
    <d v="2016-07-26T12:04:38"/>
    <d v="2016-07-26T15:22:18"/>
    <d v="2016-07-26T12:08:07"/>
    <d v="2016-07-26T12:04:38"/>
    <d v="2016-07-26T15:22:18"/>
    <m/>
    <m/>
  </r>
  <r>
    <n v="517"/>
    <x v="2"/>
    <x v="13"/>
    <s v="canal"/>
    <s v="n."/>
    <s v="运河"/>
    <d v="2016-07-26T12:04:40"/>
    <d v="2016-07-26T12:04:41"/>
    <d v="2016-07-26T12:04:41"/>
    <d v="2016-07-26T15:22:24"/>
    <d v="2016-07-26T12:08:11"/>
    <d v="2016-07-26T12:04:41"/>
    <d v="2016-07-26T15:22:24"/>
    <m/>
    <m/>
  </r>
  <r>
    <n v="518"/>
    <x v="2"/>
    <x v="13"/>
    <s v="studio"/>
    <s v="n."/>
    <s v="工作室"/>
    <d v="2016-07-26T12:04:44"/>
    <d v="2016-07-26T12:04:45"/>
    <d v="2016-07-26T12:04:44"/>
    <d v="2016-07-26T15:22:33"/>
    <d v="2016-07-26T12:08:14"/>
    <d v="2016-07-26T12:04:45"/>
    <d v="2016-07-26T15:22:33"/>
    <m/>
    <m/>
  </r>
  <r>
    <n v="519"/>
    <x v="2"/>
    <x v="13"/>
    <s v="explore"/>
    <s v="v."/>
    <s v="探寻"/>
    <d v="2016-07-26T12:04:46"/>
    <d v="2016-07-26T12:04:47"/>
    <d v="2016-07-26T12:04:47"/>
    <d v="2016-07-26T15:22:40"/>
    <d v="2016-07-26T12:08:18"/>
    <d v="2016-07-26T12:04:47"/>
    <d v="2016-07-26T15:22:40"/>
    <m/>
    <m/>
  </r>
  <r>
    <n v="520"/>
    <x v="2"/>
    <x v="13"/>
    <s v="zone"/>
    <s v="n."/>
    <s v="地带"/>
    <d v="2016-07-26T12:04:49"/>
    <d v="2016-07-26T12:04:50"/>
    <d v="2016-07-26T12:04:49"/>
    <d v="2016-07-26T15:22:49"/>
    <d v="2016-07-26T12:08:21"/>
    <d v="2016-07-26T12:04:50"/>
    <d v="2016-07-26T15:22:49"/>
    <m/>
    <m/>
  </r>
  <r>
    <n v="521"/>
    <x v="2"/>
    <x v="13"/>
    <s v="request"/>
    <s v="v."/>
    <s v="要求"/>
    <d v="2016-07-26T12:04:52"/>
    <d v="2016-07-26T12:04:54"/>
    <d v="2016-07-26T12:04:53"/>
    <d v="2016-07-26T15:23:02"/>
    <d v="2016-07-26T12:08:29"/>
    <d v="2016-07-26T12:04:54"/>
    <d v="2016-07-26T15:23:02"/>
    <m/>
    <m/>
  </r>
  <r>
    <n v="522"/>
    <x v="2"/>
    <x v="13"/>
    <s v="dive"/>
    <s v="v."/>
    <s v="潜水"/>
    <d v="2016-07-26T12:04:57"/>
    <d v="2016-07-26T12:04:58"/>
    <d v="2016-07-26T12:04:58"/>
    <d v="2016-07-26T15:23:07"/>
    <d v="2016-07-26T12:08:31"/>
    <d v="2016-07-26T12:04:58"/>
    <d v="2016-07-26T15:23:07"/>
    <m/>
    <m/>
  </r>
  <r>
    <n v="523"/>
    <x v="2"/>
    <x v="13"/>
    <s v="sightseeing"/>
    <s v="n."/>
    <s v="观光"/>
    <d v="2016-07-26T12:05:01"/>
    <d v="2016-07-26T12:05:02"/>
    <d v="2016-07-26T12:05:01"/>
    <d v="2016-07-26T15:23:16"/>
    <d v="2016-07-26T12:08:40"/>
    <d v="2016-07-26T12:05:02"/>
    <d v="2016-07-26T15:23:16"/>
    <m/>
    <m/>
  </r>
  <r>
    <n v="524"/>
    <x v="2"/>
    <x v="13"/>
    <s v="organize"/>
    <s v="v."/>
    <s v="组织"/>
    <d v="2016-07-26T12:05:04"/>
    <d v="2016-07-26T15:16:37"/>
    <d v="2016-07-26T15:16:36"/>
    <d v="2016-07-26T15:23:36"/>
    <d v="2016-07-26T15:17:37"/>
    <d v="2016-07-26T15:16:37"/>
    <d v="2016-07-26T15:23:36"/>
    <m/>
    <m/>
  </r>
  <r>
    <n v="525"/>
    <x v="2"/>
    <x v="14"/>
    <s v="art gallery"/>
    <s v="n. phr."/>
    <s v="画廊"/>
    <d v="2016-08-10T11:29:49"/>
    <d v="2016-07-27T11:29:05"/>
    <d v="2016-07-27T11:29:05"/>
    <d v="2016-08-10T11:43:59"/>
    <d v="2016-07-27T11:54:47"/>
    <d v="2016-08-10T11:29:49"/>
    <d v="2016-08-10T11:43:59"/>
    <m/>
    <m/>
  </r>
  <r>
    <n v="526"/>
    <x v="2"/>
    <x v="14"/>
    <s v="coach"/>
    <s v="n."/>
    <s v="大巴；教练"/>
    <d v="2016-07-27T11:29:12"/>
    <d v="2016-07-27T11:29:16"/>
    <d v="2016-07-27T11:29:16"/>
    <d v="2016-08-10T11:07:04"/>
    <d v="2016-07-27T11:54:50"/>
    <d v="2016-07-27T11:29:16"/>
    <d v="2016-08-10T11:07:04"/>
    <m/>
    <m/>
  </r>
  <r>
    <n v="527"/>
    <x v="2"/>
    <x v="14"/>
    <s v="edge"/>
    <s v="n."/>
    <s v="边缘"/>
    <d v="2016-07-28T20:44:22"/>
    <d v="2016-07-27T11:29:27"/>
    <d v="2016-07-27T11:29:25"/>
    <d v="2016-08-10T11:07:18"/>
    <d v="2016-07-27T11:55:05"/>
    <d v="2016-07-28T20:44:22"/>
    <d v="2016-08-10T11:07:18"/>
    <m/>
    <m/>
  </r>
  <r>
    <n v="528"/>
    <x v="2"/>
    <x v="14"/>
    <s v="first-class"/>
    <s v="n."/>
    <s v="头等舱"/>
    <d v="2016-07-27T14:05:51"/>
    <d v="2016-07-27T14:07:08"/>
    <d v="2016-07-27T14:07:07"/>
    <d v="2016-08-10T11:07:44"/>
    <d v="2016-07-27T14:07:18"/>
    <d v="2016-07-27T14:07:08"/>
    <d v="2016-08-10T11:07:44"/>
    <m/>
    <m/>
  </r>
  <r>
    <n v="529"/>
    <x v="2"/>
    <x v="14"/>
    <s v="ideal"/>
    <s v="adj."/>
    <s v="理想的，完美的"/>
    <d v="2016-07-27T11:30:46"/>
    <d v="2016-07-27T11:30:47"/>
    <d v="2016-07-27T11:30:46"/>
    <d v="2016-08-10T11:09:53"/>
    <d v="2016-07-27T11:55:09"/>
    <d v="2016-07-27T11:30:47"/>
    <d v="2016-08-10T11:09:53"/>
    <m/>
    <m/>
  </r>
  <r>
    <n v="530"/>
    <x v="2"/>
    <x v="14"/>
    <s v="staff"/>
    <s v="n."/>
    <s v="员工"/>
    <d v="2016-07-27T11:30:42"/>
    <d v="2016-07-27T11:30:43"/>
    <d v="2016-07-27T11:30:42"/>
    <d v="2016-08-10T11:10:00"/>
    <d v="2016-07-27T11:55:11"/>
    <d v="2016-07-27T11:30:43"/>
    <d v="2016-08-10T11:10:00"/>
    <m/>
    <m/>
  </r>
  <r>
    <n v="531"/>
    <x v="2"/>
    <x v="14"/>
    <s v="surround"/>
    <s v="adj."/>
    <s v="四周的"/>
    <d v="2016-07-27T11:30:38"/>
    <d v="2016-07-27T11:30:39"/>
    <d v="2016-07-27T11:30:39"/>
    <d v="2016-08-10T11:10:09"/>
    <d v="2016-07-27T11:55:16"/>
    <d v="2016-07-27T11:30:39"/>
    <d v="2016-08-10T11:10:09"/>
    <m/>
    <m/>
  </r>
  <r>
    <n v="532"/>
    <x v="2"/>
    <x v="14"/>
    <s v="available"/>
    <s v="adj."/>
    <s v="可用的"/>
    <d v="2016-08-10T11:29:51"/>
    <d v="2016-07-27T11:33:00"/>
    <d v="2016-07-27T11:32:59"/>
    <d v="2016-08-10T11:44:38"/>
    <d v="2016-07-27T11:55:20"/>
    <d v="2016-08-10T11:29:51"/>
    <d v="2016-08-10T11:44:38"/>
    <m/>
    <m/>
  </r>
  <r>
    <n v="533"/>
    <x v="2"/>
    <x v="14"/>
    <s v="inhabitant"/>
    <s v="n."/>
    <s v="居民"/>
    <d v="2016-07-28T20:44:28"/>
    <d v="2016-07-27T11:34:14"/>
    <d v="2016-07-27T11:34:13"/>
    <d v="2016-08-10T11:10:41"/>
    <d v="2016-07-27T14:06:46"/>
    <d v="2016-07-28T20:44:28"/>
    <d v="2016-08-10T11:10:41"/>
    <m/>
    <m/>
  </r>
  <r>
    <n v="534"/>
    <x v="2"/>
    <x v="14"/>
    <s v="instance"/>
    <s v="n."/>
    <s v="例子"/>
    <d v="2016-07-27T11:34:32"/>
    <d v="2016-07-27T11:34:33"/>
    <d v="2016-07-27T11:34:32"/>
    <d v="2016-08-10T11:10:56"/>
    <d v="2016-07-27T11:55:24"/>
    <d v="2016-07-27T11:34:33"/>
    <d v="2016-08-10T11:10:56"/>
    <m/>
    <m/>
  </r>
  <r>
    <n v="535"/>
    <x v="2"/>
    <x v="14"/>
    <s v="intend"/>
    <s v="v."/>
    <s v="打算"/>
    <d v="2016-08-10T11:29:53"/>
    <d v="2016-07-27T11:34:42"/>
    <d v="2016-07-27T11:34:41"/>
    <d v="2016-08-10T11:44:53"/>
    <d v="2016-07-27T11:55:37"/>
    <d v="2016-08-10T11:29:53"/>
    <d v="2016-08-10T11:44:53"/>
    <m/>
    <m/>
  </r>
  <r>
    <n v="536"/>
    <x v="2"/>
    <x v="14"/>
    <s v="issue"/>
    <s v="n."/>
    <s v="事情，问题，形容词争论，发行"/>
    <d v="2016-07-28T20:44:32"/>
    <d v="2016-07-27T11:34:53"/>
    <d v="2016-07-27T11:34:52"/>
    <d v="2016-08-10T11:11:21"/>
    <d v="2016-07-27T11:55:45"/>
    <d v="2016-07-28T20:44:32"/>
    <d v="2016-08-10T11:11:21"/>
    <m/>
    <m/>
  </r>
  <r>
    <n v="537"/>
    <x v="2"/>
    <x v="14"/>
    <s v="jealous"/>
    <s v="adj."/>
    <s v="嫉妒的"/>
    <d v="2016-07-27T11:38:00"/>
    <d v="2016-07-27T11:38:01"/>
    <d v="2016-07-27T11:38:00"/>
    <d v="2016-08-10T11:11:43"/>
    <d v="2016-07-27T11:55:49"/>
    <d v="2016-07-27T11:38:01"/>
    <d v="2016-08-10T11:11:43"/>
    <m/>
    <m/>
  </r>
  <r>
    <n v="538"/>
    <x v="2"/>
    <x v="14"/>
    <s v="journalist"/>
    <s v="n."/>
    <s v="新闻记者"/>
    <d v="2016-08-10T11:42:47"/>
    <d v="2016-07-27T11:38:06"/>
    <d v="2016-07-27T11:38:05"/>
    <d v="2016-08-10T11:45:01"/>
    <d v="2016-07-27T11:55:54"/>
    <d v="2016-08-10T11:42:47"/>
    <d v="2016-08-10T11:45:01"/>
    <m/>
    <m/>
  </r>
  <r>
    <n v="539"/>
    <x v="2"/>
    <x v="14"/>
    <s v="keen"/>
    <s v="adj."/>
    <s v="喜好的，热衷的"/>
    <d v="2016-07-27T11:38:09"/>
    <d v="2016-07-27T11:38:10"/>
    <d v="2016-07-27T11:38:09"/>
    <d v="2016-08-10T11:12:57"/>
    <d v="2016-07-27T11:55:58"/>
    <d v="2016-07-27T11:38:10"/>
    <d v="2016-08-10T11:12:57"/>
    <m/>
    <m/>
  </r>
  <r>
    <n v="540"/>
    <x v="2"/>
    <x v="14"/>
    <s v="kiosk"/>
    <s v="n."/>
    <s v="公用电话亭"/>
    <d v="2016-07-28T20:44:34"/>
    <d v="2016-07-27T11:38:21"/>
    <d v="2016-07-27T11:38:20"/>
    <d v="2016-08-10T11:13:08"/>
    <d v="2016-07-27T11:56:09"/>
    <d v="2016-07-28T20:44:34"/>
    <d v="2016-08-10T11:13:08"/>
    <m/>
    <m/>
  </r>
  <r>
    <n v="541"/>
    <x v="2"/>
    <x v="14"/>
    <s v="knock out"/>
    <s v="v. phr."/>
    <s v="击倒"/>
    <d v="2016-07-27T14:02:38"/>
    <d v="2016-07-27T11:38:25"/>
    <d v="2016-07-27T11:38:24"/>
    <d v="2016-08-10T11:13:22"/>
    <d v="2016-07-27T14:04:42"/>
    <d v="2016-07-27T14:02:38"/>
    <d v="2016-08-10T11:13:22"/>
    <m/>
    <m/>
  </r>
  <r>
    <n v="542"/>
    <x v="2"/>
    <x v="14"/>
    <s v="laboratory"/>
    <s v="n."/>
    <s v="实验室"/>
    <d v="2016-08-10T11:42:57"/>
    <d v="2016-07-27T11:45:10"/>
    <d v="2016-07-27T11:45:09"/>
    <d v="2016-08-10T11:45:18"/>
    <d v="2016-07-27T11:56:13"/>
    <d v="2016-08-10T11:42:57"/>
    <d v="2016-08-10T11:45:18"/>
    <m/>
    <m/>
  </r>
  <r>
    <n v="543"/>
    <x v="2"/>
    <x v="14"/>
    <s v="single"/>
    <s v="adj."/>
    <s v="单身的，单一的；"/>
    <d v="2016-07-27T14:05:54"/>
    <d v="2016-07-27T11:41:01"/>
    <d v="2016-07-27T11:41:01"/>
    <d v="2016-08-10T11:13:34"/>
    <d v="2016-07-27T14:06:51"/>
    <d v="2016-07-27T14:05:54"/>
    <d v="2016-08-10T11:13:34"/>
    <m/>
    <m/>
  </r>
  <r>
    <n v="544"/>
    <x v="2"/>
    <x v="14"/>
    <s v="single"/>
    <s v="n."/>
    <s v="单一"/>
    <d v="2016-07-27T11:40:53"/>
    <d v="2016-07-27T14:02:43"/>
    <d v="2016-07-27T14:02:42"/>
    <d v="2016-08-10T11:13:45"/>
    <d v="2016-07-27T14:04:46"/>
    <d v="2016-07-27T14:02:43"/>
    <d v="2016-08-10T11:13:45"/>
    <m/>
    <m/>
  </r>
  <r>
    <n v="545"/>
    <x v="2"/>
    <x v="14"/>
    <s v="situated"/>
    <s v="adj."/>
    <s v="位于，坐落于"/>
    <d v="2016-08-10T11:43:03"/>
    <d v="2016-07-27T14:02:52"/>
    <d v="2016-07-27T14:02:51"/>
    <d v="2016-08-10T11:45:34"/>
    <d v="2016-07-27T14:04:57"/>
    <d v="2016-08-10T11:43:03"/>
    <d v="2016-08-10T11:45:34"/>
    <m/>
    <m/>
  </r>
  <r>
    <n v="546"/>
    <x v="2"/>
    <x v="14"/>
    <s v="situation"/>
    <s v="n."/>
    <s v="情况"/>
    <d v="2016-08-10T11:43:07"/>
    <d v="2016-07-27T11:46:17"/>
    <d v="2016-07-27T11:46:16"/>
    <d v="2016-08-10T11:45:41"/>
    <d v="2016-07-27T11:56:45"/>
    <d v="2016-08-10T11:43:07"/>
    <d v="2016-08-10T11:45:41"/>
    <m/>
    <m/>
  </r>
  <r>
    <n v="547"/>
    <x v="2"/>
    <x v="14"/>
    <s v="slim"/>
    <s v="adj."/>
    <s v="苗体的"/>
    <d v="2016-07-27T11:46:18"/>
    <d v="2016-07-27T11:46:19"/>
    <d v="2016-07-27T11:46:19"/>
    <d v="2016-08-10T11:14:12"/>
    <d v="2016-07-27T11:56:50"/>
    <d v="2016-07-27T11:46:19"/>
    <d v="2016-08-10T11:14:12"/>
    <m/>
    <m/>
  </r>
  <r>
    <n v="548"/>
    <x v="2"/>
    <x v="14"/>
    <s v="spade"/>
    <s v="n."/>
    <s v="铲子"/>
    <d v="2016-07-27T11:41:15"/>
    <d v="2016-07-27T11:41:17"/>
    <d v="2016-07-27T11:41:16"/>
    <d v="2016-08-10T11:14:20"/>
    <d v="2016-07-27T11:56:58"/>
    <d v="2016-07-27T11:41:17"/>
    <d v="2016-08-10T11:14:20"/>
    <m/>
    <m/>
  </r>
  <r>
    <n v="549"/>
    <x v="2"/>
    <x v="15"/>
    <s v="spill"/>
    <s v="v."/>
    <s v="溢出，泄露机密"/>
    <d v="2016-07-28T10:54:29"/>
    <d v="2016-07-28T10:54:32"/>
    <d v="2016-07-28T10:54:32"/>
    <d v="2016-08-10T11:14:54"/>
    <d v="2016-07-28T12:00:58"/>
    <d v="2016-07-28T10:54:32"/>
    <d v="2016-08-10T11:14:54"/>
    <m/>
    <m/>
  </r>
  <r>
    <n v="550"/>
    <x v="2"/>
    <x v="15"/>
    <s v="standard"/>
    <s v="n."/>
    <s v="标准"/>
    <d v="2016-08-10T11:43:09"/>
    <d v="2016-07-28T14:53:11"/>
    <d v="2016-07-28T14:53:11"/>
    <d v="2016-08-10T11:45:54"/>
    <d v="2016-07-28T15:08:45"/>
    <d v="2016-08-10T11:43:09"/>
    <d v="2016-08-10T11:45:54"/>
    <m/>
    <m/>
  </r>
  <r>
    <n v="551"/>
    <x v="2"/>
    <x v="15"/>
    <s v="strict"/>
    <s v="adj."/>
    <s v="严厉的"/>
    <d v="2016-07-28T14:56:23"/>
    <d v="2016-07-28T10:55:30"/>
    <d v="2016-07-28T10:55:30"/>
    <d v="2016-08-10T11:15:04"/>
    <d v="2016-07-28T00:00:00"/>
    <d v="2016-07-28T14:56:23"/>
    <d v="2016-08-10T11:15:04"/>
    <m/>
    <m/>
  </r>
  <r>
    <n v="552"/>
    <x v="2"/>
    <x v="15"/>
    <s v="succeed"/>
    <s v="v."/>
    <s v="成功"/>
    <d v="2016-08-10T11:43:11"/>
    <d v="2016-07-28T10:54:45"/>
    <d v="2016-07-28T10:54:45"/>
    <d v="2016-08-10T11:46:06"/>
    <d v="2016-07-28T00:00:00"/>
    <d v="2016-08-10T11:43:11"/>
    <d v="2016-08-10T11:46:06"/>
    <m/>
    <m/>
  </r>
  <r>
    <n v="553"/>
    <x v="2"/>
    <x v="15"/>
    <s v="success"/>
    <s v="n."/>
    <s v="成功"/>
    <d v="2016-08-10T11:43:13"/>
    <d v="2016-07-28T14:53:18"/>
    <d v="2016-07-28T14:53:18"/>
    <d v="2016-08-10T11:46:11"/>
    <d v="2016-07-28T15:08:54"/>
    <d v="2016-08-10T11:43:13"/>
    <d v="2016-08-10T11:46:11"/>
    <m/>
    <m/>
  </r>
  <r>
    <n v="554"/>
    <x v="2"/>
    <x v="15"/>
    <s v="suitable"/>
    <s v="adj."/>
    <s v="合适的"/>
    <d v="2016-07-28T10:55:52"/>
    <d v="2016-07-28T10:55:53"/>
    <d v="2016-07-28T10:55:53"/>
    <d v="2016-08-10T11:15:35"/>
    <d v="2016-07-28T12:01:20"/>
    <d v="2016-07-28T10:55:53"/>
    <d v="2016-08-10T11:15:35"/>
    <m/>
    <m/>
  </r>
  <r>
    <n v="555"/>
    <x v="2"/>
    <x v="15"/>
    <s v="timetable"/>
    <s v="n."/>
    <s v="时间表"/>
    <d v="2016-07-28T10:55:55"/>
    <d v="2016-07-28T10:55:56"/>
    <d v="2016-07-28T10:55:56"/>
    <d v="2016-08-10T11:15:42"/>
    <d v="2016-07-28T12:01:24"/>
    <d v="2016-07-28T10:55:56"/>
    <d v="2016-08-10T11:15:42"/>
    <m/>
    <m/>
  </r>
  <r>
    <n v="556"/>
    <x v="2"/>
    <x v="15"/>
    <s v="tourism"/>
    <s v="n."/>
    <s v="旅游业"/>
    <d v="2016-07-28T15:10:16"/>
    <d v="2016-07-28T14:53:21"/>
    <d v="2016-07-28T14:53:20"/>
    <d v="2016-08-10T11:16:07"/>
    <d v="2016-07-28T15:11:59"/>
    <d v="2016-07-28T15:10:16"/>
    <d v="2016-08-10T11:16:07"/>
    <m/>
    <m/>
  </r>
  <r>
    <n v="557"/>
    <x v="2"/>
    <x v="15"/>
    <s v="traditional"/>
    <s v="adj."/>
    <s v="传统的"/>
    <d v="2016-07-28T11:06:31"/>
    <d v="2016-07-28T11:06:32"/>
    <d v="2016-07-28T11:06:32"/>
    <d v="2016-08-10T11:16:19"/>
    <d v="2016-07-28T12:01:39"/>
    <d v="2016-07-28T11:06:32"/>
    <d v="2016-08-10T11:16:19"/>
    <m/>
    <m/>
  </r>
  <r>
    <n v="558"/>
    <x v="2"/>
    <x v="15"/>
    <s v="traveler's cheque"/>
    <s v="n. phr."/>
    <s v="旅行支票"/>
    <d v="2016-12-21T11:06:45"/>
    <d v="2016-07-28T11:06:42"/>
    <d v="2016-07-28T11:06:41"/>
    <m/>
    <d v="2016-07-28T00:00:00"/>
    <d v="2016-12-21T11:06:45"/>
    <s v=""/>
    <m/>
    <m/>
  </r>
  <r>
    <n v="559"/>
    <x v="2"/>
    <x v="15"/>
    <s v="try on"/>
    <s v="v. phr."/>
    <s v="试穿"/>
    <d v="2016-07-28T11:06:44"/>
    <d v="2016-07-28T11:06:45"/>
    <d v="2016-07-28T11:06:45"/>
    <d v="2016-08-10T11:16:38"/>
    <d v="2016-07-28T12:01:44"/>
    <d v="2016-07-28T11:06:45"/>
    <d v="2016-08-10T11:16:38"/>
    <m/>
    <m/>
  </r>
  <r>
    <n v="560"/>
    <x v="2"/>
    <x v="15"/>
    <s v="design"/>
    <s v="v."/>
    <s v="设计"/>
    <d v="2016-07-28T11:06:49"/>
    <d v="2016-07-28T11:06:50"/>
    <d v="2016-07-28T11:06:49"/>
    <d v="2016-08-10T11:16:43"/>
    <d v="2016-07-28T12:01:48"/>
    <d v="2016-07-28T11:06:50"/>
    <d v="2016-08-10T11:16:43"/>
    <m/>
    <m/>
  </r>
  <r>
    <n v="561"/>
    <x v="2"/>
    <x v="15"/>
    <s v="environmentally friendly"/>
    <s v="phrase"/>
    <s v="环保的"/>
    <d v="2016-12-21T11:06:49"/>
    <d v="2016-07-28T14:53:27"/>
    <d v="2016-07-28T14:53:25"/>
    <m/>
    <d v="2016-07-28T15:14:33"/>
    <d v="2016-12-21T11:06:49"/>
    <s v=""/>
    <m/>
    <m/>
  </r>
  <r>
    <n v="562"/>
    <x v="2"/>
    <x v="15"/>
    <s v="disappear"/>
    <s v="v."/>
    <s v="消失"/>
    <d v="2016-07-28T11:07:01"/>
    <d v="2016-07-28T11:07:03"/>
    <d v="2016-07-28T11:07:03"/>
    <d v="2016-08-10T11:16:59"/>
    <d v="2016-07-28T12:02:04"/>
    <d v="2016-07-28T11:07:03"/>
    <d v="2016-08-10T11:16:59"/>
    <m/>
    <m/>
  </r>
  <r>
    <n v="563"/>
    <x v="2"/>
    <x v="15"/>
    <s v="enormous"/>
    <s v="adj."/>
    <s v="庞大的"/>
    <d v="2016-07-28T15:10:25"/>
    <d v="2016-07-28T11:29:12"/>
    <d v="2016-07-28T11:29:11"/>
    <d v="2016-08-10T11:17:13"/>
    <d v="2016-07-28T00:00:00"/>
    <d v="2016-07-28T15:10:25"/>
    <d v="2016-08-10T11:17:13"/>
    <m/>
    <m/>
  </r>
  <r>
    <n v="564"/>
    <x v="2"/>
    <x v="15"/>
    <s v="nursery"/>
    <s v="n."/>
    <s v="托儿所"/>
    <d v="2016-07-28T11:36:56"/>
    <d v="2016-07-28T11:37:13"/>
    <d v="2016-07-28T11:36:56"/>
    <d v="2016-08-10T11:17:25"/>
    <d v="2016-07-28T12:02:11"/>
    <d v="2016-07-28T11:37:13"/>
    <d v="2016-08-10T11:17:25"/>
    <m/>
    <m/>
  </r>
  <r>
    <n v="565"/>
    <x v="2"/>
    <x v="15"/>
    <s v="roof"/>
    <s v="n."/>
    <s v="屋顶"/>
    <d v="2016-07-28T11:37:08"/>
    <d v="2016-07-28T11:37:10"/>
    <d v="2016-07-28T11:37:08"/>
    <d v="2016-08-10T11:17:29"/>
    <d v="2016-07-28T12:02:15"/>
    <d v="2016-07-28T11:37:10"/>
    <d v="2016-08-10T11:17:29"/>
    <m/>
    <m/>
  </r>
  <r>
    <n v="566"/>
    <x v="2"/>
    <x v="15"/>
    <s v="custom"/>
    <s v="n."/>
    <s v="习俗"/>
    <d v="2016-07-28T14:56:43"/>
    <d v="2016-07-28T11:37:42"/>
    <d v="2016-07-28T11:37:42"/>
    <d v="2016-08-10T11:17:46"/>
    <d v="2016-07-28T00:00:00"/>
    <d v="2016-07-28T14:56:43"/>
    <d v="2016-08-10T11:17:46"/>
    <m/>
    <m/>
  </r>
  <r>
    <n v="567"/>
    <x v="2"/>
    <x v="15"/>
    <s v="website"/>
    <s v="n."/>
    <s v="网站"/>
    <d v="2016-07-28T15:10:23"/>
    <d v="2016-07-28T11:37:18"/>
    <d v="2016-07-28T11:37:17"/>
    <d v="2016-08-10T11:18:00"/>
    <d v="2016-07-28T12:02:28"/>
    <d v="2016-07-28T15:10:23"/>
    <d v="2016-08-10T11:18:00"/>
    <m/>
    <m/>
  </r>
  <r>
    <n v="568"/>
    <x v="2"/>
    <x v="15"/>
    <s v="fetch"/>
    <s v="v."/>
    <s v="取"/>
    <d v="2016-07-28T11:43:56"/>
    <d v="2016-07-28T11:43:57"/>
    <d v="2016-07-28T11:43:56"/>
    <d v="2016-08-10T11:18:05"/>
    <d v="2016-07-28T12:02:31"/>
    <d v="2016-07-28T11:43:57"/>
    <d v="2016-08-10T11:18:05"/>
    <m/>
    <m/>
  </r>
  <r>
    <n v="569"/>
    <x v="2"/>
    <x v="15"/>
    <s v="ability"/>
    <s v="n."/>
    <s v="能力"/>
    <d v="2016-07-28T11:37:24"/>
    <d v="2016-07-28T11:37:25"/>
    <d v="2016-07-28T11:37:24"/>
    <d v="2016-08-10T11:18:14"/>
    <d v="2016-07-28T12:02:36"/>
    <d v="2016-07-28T11:37:25"/>
    <d v="2016-08-10T11:18:14"/>
    <m/>
    <m/>
  </r>
  <r>
    <n v="570"/>
    <x v="2"/>
    <x v="15"/>
    <s v="absent"/>
    <s v="adj."/>
    <s v="缺席的"/>
    <d v="2016-07-28T11:45:30"/>
    <d v="2016-07-28T11:45:31"/>
    <d v="2016-07-28T11:45:31"/>
    <d v="2016-08-10T11:18:28"/>
    <d v="2016-07-28T12:02:46"/>
    <d v="2016-07-28T11:45:31"/>
    <d v="2016-08-10T11:18:28"/>
    <m/>
    <m/>
  </r>
  <r>
    <n v="571"/>
    <x v="2"/>
    <x v="15"/>
    <s v="access"/>
    <s v="n."/>
    <s v="通路，进入，权限；"/>
    <d v="2016-08-10T11:30:04"/>
    <d v="2016-07-28T15:09:27"/>
    <d v="2016-07-28T15:09:27"/>
    <d v="2016-08-10T11:47:08"/>
    <d v="2016-07-28T15:09:40"/>
    <d v="2016-08-10T11:30:04"/>
    <d v="2016-08-10T11:47:08"/>
    <m/>
    <m/>
  </r>
  <r>
    <n v="572"/>
    <x v="2"/>
    <x v="15"/>
    <s v="bear"/>
    <s v="v."/>
    <s v="忍受"/>
    <d v="2016-07-28T11:45:03"/>
    <d v="2016-07-28T14:53:35"/>
    <d v="2016-07-28T14:53:35"/>
    <d v="2016-08-10T11:19:34"/>
    <d v="2016-07-28T15:09:06"/>
    <d v="2016-07-28T14:53:35"/>
    <d v="2016-08-10T11:19:34"/>
    <m/>
    <m/>
  </r>
  <r>
    <n v="573"/>
    <x v="2"/>
    <x v="15"/>
    <s v="beat"/>
    <s v="v."/>
    <s v="击打"/>
    <d v="2016-07-28T11:46:39"/>
    <d v="2016-07-28T11:46:41"/>
    <d v="2016-07-28T11:46:40"/>
    <d v="2016-08-10T11:19:43"/>
    <d v="2016-07-28T12:03:23"/>
    <d v="2016-07-28T11:46:41"/>
    <d v="2016-08-10T11:19:43"/>
    <m/>
    <m/>
  </r>
  <r>
    <n v="574"/>
    <x v="2"/>
    <x v="15"/>
    <s v="believe"/>
    <s v="v."/>
    <s v="相信"/>
    <d v="2016-07-28T11:46:43"/>
    <d v="2016-07-28T11:46:44"/>
    <d v="2016-07-28T11:46:44"/>
    <d v="2016-08-10T11:19:57"/>
    <d v="2016-07-28T12:03:27"/>
    <d v="2016-07-28T11:46:44"/>
    <d v="2016-08-10T11:19:57"/>
    <m/>
    <m/>
  </r>
  <r>
    <n v="575"/>
    <x v="2"/>
    <x v="15"/>
    <s v="blame"/>
    <s v="v."/>
    <s v="责备（动）"/>
    <d v="2016-07-28T11:46:46"/>
    <d v="2016-07-28T11:46:47"/>
    <d v="2016-07-28T11:46:47"/>
    <d v="2016-08-10T11:20:05"/>
    <d v="2016-07-28T12:03:33"/>
    <d v="2016-07-28T11:46:47"/>
    <d v="2016-08-10T11:20:05"/>
    <m/>
    <m/>
  </r>
  <r>
    <n v="576"/>
    <x v="2"/>
    <x v="15"/>
    <s v="blame"/>
    <s v="n."/>
    <s v="责备（名）"/>
    <d v="2016-07-28T11:46:49"/>
    <d v="2016-07-28T11:46:51"/>
    <d v="2016-07-28T11:46:49"/>
    <d v="2016-08-10T11:20:08"/>
    <d v="2016-07-28T12:03:35"/>
    <d v="2016-07-28T11:46:51"/>
    <d v="2016-08-10T11:20:08"/>
    <m/>
    <m/>
  </r>
  <r>
    <n v="577"/>
    <x v="2"/>
    <x v="15"/>
    <s v="bring up"/>
    <s v="v. phr."/>
    <s v="抚养长大"/>
    <d v="2016-07-28T11:46:53"/>
    <d v="2016-07-28T11:46:54"/>
    <d v="2016-07-28T11:46:54"/>
    <d v="2016-08-10T11:20:18"/>
    <d v="2016-07-28T12:03:41"/>
    <d v="2016-07-28T11:46:54"/>
    <d v="2016-08-10T11:20:18"/>
    <m/>
    <m/>
  </r>
  <r>
    <n v="578"/>
    <x v="2"/>
    <x v="15"/>
    <s v="change"/>
    <s v="v."/>
    <s v="改变（动）"/>
    <d v="2016-07-28T11:46:57"/>
    <d v="2016-07-28T11:46:59"/>
    <d v="2016-07-28T11:46:58"/>
    <d v="2016-08-10T11:20:24"/>
    <d v="2016-07-28T12:03:45"/>
    <d v="2016-07-28T11:46:59"/>
    <d v="2016-08-10T11:20:24"/>
    <m/>
    <m/>
  </r>
  <r>
    <n v="579"/>
    <x v="2"/>
    <x v="16"/>
    <s v="change"/>
    <s v="n."/>
    <s v="改变（名）"/>
    <d v="2016-07-29T09:22:06"/>
    <d v="2016-07-29T09:22:08"/>
    <d v="2016-07-29T09:22:07"/>
    <d v="2016-07-29T10:59:44"/>
    <d v="2016-07-29T11:06:18"/>
    <d v="2016-07-29T09:22:08"/>
    <d v="2016-07-29T11:06:18"/>
    <m/>
    <m/>
  </r>
  <r>
    <n v="580"/>
    <x v="2"/>
    <x v="16"/>
    <s v="comfortable"/>
    <s v="adj."/>
    <s v="舒服的"/>
    <d v="2016-07-29T09:22:18"/>
    <d v="2016-07-29T09:22:20"/>
    <d v="2016-07-29T09:22:19"/>
    <d v="2016-07-29T10:59:56"/>
    <d v="2016-07-29T11:06:21"/>
    <d v="2016-07-29T09:22:20"/>
    <d v="2016-07-29T11:06:21"/>
    <m/>
    <m/>
  </r>
  <r>
    <n v="581"/>
    <x v="2"/>
    <x v="16"/>
    <s v="common"/>
    <s v="adj."/>
    <s v="一般的"/>
    <d v="2016-07-29T09:22:22"/>
    <d v="2016-07-29T09:22:23"/>
    <d v="2016-07-29T09:22:22"/>
    <d v="2016-07-29T11:00:10"/>
    <d v="2016-07-29T11:06:26"/>
    <d v="2016-07-29T09:22:23"/>
    <d v="2016-07-29T11:06:26"/>
    <m/>
    <m/>
  </r>
  <r>
    <n v="582"/>
    <x v="2"/>
    <x v="16"/>
    <s v="turn down"/>
    <s v="v. phr."/>
    <s v="调小"/>
    <d v="2016-07-29T09:22:28"/>
    <d v="2016-07-29T09:22:29"/>
    <d v="2016-07-29T09:22:28"/>
    <d v="2016-07-29T11:00:20"/>
    <d v="2016-07-29T11:06:32"/>
    <d v="2016-07-29T09:22:29"/>
    <d v="2016-07-29T11:06:32"/>
    <m/>
    <m/>
  </r>
  <r>
    <n v="583"/>
    <x v="2"/>
    <x v="16"/>
    <s v="turn off"/>
    <s v="v. phr."/>
    <s v="关闭"/>
    <d v="2016-07-29T09:22:34"/>
    <d v="2016-07-29T09:22:35"/>
    <d v="2016-07-29T09:22:34"/>
    <d v="2016-07-29T11:00:32"/>
    <d v="2016-07-29T11:06:36"/>
    <d v="2016-07-29T09:22:35"/>
    <d v="2016-07-29T11:06:36"/>
    <m/>
    <m/>
  </r>
  <r>
    <n v="584"/>
    <x v="2"/>
    <x v="16"/>
    <s v="turn on "/>
    <s v="v. phr."/>
    <s v="打开"/>
    <d v="2016-08-05T10:22:41"/>
    <d v="2016-07-29T09:22:39"/>
    <d v="2016-07-29T09:22:38"/>
    <d v="2016-08-05T10:25:39"/>
    <d v="2016-07-29T11:06:40"/>
    <d v="2016-08-05T10:22:41"/>
    <d v="2016-08-05T10:25:39"/>
    <m/>
    <m/>
  </r>
  <r>
    <n v="585"/>
    <x v="2"/>
    <x v="16"/>
    <s v="turn out"/>
    <s v="v. phr."/>
    <s v="关掉"/>
    <d v="2016-08-05T10:22:44"/>
    <d v="2016-07-29T09:22:42"/>
    <d v="2016-07-29T09:22:42"/>
    <d v="2016-08-05T10:25:48"/>
    <d v="2016-07-29T11:06:44"/>
    <d v="2016-08-05T10:22:44"/>
    <d v="2016-08-05T10:25:48"/>
    <m/>
    <m/>
  </r>
  <r>
    <n v="586"/>
    <x v="2"/>
    <x v="16"/>
    <s v="turn up"/>
    <s v="v. phr."/>
    <s v="朝上翻，出现"/>
    <d v="2016-07-29T09:27:39"/>
    <d v="2016-07-29T09:27:40"/>
    <d v="2016-07-29T09:27:40"/>
    <d v="2016-07-29T11:01:05"/>
    <d v="2016-07-29T11:06:48"/>
    <d v="2016-07-29T09:27:40"/>
    <d v="2016-07-29T11:06:48"/>
    <m/>
    <m/>
  </r>
  <r>
    <n v="587"/>
    <x v="2"/>
    <x v="16"/>
    <s v="typical"/>
    <s v="adj."/>
    <s v="典型的"/>
    <d v="2016-07-29T10:49:40"/>
    <d v="2016-07-29T10:49:41"/>
    <d v="2016-07-29T10:49:40"/>
    <d v="2016-07-29T11:01:43"/>
    <d v="2016-07-29T11:06:52"/>
    <d v="2016-07-29T10:49:41"/>
    <d v="2016-07-29T11:06:52"/>
    <m/>
    <m/>
  </r>
  <r>
    <n v="588"/>
    <x v="2"/>
    <x v="16"/>
    <s v="anxious"/>
    <s v="adj."/>
    <s v="焦虑的"/>
    <d v="2016-08-05T10:20:02"/>
    <d v="2016-07-29T10:49:45"/>
    <d v="2016-07-29T10:49:44"/>
    <d v="2016-08-05T10:21:21"/>
    <d v="2016-07-29T11:06:57"/>
    <d v="2016-08-05T10:20:02"/>
    <d v="2016-08-05T10:21:21"/>
    <m/>
    <m/>
  </r>
  <r>
    <n v="589"/>
    <x v="2"/>
    <x v="16"/>
    <s v="theme"/>
    <s v="n."/>
    <s v="主题"/>
    <d v="2016-07-29T10:47:02"/>
    <d v="2016-07-29T10:47:03"/>
    <d v="2016-07-29T10:47:03"/>
    <d v="2016-07-29T11:01:57"/>
    <d v="2016-07-29T11:07:01"/>
    <d v="2016-07-29T10:47:03"/>
    <d v="2016-07-29T11:07:01"/>
    <m/>
    <m/>
  </r>
  <r>
    <n v="590"/>
    <x v="2"/>
    <x v="16"/>
    <s v="impressive"/>
    <s v="adj."/>
    <s v="印象深刻的"/>
    <d v="2016-07-29T10:54:27"/>
    <d v="2016-07-29T10:54:27"/>
    <d v="2016-07-29T10:54:27"/>
    <d v="2016-07-29T11:02:20"/>
    <d v="2016-07-29T11:07:07"/>
    <d v="2016-07-29T10:54:27"/>
    <d v="2016-07-29T11:07:07"/>
    <m/>
    <m/>
  </r>
  <r>
    <n v="591"/>
    <x v="2"/>
    <x v="16"/>
    <s v="task"/>
    <s v="n."/>
    <s v="任务"/>
    <d v="2016-07-29T10:50:03"/>
    <d v="2016-07-29T10:50:04"/>
    <d v="2016-07-29T10:50:04"/>
    <d v="2016-07-29T11:02:35"/>
    <d v="2016-07-29T11:07:10"/>
    <d v="2016-07-29T10:50:04"/>
    <d v="2016-07-29T11:07:10"/>
    <m/>
    <m/>
  </r>
  <r>
    <n v="592"/>
    <x v="2"/>
    <x v="16"/>
    <s v="industrial"/>
    <s v="adj."/>
    <s v="工业的"/>
    <d v="2016-08-05T10:26:34"/>
    <d v="2016-07-29T10:55:58"/>
    <d v="2016-07-29T10:55:56"/>
    <d v="2016-08-05T10:26:57"/>
    <d v="2016-07-29T11:07:15"/>
    <d v="2016-08-05T10:26:34"/>
    <d v="2016-08-05T10:26:57"/>
    <m/>
    <m/>
  </r>
  <r>
    <n v="593"/>
    <x v="2"/>
    <x v="16"/>
    <s v="appeal"/>
    <s v="v."/>
    <s v="吸引"/>
    <d v="2016-07-29T10:54:31"/>
    <d v="2016-08-05T10:20:07"/>
    <d v="2016-08-05T10:20:06"/>
    <d v="2016-07-29T11:03:05"/>
    <d v="2016-08-05T10:23:26"/>
    <d v="2016-08-05T10:20:07"/>
    <d v="2016-08-05T10:23:26"/>
    <m/>
    <m/>
  </r>
  <r>
    <n v="594"/>
    <x v="2"/>
    <x v="16"/>
    <s v="seal"/>
    <s v="n."/>
    <s v="海豹"/>
    <d v="2016-07-29T09:25:04"/>
    <d v="2016-07-29T09:25:06"/>
    <d v="2016-07-29T09:25:05"/>
    <d v="2016-07-29T11:03:08"/>
    <d v="2016-07-29T11:07:27"/>
    <d v="2016-07-29T09:25:06"/>
    <d v="2016-07-29T11:07:27"/>
    <m/>
    <m/>
  </r>
  <r>
    <n v="595"/>
    <x v="2"/>
    <x v="16"/>
    <s v="sensation"/>
    <s v="n."/>
    <s v="感受"/>
    <d v="2016-07-29T10:58:59"/>
    <d v="2016-07-29T10:59:00"/>
    <d v="2016-07-29T10:58:59"/>
    <d v="2016-07-29T11:03:25"/>
    <d v="2016-07-29T11:07:35"/>
    <d v="2016-07-29T10:59:00"/>
    <d v="2016-07-29T11:07:35"/>
    <m/>
    <m/>
  </r>
  <r>
    <n v="596"/>
    <x v="2"/>
    <x v="16"/>
    <s v="recover"/>
    <s v="v."/>
    <s v="恢复"/>
    <d v="2016-08-05T10:20:09"/>
    <d v="2016-07-29T10:54:37"/>
    <d v="2016-07-29T10:54:36"/>
    <d v="2016-08-05T10:21:55"/>
    <d v="2016-07-29T11:07:56"/>
    <d v="2016-08-05T10:20:09"/>
    <d v="2016-08-05T10:21:55"/>
    <m/>
    <m/>
  </r>
  <r>
    <n v="597"/>
    <x v="2"/>
    <x v="16"/>
    <s v="fitness centre"/>
    <s v="n. phr."/>
    <s v="健身中心"/>
    <d v="2016-07-29T09:25:11"/>
    <d v="2016-08-05T10:26:40"/>
    <d v="2016-08-05T10:26:39"/>
    <d v="2016-07-29T11:03:55"/>
    <d v="2016-08-05T10:27:07"/>
    <d v="2016-08-05T10:26:40"/>
    <d v="2016-08-05T10:27:07"/>
    <m/>
    <m/>
  </r>
  <r>
    <n v="598"/>
    <x v="2"/>
    <x v="16"/>
    <s v="uniform"/>
    <s v="n."/>
    <s v="制服"/>
    <d v="2016-07-29T09:25:15"/>
    <d v="2016-07-29T09:25:15"/>
    <d v="2016-07-29T09:25:15"/>
    <d v="2016-07-29T11:04:02"/>
    <d v="2016-07-29T11:08:09"/>
    <d v="2016-07-29T09:25:15"/>
    <d v="2016-07-29T11:08:09"/>
    <m/>
    <m/>
  </r>
  <r>
    <n v="599"/>
    <x v="2"/>
    <x v="16"/>
    <s v="update"/>
    <s v="n."/>
    <s v="更新，升级（名）"/>
    <d v="2016-07-29T10:59:02"/>
    <d v="2016-07-29T10:59:03"/>
    <d v="2016-07-29T10:59:02"/>
    <d v="2016-07-29T11:04:11"/>
    <d v="2016-07-29T11:08:12"/>
    <d v="2016-07-29T10:59:03"/>
    <d v="2016-07-29T11:08:12"/>
    <m/>
    <m/>
  </r>
  <r>
    <n v="600"/>
    <x v="2"/>
    <x v="16"/>
    <s v="update"/>
    <s v="v."/>
    <s v="更新，升级（动）"/>
    <d v="2016-07-29T10:59:04"/>
    <d v="2016-07-29T10:59:05"/>
    <d v="2016-07-29T10:59:04"/>
    <d v="2016-07-29T11:04:18"/>
    <d v="2016-07-29T11:08:15"/>
    <d v="2016-07-29T10:59:05"/>
    <d v="2016-07-29T11:08:15"/>
    <m/>
    <m/>
  </r>
  <r>
    <n v="601"/>
    <x v="2"/>
    <x v="16"/>
    <s v="vegetarian"/>
    <s v="n."/>
    <s v="素食主义者"/>
    <d v="2016-08-05T10:29:52"/>
    <d v="2016-08-05T10:27:25"/>
    <d v="2016-08-05T10:27:25"/>
    <d v="2016-08-05T10:30:05"/>
    <d v="2016-08-05T10:27:44"/>
    <d v="2016-08-05T10:29:52"/>
    <d v="2016-08-05T10:30:05"/>
    <m/>
    <m/>
  </r>
  <r>
    <n v="602"/>
    <x v="2"/>
    <x v="16"/>
    <s v="vegetarian"/>
    <s v="adj."/>
    <s v="素食主义者的"/>
    <d v="2016-08-05T10:27:29"/>
    <d v="2016-08-05T10:27:32"/>
    <d v="2016-08-05T10:27:30"/>
    <d v="2016-08-05T10:28:48"/>
    <d v="2016-08-05T10:27:47"/>
    <d v="2016-08-05T10:27:32"/>
    <d v="2016-08-05T10:28:48"/>
    <m/>
    <m/>
  </r>
  <r>
    <n v="603"/>
    <x v="2"/>
    <x v="16"/>
    <s v="vote"/>
    <s v="v."/>
    <s v="投票，选举"/>
    <d v="2016-07-29T10:48:15"/>
    <d v="2016-07-29T10:48:16"/>
    <d v="2016-07-29T10:48:15"/>
    <d v="2016-07-29T11:04:22"/>
    <d v="2016-07-29T11:08:34"/>
    <d v="2016-07-29T10:48:16"/>
    <d v="2016-07-29T11:08:34"/>
    <m/>
    <m/>
  </r>
  <r>
    <n v="604"/>
    <x v="2"/>
    <x v="16"/>
    <s v="vote"/>
    <s v="n."/>
    <s v="投票，选票"/>
    <d v="2016-07-29T10:48:11"/>
    <d v="2016-07-29T10:48:12"/>
    <d v="2016-07-29T10:48:11"/>
    <d v="2016-07-29T11:04:26"/>
    <d v="2016-07-29T11:08:38"/>
    <d v="2016-07-29T10:48:12"/>
    <d v="2016-07-29T11:08:38"/>
    <m/>
    <m/>
  </r>
  <r>
    <n v="605"/>
    <x v="2"/>
    <x v="16"/>
    <s v="technological"/>
    <s v="adj."/>
    <s v="技术的"/>
    <d v="2016-08-05T10:20:18"/>
    <d v="2016-08-05T10:20:20"/>
    <d v="2016-08-05T10:20:19"/>
    <d v="2016-08-05T10:22:06"/>
    <d v="2016-08-05T10:23:40"/>
    <d v="2016-08-05T10:20:20"/>
    <d v="2016-08-05T10:23:40"/>
    <m/>
    <m/>
  </r>
  <r>
    <n v="606"/>
    <x v="2"/>
    <x v="16"/>
    <s v="solve"/>
    <s v="v."/>
    <s v="解决"/>
    <d v="2016-08-05T10:22:53"/>
    <d v="2016-08-05T10:20:23"/>
    <d v="2016-08-05T10:20:23"/>
    <d v="2016-08-05T10:26:13"/>
    <d v="2016-08-05T10:23:47"/>
    <d v="2016-08-05T10:22:53"/>
    <d v="2016-08-05T10:26:13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d v="2016-09-19T19:39:56"/>
    <d v="2016-09-19T19:43:41"/>
    <d v="2016-09-19T19:43:41"/>
    <m/>
    <d v="2016-10-08T18:53:47"/>
    <d v="2016-09-19T19:43:41"/>
    <s v=""/>
    <m/>
    <m/>
  </r>
  <r>
    <n v="1751"/>
    <x v="0"/>
    <x v="17"/>
    <s v="detective"/>
    <s v="n."/>
    <s v="侦探"/>
    <d v="2016-09-19T19:39:59"/>
    <d v="2016-09-19T19:40:00"/>
    <d v="2016-09-19T19:40:00"/>
    <m/>
    <d v="2016-10-08T18:53:51"/>
    <d v="2016-09-19T19:40:00"/>
    <s v=""/>
    <m/>
    <m/>
  </r>
  <r>
    <n v="1752"/>
    <x v="0"/>
    <x v="17"/>
    <s v="model"/>
    <s v="n."/>
    <s v="模特"/>
    <d v="2016-09-19T19:40:02"/>
    <d v="2016-09-19T19:40:04"/>
    <d v="2016-09-19T19:40:03"/>
    <m/>
    <d v="2016-10-08T18:53:54"/>
    <d v="2016-09-19T19:40:04"/>
    <s v=""/>
    <m/>
    <m/>
  </r>
  <r>
    <n v="1753"/>
    <x v="0"/>
    <x v="17"/>
    <s v="fountain"/>
    <s v="n."/>
    <s v="喷泉"/>
    <d v="2016-09-19T19:40:05"/>
    <d v="2016-09-19T19:40:06"/>
    <d v="2016-09-19T19:40:06"/>
    <m/>
    <d v="2016-10-08T18:53:59"/>
    <d v="2016-09-19T19:40:06"/>
    <s v=""/>
    <m/>
    <m/>
  </r>
  <r>
    <n v="1754"/>
    <x v="0"/>
    <x v="17"/>
    <s v="photographer"/>
    <s v="n."/>
    <s v="摄影师"/>
    <d v="2016-09-19T19:40:08"/>
    <d v="2016-09-19T19:40:09"/>
    <d v="2016-09-19T19:40:09"/>
    <m/>
    <d v="2016-10-08T18:54:03"/>
    <d v="2016-09-19T19:40:09"/>
    <s v=""/>
    <m/>
    <m/>
  </r>
  <r>
    <n v="1755"/>
    <x v="0"/>
    <x v="17"/>
    <s v="magazine"/>
    <s v="n."/>
    <s v="杂志"/>
    <d v="2016-09-19T19:40:11"/>
    <d v="2016-09-19T19:40:12"/>
    <d v="2016-09-19T19:40:11"/>
    <m/>
    <d v="2016-10-08T18:54:05"/>
    <d v="2016-09-19T19:40:12"/>
    <s v=""/>
    <m/>
    <m/>
  </r>
  <r>
    <n v="1756"/>
    <x v="0"/>
    <x v="17"/>
    <s v="thief"/>
    <s v="n."/>
    <s v="贼"/>
    <d v="2016-09-19T19:40:14"/>
    <d v="2016-09-19T19:40:15"/>
    <d v="2016-09-19T19:40:14"/>
    <m/>
    <d v="2016-10-08T18:54:08"/>
    <d v="2016-09-19T19:40:15"/>
    <s v=""/>
    <m/>
    <m/>
  </r>
  <r>
    <n v="1757"/>
    <x v="0"/>
    <x v="17"/>
    <s v="steal"/>
    <s v="v."/>
    <s v="盗窃"/>
    <d v="2016-09-19T19:40:16"/>
    <d v="2016-09-19T19:46:52"/>
    <d v="2016-09-19T19:46:51"/>
    <m/>
    <d v="2016-10-08T18:54:13"/>
    <d v="2016-09-19T19:46:52"/>
    <s v=""/>
    <m/>
    <m/>
  </r>
  <r>
    <n v="1758"/>
    <x v="0"/>
    <x v="17"/>
    <s v="security"/>
    <s v="n."/>
    <s v="安全"/>
    <d v="2016-09-19T19:40:20"/>
    <d v="2016-10-08T19:00:07"/>
    <d v="2016-10-08T19:00:07"/>
    <m/>
    <d v="2016-10-08T19:01:47"/>
    <d v="2016-10-08T19:00:07"/>
    <s v=""/>
    <m/>
    <m/>
  </r>
  <r>
    <n v="1759"/>
    <x v="0"/>
    <x v="17"/>
    <s v="security guard"/>
    <s v="n. phr."/>
    <s v="保安"/>
    <d v="2016-09-19T19:40:41"/>
    <d v="2016-10-08T19:00:40"/>
    <d v="2016-10-08T19:00:40"/>
    <m/>
    <d v="2016-10-08T19:01:50"/>
    <d v="2016-10-08T19:00:40"/>
    <s v=""/>
    <m/>
    <m/>
  </r>
  <r>
    <n v="1760"/>
    <x v="0"/>
    <x v="17"/>
    <s v="artist"/>
    <s v="n."/>
    <s v="艺术家"/>
    <d v="2016-09-19T19:40:44"/>
    <d v="2016-09-19T19:40:45"/>
    <d v="2016-09-19T19:40:44"/>
    <m/>
    <d v="2016-10-08T18:54:26"/>
    <d v="2016-09-19T19:40:45"/>
    <s v=""/>
    <m/>
    <m/>
  </r>
  <r>
    <n v="1761"/>
    <x v="0"/>
    <x v="17"/>
    <s v="tourist"/>
    <s v="n."/>
    <s v="游客"/>
    <d v="2016-09-19T19:40:47"/>
    <d v="2016-09-19T19:40:48"/>
    <d v="2016-09-19T19:40:48"/>
    <m/>
    <d v="2016-10-08T18:54:31"/>
    <d v="2016-09-19T19:40:48"/>
    <s v=""/>
    <m/>
    <m/>
  </r>
  <r>
    <n v="1762"/>
    <x v="0"/>
    <x v="17"/>
    <s v="at the moment"/>
    <s v="phrase"/>
    <s v="在这（那）个时刻"/>
    <d v="2016-09-19T19:40:50"/>
    <d v="2016-10-08T19:44:57"/>
    <d v="2016-10-08T19:44:56"/>
    <m/>
    <d v="2016-10-08T19:45:11"/>
    <d v="2016-10-08T19:44:57"/>
    <s v=""/>
    <m/>
    <m/>
  </r>
  <r>
    <n v="1763"/>
    <x v="0"/>
    <x v="17"/>
    <s v="journalist"/>
    <s v="n."/>
    <s v="新闻记者"/>
    <d v="2016-09-19T19:40:54"/>
    <d v="2016-09-19T19:40:56"/>
    <d v="2016-09-19T19:40:55"/>
    <m/>
    <d v="2016-10-08T18:54:38"/>
    <d v="2016-09-19T19:40:56"/>
    <s v=""/>
    <m/>
    <m/>
  </r>
  <r>
    <n v="1764"/>
    <x v="0"/>
    <x v="17"/>
    <s v="receive"/>
    <s v="v."/>
    <s v="收到，接到"/>
    <d v="2016-09-19T19:40:58"/>
    <d v="2016-09-19T19:40:59"/>
    <d v="2016-09-19T19:40:58"/>
    <m/>
    <d v="2016-10-08T18:54:42"/>
    <d v="2016-09-19T19:40:59"/>
    <s v=""/>
    <m/>
    <m/>
  </r>
  <r>
    <n v="1765"/>
    <x v="0"/>
    <x v="17"/>
    <s v="design"/>
    <s v="v."/>
    <s v="设计（动）"/>
    <d v="2016-09-19T19:41:01"/>
    <d v="2016-09-19T19:41:01"/>
    <d v="2016-09-19T19:41:01"/>
    <m/>
    <d v="2016-10-08T18:54:46"/>
    <d v="2016-09-19T19:41:01"/>
    <s v=""/>
    <m/>
    <m/>
  </r>
  <r>
    <n v="1766"/>
    <x v="0"/>
    <x v="17"/>
    <s v="design"/>
    <s v="n."/>
    <s v="设计（名）"/>
    <d v="2016-09-19T19:41:03"/>
    <d v="2016-09-19T19:41:04"/>
    <d v="2016-09-19T19:41:04"/>
    <m/>
    <d v="2016-10-08T18:54:48"/>
    <d v="2016-09-19T19:41:04"/>
    <s v=""/>
    <m/>
    <m/>
  </r>
  <r>
    <n v="1767"/>
    <x v="0"/>
    <x v="17"/>
    <s v="experience"/>
    <s v="n."/>
    <s v="经历"/>
    <d v="2016-09-19T19:41:11"/>
    <d v="2016-10-08T19:44:59"/>
    <d v="2016-10-08T19:44:59"/>
    <m/>
    <d v="2016-10-08T19:45:15"/>
    <d v="2016-10-08T19:44:59"/>
    <s v=""/>
    <m/>
    <m/>
  </r>
  <r>
    <n v="1768"/>
    <x v="0"/>
    <x v="17"/>
    <s v="heading"/>
    <s v="n."/>
    <s v="标题；题目"/>
    <d v="2016-09-19T19:41:14"/>
    <d v="2016-10-08T19:01:07"/>
    <d v="2016-10-08T19:01:06"/>
    <m/>
    <d v="2016-10-08T19:02:05"/>
    <d v="2016-10-08T19:01:07"/>
    <s v=""/>
    <m/>
    <m/>
  </r>
  <r>
    <n v="1769"/>
    <x v="0"/>
    <x v="17"/>
    <s v="sandwich"/>
    <s v="n."/>
    <s v="三明治"/>
    <d v="2016-09-19T19:41:17"/>
    <d v="2016-09-19T19:41:18"/>
    <d v="2016-09-19T19:41:17"/>
    <m/>
    <d v="2016-10-08T18:55:03"/>
    <d v="2016-09-19T19:41:18"/>
    <s v=""/>
    <m/>
    <m/>
  </r>
  <r>
    <n v="1770"/>
    <x v="0"/>
    <x v="17"/>
    <s v="prefer"/>
    <s v="v."/>
    <s v="更喜欢"/>
    <d v="2016-09-20T17:13:26"/>
    <d v="2016-09-20T17:16:39"/>
    <d v="2016-09-20T17:16:39"/>
    <m/>
    <d v="2016-10-08T18:55:07"/>
    <d v="2016-09-20T17:16:39"/>
    <s v=""/>
    <m/>
    <m/>
  </r>
  <r>
    <n v="1771"/>
    <x v="0"/>
    <x v="17"/>
    <s v="look forward to"/>
    <s v="v. phr."/>
    <s v="盼望；渴望"/>
    <d v="2016-09-20T17:13:29"/>
    <d v="2016-10-08T19:01:13"/>
    <d v="2016-10-08T19:01:13"/>
    <m/>
    <d v="2016-10-08T19:02:09"/>
    <d v="2016-10-08T19:01:13"/>
    <s v=""/>
    <m/>
    <m/>
  </r>
  <r>
    <n v="1772"/>
    <x v="0"/>
    <x v="17"/>
    <s v="kitchen"/>
    <s v="n."/>
    <s v="厨房"/>
    <d v="2016-09-20T17:13:31"/>
    <d v="2016-09-20T17:13:32"/>
    <d v="2016-09-20T17:13:32"/>
    <m/>
    <d v="2016-10-08T18:55:14"/>
    <d v="2016-09-20T17:13:32"/>
    <s v=""/>
    <m/>
    <m/>
  </r>
  <r>
    <n v="1773"/>
    <x v="0"/>
    <x v="17"/>
    <s v="receptionist"/>
    <s v="n."/>
    <s v="接待员"/>
    <d v="2016-09-20T17:13:34"/>
    <d v="2016-09-20T17:16:42"/>
    <d v="2016-09-20T17:16:41"/>
    <m/>
    <d v="2016-10-08T18:55:19"/>
    <d v="2016-09-20T17:16:42"/>
    <s v=""/>
    <m/>
    <m/>
  </r>
  <r>
    <n v="1774"/>
    <x v="0"/>
    <x v="17"/>
    <s v="manager"/>
    <s v="n."/>
    <s v="经理"/>
    <d v="2016-09-20T17:13:36"/>
    <d v="2016-09-20T17:13:37"/>
    <d v="2016-09-20T17:13:37"/>
    <m/>
    <d v="2016-10-08T18:55:22"/>
    <d v="2016-09-20T17:13:37"/>
    <s v=""/>
    <m/>
    <m/>
  </r>
  <r>
    <n v="1775"/>
    <x v="0"/>
    <x v="17"/>
    <s v="practise"/>
    <s v="v."/>
    <s v="练习"/>
    <d v="2016-09-20T17:13:39"/>
    <d v="2016-09-20T17:13:40"/>
    <d v="2016-09-20T17:13:40"/>
    <m/>
    <d v="2016-10-08T18:55:26"/>
    <d v="2016-09-20T17:13:40"/>
    <s v=""/>
    <m/>
    <m/>
  </r>
  <r>
    <n v="1776"/>
    <x v="0"/>
    <x v="17"/>
    <s v="wake up"/>
    <s v="v. phr."/>
    <s v="醒来"/>
    <d v="2016-09-20T17:13:42"/>
    <d v="2016-09-20T17:13:42"/>
    <d v="2016-09-20T17:13:42"/>
    <m/>
    <d v="2016-10-08T18:55:29"/>
    <d v="2016-09-20T17:13:42"/>
    <s v=""/>
    <m/>
    <m/>
  </r>
  <r>
    <n v="1777"/>
    <x v="0"/>
    <x v="17"/>
    <s v="fly"/>
    <s v="v."/>
    <s v="驾驶或操纵（飞行器等）"/>
    <d v="2016-09-20T17:13:44"/>
    <d v="2016-09-20T17:13:45"/>
    <d v="2016-09-20T17:13:44"/>
    <m/>
    <d v="2016-10-08T18:55:33"/>
    <d v="2016-09-20T17:13:45"/>
    <s v=""/>
    <m/>
    <m/>
  </r>
  <r>
    <n v="1778"/>
    <x v="0"/>
    <x v="17"/>
    <s v="believe"/>
    <s v="v."/>
    <s v="相信；信托"/>
    <d v="2016-09-20T17:13:46"/>
    <d v="2016-09-20T17:13:48"/>
    <d v="2016-09-20T17:13:47"/>
    <m/>
    <d v="2016-10-08T18:55:37"/>
    <d v="2016-09-20T17:13:48"/>
    <s v=""/>
    <m/>
    <m/>
  </r>
  <r>
    <n v="1779"/>
    <x v="0"/>
    <x v="17"/>
    <s v="jeans"/>
    <s v="n."/>
    <s v="牛仔裤"/>
    <d v="2016-09-20T17:13:49"/>
    <d v="2016-09-20T17:13:50"/>
    <d v="2016-09-20T17:13:50"/>
    <m/>
    <d v="2016-10-08T18:55:40"/>
    <d v="2016-09-20T17:13:50"/>
    <s v=""/>
    <m/>
    <m/>
  </r>
  <r>
    <n v="1780"/>
    <x v="0"/>
    <x v="17"/>
    <s v="camera"/>
    <s v="n."/>
    <s v="相机"/>
    <d v="2016-09-20T17:13:52"/>
    <d v="2016-09-20T17:13:53"/>
    <d v="2016-09-20T17:13:52"/>
    <m/>
    <d v="2016-10-08T18:55:43"/>
    <d v="2016-09-20T17:13:53"/>
    <s v=""/>
    <m/>
    <m/>
  </r>
  <r>
    <n v="1781"/>
    <x v="0"/>
    <x v="17"/>
    <s v="Walkman"/>
    <s v="n."/>
    <s v="随身听"/>
    <d v="2016-09-20T17:13:54"/>
    <d v="2016-09-20T17:13:55"/>
    <d v="2016-09-20T17:13:54"/>
    <m/>
    <d v="2016-10-08T18:55:47"/>
    <d v="2016-09-20T17:13:55"/>
    <s v=""/>
    <m/>
    <m/>
  </r>
  <r>
    <n v="1782"/>
    <x v="0"/>
    <x v="17"/>
    <s v="cart"/>
    <s v="n."/>
    <s v="手推车"/>
    <d v="2016-09-20T17:13:57"/>
    <d v="2016-09-22T20:40:22"/>
    <d v="2016-09-22T20:40:21"/>
    <m/>
    <d v="2016-10-08T18:55:50"/>
    <d v="2016-09-22T20:40:22"/>
    <s v=""/>
    <m/>
    <m/>
  </r>
  <r>
    <n v="1783"/>
    <x v="0"/>
    <x v="17"/>
    <s v="bug"/>
    <s v="n."/>
    <s v="小昆虫"/>
    <d v="2016-09-20T17:13:59"/>
    <d v="2016-09-20T17:14:00"/>
    <d v="2016-09-20T17:14:00"/>
    <m/>
    <d v="2016-10-08T18:55:53"/>
    <d v="2016-09-20T17:14:00"/>
    <s v=""/>
    <m/>
    <m/>
  </r>
  <r>
    <n v="1784"/>
    <x v="0"/>
    <x v="17"/>
    <s v="curry"/>
    <s v="n."/>
    <s v="用咖喱烹调的菜"/>
    <d v="2016-09-20T17:14:02"/>
    <d v="2016-09-22T20:40:24"/>
    <d v="2016-09-22T20:40:24"/>
    <m/>
    <d v="2016-10-08T18:55:56"/>
    <d v="2016-09-22T20:40:24"/>
    <s v=""/>
    <m/>
    <m/>
  </r>
  <r>
    <n v="1785"/>
    <x v="0"/>
    <x v="17"/>
    <s v="vowel"/>
    <s v="n."/>
    <s v="元音"/>
    <d v="2016-09-20T17:14:06"/>
    <d v="2016-09-20T17:14:07"/>
    <d v="2016-09-20T17:14:06"/>
    <m/>
    <d v="2016-10-08T18:55:59"/>
    <d v="2016-09-20T17:14:07"/>
    <s v=""/>
    <m/>
    <m/>
  </r>
  <r>
    <n v="1786"/>
    <x v="0"/>
    <x v="17"/>
    <s v="mime"/>
    <s v="v."/>
    <s v="模仿；用哑剧动作表演"/>
    <d v="2016-09-20T17:14:14"/>
    <d v="2016-10-08T19:45:02"/>
    <d v="2016-10-08T19:45:02"/>
    <m/>
    <d v="2016-10-08T19:45:18"/>
    <d v="2016-10-08T19:45:02"/>
    <s v=""/>
    <m/>
    <m/>
  </r>
  <r>
    <n v="1787"/>
    <x v="0"/>
    <x v="17"/>
    <s v="mend"/>
    <s v="v."/>
    <s v="修理"/>
    <d v="2016-09-20T17:14:17"/>
    <d v="2016-09-20T17:14:18"/>
    <d v="2016-09-20T17:14:18"/>
    <m/>
    <d v="2016-10-08T18:56:08"/>
    <d v="2016-09-20T17:14:18"/>
    <s v=""/>
    <m/>
    <m/>
  </r>
  <r>
    <n v="1788"/>
    <x v="0"/>
    <x v="17"/>
    <s v="answer a telephone"/>
    <s v="v. phr."/>
    <s v="接电话"/>
    <d v="2016-09-20T17:14:20"/>
    <d v="2016-09-20T17:14:21"/>
    <d v="2016-09-20T17:14:21"/>
    <m/>
    <d v="2016-10-08T18:56:13"/>
    <d v="2016-09-20T17:14:21"/>
    <s v=""/>
    <m/>
    <m/>
  </r>
  <r>
    <n v="1789"/>
    <x v="0"/>
    <x v="17"/>
    <s v="special"/>
    <s v="adj."/>
    <s v="特別的"/>
    <d v="2016-09-20T17:14:23"/>
    <d v="2016-09-20T17:14:24"/>
    <d v="2016-09-20T17:14:24"/>
    <m/>
    <d v="2016-10-08T18:56:16"/>
    <d v="2016-09-20T17:14:24"/>
    <s v=""/>
    <m/>
    <m/>
  </r>
  <r>
    <n v="1790"/>
    <x v="0"/>
    <x v="17"/>
    <s v="between … and …"/>
    <s v="prep. phr."/>
    <s v="在…和…之向"/>
    <d v="2016-09-22T20:32:29"/>
    <d v="2016-09-22T20:40:47"/>
    <d v="2016-09-22T20:40:49"/>
    <m/>
    <d v="2016-10-08T18:56:20"/>
    <d v="2016-09-22T20:40:49"/>
    <s v=""/>
    <m/>
    <m/>
  </r>
  <r>
    <n v="1791"/>
    <x v="0"/>
    <x v="17"/>
    <s v="memory"/>
    <s v="n."/>
    <s v="记忆力；回忆"/>
    <d v="2016-09-22T20:32:35"/>
    <d v="2016-09-22T20:42:56"/>
    <d v="2016-09-22T20:42:56"/>
    <m/>
    <d v="2016-10-08T18:56:23"/>
    <d v="2016-09-22T20:42:56"/>
    <s v=""/>
    <m/>
    <m/>
  </r>
  <r>
    <n v="1792"/>
    <x v="0"/>
    <x v="17"/>
    <s v="paint"/>
    <s v="v."/>
    <s v="（用颜料）画；刷油漆"/>
    <d v="2016-09-22T20:32:39"/>
    <d v="2016-09-22T20:42:19"/>
    <d v="2016-09-22T20:42:20"/>
    <m/>
    <d v="2016-10-08T18:56:28"/>
    <d v="2016-09-22T20:42:20"/>
    <s v=""/>
    <m/>
    <m/>
  </r>
  <r>
    <n v="1793"/>
    <x v="0"/>
    <x v="17"/>
    <s v="paint"/>
    <s v="n."/>
    <s v="油漆；画笔（Windows软件）"/>
    <d v="2016-09-22T20:32:43"/>
    <d v="2016-09-22T20:32:44"/>
    <d v="2016-09-22T20:32:44"/>
    <m/>
    <d v="2016-10-08T18:56:31"/>
    <d v="2016-09-22T20:32:44"/>
    <s v=""/>
    <m/>
    <m/>
  </r>
  <r>
    <n v="1794"/>
    <x v="0"/>
    <x v="17"/>
    <s v="smell"/>
    <s v="n."/>
    <s v="气味"/>
    <d v="2016-09-22T20:32:46"/>
    <d v="2016-09-22T20:32:48"/>
    <d v="2016-09-22T20:32:47"/>
    <m/>
    <d v="2016-10-08T18:56:34"/>
    <d v="2016-09-22T20:32:48"/>
    <s v=""/>
    <m/>
    <m/>
  </r>
  <r>
    <n v="1795"/>
    <x v="0"/>
    <x v="17"/>
    <s v="smell"/>
    <s v="v."/>
    <s v="闻"/>
    <d v="2016-09-22T20:34:30"/>
    <d v="2016-09-22T20:34:30"/>
    <d v="2016-09-22T20:34:30"/>
    <m/>
    <d v="2016-10-08T18:56:37"/>
    <d v="2016-09-22T20:34:30"/>
    <s v=""/>
    <m/>
    <m/>
  </r>
  <r>
    <n v="1796"/>
    <x v="0"/>
    <x v="17"/>
    <s v="cover"/>
    <s v="v."/>
    <s v="覆盖"/>
    <d v="2016-09-22T20:34:33"/>
    <d v="2016-09-22T20:40:58"/>
    <d v="2016-09-22T20:40:57"/>
    <m/>
    <d v="2016-10-08T18:56:42"/>
    <d v="2016-09-22T20:40:58"/>
    <s v=""/>
    <m/>
    <m/>
  </r>
  <r>
    <n v="1797"/>
    <x v="0"/>
    <x v="17"/>
    <s v="fence"/>
    <s v="n."/>
    <s v="栅栏"/>
    <d v="2016-09-22T20:34:36"/>
    <d v="2016-09-22T20:34:36"/>
    <d v="2016-09-22T20:34:36"/>
    <m/>
    <d v="2016-10-08T18:56:45"/>
    <d v="2016-09-22T20:34:36"/>
    <s v=""/>
    <m/>
    <m/>
  </r>
  <r>
    <n v="1798"/>
    <x v="0"/>
    <x v="17"/>
    <s v="hairdresser"/>
    <s v="n."/>
    <s v="理发师"/>
    <d v="2016-09-22T20:34:42"/>
    <d v="2016-09-22T20:34:42"/>
    <d v="2016-09-22T20:34:42"/>
    <m/>
    <d v="2016-10-08T18:56:49"/>
    <d v="2016-09-22T20:34:42"/>
    <s v=""/>
    <m/>
    <m/>
  </r>
  <r>
    <n v="1799"/>
    <x v="0"/>
    <x v="17"/>
    <s v="secretary"/>
    <s v="n."/>
    <s v="秘书"/>
    <d v="2016-09-22T20:34:46"/>
    <d v="2016-10-08T19:01:23"/>
    <d v="2016-10-08T19:01:23"/>
    <m/>
    <d v="2016-10-08T19:02:17"/>
    <d v="2016-10-08T19:01:23"/>
    <s v=""/>
    <m/>
    <m/>
  </r>
  <r>
    <n v="1800"/>
    <x v="0"/>
    <x v="18"/>
    <s v="show"/>
    <s v="v."/>
    <s v="展示"/>
    <d v="2016-09-24T13:24:07"/>
    <d v="2016-09-24T13:24:09"/>
    <d v="2016-09-24T13:24:07"/>
    <m/>
    <d v="2016-09-24T13:26:46"/>
    <d v="2016-09-24T13:24:09"/>
    <s v=""/>
    <m/>
    <m/>
  </r>
  <r>
    <n v="1801"/>
    <x v="0"/>
    <x v="18"/>
    <s v="piece"/>
    <s v="n."/>
    <s v="（音乐中的）一节"/>
    <d v="2016-09-24T13:24:11"/>
    <d v="2016-09-24T13:28:29"/>
    <d v="2016-09-24T13:28:29"/>
    <m/>
    <d v="2016-09-24T13:29:14"/>
    <d v="2016-09-24T13:28:29"/>
    <s v=""/>
    <m/>
    <m/>
  </r>
  <r>
    <n v="1802"/>
    <x v="0"/>
    <x v="18"/>
    <s v="entertainment"/>
    <s v="n."/>
    <s v="娱乐"/>
    <d v="2016-09-24T13:24:14"/>
    <d v="2016-09-24T13:28:31"/>
    <d v="2016-09-24T13:28:31"/>
    <m/>
    <d v="2016-09-24T13:29:18"/>
    <d v="2016-09-24T13:28:31"/>
    <s v=""/>
    <m/>
    <m/>
  </r>
  <r>
    <n v="1803"/>
    <x v="0"/>
    <x v="18"/>
    <s v="inside"/>
    <s v="adv."/>
    <s v="在里面"/>
    <d v="2016-09-24T13:24:17"/>
    <d v="2016-09-24T13:24:18"/>
    <d v="2016-09-24T13:24:18"/>
    <m/>
    <d v="2016-09-24T13:27:02"/>
    <d v="2016-09-24T13:24:18"/>
    <s v=""/>
    <m/>
    <m/>
  </r>
  <r>
    <n v="1804"/>
    <x v="0"/>
    <x v="18"/>
    <s v="theater"/>
    <s v="n."/>
    <s v="剧场"/>
    <d v="2016-09-24T13:24:20"/>
    <d v="2016-09-24T13:24:21"/>
    <d v="2016-09-24T13:24:21"/>
    <m/>
    <d v="2016-09-24T13:27:05"/>
    <d v="2016-09-24T13:24:21"/>
    <s v=""/>
    <m/>
    <m/>
  </r>
  <r>
    <n v="1805"/>
    <x v="0"/>
    <x v="18"/>
    <s v="clubbing"/>
    <s v="n."/>
    <s v="去俱乐部、夜总会玩"/>
    <d v="2016-09-24T13:24:23"/>
    <d v="2016-09-24T13:24:24"/>
    <d v="2016-09-24T13:24:23"/>
    <m/>
    <d v="2016-09-24T13:27:08"/>
    <d v="2016-09-24T13:24:24"/>
    <s v=""/>
    <m/>
    <m/>
  </r>
  <r>
    <n v="1806"/>
    <x v="0"/>
    <x v="18"/>
    <s v="dance show"/>
    <s v="n. phr."/>
    <s v="舞蹈演出"/>
    <d v="2016-09-24T13:25:35"/>
    <d v="2016-09-24T13:25:36"/>
    <d v="2016-09-24T13:25:35"/>
    <m/>
    <d v="2016-09-24T13:27:11"/>
    <d v="2016-09-24T13:25:36"/>
    <s v=""/>
    <m/>
    <m/>
  </r>
  <r>
    <n v="1807"/>
    <x v="0"/>
    <x v="18"/>
    <s v="on"/>
    <s v="adj."/>
    <s v="在上溃的"/>
    <d v="2016-09-24T13:25:40"/>
    <d v="2016-09-24T13:25:41"/>
    <d v="2016-09-24T13:25:38"/>
    <m/>
    <d v="2016-09-24T13:27:15"/>
    <d v="2016-09-24T13:25:41"/>
    <s v=""/>
    <m/>
    <m/>
  </r>
  <r>
    <n v="1808"/>
    <x v="0"/>
    <x v="18"/>
    <s v="prize"/>
    <s v="n."/>
    <s v="奖励；奖品；奖金"/>
    <d v="2016-09-24T13:25:44"/>
    <d v="2016-09-24T13:25:45"/>
    <d v="2016-09-24T13:25:45"/>
    <m/>
    <d v="2016-09-24T13:27:19"/>
    <d v="2016-09-24T13:25:45"/>
    <s v=""/>
    <m/>
    <m/>
  </r>
  <r>
    <n v="1809"/>
    <x v="0"/>
    <x v="18"/>
    <s v="prize winning"/>
    <s v="n. phr."/>
    <s v="获奖"/>
    <d v="2016-09-24T13:25:47"/>
    <d v="2016-09-24T14:06:44"/>
    <d v="2016-09-24T14:06:43"/>
    <m/>
    <d v="2016-09-24T14:06:52"/>
    <d v="2016-09-24T14:06:44"/>
    <s v=""/>
    <m/>
    <m/>
  </r>
  <r>
    <n v="1810"/>
    <x v="0"/>
    <x v="18"/>
    <s v="musician"/>
    <s v="n."/>
    <s v="音乐家"/>
    <d v="2016-09-24T13:25:59"/>
    <d v="2016-09-24T13:26:00"/>
    <d v="2016-09-24T13:26:00"/>
    <m/>
    <d v="2016-09-24T13:27:28"/>
    <d v="2016-09-24T13:26:00"/>
    <s v=""/>
    <m/>
    <m/>
  </r>
  <r>
    <n v="1811"/>
    <x v="0"/>
    <x v="18"/>
    <s v="perform"/>
    <s v="v."/>
    <s v="表演"/>
    <d v="2016-09-24T13:26:01"/>
    <d v="2016-09-24T13:30:49"/>
    <d v="2016-09-24T13:30:49"/>
    <m/>
    <d v="2016-09-24T14:05:33"/>
    <d v="2016-09-24T13:30:49"/>
    <s v=""/>
    <m/>
    <m/>
  </r>
  <r>
    <n v="1812"/>
    <x v="0"/>
    <x v="18"/>
    <s v="outside"/>
    <s v="adv."/>
    <s v="在外面"/>
    <d v="2016-09-24T13:26:04"/>
    <d v="2016-09-24T13:29:54"/>
    <d v="2016-09-24T13:29:53"/>
    <m/>
    <d v="2016-09-24T13:30:09"/>
    <d v="2016-09-24T13:29:54"/>
    <s v=""/>
    <m/>
    <m/>
  </r>
  <r>
    <n v="1813"/>
    <x v="0"/>
    <x v="18"/>
    <s v="palace"/>
    <s v="n."/>
    <s v="宫殿，皇宫"/>
    <d v="2016-09-24T13:26:07"/>
    <d v="2016-09-24T13:30:52"/>
    <d v="2016-09-24T13:30:51"/>
    <m/>
    <d v="2016-09-24T14:05:37"/>
    <d v="2016-09-24T13:30:52"/>
    <s v=""/>
    <m/>
    <m/>
  </r>
  <r>
    <n v="1814"/>
    <x v="0"/>
    <x v="18"/>
    <s v="interval"/>
    <s v="n."/>
    <s v="间隔"/>
    <d v="2016-09-24T13:26:10"/>
    <d v="2016-09-24T13:30:56"/>
    <d v="2016-09-24T13:30:55"/>
    <m/>
    <d v="2016-09-24T14:05:41"/>
    <d v="2016-09-24T13:30:56"/>
    <s v=""/>
    <m/>
    <m/>
  </r>
  <r>
    <n v="1815"/>
    <x v="0"/>
    <x v="18"/>
    <s v="refreshment"/>
    <s v="n."/>
    <s v="糕点；饮料"/>
    <d v="2016-09-24T13:26:14"/>
    <d v="2016-09-24T13:26:16"/>
    <d v="2016-09-24T13:26:15"/>
    <m/>
    <d v="2016-09-24T13:27:55"/>
    <d v="2016-09-24T13:26:16"/>
    <s v=""/>
    <m/>
    <m/>
  </r>
  <r>
    <n v="1816"/>
    <x v="0"/>
    <x v="18"/>
    <s v="include"/>
    <s v="v."/>
    <s v="包括"/>
    <d v="2016-09-24T13:26:17"/>
    <d v="2016-09-24T13:28:53"/>
    <d v="2016-09-24T13:28:53"/>
    <m/>
    <d v="2016-09-24T13:30:22"/>
    <d v="2016-09-24T13:28:53"/>
    <s v=""/>
    <m/>
    <m/>
  </r>
  <r>
    <n v="1817"/>
    <x v="0"/>
    <x v="18"/>
    <s v="concert"/>
    <s v="n."/>
    <s v="音乐会"/>
    <d v="2016-09-24T13:26:22"/>
    <d v="2016-09-24T13:26:23"/>
    <d v="2016-09-24T13:26:23"/>
    <m/>
    <d v="2016-09-24T13:28:06"/>
    <d v="2016-09-24T13:26:23"/>
    <s v=""/>
    <m/>
    <m/>
  </r>
  <r>
    <n v="1818"/>
    <x v="0"/>
    <x v="18"/>
    <s v="set"/>
    <s v="v."/>
    <s v="以…为背景"/>
    <d v="2016-09-24T13:26:25"/>
    <d v="2016-09-24T13:30:59"/>
    <d v="2016-09-24T13:30:59"/>
    <m/>
    <d v="2016-09-24T14:05:46"/>
    <d v="2016-09-24T13:30:59"/>
    <s v=""/>
    <m/>
    <m/>
  </r>
  <r>
    <n v="1819"/>
    <x v="0"/>
    <x v="18"/>
    <s v="San Francisco"/>
    <s v="n. phr."/>
    <s v="旧金山（美国城市）"/>
    <d v="2016-09-24T13:26:28"/>
    <d v="2016-09-24T13:26:29"/>
    <d v="2016-09-24T13:26:28"/>
    <m/>
    <d v="2016-09-24T13:28:14"/>
    <d v="2016-09-24T13:26:29"/>
    <s v=""/>
    <m/>
    <m/>
  </r>
  <r>
    <n v="1820"/>
    <x v="0"/>
    <x v="18"/>
    <s v="star"/>
    <s v="v."/>
    <s v="在（戏剧、电影等中）扮演主角"/>
    <d v="2016-09-25T09:38:38"/>
    <d v="2016-09-25T09:38:39"/>
    <d v="2016-09-25T09:38:39"/>
    <m/>
    <d v="2016-09-25T09:44:57"/>
    <d v="2016-09-25T09:38:39"/>
    <s v=""/>
    <m/>
    <m/>
  </r>
  <r>
    <n v="1821"/>
    <x v="0"/>
    <x v="18"/>
    <s v="run"/>
    <s v="v."/>
    <s v="经营"/>
    <d v="2016-09-25T09:38:42"/>
    <d v="2016-09-25T09:50:23"/>
    <d v="2016-09-25T09:50:22"/>
    <m/>
    <d v="2016-09-25T10:23:06"/>
    <d v="2016-09-25T09:50:23"/>
    <s v=""/>
    <m/>
    <m/>
  </r>
  <r>
    <n v="1822"/>
    <x v="0"/>
    <x v="18"/>
    <s v="unexpected"/>
    <s v="adj."/>
    <s v="出乎意料的"/>
    <d v="2016-09-25T09:38:46"/>
    <d v="2016-09-25T10:24:15"/>
    <d v="2016-09-25T10:24:15"/>
    <m/>
    <d v="2016-09-25T10:24:59"/>
    <d v="2016-09-25T10:24:15"/>
    <s v=""/>
    <m/>
    <m/>
  </r>
  <r>
    <n v="1823"/>
    <x v="0"/>
    <x v="18"/>
    <s v="visitor"/>
    <s v="n."/>
    <s v="来访者"/>
    <d v="2016-09-25T09:38:53"/>
    <d v="2016-09-25T09:38:54"/>
    <d v="2016-09-25T09:38:53"/>
    <m/>
    <d v="2016-09-25T09:45:15"/>
    <d v="2016-09-25T09:38:54"/>
    <s v=""/>
    <m/>
    <m/>
  </r>
  <r>
    <n v="1824"/>
    <x v="0"/>
    <x v="18"/>
    <s v="comedy"/>
    <s v="n."/>
    <s v="喜剧"/>
    <d v="2016-09-25T09:38:56"/>
    <d v="2016-09-25T09:38:57"/>
    <d v="2016-09-25T09:38:57"/>
    <m/>
    <d v="2016-09-25T09:45:19"/>
    <d v="2016-09-25T09:38:57"/>
    <s v=""/>
    <m/>
    <m/>
  </r>
  <r>
    <n v="1825"/>
    <x v="0"/>
    <x v="18"/>
    <s v="certificate"/>
    <s v="n."/>
    <s v="证书"/>
    <d v="2016-09-25T09:38:59"/>
    <d v="2016-09-25T10:21:58"/>
    <d v="2016-09-25T10:21:59"/>
    <m/>
    <d v="2016-09-25T10:23:17"/>
    <d v="2016-09-25T10:21:59"/>
    <s v=""/>
    <m/>
    <m/>
  </r>
  <r>
    <n v="1826"/>
    <x v="0"/>
    <x v="18"/>
    <s v="excitement"/>
    <s v="n."/>
    <s v="兴奋"/>
    <d v="2016-09-25T09:39:02"/>
    <d v="2016-09-25T10:25:41"/>
    <d v="2016-09-25T10:25:41"/>
    <m/>
    <d v="2016-09-25T10:27:15"/>
    <d v="2016-09-25T10:25:41"/>
    <s v=""/>
    <m/>
    <m/>
  </r>
  <r>
    <n v="1827"/>
    <x v="0"/>
    <x v="18"/>
    <s v="circus"/>
    <s v="n."/>
    <s v="马戏团"/>
    <d v="2016-09-25T09:39:05"/>
    <d v="2016-09-25T09:39:06"/>
    <d v="2016-09-25T09:39:06"/>
    <m/>
    <d v="2016-09-25T09:45:39"/>
    <d v="2016-09-25T09:39:06"/>
    <s v=""/>
    <m/>
    <m/>
  </r>
  <r>
    <n v="1828"/>
    <x v="0"/>
    <x v="18"/>
    <s v="big top"/>
    <s v="n. phr."/>
    <s v="大帐篷；马戏蓬"/>
    <d v="2016-09-25T09:39:09"/>
    <d v="2016-09-25T10:22:20"/>
    <d v="2016-09-25T10:22:20"/>
    <m/>
    <d v="2016-09-25T10:23:28"/>
    <d v="2016-09-25T10:22:20"/>
    <s v=""/>
    <m/>
    <m/>
  </r>
  <r>
    <n v="1829"/>
    <x v="0"/>
    <x v="18"/>
    <s v="book"/>
    <s v="v."/>
    <s v="预订"/>
    <d v="2016-09-25T09:39:12"/>
    <d v="2016-09-25T10:22:23"/>
    <d v="2016-09-25T10:22:23"/>
    <m/>
    <d v="2016-09-25T10:23:31"/>
    <d v="2016-09-25T10:22:23"/>
    <s v=""/>
    <m/>
    <m/>
  </r>
  <r>
    <n v="1830"/>
    <x v="0"/>
    <x v="18"/>
    <s v="choice"/>
    <s v="n."/>
    <s v="选择"/>
    <d v="2016-09-25T09:39:16"/>
    <d v="2016-09-25T10:24:21"/>
    <d v="2016-09-25T10:24:20"/>
    <m/>
    <d v="2016-09-25T10:25:09"/>
    <d v="2016-09-25T10:24:21"/>
    <s v=""/>
    <m/>
    <m/>
  </r>
  <r>
    <n v="1831"/>
    <x v="0"/>
    <x v="18"/>
    <s v="play"/>
    <s v="n."/>
    <s v="戏剧"/>
    <d v="2016-09-25T09:39:20"/>
    <d v="2016-09-25T09:39:21"/>
    <d v="2016-09-25T09:39:20"/>
    <m/>
    <d v="2016-09-25T09:46:00"/>
    <d v="2016-09-25T09:39:21"/>
    <s v=""/>
    <m/>
    <m/>
  </r>
  <r>
    <n v="1832"/>
    <x v="0"/>
    <x v="18"/>
    <s v="performance"/>
    <s v="n."/>
    <s v="演出（名）"/>
    <d v="2016-09-25T09:39:22"/>
    <d v="2016-09-25T10:24:23"/>
    <d v="2016-09-25T10:24:22"/>
    <m/>
    <d v="2016-09-25T10:25:13"/>
    <d v="2016-09-25T10:24:23"/>
    <s v=""/>
    <m/>
    <m/>
  </r>
  <r>
    <n v="1833"/>
    <x v="0"/>
    <x v="18"/>
    <s v="plus"/>
    <s v="prep."/>
    <s v="加"/>
    <d v="2016-09-25T09:39:28"/>
    <d v="2016-09-25T10:28:44"/>
    <d v="2016-09-25T10:28:43"/>
    <m/>
    <d v="2016-09-25T10:30:16"/>
    <d v="2016-09-25T10:28:44"/>
    <s v=""/>
    <m/>
    <m/>
  </r>
  <r>
    <n v="1834"/>
    <x v="0"/>
    <x v="18"/>
    <s v="local"/>
    <s v="adj."/>
    <s v="当地的；地方的"/>
    <d v="2016-09-25T09:39:32"/>
    <d v="2016-09-25T09:39:33"/>
    <d v="2016-09-25T09:39:32"/>
    <m/>
    <d v="2016-09-25T09:46:17"/>
    <d v="2016-09-25T09:39:33"/>
    <s v=""/>
    <m/>
    <m/>
  </r>
  <r>
    <n v="1835"/>
    <x v="0"/>
    <x v="18"/>
    <s v="rock"/>
    <s v="n."/>
    <s v="摇滚；岩石"/>
    <d v="2016-09-25T09:39:34"/>
    <d v="2016-09-25T09:39:35"/>
    <d v="2016-09-25T09:39:35"/>
    <m/>
    <d v="2016-09-25T09:46:20"/>
    <d v="2016-09-25T09:39:35"/>
    <s v=""/>
    <m/>
    <m/>
  </r>
  <r>
    <n v="1836"/>
    <x v="0"/>
    <x v="18"/>
    <s v="band"/>
    <s v="n."/>
    <s v="乐队"/>
    <d v="2016-09-25T09:39:38"/>
    <d v="2016-09-25T09:39:39"/>
    <d v="2016-09-25T09:39:38"/>
    <m/>
    <d v="2016-09-25T09:46:23"/>
    <d v="2016-09-25T09:39:39"/>
    <s v=""/>
    <m/>
    <m/>
  </r>
  <r>
    <n v="1837"/>
    <x v="0"/>
    <x v="18"/>
    <s v="well-known"/>
    <s v="adj."/>
    <s v="著名的"/>
    <d v="2016-09-25T09:39:41"/>
    <d v="2016-09-25T10:24:32"/>
    <d v="2016-09-25T10:24:32"/>
    <m/>
    <d v="2016-09-25T10:25:20"/>
    <d v="2016-09-25T10:24:32"/>
    <s v=""/>
    <m/>
    <m/>
  </r>
  <r>
    <n v="1838"/>
    <x v="0"/>
    <x v="18"/>
    <s v="appear"/>
    <s v="v."/>
    <s v="出现"/>
    <d v="2016-09-25T09:39:45"/>
    <d v="2016-09-25T10:25:46"/>
    <d v="2016-09-25T10:25:45"/>
    <m/>
    <d v="2016-09-25T10:27:34"/>
    <d v="2016-09-25T10:25:46"/>
    <s v=""/>
    <m/>
    <m/>
  </r>
  <r>
    <n v="1839"/>
    <x v="0"/>
    <x v="18"/>
    <s v="popular"/>
    <s v="adj."/>
    <s v="受欢迎的"/>
    <d v="2016-09-25T09:40:42"/>
    <d v="2016-09-25T09:40:44"/>
    <d v="2016-09-25T09:40:43"/>
    <m/>
    <d v="2016-09-25T09:46:40"/>
    <d v="2016-09-25T09:40:44"/>
    <s v=""/>
    <m/>
    <m/>
  </r>
  <r>
    <n v="1840"/>
    <x v="0"/>
    <x v="18"/>
    <s v="exciting"/>
    <s v="adj."/>
    <s v="令人兴奋的"/>
    <d v="2016-09-25T09:40:46"/>
    <d v="2016-09-25T09:40:47"/>
    <d v="2016-09-25T09:40:46"/>
    <m/>
    <d v="2016-09-25T09:46:44"/>
    <d v="2016-09-25T09:40:47"/>
    <s v=""/>
    <m/>
    <m/>
  </r>
  <r>
    <n v="1841"/>
    <x v="0"/>
    <x v="18"/>
    <s v="present"/>
    <s v="v."/>
    <s v="向（某人）展示"/>
    <d v="2016-09-25T09:40:49"/>
    <d v="2016-09-25T10:25:49"/>
    <d v="2016-09-25T10:25:48"/>
    <m/>
    <d v="2016-09-25T10:27:37"/>
    <d v="2016-09-25T10:25:49"/>
    <s v=""/>
    <m/>
    <m/>
  </r>
  <r>
    <n v="1842"/>
    <x v="0"/>
    <x v="18"/>
    <s v="African"/>
    <s v="n."/>
    <s v="非洲人"/>
    <d v="2016-09-25T09:40:52"/>
    <d v="2016-09-25T09:40:53"/>
    <d v="2016-09-25T09:40:53"/>
    <m/>
    <d v="2016-09-25T09:46:57"/>
    <d v="2016-09-25T09:40:53"/>
    <s v=""/>
    <m/>
    <m/>
  </r>
  <r>
    <n v="1843"/>
    <x v="0"/>
    <x v="18"/>
    <s v="African"/>
    <s v="adj."/>
    <s v="非洲的"/>
    <d v="2016-09-25T09:41:07"/>
    <d v="2016-09-25T09:41:06"/>
    <d v="2016-09-25T09:41:06"/>
    <m/>
    <d v="2016-09-25T09:46:59"/>
    <d v="2016-09-25T09:41:07"/>
    <s v=""/>
    <m/>
    <m/>
  </r>
  <r>
    <n v="1844"/>
    <x v="0"/>
    <x v="18"/>
    <s v="flamenco"/>
    <s v="n."/>
    <s v="弗拉明柯舞（源于西班牙吉普赛人的节奏强烈的舞蹈）"/>
    <d v="2016-09-25T09:41:12"/>
    <d v="2016-09-25T10:25:51"/>
    <d v="2016-09-25T10:25:51"/>
    <m/>
    <d v="2016-09-25T10:27:40"/>
    <d v="2016-09-25T10:25:51"/>
    <s v=""/>
    <m/>
    <m/>
  </r>
  <r>
    <n v="1845"/>
    <x v="0"/>
    <x v="18"/>
    <s v="European"/>
    <s v="n."/>
    <s v="欧洲人"/>
    <d v="2016-09-25T09:41:16"/>
    <d v="2016-09-25T09:41:17"/>
    <d v="2016-09-25T09:41:16"/>
    <m/>
    <d v="2016-09-25T09:47:10"/>
    <d v="2016-09-25T09:41:17"/>
    <s v=""/>
    <m/>
    <m/>
  </r>
  <r>
    <n v="1846"/>
    <x v="0"/>
    <x v="18"/>
    <s v="European"/>
    <s v="adj."/>
    <s v="欧洲的"/>
    <d v="2016-09-25T09:41:19"/>
    <d v="2016-09-25T09:41:20"/>
    <d v="2016-09-25T09:41:19"/>
    <m/>
    <d v="2016-09-25T09:47:13"/>
    <d v="2016-09-25T09:41:20"/>
    <s v=""/>
    <m/>
    <m/>
  </r>
  <r>
    <n v="1847"/>
    <x v="0"/>
    <x v="18"/>
    <s v="available"/>
    <s v="adj."/>
    <s v="可用的；可得到的"/>
    <d v="2016-09-25T09:41:21"/>
    <d v="2016-09-25T10:25:54"/>
    <d v="2016-09-25T10:25:54"/>
    <m/>
    <d v="2016-09-25T10:27:44"/>
    <d v="2016-09-25T10:25:54"/>
    <s v=""/>
    <m/>
    <m/>
  </r>
  <r>
    <n v="1848"/>
    <x v="0"/>
    <x v="18"/>
    <s v="festival"/>
    <s v="n."/>
    <s v="节日"/>
    <d v="2016-09-25T09:41:26"/>
    <d v="2016-09-25T09:41:27"/>
    <d v="2016-09-25T09:41:27"/>
    <m/>
    <d v="2016-09-25T09:47:23"/>
    <d v="2016-09-25T09:41:27"/>
    <s v=""/>
    <m/>
    <m/>
  </r>
  <r>
    <n v="1849"/>
    <x v="0"/>
    <x v="18"/>
    <s v="at midday"/>
    <s v="adv. phr."/>
    <s v="在中午"/>
    <d v="2016-09-25T09:41:29"/>
    <d v="2016-09-25T10:26:43"/>
    <d v="2016-09-25T10:26:44"/>
    <m/>
    <d v="2016-09-25T10:27:49"/>
    <d v="2016-09-25T10:26:44"/>
    <s v=""/>
    <m/>
    <m/>
  </r>
  <r>
    <n v="1850"/>
    <x v="0"/>
    <x v="18"/>
    <s v="at midnight"/>
    <s v="adv. phr."/>
    <s v="在午夜"/>
    <d v="2016-09-25T09:41:34"/>
    <d v="2016-09-25T10:26:46"/>
    <d v="2016-09-25T10:26:46"/>
    <m/>
    <d v="2016-09-25T10:27:52"/>
    <d v="2016-09-25T10:26:46"/>
    <s v=""/>
    <m/>
    <m/>
  </r>
  <r>
    <n v="1851"/>
    <x v="0"/>
    <x v="18"/>
    <s v="camp"/>
    <s v="v."/>
    <s v="宿营"/>
    <d v="2016-09-25T09:41:39"/>
    <d v="2016-09-25T09:41:40"/>
    <d v="2016-09-25T09:41:40"/>
    <m/>
    <d v="2016-09-25T09:47:36"/>
    <d v="2016-09-25T09:41:40"/>
    <s v=""/>
    <m/>
    <m/>
  </r>
  <r>
    <n v="1852"/>
    <x v="0"/>
    <x v="18"/>
    <s v="event"/>
    <s v="n."/>
    <s v="节目"/>
    <d v="2016-09-25T09:41:42"/>
    <d v="2016-09-25T09:41:43"/>
    <d v="2016-09-25T09:41:43"/>
    <m/>
    <d v="2016-09-25T09:47:41"/>
    <d v="2016-09-25T09:41:43"/>
    <s v=""/>
    <m/>
    <m/>
  </r>
  <r>
    <n v="1853"/>
    <x v="0"/>
    <x v="18"/>
    <s v="clown"/>
    <s v="n."/>
    <s v="小丑"/>
    <d v="2016-09-25T09:41:45"/>
    <d v="2016-09-25T09:41:47"/>
    <d v="2016-09-25T09:41:47"/>
    <m/>
    <d v="2016-09-25T09:47:44"/>
    <d v="2016-09-25T09:41:47"/>
    <s v=""/>
    <m/>
    <m/>
  </r>
  <r>
    <n v="1854"/>
    <x v="0"/>
    <x v="18"/>
    <s v="just a minute"/>
    <s v="phrase"/>
    <s v="稍等"/>
    <d v="2016-09-25T09:41:50"/>
    <d v="2016-09-25T10:31:43"/>
    <d v="2016-09-25T10:31:41"/>
    <m/>
    <d v="2016-09-25T10:32:09"/>
    <d v="2016-09-25T10:31:43"/>
    <s v=""/>
    <m/>
    <m/>
  </r>
  <r>
    <n v="1855"/>
    <x v="0"/>
    <x v="18"/>
    <s v="sale"/>
    <s v="n."/>
    <s v="销售"/>
    <d v="2016-09-25T09:42:00"/>
    <d v="2016-09-25T10:31:45"/>
    <d v="2016-09-25T10:31:44"/>
    <m/>
    <d v="2016-09-25T10:32:36"/>
    <d v="2016-09-25T10:31:45"/>
    <s v=""/>
    <m/>
    <m/>
  </r>
  <r>
    <n v="1856"/>
    <x v="0"/>
    <x v="18"/>
    <s v="advert"/>
    <s v="n."/>
    <s v="广告"/>
    <d v="2016-09-25T09:42:03"/>
    <d v="2016-09-25T09:42:03"/>
    <d v="2016-09-25T09:42:03"/>
    <m/>
    <d v="2016-09-25T09:48:01"/>
    <d v="2016-09-25T09:42:03"/>
    <s v=""/>
    <m/>
    <m/>
  </r>
  <r>
    <n v="1857"/>
    <x v="0"/>
    <x v="18"/>
    <s v="actually"/>
    <s v="adv."/>
    <s v="事实上；实际上"/>
    <d v="2016-09-25T09:42:05"/>
    <d v="2016-10-03T17:30:57"/>
    <d v="2016-10-03T17:30:54"/>
    <m/>
    <d v="2016-10-03T17:31:12"/>
    <d v="2016-10-03T17:30:57"/>
    <s v=""/>
    <m/>
    <m/>
  </r>
  <r>
    <n v="1858"/>
    <x v="0"/>
    <x v="18"/>
    <s v="boring"/>
    <s v="adj."/>
    <s v="令人厌烦的，乏味的"/>
    <d v="2016-09-25T09:42:07"/>
    <d v="2016-09-25T09:42:10"/>
    <d v="2016-09-25T09:42:08"/>
    <m/>
    <d v="2016-09-25T09:48:10"/>
    <d v="2016-09-25T09:42:10"/>
    <s v=""/>
    <m/>
    <m/>
  </r>
  <r>
    <n v="1859"/>
    <x v="0"/>
    <x v="18"/>
    <s v="rock festival"/>
    <s v="n. phr."/>
    <s v="摇滚音乐节"/>
    <d v="2016-09-25T09:42:12"/>
    <d v="2016-09-25T09:42:14"/>
    <d v="2016-09-25T09:42:13"/>
    <m/>
    <d v="2016-09-25T09:48:15"/>
    <d v="2016-09-25T09:42:14"/>
    <s v=""/>
    <m/>
    <m/>
  </r>
  <r>
    <n v="1860"/>
    <x v="0"/>
    <x v="18"/>
    <s v="expensive"/>
    <s v="adj."/>
    <s v="昂贵的"/>
    <d v="2016-09-25T09:42:16"/>
    <d v="2016-09-25T10:29:46"/>
    <d v="2016-09-25T10:29:45"/>
    <m/>
    <d v="2016-09-25T10:30:37"/>
    <d v="2016-09-25T10:29:46"/>
    <s v=""/>
    <m/>
    <m/>
  </r>
  <r>
    <n v="1861"/>
    <x v="0"/>
    <x v="18"/>
    <s v="nightclub"/>
    <s v="n."/>
    <s v="夜总会"/>
    <d v="2016-09-25T09:42:20"/>
    <d v="2016-09-25T09:42:22"/>
    <d v="2016-09-25T09:42:21"/>
    <m/>
    <d v="2016-09-25T09:48:24"/>
    <d v="2016-09-25T09:42:22"/>
    <s v=""/>
    <m/>
    <m/>
  </r>
  <r>
    <n v="1862"/>
    <x v="0"/>
    <x v="18"/>
    <s v="preposition"/>
    <s v="n."/>
    <s v="介词"/>
    <d v="2016-09-25T09:42:23"/>
    <d v="2016-09-25T10:29:41"/>
    <d v="2016-09-25T10:29:41"/>
    <m/>
    <d v="2016-09-25T10:30:40"/>
    <d v="2016-09-25T10:29:41"/>
    <s v=""/>
    <m/>
    <m/>
  </r>
  <r>
    <n v="1863"/>
    <x v="0"/>
    <x v="18"/>
    <s v="against"/>
    <s v="prep."/>
    <s v="与…相反；对"/>
    <d v="2016-09-25T09:42:26"/>
    <d v="2016-09-25T10:33:04"/>
    <d v="2016-09-25T10:33:03"/>
    <m/>
    <d v="2016-09-25T10:33:14"/>
    <d v="2016-09-25T10:33:04"/>
    <s v=""/>
    <m/>
    <m/>
  </r>
  <r>
    <n v="1864"/>
    <x v="0"/>
    <x v="18"/>
    <s v="Chile"/>
    <s v="n."/>
    <s v="智利"/>
    <d v="2016-09-25T09:42:29"/>
    <d v="2016-09-25T09:42:31"/>
    <d v="2016-09-25T09:42:30"/>
    <m/>
    <d v="2016-09-25T09:48:40"/>
    <d v="2016-09-25T09:42:31"/>
    <s v=""/>
    <m/>
    <m/>
  </r>
  <r>
    <n v="1865"/>
    <x v="0"/>
    <x v="18"/>
    <s v="driving test"/>
    <s v="n. phr."/>
    <s v="驾照考试"/>
    <d v="2016-09-25T09:42:32"/>
    <d v="2016-09-25T09:42:33"/>
    <d v="2016-09-25T09:42:33"/>
    <m/>
    <d v="2016-09-25T09:48:44"/>
    <d v="2016-09-25T09:42:33"/>
    <s v=""/>
    <m/>
    <m/>
  </r>
  <r>
    <n v="1866"/>
    <x v="0"/>
    <x v="18"/>
    <s v="get married"/>
    <s v="v. phr."/>
    <s v="结婚"/>
    <d v="2016-09-25T09:42:35"/>
    <d v="2016-09-25T10:29:22"/>
    <d v="2016-09-25T10:29:21"/>
    <m/>
    <d v="2016-09-25T10:30:49"/>
    <d v="2016-09-25T10:29:22"/>
    <s v=""/>
    <m/>
    <m/>
  </r>
  <r>
    <n v="1867"/>
    <x v="0"/>
    <x v="18"/>
    <s v="syllable"/>
    <s v="n."/>
    <s v="音节"/>
    <d v="2016-09-25T09:42:39"/>
    <d v="2016-09-25T09:42:40"/>
    <d v="2016-09-25T09:42:39"/>
    <m/>
    <d v="2016-09-25T09:48:55"/>
    <d v="2016-09-25T09:42:40"/>
    <s v=""/>
    <m/>
    <m/>
  </r>
  <r>
    <n v="1868"/>
    <x v="0"/>
    <x v="18"/>
    <s v="stress"/>
    <s v="n."/>
    <s v="重音"/>
    <d v="2016-09-25T09:42:47"/>
    <d v="2016-09-25T10:31:55"/>
    <d v="2016-09-25T10:31:55"/>
    <m/>
    <d v="2016-09-25T10:32:52"/>
    <d v="2016-09-25T10:31:55"/>
    <s v=""/>
    <m/>
    <m/>
  </r>
  <r>
    <n v="1869"/>
    <x v="0"/>
    <x v="18"/>
    <s v="expression"/>
    <s v="n."/>
    <s v="短语"/>
    <d v="2016-09-25T09:43:18"/>
    <d v="2016-09-25T10:29:07"/>
    <d v="2016-09-25T10:29:06"/>
    <m/>
    <d v="2016-09-25T10:31:18"/>
    <d v="2016-09-25T10:29:07"/>
    <s v=""/>
    <m/>
    <m/>
  </r>
  <r>
    <n v="1870"/>
    <x v="0"/>
    <x v="18"/>
    <s v="Moscow"/>
    <s v="n."/>
    <s v="莫斯科（俄罗斯首都）"/>
    <d v="2016-09-25T09:43:21"/>
    <d v="2016-09-25T09:43:23"/>
    <d v="2016-09-25T09:43:23"/>
    <m/>
    <d v="2016-09-25T09:49:10"/>
    <d v="2016-09-25T09:43:23"/>
    <s v=""/>
    <m/>
    <m/>
  </r>
  <r>
    <n v="1871"/>
    <x v="0"/>
    <x v="18"/>
    <s v="menu"/>
    <s v="n."/>
    <s v="菜单"/>
    <d v="2016-09-25T09:43:56"/>
    <d v="2016-09-25T09:43:58"/>
    <d v="2016-09-25T09:43:57"/>
    <m/>
    <d v="2016-09-25T09:49:14"/>
    <d v="2016-09-25T09:43:58"/>
    <s v=""/>
    <m/>
    <m/>
  </r>
  <r>
    <n v="1872"/>
    <x v="0"/>
    <x v="18"/>
    <s v="fill in"/>
    <s v="v. phr."/>
    <s v="填写"/>
    <d v="2016-09-25T09:43:59"/>
    <d v="2016-09-25T09:44:01"/>
    <d v="2016-09-25T09:44:00"/>
    <m/>
    <d v="2016-09-25T09:49:19"/>
    <d v="2016-09-25T09:44:01"/>
    <s v=""/>
    <m/>
    <m/>
  </r>
  <r>
    <n v="1873"/>
    <x v="0"/>
    <x v="18"/>
    <s v="role"/>
    <s v="n."/>
    <s v="角色"/>
    <d v="2016-09-25T09:44:03"/>
    <d v="2016-09-25T10:29:02"/>
    <d v="2016-09-25T10:29:01"/>
    <m/>
    <d v="2016-09-25T10:31:21"/>
    <d v="2016-09-25T10:29:02"/>
    <s v=""/>
    <m/>
    <m/>
  </r>
  <r>
    <n v="1874"/>
    <x v="0"/>
    <x v="18"/>
    <s v="agree"/>
    <s v="v."/>
    <s v="与（某人）意见一致"/>
    <d v="2016-09-25T09:44:06"/>
    <d v="2016-09-25T09:44:07"/>
    <d v="2016-09-25T09:44:07"/>
    <m/>
    <d v="2016-09-25T09:49:31"/>
    <d v="2016-09-25T09:44:07"/>
    <s v=""/>
    <m/>
    <m/>
  </r>
  <r>
    <n v="1875"/>
    <x v="0"/>
    <x v="18"/>
    <s v="chemist"/>
    <s v="n."/>
    <s v="（英）药店"/>
    <d v="2016-09-25T09:44:09"/>
    <d v="2016-09-25T09:44:11"/>
    <d v="2016-09-25T09:44:10"/>
    <m/>
    <d v="2016-09-25T09:49:36"/>
    <d v="2016-09-25T09:44:11"/>
    <s v=""/>
    <m/>
    <m/>
  </r>
  <r>
    <n v="1876"/>
    <x v="0"/>
    <x v="18"/>
    <s v="bookshop"/>
    <s v="n."/>
    <s v="书店"/>
    <d v="2016-09-25T09:44:13"/>
    <d v="2016-09-25T09:44:15"/>
    <d v="2016-09-25T09:44:15"/>
    <m/>
    <d v="2016-09-25T09:49:40"/>
    <d v="2016-09-25T09:44:15"/>
    <s v=""/>
    <m/>
    <m/>
  </r>
  <r>
    <n v="1877"/>
    <x v="0"/>
    <x v="18"/>
    <s v="example"/>
    <s v="n."/>
    <s v="例子"/>
    <d v="2016-09-25T09:44:18"/>
    <d v="2016-09-25T09:44:19"/>
    <d v="2016-09-25T09:44:19"/>
    <m/>
    <d v="2016-09-25T09:49:44"/>
    <d v="2016-09-25T09:44:19"/>
    <s v=""/>
    <m/>
    <m/>
  </r>
  <r>
    <n v="1878"/>
    <x v="0"/>
    <x v="18"/>
    <s v="cafe"/>
    <s v="n."/>
    <s v="小餐馆（在英国通常不供应酒类）"/>
    <d v="2016-09-25T09:44:21"/>
    <d v="2016-09-25T09:44:22"/>
    <d v="2016-09-25T09:44:21"/>
    <m/>
    <d v="2016-09-25T09:49:47"/>
    <d v="2016-09-25T09:44:22"/>
    <s v=""/>
    <m/>
    <m/>
  </r>
  <r>
    <n v="1879"/>
    <x v="0"/>
    <x v="18"/>
    <s v="Italian"/>
    <s v="adj."/>
    <s v="意大利的；意大利语的"/>
    <d v="2016-09-25T09:44:24"/>
    <d v="2016-09-25T09:44:25"/>
    <d v="2016-09-25T09:44:25"/>
    <m/>
    <d v="2016-09-25T09:49:51"/>
    <d v="2016-09-25T09:44:25"/>
    <s v=""/>
    <m/>
    <m/>
  </r>
  <r>
    <n v="1880"/>
    <x v="0"/>
    <x v="18"/>
    <s v="station"/>
    <s v="n."/>
    <s v="车站"/>
    <d v="2016-09-25T09:44:27"/>
    <d v="2016-09-25T09:44:28"/>
    <d v="2016-09-25T09:44:28"/>
    <m/>
    <d v="2016-09-25T09:49:55"/>
    <d v="2016-09-25T09:44:28"/>
    <s v=""/>
    <m/>
    <m/>
  </r>
  <r>
    <n v="1881"/>
    <x v="0"/>
    <x v="18"/>
    <s v="count"/>
    <s v="v."/>
    <s v="数；计算"/>
    <d v="2016-09-25T09:44:30"/>
    <d v="2016-09-25T10:28:58"/>
    <d v="2016-09-25T10:28:56"/>
    <m/>
    <d v="2016-09-25T10:31:23"/>
    <d v="2016-09-25T10:28:58"/>
    <s v=""/>
    <m/>
    <m/>
  </r>
  <r>
    <n v="1882"/>
    <x v="0"/>
    <x v="18"/>
    <s v="make sure"/>
    <s v="v. phr."/>
    <s v="确保；确定"/>
    <d v="2016-09-25T09:44:34"/>
    <d v="2016-09-25T10:28:54"/>
    <d v="2016-09-25T10:28:54"/>
    <m/>
    <d v="2016-09-25T10:31:28"/>
    <d v="2016-09-25T10:28:54"/>
    <s v=""/>
    <m/>
    <m/>
  </r>
  <r>
    <n v="1883"/>
    <x v="0"/>
    <x v="18"/>
    <s v="line"/>
    <s v="n."/>
    <s v="行"/>
    <d v="2016-09-25T09:44:36"/>
    <d v="2016-09-25T10:28:51"/>
    <d v="2016-09-25T10:28:51"/>
    <m/>
    <d v="2016-09-25T10:31:31"/>
    <d v="2016-09-25T10:28:51"/>
    <s v=""/>
    <m/>
    <m/>
  </r>
  <r>
    <n v="1884"/>
    <x v="0"/>
    <x v="19"/>
    <s v="crossword"/>
    <s v="n."/>
    <s v="纵横填字游戏"/>
    <d v="2016-10-03T15:32:36"/>
    <d v="2016-10-03T15:32:39"/>
    <d v="2016-10-03T15:32:38"/>
    <m/>
    <d v="2016-10-03T15:51:01"/>
    <d v="2016-10-03T15:32:39"/>
    <s v=""/>
    <m/>
    <m/>
  </r>
  <r>
    <n v="1885"/>
    <x v="0"/>
    <x v="19"/>
    <s v="motorway"/>
    <s v="n."/>
    <s v="高速公路"/>
    <d v="2016-10-03T15:32:43"/>
    <d v="2016-10-03T15:32:46"/>
    <d v="2016-10-03T15:32:45"/>
    <m/>
    <d v="2016-10-03T15:51:04"/>
    <d v="2016-10-03T15:32:46"/>
    <s v=""/>
    <m/>
    <m/>
  </r>
  <r>
    <n v="1886"/>
    <x v="0"/>
    <x v="19"/>
    <s v="carry"/>
    <s v="v."/>
    <s v="携带；运载"/>
    <d v="2016-10-03T15:32:50"/>
    <d v="2016-10-03T15:32:53"/>
    <d v="2016-10-03T15:32:52"/>
    <m/>
    <d v="2016-10-03T15:51:26"/>
    <d v="2016-10-03T15:32:53"/>
    <s v=""/>
    <m/>
    <m/>
  </r>
  <r>
    <n v="1887"/>
    <x v="0"/>
    <x v="19"/>
    <s v="goods"/>
    <s v="n."/>
    <s v="商品；货物"/>
    <d v="2016-10-03T15:33:00"/>
    <d v="2016-10-03T15:33:07"/>
    <d v="2016-10-03T15:33:05"/>
    <m/>
    <d v="2016-10-03T15:51:30"/>
    <d v="2016-10-03T15:33:07"/>
    <s v=""/>
    <m/>
    <m/>
  </r>
  <r>
    <n v="1888"/>
    <x v="0"/>
    <x v="19"/>
    <s v="by road"/>
    <s v="phrase"/>
    <s v="走公路"/>
    <d v="2016-10-03T15:33:20"/>
    <d v="2016-10-03T20:14:51"/>
    <d v="2016-10-03T20:14:50"/>
    <m/>
    <d v="2016-10-03T20:29:50"/>
    <d v="2016-10-03T20:14:51"/>
    <s v=""/>
    <m/>
    <m/>
  </r>
  <r>
    <n v="1889"/>
    <x v="0"/>
    <x v="19"/>
    <s v="roof"/>
    <s v="n."/>
    <s v="车顶；屋顶"/>
    <d v="2016-10-03T15:33:23"/>
    <d v="2016-10-03T15:33:25"/>
    <d v="2016-10-03T15:33:24"/>
    <m/>
    <d v="2016-10-03T15:51:39"/>
    <d v="2016-10-03T15:33:25"/>
    <s v=""/>
    <m/>
    <m/>
  </r>
  <r>
    <n v="1890"/>
    <x v="0"/>
    <x v="19"/>
    <s v="on top of"/>
    <s v="prep. phr."/>
    <s v="在…之上"/>
    <d v="2016-10-03T15:47:19"/>
    <d v="2016-10-03T15:47:23"/>
    <d v="2016-10-03T15:47:20"/>
    <m/>
    <d v="2016-10-03T15:51:43"/>
    <d v="2016-10-03T15:47:23"/>
    <s v=""/>
    <m/>
    <m/>
  </r>
  <r>
    <n v="1891"/>
    <x v="0"/>
    <x v="19"/>
    <s v="kiIometre"/>
    <s v="n."/>
    <s v="公里"/>
    <d v="2016-10-03T15:47:16"/>
    <d v="2016-10-03T20:14:58"/>
    <d v="2016-10-03T20:14:57"/>
    <m/>
    <d v="2016-10-03T20:29:56"/>
    <d v="2016-10-03T20:14:58"/>
    <s v=""/>
    <m/>
    <m/>
  </r>
  <r>
    <n v="1892"/>
    <x v="0"/>
    <x v="19"/>
    <s v="per"/>
    <s v="prep."/>
    <s v="每"/>
    <d v="2016-10-03T15:47:13"/>
    <d v="2016-10-03T15:47:14"/>
    <d v="2016-10-03T15:47:14"/>
    <m/>
    <d v="2016-10-03T15:51:54"/>
    <d v="2016-10-03T15:47:14"/>
    <s v=""/>
    <m/>
    <m/>
  </r>
  <r>
    <n v="1893"/>
    <x v="0"/>
    <x v="19"/>
    <s v="rail"/>
    <s v="n."/>
    <s v="铁轨；铁路"/>
    <d v="2016-10-03T15:47:09"/>
    <d v="2016-10-03T15:47:10"/>
    <d v="2016-10-03T15:47:09"/>
    <m/>
    <d v="2016-10-03T15:52:12"/>
    <d v="2016-10-03T15:47:10"/>
    <s v=""/>
    <m/>
    <m/>
  </r>
  <r>
    <n v="1894"/>
    <x v="0"/>
    <x v="19"/>
    <s v="across"/>
    <s v="prep."/>
    <s v="横踏"/>
    <d v="2016-10-03T15:46:50"/>
    <d v="2016-10-03T20:41:53"/>
    <d v="2016-10-03T20:41:52"/>
    <m/>
    <d v="2016-10-03T20:45:52"/>
    <d v="2016-10-03T20:41:53"/>
    <s v=""/>
    <m/>
    <m/>
  </r>
  <r>
    <n v="1895"/>
    <x v="0"/>
    <x v="19"/>
    <s v="fit"/>
    <s v="adj."/>
    <s v="健康的"/>
    <d v="2016-10-03T15:46:47"/>
    <d v="2016-10-03T20:16:10"/>
    <d v="2016-10-03T20:16:09"/>
    <m/>
    <d v="2016-10-03T20:30:08"/>
    <d v="2016-10-03T20:16:10"/>
    <s v=""/>
    <m/>
    <m/>
  </r>
  <r>
    <n v="1896"/>
    <x v="0"/>
    <x v="19"/>
    <s v="journey"/>
    <s v="n."/>
    <s v="旅程"/>
    <d v="2016-10-03T15:46:43"/>
    <d v="2016-10-03T20:16:17"/>
    <d v="2016-10-03T20:16:15"/>
    <m/>
    <d v="2016-10-03T20:30:14"/>
    <d v="2016-10-03T20:16:17"/>
    <s v=""/>
    <m/>
    <m/>
  </r>
  <r>
    <n v="1897"/>
    <x v="0"/>
    <x v="19"/>
    <s v="engine"/>
    <s v="n."/>
    <s v="发动机"/>
    <d v="2016-10-03T15:46:39"/>
    <d v="2016-10-03T15:46:41"/>
    <d v="2016-10-03T15:46:40"/>
    <m/>
    <d v="2016-10-03T15:52:32"/>
    <d v="2016-10-03T15:46:41"/>
    <s v=""/>
    <m/>
    <m/>
  </r>
  <r>
    <n v="1898"/>
    <x v="0"/>
    <x v="19"/>
    <s v="several"/>
    <s v="adj."/>
    <s v="几个"/>
    <d v="2016-10-03T15:46:36"/>
    <d v="2016-10-03T20:35:19"/>
    <d v="2016-10-03T20:35:17"/>
    <m/>
    <d v="2016-10-03T20:39:36"/>
    <d v="2016-10-03T20:35:19"/>
    <s v=""/>
    <m/>
    <m/>
  </r>
  <r>
    <n v="1899"/>
    <x v="0"/>
    <x v="19"/>
    <s v="carriage"/>
    <s v="n."/>
    <s v="（火车的）车厢"/>
    <d v="2016-10-03T15:46:32"/>
    <d v="2016-10-03T20:16:29"/>
    <d v="2016-10-03T20:16:28"/>
    <m/>
    <d v="2016-10-03T20:30:26"/>
    <d v="2016-10-03T20:16:29"/>
    <s v=""/>
    <m/>
    <m/>
  </r>
  <r>
    <n v="1900"/>
    <x v="0"/>
    <x v="19"/>
    <s v="railway station"/>
    <s v="n. phr."/>
    <s v="火车站"/>
    <d v="2016-10-03T15:46:29"/>
    <d v="2016-10-03T15:46:30"/>
    <d v="2016-10-03T15:46:29"/>
    <m/>
    <d v="2016-10-03T15:54:30"/>
    <d v="2016-10-03T15:46:30"/>
    <s v=""/>
    <m/>
    <m/>
  </r>
  <r>
    <n v="1901"/>
    <x v="0"/>
    <x v="19"/>
    <s v="sign"/>
    <s v="n."/>
    <s v="标志；符号"/>
    <d v="2016-10-03T20:16:34"/>
    <d v="2016-10-03T20:16:37"/>
    <d v="2016-10-03T20:16:36"/>
    <m/>
    <d v="2016-10-03T20:30:34"/>
    <d v="2016-10-03T20:16:37"/>
    <s v=""/>
    <m/>
    <m/>
  </r>
  <r>
    <n v="1902"/>
    <x v="0"/>
    <x v="19"/>
    <s v="check-in"/>
    <s v="n. phr."/>
    <s v="（酒店）办理入住；（机场）办理登机手续"/>
    <d v="2016-10-03T20:16:41"/>
    <d v="2016-10-03T20:16:44"/>
    <d v="2016-10-03T20:16:43"/>
    <m/>
    <d v="2016-10-03T20:30:40"/>
    <d v="2016-10-03T20:16:44"/>
    <s v=""/>
    <m/>
    <m/>
  </r>
  <r>
    <n v="1903"/>
    <x v="0"/>
    <x v="19"/>
    <s v="information"/>
    <s v="n."/>
    <s v="问讯处；咨询台"/>
    <d v="2016-10-03T20:16:53"/>
    <d v="2016-10-03T20:35:32"/>
    <d v="2016-10-03T20:35:24"/>
    <m/>
    <d v="2016-10-03T20:39:41"/>
    <d v="2016-10-03T20:35:32"/>
    <s v=""/>
    <m/>
    <m/>
  </r>
  <r>
    <n v="1904"/>
    <x v="0"/>
    <x v="19"/>
    <s v="passport"/>
    <s v="n."/>
    <s v="护照"/>
    <d v="2016-10-03T20:17:00"/>
    <d v="2016-10-03T20:35:38"/>
    <d v="2016-10-03T20:35:36"/>
    <m/>
    <d v="2016-10-03T20:39:46"/>
    <d v="2016-10-03T20:35:38"/>
    <s v=""/>
    <m/>
    <m/>
  </r>
  <r>
    <n v="1905"/>
    <x v="0"/>
    <x v="19"/>
    <s v="control"/>
    <s v="n."/>
    <s v="控制，管理（名）"/>
    <d v="2016-10-03T15:46:25"/>
    <d v="2016-10-03T15:46:26"/>
    <d v="2016-10-03T15:46:26"/>
    <m/>
    <d v="2016-10-03T20:02:53"/>
    <d v="2016-10-03T15:46:26"/>
    <s v=""/>
    <m/>
    <m/>
  </r>
  <r>
    <n v="1906"/>
    <x v="0"/>
    <x v="19"/>
    <s v="control"/>
    <s v="v."/>
    <s v="控制，管理（动）"/>
    <d v="2016-10-03T15:46:22"/>
    <d v="2016-10-03T20:17:09"/>
    <d v="2016-10-03T20:17:08"/>
    <m/>
    <d v="2016-10-03T20:31:05"/>
    <d v="2016-10-03T20:17:09"/>
    <s v=""/>
    <m/>
    <m/>
  </r>
  <r>
    <n v="1907"/>
    <x v="0"/>
    <x v="19"/>
    <s v="customs"/>
    <s v="n."/>
    <s v="海关"/>
    <d v="2016-10-03T15:40:50"/>
    <d v="2016-10-03T20:17:22"/>
    <d v="2016-10-03T20:17:20"/>
    <m/>
    <d v="2016-10-03T20:31:11"/>
    <d v="2016-10-03T20:17:22"/>
    <s v=""/>
    <m/>
    <m/>
  </r>
  <r>
    <n v="1908"/>
    <x v="0"/>
    <x v="19"/>
    <s v="reservation"/>
    <s v="n."/>
    <s v="预订"/>
    <d v="2016-10-03T15:40:43"/>
    <d v="2016-10-03T15:40:45"/>
    <d v="2016-10-03T15:40:44"/>
    <m/>
    <d v="2016-10-03T20:03:25"/>
    <d v="2016-10-03T15:40:45"/>
    <s v=""/>
    <m/>
    <m/>
  </r>
  <r>
    <n v="1909"/>
    <x v="0"/>
    <x v="19"/>
    <s v="departure"/>
    <s v="n."/>
    <s v="出发；离开"/>
    <d v="2016-10-03T15:40:33"/>
    <d v="2016-10-03T20:35:42"/>
    <d v="2016-10-03T20:35:41"/>
    <m/>
    <d v="2016-10-03T20:39:52"/>
    <d v="2016-10-03T20:35:42"/>
    <s v=""/>
    <m/>
    <m/>
  </r>
  <r>
    <n v="1910"/>
    <x v="0"/>
    <x v="19"/>
    <s v="lounge"/>
    <s v="n."/>
    <s v="侯机厅；休息室"/>
    <d v="2016-10-03T15:40:28"/>
    <d v="2016-10-03T20:17:42"/>
    <d v="2016-10-03T20:17:41"/>
    <m/>
    <d v="2016-10-03T20:31:22"/>
    <d v="2016-10-03T20:17:42"/>
    <s v=""/>
    <m/>
    <m/>
  </r>
  <r>
    <n v="1911"/>
    <x v="0"/>
    <x v="19"/>
    <s v="tax"/>
    <s v="n."/>
    <s v="税"/>
    <d v="2016-10-03T15:40:20"/>
    <d v="2016-10-03T20:17:47"/>
    <d v="2016-10-03T20:17:46"/>
    <m/>
    <d v="2016-10-03T20:31:26"/>
    <d v="2016-10-03T20:17:47"/>
    <s v=""/>
    <m/>
    <m/>
  </r>
  <r>
    <n v="1912"/>
    <x v="0"/>
    <x v="19"/>
    <s v="reconfirm"/>
    <s v="v."/>
    <s v="再次确认"/>
    <d v="2016-10-03T15:40:09"/>
    <d v="2016-10-03T20:18:13"/>
    <d v="2016-10-03T20:18:12"/>
    <m/>
    <d v="2016-10-03T20:31:33"/>
    <d v="2016-10-03T20:18:13"/>
    <s v=""/>
    <m/>
    <m/>
  </r>
  <r>
    <n v="1913"/>
    <x v="0"/>
    <x v="19"/>
    <s v="flight"/>
    <s v="n."/>
    <s v="航班"/>
    <d v="2016-10-03T15:39:43"/>
    <d v="2016-10-03T20:18:33"/>
    <d v="2016-10-03T20:18:32"/>
    <m/>
    <d v="2016-10-03T20:31:39"/>
    <d v="2016-10-03T20:18:33"/>
    <s v=""/>
    <m/>
    <m/>
  </r>
  <r>
    <n v="1914"/>
    <x v="0"/>
    <x v="19"/>
    <s v="return flight"/>
    <s v="n. phr."/>
    <s v="返程航班"/>
    <d v="2016-10-03T15:39:48"/>
    <d v="2016-10-03T15:40:06"/>
    <d v="2016-10-03T15:40:05"/>
    <m/>
    <d v="2016-10-03T20:04:17"/>
    <d v="2016-10-03T15:40:06"/>
    <s v=""/>
    <m/>
    <m/>
  </r>
  <r>
    <n v="1915"/>
    <x v="0"/>
    <x v="19"/>
    <s v="Brazilian"/>
    <s v="adj."/>
    <s v="巴西的"/>
    <d v="2016-10-03T15:39:53"/>
    <d v="2016-10-03T15:39:54"/>
    <d v="2016-10-03T15:39:54"/>
    <m/>
    <d v="2016-10-03T20:04:31"/>
    <d v="2016-10-03T15:39:54"/>
    <s v=""/>
    <m/>
    <m/>
  </r>
  <r>
    <n v="1916"/>
    <x v="0"/>
    <x v="19"/>
    <s v="seaside"/>
    <s v="n."/>
    <s v="海边"/>
    <d v="2016-10-03T15:39:09"/>
    <d v="2016-10-03T15:39:11"/>
    <d v="2016-10-03T15:39:16"/>
    <m/>
    <d v="2016-10-03T20:04:36"/>
    <d v="2016-10-03T15:39:16"/>
    <s v=""/>
    <m/>
    <m/>
  </r>
  <r>
    <n v="1917"/>
    <x v="0"/>
    <x v="19"/>
    <s v="countable"/>
    <s v="adj."/>
    <s v="可数的"/>
    <d v="2016-10-03T15:39:04"/>
    <d v="2016-10-03T20:18:41"/>
    <d v="2016-10-03T20:18:40"/>
    <m/>
    <d v="2016-10-03T20:31:46"/>
    <d v="2016-10-03T20:18:41"/>
    <s v=""/>
    <m/>
    <m/>
  </r>
  <r>
    <n v="1918"/>
    <x v="0"/>
    <x v="19"/>
    <s v="singular"/>
    <s v="n."/>
    <s v="（名词的）单数形式"/>
    <d v="2016-10-03T15:38:55"/>
    <d v="2016-10-03T20:35:47"/>
    <d v="2016-10-03T20:35:46"/>
    <m/>
    <d v="2016-10-03T20:40:00"/>
    <d v="2016-10-03T20:35:47"/>
    <s v=""/>
    <m/>
    <m/>
  </r>
  <r>
    <n v="1919"/>
    <x v="0"/>
    <x v="19"/>
    <s v="plural"/>
    <s v="n."/>
    <s v="（名词的）复数形式"/>
    <d v="2016-10-03T15:38:49"/>
    <d v="2016-10-03T20:18:59"/>
    <d v="2016-10-03T20:18:58"/>
    <m/>
    <d v="2016-10-03T20:32:07"/>
    <d v="2016-10-03T20:18:59"/>
    <s v=""/>
    <m/>
    <m/>
  </r>
  <r>
    <n v="1920"/>
    <x v="0"/>
    <x v="19"/>
    <s v="uncountable"/>
    <s v="adj."/>
    <s v="不可数的"/>
    <d v="2016-10-03T15:38:45"/>
    <d v="2016-10-03T20:19:08"/>
    <d v="2016-10-03T20:19:07"/>
    <m/>
    <d v="2016-10-03T20:32:12"/>
    <d v="2016-10-03T20:19:08"/>
    <s v=""/>
    <m/>
    <m/>
  </r>
  <r>
    <n v="1921"/>
    <x v="0"/>
    <x v="19"/>
    <s v="shampoo"/>
    <s v="n."/>
    <s v="洗发液"/>
    <d v="2016-10-03T15:38:40"/>
    <d v="2016-10-03T15:38:41"/>
    <d v="2016-10-03T15:38:41"/>
    <m/>
    <d v="2016-10-03T20:05:21"/>
    <d v="2016-10-03T15:38:41"/>
    <s v=""/>
    <m/>
    <m/>
  </r>
  <r>
    <n v="1922"/>
    <x v="0"/>
    <x v="19"/>
    <s v="bar"/>
    <s v="n."/>
    <s v="条；棒"/>
    <d v="2016-10-03T15:38:32"/>
    <d v="2016-10-03T20:19:13"/>
    <d v="2016-10-03T20:19:12"/>
    <m/>
    <d v="2016-10-03T20:32:17"/>
    <d v="2016-10-03T20:19:13"/>
    <s v=""/>
    <m/>
    <m/>
  </r>
  <r>
    <n v="1923"/>
    <x v="0"/>
    <x v="19"/>
    <s v="rucksack"/>
    <s v="n."/>
    <s v="（旅行用的）背包"/>
    <d v="2016-10-03T15:38:30"/>
    <d v="2016-10-03T20:19:22"/>
    <d v="2016-10-03T20:19:21"/>
    <m/>
    <d v="2016-10-03T20:32:21"/>
    <d v="2016-10-03T20:19:22"/>
    <s v=""/>
    <m/>
    <m/>
  </r>
  <r>
    <n v="1924"/>
    <x v="0"/>
    <x v="19"/>
    <s v="Brazil"/>
    <s v="n."/>
    <s v="巴西"/>
    <d v="2016-10-03T15:38:21"/>
    <d v="2016-10-03T15:38:22"/>
    <d v="2016-10-03T15:38:22"/>
    <m/>
    <d v="2016-10-03T20:05:44"/>
    <d v="2016-10-03T15:38:22"/>
    <s v=""/>
    <m/>
    <m/>
  </r>
  <r>
    <n v="1925"/>
    <x v="0"/>
    <x v="19"/>
    <s v="sun cream"/>
    <s v="n. phr."/>
    <s v="防晒霜"/>
    <d v="2016-10-03T15:38:17"/>
    <d v="2016-10-03T20:36:41"/>
    <d v="2016-10-03T20:36:40"/>
    <m/>
    <d v="2016-10-03T20:40:06"/>
    <d v="2016-10-03T20:36:41"/>
    <s v=""/>
    <m/>
    <m/>
  </r>
  <r>
    <n v="1926"/>
    <x v="0"/>
    <x v="19"/>
    <s v="suitcase"/>
    <s v="n."/>
    <s v="手提箱"/>
    <d v="2016-10-03T15:38:14"/>
    <d v="2016-10-03T15:38:14"/>
    <d v="2016-10-03T15:38:14"/>
    <m/>
    <d v="2016-10-03T20:06:09"/>
    <d v="2016-10-03T15:38:14"/>
    <s v=""/>
    <m/>
    <m/>
  </r>
  <r>
    <n v="1927"/>
    <x v="0"/>
    <x v="19"/>
    <s v="airport"/>
    <s v="n."/>
    <s v="机场"/>
    <d v="2016-10-03T15:38:10"/>
    <d v="2016-10-03T15:38:11"/>
    <d v="2016-10-03T15:38:11"/>
    <m/>
    <d v="2016-10-03T20:06:14"/>
    <d v="2016-10-03T15:38:11"/>
    <s v=""/>
    <m/>
    <m/>
  </r>
  <r>
    <n v="1928"/>
    <x v="0"/>
    <x v="19"/>
    <s v="lorry"/>
    <s v="n."/>
    <s v="卡车"/>
    <d v="2016-10-03T15:38:05"/>
    <d v="2016-10-03T20:19:43"/>
    <d v="2016-10-03T20:19:42"/>
    <m/>
    <d v="2016-10-03T20:32:30"/>
    <d v="2016-10-03T20:19:43"/>
    <s v=""/>
    <m/>
    <m/>
  </r>
  <r>
    <n v="1929"/>
    <x v="0"/>
    <x v="19"/>
    <s v="break"/>
    <s v="n."/>
    <s v="（工作之中）短暂的休息"/>
    <d v="2016-10-03T15:38:01"/>
    <d v="2016-10-03T15:38:03"/>
    <d v="2016-10-03T15:38:02"/>
    <m/>
    <d v="2016-10-03T20:06:40"/>
    <d v="2016-10-03T15:38:03"/>
    <s v=""/>
    <m/>
    <m/>
  </r>
  <r>
    <n v="1930"/>
    <x v="0"/>
    <x v="19"/>
    <s v="motorbike"/>
    <s v="n."/>
    <s v="摩托车"/>
    <d v="2016-10-03T15:37:57"/>
    <d v="2016-10-03T15:37:58"/>
    <d v="2016-10-03T15:37:57"/>
    <m/>
    <d v="2016-10-03T20:06:45"/>
    <d v="2016-10-03T15:37:58"/>
    <s v=""/>
    <m/>
    <m/>
  </r>
  <r>
    <n v="1931"/>
    <x v="0"/>
    <x v="19"/>
    <s v="catch"/>
    <s v="v."/>
    <s v="搭乘"/>
    <d v="2016-10-03T15:37:52"/>
    <d v="2016-10-03T20:19:49"/>
    <d v="2016-10-03T20:19:48"/>
    <m/>
    <d v="2016-10-03T20:32:37"/>
    <d v="2016-10-03T20:19:49"/>
    <s v=""/>
    <m/>
    <m/>
  </r>
  <r>
    <n v="1932"/>
    <x v="0"/>
    <x v="19"/>
    <s v="weather"/>
    <s v="n."/>
    <s v="天气"/>
    <d v="2016-10-03T15:37:48"/>
    <d v="2016-10-03T15:37:49"/>
    <d v="2016-10-03T15:37:49"/>
    <m/>
    <d v="2016-10-03T20:07:00"/>
    <d v="2016-10-03T15:37:49"/>
    <s v=""/>
    <m/>
    <m/>
  </r>
  <r>
    <n v="1933"/>
    <x v="0"/>
    <x v="19"/>
    <s v="truthfully"/>
    <s v="adv."/>
    <s v="真实地"/>
    <d v="2016-10-03T15:37:44"/>
    <d v="2016-10-03T15:37:46"/>
    <d v="2016-10-03T15:37:45"/>
    <m/>
    <d v="2016-10-03T20:07:04"/>
    <d v="2016-10-03T15:37:46"/>
    <s v=""/>
    <m/>
    <m/>
  </r>
  <r>
    <n v="1934"/>
    <x v="0"/>
    <x v="19"/>
    <s v="matter"/>
    <s v="v."/>
    <s v="有关系；重要"/>
    <d v="2016-10-03T15:37:37"/>
    <d v="2016-10-03T20:19:54"/>
    <d v="2016-10-03T20:19:52"/>
    <m/>
    <d v="2016-10-03T20:32:42"/>
    <d v="2016-10-03T20:19:54"/>
    <s v=""/>
    <m/>
    <m/>
  </r>
  <r>
    <n v="1935"/>
    <x v="0"/>
    <x v="19"/>
    <s v="visa"/>
    <s v="n."/>
    <s v="签证"/>
    <d v="2016-10-03T15:37:34"/>
    <d v="2016-10-03T20:49:02"/>
    <d v="2016-10-03T20:49:00"/>
    <m/>
    <d v="2016-10-03T20:52:37"/>
    <d v="2016-10-03T20:49:02"/>
    <s v=""/>
    <m/>
    <m/>
  </r>
  <r>
    <n v="1936"/>
    <x v="0"/>
    <x v="19"/>
    <s v="couple"/>
    <s v="n."/>
    <s v="（一）对"/>
    <d v="2016-10-03T15:37:30"/>
    <d v="2016-10-03T15:37:31"/>
    <d v="2016-10-03T15:37:31"/>
    <m/>
    <d v="2016-10-03T20:07:20"/>
    <d v="2016-10-03T15:37:31"/>
    <s v=""/>
    <m/>
    <m/>
  </r>
  <r>
    <n v="1937"/>
    <x v="0"/>
    <x v="19"/>
    <s v="luggage"/>
    <s v="n."/>
    <s v="行李"/>
    <d v="2016-10-03T15:37:19"/>
    <d v="2016-10-03T15:37:27"/>
    <d v="2016-10-03T15:37:20"/>
    <m/>
    <d v="2016-10-03T20:07:33"/>
    <d v="2016-10-03T15:37:27"/>
    <s v=""/>
    <m/>
    <m/>
  </r>
  <r>
    <n v="1938"/>
    <x v="0"/>
    <x v="19"/>
    <s v="circle"/>
    <s v="n."/>
    <s v="圆圈"/>
    <d v="2016-10-03T15:37:10"/>
    <d v="2016-10-03T20:21:39"/>
    <d v="2016-10-03T20:21:38"/>
    <m/>
    <d v="2016-10-03T20:32:53"/>
    <d v="2016-10-03T20:21:39"/>
    <s v=""/>
    <m/>
    <m/>
  </r>
  <r>
    <n v="1939"/>
    <x v="0"/>
    <x v="19"/>
    <s v="circle"/>
    <s v="v."/>
    <s v="画圆"/>
    <d v="2016-10-03T15:37:07"/>
    <d v="2016-10-03T15:37:08"/>
    <d v="2016-10-03T15:37:07"/>
    <m/>
    <d v="2016-10-03T20:07:50"/>
    <d v="2016-10-03T15:37:08"/>
    <s v=""/>
    <m/>
    <m/>
  </r>
  <r>
    <n v="1940"/>
    <x v="0"/>
    <x v="19"/>
    <s v="stress"/>
    <s v="v."/>
    <s v="重读"/>
    <d v="2016-10-03T15:37:03"/>
    <d v="2016-10-03T20:37:35"/>
    <d v="2016-10-03T20:36:49"/>
    <m/>
    <d v="2016-10-03T20:40:18"/>
    <d v="2016-10-03T20:37:35"/>
    <s v=""/>
    <m/>
    <m/>
  </r>
  <r>
    <n v="1941"/>
    <x v="0"/>
    <x v="19"/>
    <s v="a pair of"/>
    <s v="phrase"/>
    <s v="一双，一对"/>
    <d v="2016-10-03T15:36:56"/>
    <d v="2016-10-03T20:21:59"/>
    <d v="2016-10-03T20:21:57"/>
    <m/>
    <d v="2016-10-03T20:33:07"/>
    <d v="2016-10-03T20:21:59"/>
    <s v=""/>
    <m/>
    <m/>
  </r>
  <r>
    <n v="1942"/>
    <x v="0"/>
    <x v="19"/>
    <s v="a couple of"/>
    <s v="phrase"/>
    <s v="两个；（少数）几个"/>
    <d v="2016-10-03T15:36:51"/>
    <d v="2016-10-03T20:22:47"/>
    <d v="2016-10-03T20:22:45"/>
    <m/>
    <d v="2016-10-03T20:33:12"/>
    <d v="2016-10-03T20:22:47"/>
    <s v=""/>
    <m/>
    <m/>
  </r>
  <r>
    <n v="1943"/>
    <x v="0"/>
    <x v="19"/>
    <s v="carrier bag"/>
    <s v="n. phr."/>
    <s v="手提袋"/>
    <d v="2016-10-03T15:36:47"/>
    <d v="2016-10-03T15:36:48"/>
    <d v="2016-10-03T15:36:47"/>
    <m/>
    <d v="2016-10-03T20:08:29"/>
    <d v="2016-10-03T15:36:48"/>
    <s v=""/>
    <m/>
    <m/>
  </r>
  <r>
    <n v="1944"/>
    <x v="0"/>
    <x v="19"/>
    <s v="parcel"/>
    <s v="n."/>
    <s v="包裹"/>
    <d v="2016-10-03T15:36:44"/>
    <d v="2016-10-03T15:36:45"/>
    <d v="2016-10-03T15:36:45"/>
    <m/>
    <d v="2016-10-03T20:08:34"/>
    <d v="2016-10-03T15:36:45"/>
    <s v=""/>
    <m/>
    <m/>
  </r>
  <r>
    <n v="1945"/>
    <x v="0"/>
    <x v="19"/>
    <s v="pleased"/>
    <s v="adj."/>
    <s v="高兴的"/>
    <d v="2016-10-03T15:36:40"/>
    <d v="2016-10-03T20:22:51"/>
    <d v="2016-10-03T20:22:50"/>
    <m/>
    <d v="2016-10-03T20:33:18"/>
    <d v="2016-10-03T20:22:51"/>
    <s v=""/>
    <m/>
    <m/>
  </r>
  <r>
    <n v="1946"/>
    <x v="0"/>
    <x v="19"/>
    <s v="passenger"/>
    <s v="n."/>
    <s v="乘客"/>
    <d v="2016-10-03T15:36:34"/>
    <d v="2016-10-03T20:22:55"/>
    <d v="2016-10-03T20:22:54"/>
    <m/>
    <d v="2016-10-03T20:33:25"/>
    <d v="2016-10-03T20:22:55"/>
    <s v=""/>
    <m/>
    <m/>
  </r>
  <r>
    <n v="1947"/>
    <x v="0"/>
    <x v="19"/>
    <s v="probably"/>
    <s v="adv."/>
    <s v="大概，或许"/>
    <d v="2016-10-03T15:36:29"/>
    <d v="2016-10-03T15:36:31"/>
    <d v="2016-10-03T15:36:30"/>
    <m/>
    <d v="2016-10-03T20:09:52"/>
    <d v="2016-10-03T15:36:31"/>
    <s v=""/>
    <m/>
    <m/>
  </r>
  <r>
    <n v="1948"/>
    <x v="0"/>
    <x v="19"/>
    <s v="address"/>
    <s v="n."/>
    <s v="地址"/>
    <d v="2016-10-03T15:36:25"/>
    <d v="2016-10-03T15:36:26"/>
    <d v="2016-10-03T15:36:25"/>
    <m/>
    <d v="2016-10-03T20:09:57"/>
    <d v="2016-10-03T15:36:26"/>
    <s v=""/>
    <m/>
    <m/>
  </r>
  <r>
    <n v="1949"/>
    <x v="0"/>
    <x v="19"/>
    <s v="noun"/>
    <s v="n."/>
    <s v="名词"/>
    <d v="2016-10-03T15:36:20"/>
    <d v="2016-10-03T15:36:22"/>
    <d v="2016-10-03T15:36:21"/>
    <m/>
    <d v="2016-10-03T20:10:01"/>
    <d v="2016-10-03T15:36:22"/>
    <s v=""/>
    <m/>
    <m/>
  </r>
  <r>
    <n v="1950"/>
    <x v="0"/>
    <x v="19"/>
    <s v="on holiday"/>
    <s v="phrase"/>
    <s v="在度假"/>
    <d v="2016-10-03T15:36:14"/>
    <d v="2016-10-03T20:42:05"/>
    <d v="2016-10-03T20:42:04"/>
    <m/>
    <d v="2016-10-03T20:48:00"/>
    <d v="2016-10-03T20:42:05"/>
    <s v=""/>
    <m/>
    <m/>
  </r>
  <r>
    <n v="1951"/>
    <x v="0"/>
    <x v="19"/>
    <s v="extra"/>
    <s v="adj."/>
    <s v="多余的"/>
    <d v="2016-10-03T15:36:09"/>
    <d v="2016-10-03T15:36:10"/>
    <d v="2016-10-03T15:36:10"/>
    <m/>
    <d v="2016-10-03T20:10:32"/>
    <d v="2016-10-03T15:36:10"/>
    <s v=""/>
    <m/>
    <m/>
  </r>
  <r>
    <n v="1952"/>
    <x v="0"/>
    <x v="19"/>
    <s v="dive"/>
    <s v="n."/>
    <s v="跳水；潜水"/>
    <d v="2016-10-03T15:36:04"/>
    <d v="2016-10-03T20:55:44"/>
    <d v="2016-10-03T20:55:42"/>
    <m/>
    <d v="2016-10-03T20:57:15"/>
    <d v="2016-10-03T20:55:44"/>
    <s v=""/>
    <m/>
    <m/>
  </r>
  <r>
    <n v="1953"/>
    <x v="0"/>
    <x v="19"/>
    <s v="businessman"/>
    <s v="n."/>
    <s v="商人"/>
    <d v="2016-10-03T15:35:57"/>
    <d v="2016-10-03T15:36:00"/>
    <d v="2016-10-03T15:35:58"/>
    <m/>
    <d v="2016-10-03T20:10:46"/>
    <d v="2016-10-03T15:36:00"/>
    <s v=""/>
    <m/>
    <m/>
  </r>
  <r>
    <n v="1954"/>
    <x v="0"/>
    <x v="19"/>
    <s v="relax"/>
    <s v="v."/>
    <s v="放松"/>
    <d v="2016-10-03T15:35:50"/>
    <d v="2016-10-03T15:35:52"/>
    <d v="2016-10-03T15:35:51"/>
    <m/>
    <d v="2016-10-03T20:10:53"/>
    <d v="2016-10-03T15:35:52"/>
    <s v=""/>
    <m/>
    <m/>
  </r>
  <r>
    <n v="1955"/>
    <x v="0"/>
    <x v="19"/>
    <s v="sunbathing"/>
    <s v="n."/>
    <s v="日光浴"/>
    <d v="2016-10-03T15:35:42"/>
    <d v="2016-10-03T15:35:44"/>
    <d v="2016-10-03T15:35:45"/>
    <m/>
    <d v="2016-10-03T20:10:58"/>
    <d v="2016-10-03T15:35:45"/>
    <s v=""/>
    <m/>
    <m/>
  </r>
  <r>
    <n v="1956"/>
    <x v="0"/>
    <x v="19"/>
    <s v="be interested in"/>
    <s v="v. phr."/>
    <s v="对…感兴趣"/>
    <d v="2016-10-03T15:35:37"/>
    <d v="2016-10-03T20:55:38"/>
    <d v="2016-10-03T20:55:36"/>
    <m/>
    <d v="2016-10-03T20:57:27"/>
    <d v="2016-10-03T20:55:38"/>
    <s v=""/>
    <m/>
    <m/>
  </r>
  <r>
    <n v="1957"/>
    <x v="0"/>
    <x v="19"/>
    <s v="mountain"/>
    <s v="n."/>
    <s v="山；山脉"/>
    <d v="2016-10-03T15:35:34"/>
    <d v="2016-10-03T15:35:35"/>
    <d v="2016-10-03T15:35:34"/>
    <m/>
    <d v="2016-10-03T20:11:10"/>
    <d v="2016-10-03T15:35:35"/>
    <s v=""/>
    <m/>
    <m/>
  </r>
  <r>
    <n v="1958"/>
    <x v="0"/>
    <x v="19"/>
    <s v="family hotel"/>
    <s v="n. phr."/>
    <s v="家庭旅馆"/>
    <d v="2016-10-03T15:35:28"/>
    <d v="2016-10-03T15:35:30"/>
    <d v="2016-10-03T15:35:29"/>
    <m/>
    <d v="2016-10-03T20:11:16"/>
    <d v="2016-10-03T15:35:30"/>
    <s v=""/>
    <m/>
    <m/>
  </r>
  <r>
    <n v="1959"/>
    <x v="0"/>
    <x v="19"/>
    <s v="sightseeting"/>
    <s v="n."/>
    <s v="观光"/>
    <d v="2016-10-03T15:35:23"/>
    <d v="2016-10-03T15:35:25"/>
    <d v="2016-10-03T15:35:24"/>
    <m/>
    <d v="2016-10-03T20:11:22"/>
    <d v="2016-10-03T15:35:25"/>
    <s v=""/>
    <m/>
    <m/>
  </r>
  <r>
    <n v="1960"/>
    <x v="0"/>
    <x v="19"/>
    <s v="organise"/>
    <s v="v."/>
    <s v="组织"/>
    <d v="2016-10-03T15:35:17"/>
    <d v="2016-10-03T20:23:14"/>
    <d v="2016-10-03T20:23:13"/>
    <m/>
    <d v="2016-10-03T20:33:50"/>
    <d v="2016-10-03T20:23:14"/>
    <s v=""/>
    <m/>
    <m/>
  </r>
  <r>
    <n v="1961"/>
    <x v="0"/>
    <x v="19"/>
    <s v="famous"/>
    <s v="adj."/>
    <s v="著名的"/>
    <d v="2016-10-03T15:35:14"/>
    <d v="2016-10-03T15:35:14"/>
    <d v="2016-10-03T15:35:14"/>
    <m/>
    <d v="2016-10-03T20:11:36"/>
    <d v="2016-10-03T15:35:14"/>
    <s v=""/>
    <m/>
    <m/>
  </r>
  <r>
    <n v="1962"/>
    <x v="0"/>
    <x v="19"/>
    <s v="coach"/>
    <s v="n."/>
    <s v="旅游车"/>
    <d v="2016-10-03T15:35:09"/>
    <d v="2016-10-03T15:35:11"/>
    <d v="2016-10-03T15:35:10"/>
    <m/>
    <d v="2016-10-03T20:11:42"/>
    <d v="2016-10-03T15:35:11"/>
    <s v=""/>
    <m/>
    <m/>
  </r>
  <r>
    <n v="1963"/>
    <x v="0"/>
    <x v="19"/>
    <s v="tour"/>
    <s v="n."/>
    <s v="旅游、旅行"/>
    <d v="2016-10-03T15:35:02"/>
    <d v="2016-10-03T20:55:30"/>
    <d v="2016-10-03T20:55:29"/>
    <m/>
    <d v="2016-10-03T20:57:33"/>
    <d v="2016-10-03T20:55:30"/>
    <s v=""/>
    <m/>
    <m/>
  </r>
  <r>
    <n v="1964"/>
    <x v="0"/>
    <x v="19"/>
    <s v="on the edge of"/>
    <s v="prep. phr."/>
    <s v="在…的边缘"/>
    <d v="2016-10-03T15:34:55"/>
    <d v="2016-10-03T20:55:23"/>
    <d v="2016-10-03T20:55:21"/>
    <m/>
    <d v="2016-10-03T20:57:38"/>
    <d v="2016-10-03T20:55:23"/>
    <s v=""/>
    <m/>
    <m/>
  </r>
  <r>
    <n v="1965"/>
    <x v="0"/>
    <x v="19"/>
    <s v="first-class"/>
    <s v="adj."/>
    <s v="一流的"/>
    <d v="2016-10-03T15:34:51"/>
    <d v="2016-10-03T20:23:33"/>
    <d v="2016-10-03T20:23:31"/>
    <m/>
    <d v="2016-10-03T20:34:09"/>
    <d v="2016-10-03T20:23:33"/>
    <s v=""/>
    <m/>
    <m/>
  </r>
  <r>
    <n v="1966"/>
    <x v="0"/>
    <x v="19"/>
    <s v="ideal"/>
    <s v="adj."/>
    <s v="理想的"/>
    <d v="2016-10-03T15:34:40"/>
    <d v="2016-10-03T20:24:05"/>
    <d v="2016-10-03T20:24:04"/>
    <m/>
    <d v="2016-10-03T20:34:16"/>
    <d v="2016-10-03T20:24:05"/>
    <s v=""/>
    <m/>
    <m/>
  </r>
  <r>
    <n v="1967"/>
    <x v="0"/>
    <x v="19"/>
    <s v="relaxing"/>
    <s v="adj."/>
    <s v="令人放松的"/>
    <d v="2016-10-03T15:34:35"/>
    <d v="2016-10-03T15:34:36"/>
    <d v="2016-10-03T15:34:36"/>
    <m/>
    <d v="2016-10-03T20:12:21"/>
    <d v="2016-10-03T15:34:36"/>
    <s v=""/>
    <m/>
    <m/>
  </r>
  <r>
    <n v="1968"/>
    <x v="0"/>
    <x v="19"/>
    <s v="twice"/>
    <s v="adv."/>
    <s v="两次"/>
    <d v="2016-10-03T15:34:31"/>
    <d v="2016-10-03T20:38:32"/>
    <d v="2016-10-03T20:38:29"/>
    <m/>
    <d v="2016-10-03T20:41:00"/>
    <d v="2016-10-03T20:38:32"/>
    <s v=""/>
    <m/>
    <m/>
  </r>
  <r>
    <n v="1969"/>
    <x v="0"/>
    <x v="19"/>
    <s v="including"/>
    <s v="prep."/>
    <s v="包括"/>
    <d v="2016-10-03T15:34:27"/>
    <d v="2016-10-03T20:55:16"/>
    <d v="2016-10-03T20:55:14"/>
    <m/>
    <d v="2016-10-03T20:57:44"/>
    <d v="2016-10-03T20:55:16"/>
    <s v=""/>
    <m/>
    <m/>
  </r>
  <r>
    <n v="1970"/>
    <x v="0"/>
    <x v="19"/>
    <s v="country"/>
    <s v="n."/>
    <s v="乡村"/>
    <d v="2016-10-03T15:34:21"/>
    <d v="2016-10-03T20:54:44"/>
    <d v="2016-10-03T20:54:42"/>
    <m/>
    <d v="2016-10-03T20:57:48"/>
    <d v="2016-10-03T20:54:44"/>
    <s v=""/>
    <m/>
    <m/>
  </r>
  <r>
    <n v="1971"/>
    <x v="0"/>
    <x v="19"/>
    <s v="staff"/>
    <s v="n."/>
    <s v="全体职工；全体雇员"/>
    <d v="2016-10-03T15:34:15"/>
    <d v="2016-10-03T15:34:16"/>
    <d v="2016-10-03T15:34:15"/>
    <m/>
    <d v="2016-10-03T20:12:54"/>
    <d v="2016-10-03T15:34:16"/>
    <s v=""/>
    <m/>
    <m/>
  </r>
  <r>
    <n v="1972"/>
    <x v="0"/>
    <x v="19"/>
    <s v="village"/>
    <s v="n."/>
    <s v="乡村；村庄"/>
    <d v="2016-10-03T15:34:10"/>
    <d v="2016-10-03T15:34:11"/>
    <d v="2016-10-03T15:34:10"/>
    <m/>
    <d v="2016-10-03T20:13:00"/>
    <d v="2016-10-03T15:34:11"/>
    <s v=""/>
    <m/>
    <m/>
  </r>
  <r>
    <n v="1973"/>
    <x v="0"/>
    <x v="19"/>
    <s v="surround"/>
    <s v="v."/>
    <s v="包围"/>
    <d v="2016-10-03T15:34:05"/>
    <d v="2016-10-03T20:26:33"/>
    <d v="2016-10-03T20:26:32"/>
    <m/>
    <d v="2016-10-03T20:34:38"/>
    <d v="2016-10-03T20:26:33"/>
    <s v=""/>
    <m/>
    <m/>
  </r>
  <r>
    <n v="1974"/>
    <x v="0"/>
    <x v="19"/>
    <s v="peaceful"/>
    <s v="adj."/>
    <s v="宁静的"/>
    <d v="2016-10-03T15:34:01"/>
    <d v="2016-10-03T20:38:46"/>
    <d v="2016-10-03T20:38:45"/>
    <m/>
    <d v="2016-10-03T20:41:27"/>
    <d v="2016-10-03T20:38:46"/>
    <s v=""/>
    <m/>
    <m/>
  </r>
  <r>
    <n v="1975"/>
    <x v="0"/>
    <x v="19"/>
    <s v="gym"/>
    <s v="n."/>
    <s v="体育馆，健身房（＝gymnasium）"/>
    <d v="2016-10-03T15:33:56"/>
    <d v="2016-10-03T15:33:58"/>
    <d v="2016-10-03T15:33:57"/>
    <m/>
    <d v="2016-10-03T20:13:45"/>
    <d v="2016-10-03T15:33:58"/>
    <s v=""/>
    <m/>
    <m/>
  </r>
  <r>
    <n v="1976"/>
    <x v="0"/>
    <x v="19"/>
    <s v="fax"/>
    <s v="n."/>
    <s v="传真"/>
    <d v="2016-10-03T15:33:52"/>
    <d v="2016-10-03T15:33:53"/>
    <d v="2016-10-03T15:33:53"/>
    <m/>
    <d v="2016-10-03T20:13:51"/>
    <d v="2016-10-03T15:33:53"/>
    <s v=""/>
    <m/>
    <m/>
  </r>
  <r>
    <n v="1977"/>
    <x v="0"/>
    <x v="19"/>
    <s v="facility"/>
    <s v="n."/>
    <s v="设施"/>
    <d v="2016-10-03T15:33:46"/>
    <d v="2016-10-03T20:39:04"/>
    <d v="2016-10-03T20:39:03"/>
    <m/>
    <d v="2016-10-03T20:41:34"/>
    <d v="2016-10-03T20:39:04"/>
    <s v=""/>
    <m/>
    <m/>
  </r>
  <r>
    <n v="1978"/>
    <x v="0"/>
    <x v="19"/>
    <s v="suitable"/>
    <s v="adj."/>
    <s v="适合的"/>
    <d v="2016-10-03T15:33:40"/>
    <d v="2016-10-03T15:33:42"/>
    <d v="2016-10-03T15:33:41"/>
    <m/>
    <d v="2016-10-03T20:14:13"/>
    <d v="2016-10-03T15:33:42"/>
    <s v=""/>
    <m/>
    <m/>
  </r>
  <r>
    <n v="1979"/>
    <x v="0"/>
    <x v="19"/>
    <s v="conference"/>
    <s v="n."/>
    <s v="会议"/>
    <d v="2016-10-03T15:33:34"/>
    <d v="2016-10-03T15:33:36"/>
    <d v="2016-10-03T15:33:37"/>
    <m/>
    <d v="2016-10-03T20:14:17"/>
    <d v="2016-10-03T15:33:37"/>
    <s v=""/>
    <m/>
    <m/>
  </r>
  <r>
    <n v="1980"/>
    <x v="0"/>
    <x v="19"/>
    <s v="in the middle of"/>
    <s v="prep. phr."/>
    <s v="在…之中"/>
    <d v="2016-10-03T15:33:30"/>
    <d v="2016-10-03T15:33:31"/>
    <d v="2016-10-03T15:33:31"/>
    <m/>
    <d v="2016-10-03T20:14:25"/>
    <d v="2016-10-03T15:33:31"/>
    <s v=""/>
    <m/>
    <m/>
  </r>
  <r>
    <n v="1981"/>
    <x v="0"/>
    <x v="20"/>
    <s v="attend"/>
    <s v="v."/>
    <s v="参加"/>
    <d v="2016-10-04T09:42:05"/>
    <d v="2016-10-04T09:42:08"/>
    <d v="2016-10-04T09:42:06"/>
    <m/>
    <d v="2016-10-04T09:47:32"/>
    <d v="2016-10-04T09:42:08"/>
    <s v=""/>
    <m/>
    <m/>
  </r>
  <r>
    <n v="1982"/>
    <x v="0"/>
    <x v="20"/>
    <s v="website"/>
    <s v="n."/>
    <s v="网站"/>
    <d v="2016-10-04T09:42:12"/>
    <d v="2016-10-04T09:42:15"/>
    <d v="2016-10-04T09:42:14"/>
    <m/>
    <d v="2016-10-04T09:47:38"/>
    <d v="2016-10-04T09:42:15"/>
    <s v=""/>
    <m/>
    <m/>
  </r>
  <r>
    <n v="1983"/>
    <x v="0"/>
    <x v="20"/>
    <s v="teenager"/>
    <s v="n."/>
    <s v="13至19岁的青少年"/>
    <d v="2016-10-04T09:42:19"/>
    <d v="2016-10-04T09:42:21"/>
    <d v="2016-10-04T09:42:20"/>
    <m/>
    <d v="2016-10-04T09:47:42"/>
    <d v="2016-10-04T09:42:21"/>
    <s v=""/>
    <m/>
    <m/>
  </r>
  <r>
    <n v="1984"/>
    <x v="0"/>
    <x v="20"/>
    <s v="opinion"/>
    <s v="n."/>
    <s v="意见；看法"/>
    <d v="2016-10-04T09:42:25"/>
    <d v="2016-10-04T09:42:28"/>
    <d v="2016-10-04T09:42:26"/>
    <m/>
    <d v="2016-10-04T09:47:47"/>
    <d v="2016-10-04T09:42:28"/>
    <s v=""/>
    <m/>
    <m/>
  </r>
  <r>
    <n v="1985"/>
    <x v="0"/>
    <x v="20"/>
    <s v="uniform"/>
    <s v="n."/>
    <s v="制服"/>
    <d v="2016-10-04T09:42:32"/>
    <d v="2016-10-04T09:42:34"/>
    <d v="2016-10-04T09:42:33"/>
    <m/>
    <d v="2016-10-04T09:47:52"/>
    <d v="2016-10-04T09:42:34"/>
    <s v=""/>
    <m/>
    <m/>
  </r>
  <r>
    <n v="1986"/>
    <x v="0"/>
    <x v="20"/>
    <s v="single"/>
    <s v="adj."/>
    <s v="单一的；单个的"/>
    <d v="2016-10-04T09:42:37"/>
    <d v="2016-10-04T09:42:40"/>
    <d v="2016-10-04T09:42:39"/>
    <m/>
    <d v="2016-10-04T09:47:58"/>
    <d v="2016-10-04T09:42:40"/>
    <s v=""/>
    <m/>
    <m/>
  </r>
  <r>
    <n v="1987"/>
    <x v="0"/>
    <x v="20"/>
    <s v="sex"/>
    <s v="n."/>
    <s v="性别"/>
    <d v="2016-10-04T09:42:43"/>
    <d v="2016-10-04T09:42:45"/>
    <d v="2016-10-04T09:42:44"/>
    <m/>
    <d v="2016-10-04T09:48:02"/>
    <d v="2016-10-04T09:42:45"/>
    <s v=""/>
    <m/>
    <m/>
  </r>
  <r>
    <n v="1988"/>
    <x v="0"/>
    <x v="20"/>
    <s v="care about"/>
    <s v="v. phr."/>
    <s v="关心"/>
    <d v="2016-10-04T09:42:49"/>
    <d v="2016-10-04T10:02:59"/>
    <d v="2016-10-04T10:02:50"/>
    <m/>
    <d v="2016-10-04T10:03:21"/>
    <d v="2016-10-04T10:02:59"/>
    <s v=""/>
    <m/>
    <m/>
  </r>
  <r>
    <n v="1989"/>
    <x v="0"/>
    <x v="20"/>
    <s v="unnecessary"/>
    <s v="adj."/>
    <s v="不必要的"/>
    <d v="2016-10-04T09:42:56"/>
    <d v="2016-10-04T09:42:59"/>
    <d v="2016-10-04T09:42:58"/>
    <m/>
    <d v="2016-10-04T09:48:14"/>
    <d v="2016-10-04T09:42:59"/>
    <s v=""/>
    <m/>
    <m/>
  </r>
  <r>
    <n v="1990"/>
    <x v="0"/>
    <x v="20"/>
    <s v="article"/>
    <s v="n."/>
    <s v="文章"/>
    <d v="2016-10-04T09:43:03"/>
    <d v="2016-10-04T09:43:06"/>
    <d v="2016-10-04T09:43:04"/>
    <m/>
    <d v="2016-10-04T09:48:20"/>
    <d v="2016-10-04T09:43:06"/>
    <s v=""/>
    <m/>
    <m/>
  </r>
  <r>
    <n v="1991"/>
    <x v="0"/>
    <x v="20"/>
    <s v="secondary"/>
    <s v="adj."/>
    <s v="中等的（教育或学校）"/>
    <d v="2016-10-04T09:43:12"/>
    <d v="2016-10-04T10:02:32"/>
    <d v="2016-10-04T10:02:31"/>
    <m/>
    <d v="2016-10-04T10:03:27"/>
    <d v="2016-10-04T10:02:32"/>
    <s v=""/>
    <m/>
    <m/>
  </r>
  <r>
    <n v="1992"/>
    <x v="0"/>
    <x v="20"/>
    <s v="proud"/>
    <s v="adj."/>
    <s v="自豪的"/>
    <d v="2016-10-04T09:43:21"/>
    <d v="2016-10-04T10:01:46"/>
    <d v="2016-10-04T10:01:45"/>
    <m/>
    <d v="2016-10-04T10:03:42"/>
    <d v="2016-10-04T10:01:46"/>
    <s v=""/>
    <m/>
    <m/>
  </r>
  <r>
    <n v="1993"/>
    <x v="0"/>
    <x v="20"/>
    <s v="surname"/>
    <s v="n."/>
    <s v="姓氏"/>
    <d v="2016-10-04T09:43:27"/>
    <d v="2016-10-04T09:43:30"/>
    <d v="2016-10-04T09:43:29"/>
    <m/>
    <d v="2016-10-04T09:48:40"/>
    <d v="2016-10-04T09:43:30"/>
    <s v=""/>
    <m/>
    <m/>
  </r>
  <r>
    <n v="1994"/>
    <x v="0"/>
    <x v="20"/>
    <s v="laboratory"/>
    <s v="n."/>
    <s v="实验室（＝lab）"/>
    <d v="2016-10-04T09:43:34"/>
    <d v="2016-10-04T09:43:37"/>
    <d v="2016-10-04T09:43:36"/>
    <m/>
    <d v="2016-10-04T09:48:46"/>
    <d v="2016-10-04T09:43:37"/>
    <s v=""/>
    <m/>
    <m/>
  </r>
  <r>
    <n v="1995"/>
    <x v="0"/>
    <x v="20"/>
    <s v="nervous"/>
    <s v="adj."/>
    <s v="紧张的"/>
    <d v="2016-10-04T09:43:41"/>
    <d v="2016-10-04T10:01:26"/>
    <d v="2016-10-04T10:01:25"/>
    <m/>
    <d v="2016-10-04T10:03:47"/>
    <d v="2016-10-04T10:01:26"/>
    <s v=""/>
    <m/>
    <m/>
  </r>
  <r>
    <n v="1996"/>
    <x v="0"/>
    <x v="20"/>
    <s v="scientist"/>
    <s v="n."/>
    <s v="科学家"/>
    <d v="2016-10-04T09:43:49"/>
    <d v="2016-10-04T09:43:51"/>
    <d v="2016-10-04T09:43:50"/>
    <m/>
    <d v="2016-10-04T09:48:58"/>
    <d v="2016-10-04T09:43:51"/>
    <s v=""/>
    <m/>
    <m/>
  </r>
  <r>
    <n v="1997"/>
    <x v="0"/>
    <x v="20"/>
    <s v="playground"/>
    <s v="n."/>
    <s v="操场；运动场"/>
    <d v="2016-10-04T09:43:54"/>
    <d v="2016-10-04T09:43:56"/>
    <d v="2016-10-04T09:43:55"/>
    <m/>
    <d v="2016-10-04T09:49:03"/>
    <d v="2016-10-04T09:43:56"/>
    <s v=""/>
    <m/>
    <m/>
  </r>
  <r>
    <n v="1998"/>
    <x v="0"/>
    <x v="20"/>
    <s v="be full of"/>
    <s v="phrase"/>
    <s v="充满；拥挤着"/>
    <d v="2016-10-04T09:44:00"/>
    <d v="2016-10-04T09:44:03"/>
    <d v="2016-10-04T09:44:02"/>
    <m/>
    <d v="2016-10-04T09:49:11"/>
    <d v="2016-10-04T09:44:03"/>
    <s v=""/>
    <m/>
    <m/>
  </r>
  <r>
    <n v="1999"/>
    <x v="0"/>
    <x v="20"/>
    <s v="frightened"/>
    <s v="adj."/>
    <s v="受惊吓的"/>
    <d v="2016-10-04T09:44:07"/>
    <d v="2016-10-04T10:01:20"/>
    <d v="2016-10-04T10:01:19"/>
    <m/>
    <d v="2016-10-04T10:03:53"/>
    <d v="2016-10-04T10:01:20"/>
    <s v=""/>
    <m/>
    <m/>
  </r>
  <r>
    <n v="2000"/>
    <x v="0"/>
    <x v="20"/>
    <s v="miserable"/>
    <s v="adj."/>
    <s v="可怜的"/>
    <d v="2016-10-04T09:44:13"/>
    <d v="2016-10-04T10:00:10"/>
    <d v="2016-10-04T10:00:09"/>
    <m/>
    <d v="2016-10-04T10:04:00"/>
    <d v="2016-10-04T10:00:10"/>
    <s v=""/>
    <m/>
    <m/>
  </r>
  <r>
    <n v="2001"/>
    <x v="0"/>
    <x v="20"/>
    <s v="terrible"/>
    <s v="adj."/>
    <s v="可怕的"/>
    <d v="2016-10-04T09:44:53"/>
    <d v="2016-10-04T09:44:56"/>
    <d v="2016-10-04T09:44:55"/>
    <m/>
    <d v="2016-10-04T09:49:34"/>
    <d v="2016-10-04T09:44:56"/>
    <s v=""/>
    <m/>
    <m/>
  </r>
  <r>
    <n v="2002"/>
    <x v="0"/>
    <x v="20"/>
    <s v="primary"/>
    <s v="adj."/>
    <s v="初级的"/>
    <d v="2016-10-04T09:45:00"/>
    <d v="2016-10-04T09:45:04"/>
    <d v="2016-10-04T09:45:02"/>
    <m/>
    <d v="2016-10-04T09:49:41"/>
    <d v="2016-10-04T09:45:04"/>
    <s v=""/>
    <m/>
    <m/>
  </r>
  <r>
    <n v="2003"/>
    <x v="0"/>
    <x v="20"/>
    <s v="primary school"/>
    <s v="n. phr."/>
    <s v="小学"/>
    <d v="2016-10-04T09:45:07"/>
    <d v="2016-10-04T09:45:09"/>
    <d v="2016-10-04T09:45:08"/>
    <m/>
    <d v="2016-10-04T09:49:46"/>
    <d v="2016-10-04T09:45:09"/>
    <s v=""/>
    <m/>
    <m/>
  </r>
  <r>
    <n v="2004"/>
    <x v="0"/>
    <x v="20"/>
    <s v="sports ground"/>
    <s v="n. phr."/>
    <s v="运动场"/>
    <d v="2016-10-04T09:45:19"/>
    <d v="2016-10-04T09:45:22"/>
    <d v="2016-10-04T09:45:21"/>
    <m/>
    <d v="2016-10-04T09:49:52"/>
    <d v="2016-10-04T09:45:22"/>
    <s v=""/>
    <m/>
    <m/>
  </r>
  <r>
    <n v="2005"/>
    <x v="0"/>
    <x v="20"/>
    <s v="timetable"/>
    <s v="n."/>
    <s v="时刻表"/>
    <d v="2016-10-04T09:45:26"/>
    <d v="2016-10-04T09:45:28"/>
    <d v="2016-10-04T09:45:27"/>
    <m/>
    <d v="2016-10-04T09:49:59"/>
    <d v="2016-10-04T09:45:28"/>
    <s v=""/>
    <m/>
    <m/>
  </r>
  <r>
    <n v="2006"/>
    <x v="0"/>
    <x v="20"/>
    <s v="realise"/>
    <s v="v."/>
    <s v="意识到"/>
    <d v="2016-10-04T09:45:32"/>
    <d v="2016-10-04T09:59:48"/>
    <d v="2016-10-04T09:59:46"/>
    <m/>
    <d v="2016-10-04T10:04:15"/>
    <d v="2016-10-04T09:59:48"/>
    <s v=""/>
    <m/>
    <m/>
  </r>
  <r>
    <n v="2007"/>
    <x v="0"/>
    <x v="20"/>
    <s v="not at all"/>
    <s v="adv. phr."/>
    <s v="根本不"/>
    <d v="2016-10-04T09:45:40"/>
    <d v="2016-10-04T09:53:43"/>
    <d v="2016-10-04T09:53:42"/>
    <m/>
    <d v="2016-10-04T10:04:31"/>
    <d v="2016-10-04T09:53:43"/>
    <s v=""/>
    <m/>
    <m/>
  </r>
  <r>
    <n v="2008"/>
    <x v="0"/>
    <x v="20"/>
    <s v="at the end of"/>
    <s v="phrase"/>
    <s v="在…的尽头"/>
    <d v="2016-10-04T09:45:48"/>
    <d v="2016-10-04T09:53:38"/>
    <d v="2016-10-04T09:53:36"/>
    <m/>
    <d v="2016-10-04T10:04:34"/>
    <d v="2016-10-04T09:53:38"/>
    <s v=""/>
    <m/>
    <m/>
  </r>
  <r>
    <n v="2009"/>
    <x v="0"/>
    <x v="20"/>
    <s v="confident"/>
    <s v="adj."/>
    <s v="自信的"/>
    <d v="2016-10-04T09:45:55"/>
    <d v="2016-10-04T09:53:32"/>
    <d v="2016-10-04T09:53:31"/>
    <m/>
    <d v="2016-10-04T10:04:40"/>
    <d v="2016-10-04T09:53:32"/>
    <s v=""/>
    <m/>
    <m/>
  </r>
  <r>
    <n v="2010"/>
    <x v="0"/>
    <x v="20"/>
    <s v="adjective"/>
    <s v="n."/>
    <s v="形容词"/>
    <d v="2016-10-04T09:46:02"/>
    <d v="2016-10-04T09:46:06"/>
    <d v="2016-10-04T09:46:05"/>
    <m/>
    <d v="2016-10-04T09:50:37"/>
    <d v="2016-10-04T09:46:06"/>
    <s v=""/>
    <m/>
    <m/>
  </r>
  <r>
    <n v="2011"/>
    <x v="0"/>
    <x v="20"/>
    <s v="feeling"/>
    <s v="n."/>
    <s v="感受"/>
    <d v="2016-10-04T09:46:12"/>
    <d v="2016-10-04T09:53:26"/>
    <d v="2016-10-04T09:53:25"/>
    <m/>
    <d v="2016-10-04T10:04:45"/>
    <d v="2016-10-04T09:53:26"/>
    <s v=""/>
    <m/>
    <m/>
  </r>
  <r>
    <n v="2012"/>
    <x v="0"/>
    <x v="20"/>
    <s v="amused"/>
    <s v="adj."/>
    <s v="愉快的，开心的"/>
    <d v="2016-10-04T09:46:20"/>
    <d v="2016-10-04T09:46:22"/>
    <d v="2016-10-04T09:46:21"/>
    <m/>
    <d v="2016-10-04T09:50:51"/>
    <d v="2016-10-04T09:46:22"/>
    <s v=""/>
    <m/>
    <m/>
  </r>
  <r>
    <n v="2013"/>
    <x v="0"/>
    <x v="20"/>
    <s v="bored"/>
    <s v="adj."/>
    <s v="无聊的，烦人的"/>
    <d v="2016-10-06T11:11:53"/>
    <d v="2016-10-06T11:17:31"/>
    <d v="2016-10-06T11:17:31"/>
    <m/>
    <d v="2016-10-06T11:17:40"/>
    <d v="2016-10-06T11:17:31"/>
    <s v=""/>
    <m/>
    <m/>
  </r>
  <r>
    <n v="2014"/>
    <x v="0"/>
    <x v="20"/>
    <s v="amusing"/>
    <s v="adj."/>
    <s v="好笑的；有趣的"/>
    <d v="2016-10-06T11:11:56"/>
    <d v="2016-10-06T11:22:44"/>
    <d v="2016-10-06T11:22:44"/>
    <m/>
    <d v="2016-10-06T12:04:03"/>
    <d v="2016-10-06T11:22:44"/>
    <s v=""/>
    <m/>
    <m/>
  </r>
  <r>
    <n v="2015"/>
    <x v="0"/>
    <x v="20"/>
    <s v="frightening"/>
    <s v="adj."/>
    <s v="令人恐怖的"/>
    <d v="2016-10-06T11:11:59"/>
    <d v="2016-10-06T11:22:52"/>
    <d v="2016-10-06T11:22:51"/>
    <m/>
    <d v="2016-10-06T12:04:18"/>
    <d v="2016-10-06T11:22:52"/>
    <s v=""/>
    <m/>
    <m/>
  </r>
  <r>
    <n v="2016"/>
    <x v="0"/>
    <x v="20"/>
    <s v="tiring"/>
    <s v="adj."/>
    <s v="令人疲倦的"/>
    <d v="2016-10-06T11:12:03"/>
    <d v="2016-10-06T11:13:20"/>
    <d v="2016-10-06T11:13:20"/>
    <m/>
    <d v="2016-10-06T11:18:18"/>
    <d v="2016-10-06T11:13:20"/>
    <s v=""/>
    <m/>
    <m/>
  </r>
  <r>
    <n v="2017"/>
    <x v="0"/>
    <x v="20"/>
    <s v="programme"/>
    <s v="n."/>
    <s v="节目"/>
    <d v="2016-10-06T11:13:24"/>
    <d v="2016-10-06T11:13:23"/>
    <d v="2016-10-06T11:13:23"/>
    <m/>
    <d v="2016-10-06T11:18:23"/>
    <d v="2016-10-06T11:13:24"/>
    <s v=""/>
    <m/>
    <m/>
  </r>
  <r>
    <n v="2018"/>
    <x v="0"/>
    <x v="20"/>
    <s v="past tense"/>
    <s v="n. phr."/>
    <s v="过去式"/>
    <d v="2016-10-06T11:13:26"/>
    <d v="2016-10-06T11:13:27"/>
    <d v="2016-10-06T11:13:26"/>
    <m/>
    <d v="2016-10-06T11:18:28"/>
    <d v="2016-10-06T11:13:27"/>
    <s v=""/>
    <m/>
    <m/>
  </r>
  <r>
    <n v="2019"/>
    <x v="0"/>
    <x v="20"/>
    <s v="negative"/>
    <s v="n."/>
    <s v="否定词；否定句"/>
    <d v="2016-10-06T11:13:32"/>
    <d v="2016-10-06T11:22:58"/>
    <d v="2016-10-06T11:22:58"/>
    <m/>
    <d v="2016-10-06T12:04:33"/>
    <d v="2016-10-06T11:22:58"/>
    <s v=""/>
    <m/>
    <m/>
  </r>
  <r>
    <n v="2020"/>
    <x v="0"/>
    <x v="20"/>
    <s v="interview"/>
    <s v="n."/>
    <s v="采访；面试"/>
    <d v="2016-10-06T11:13:40"/>
    <d v="2016-10-06T11:23:04"/>
    <d v="2016-10-06T11:23:03"/>
    <m/>
    <d v="2016-10-06T12:04:35"/>
    <d v="2016-10-06T11:23:04"/>
    <s v=""/>
    <m/>
    <m/>
  </r>
  <r>
    <n v="2021"/>
    <x v="0"/>
    <x v="20"/>
    <s v="historian"/>
    <s v="n."/>
    <s v="历史学家"/>
    <d v="2016-10-06T11:13:50"/>
    <d v="2016-10-06T11:23:14"/>
    <d v="2016-10-06T11:23:13"/>
    <m/>
    <d v="2016-10-06T12:04:38"/>
    <d v="2016-10-06T11:23:14"/>
    <s v=""/>
    <m/>
    <m/>
  </r>
  <r>
    <n v="2022"/>
    <x v="0"/>
    <x v="20"/>
    <s v="reporter"/>
    <s v="n."/>
    <s v="记者"/>
    <d v="2016-10-06T11:13:53"/>
    <d v="2016-10-06T11:13:54"/>
    <d v="2016-10-06T11:13:54"/>
    <m/>
    <d v="2016-10-06T11:18:49"/>
    <d v="2016-10-06T11:13:54"/>
    <s v=""/>
    <m/>
    <m/>
  </r>
  <r>
    <n v="2023"/>
    <x v="0"/>
    <x v="20"/>
    <s v="education"/>
    <s v="n."/>
    <s v="教育"/>
    <d v="2016-10-06T11:13:59"/>
    <d v="2016-10-06T11:23:22"/>
    <d v="2016-10-06T11:23:21"/>
    <m/>
    <d v="2016-10-06T12:04:42"/>
    <d v="2016-10-06T11:23:22"/>
    <s v=""/>
    <m/>
    <m/>
  </r>
  <r>
    <n v="2024"/>
    <x v="0"/>
    <x v="20"/>
    <s v="century"/>
    <s v="n."/>
    <s v="世纪"/>
    <d v="2016-10-06T11:14:11"/>
    <d v="2016-10-06T11:14:12"/>
    <d v="2016-10-06T11:14:11"/>
    <m/>
    <d v="2016-10-06T11:19:00"/>
    <d v="2016-10-06T11:14:12"/>
    <s v=""/>
    <m/>
    <m/>
  </r>
  <r>
    <n v="2025"/>
    <x v="0"/>
    <x v="20"/>
    <s v="evening class"/>
    <s v="n. phr."/>
    <s v="夜校"/>
    <d v="2016-10-06T11:14:14"/>
    <d v="2016-10-06T11:14:15"/>
    <d v="2016-10-06T11:14:15"/>
    <m/>
    <d v="2016-10-06T11:19:03"/>
    <d v="2016-10-06T11:14:15"/>
    <s v=""/>
    <m/>
    <m/>
  </r>
  <r>
    <n v="2026"/>
    <x v="0"/>
    <x v="20"/>
    <s v="adult"/>
    <s v="n."/>
    <s v="成年人"/>
    <d v="2016-10-06T11:14:17"/>
    <d v="2016-10-06T11:14:18"/>
    <d v="2016-10-06T11:14:18"/>
    <m/>
    <d v="2016-10-06T11:19:06"/>
    <d v="2016-10-06T11:14:18"/>
    <s v=""/>
    <m/>
    <m/>
  </r>
  <r>
    <n v="2027"/>
    <x v="0"/>
    <x v="20"/>
    <s v="engineer"/>
    <s v="n."/>
    <s v="工程师"/>
    <d v="2016-10-06T11:14:25"/>
    <d v="2016-10-06T11:14:26"/>
    <d v="2016-10-06T11:14:25"/>
    <m/>
    <d v="2016-10-06T11:19:09"/>
    <d v="2016-10-06T11:14:26"/>
    <s v=""/>
    <m/>
    <m/>
  </r>
  <r>
    <n v="2028"/>
    <x v="0"/>
    <x v="20"/>
    <s v="few"/>
    <s v="pron."/>
    <s v="很少，几乎没有"/>
    <d v="2016-10-06T11:14:31"/>
    <d v="2016-10-06T12:06:13"/>
    <d v="2016-10-06T12:06:12"/>
    <m/>
    <d v="2016-10-06T12:06:22"/>
    <d v="2016-10-06T12:06:13"/>
    <s v=""/>
    <m/>
    <m/>
  </r>
  <r>
    <n v="2029"/>
    <x v="0"/>
    <x v="20"/>
    <s v="at least"/>
    <s v="adv. phr."/>
    <s v="至少"/>
    <d v="2016-10-06T11:14:34"/>
    <d v="2016-10-06T11:14:35"/>
    <d v="2016-10-06T11:14:34"/>
    <m/>
    <d v="2016-10-06T11:19:19"/>
    <d v="2016-10-06T11:14:35"/>
    <s v=""/>
    <m/>
    <m/>
  </r>
  <r>
    <n v="2030"/>
    <x v="0"/>
    <x v="20"/>
    <s v="exchange"/>
    <s v="v."/>
    <s v="交换"/>
    <d v="2016-10-06T11:14:37"/>
    <d v="2016-10-06T12:02:38"/>
    <d v="2016-10-06T12:02:38"/>
    <m/>
    <d v="2016-10-06T12:04:56"/>
    <d v="2016-10-06T12:02:38"/>
    <s v=""/>
    <m/>
    <m/>
  </r>
  <r>
    <n v="2031"/>
    <x v="0"/>
    <x v="20"/>
    <s v="raise"/>
    <s v="v."/>
    <s v="举起"/>
    <d v="2016-10-06T11:14:44"/>
    <d v="2016-10-06T11:14:44"/>
    <d v="2016-10-06T11:14:44"/>
    <m/>
    <d v="2016-10-06T11:19:53"/>
    <d v="2016-10-06T11:14:44"/>
    <s v=""/>
    <m/>
    <m/>
  </r>
  <r>
    <n v="2032"/>
    <x v="0"/>
    <x v="20"/>
    <s v="bingo"/>
    <s v="n."/>
    <s v="宾果（一种游戏）"/>
    <d v="2016-10-06T11:15:11"/>
    <d v="2016-10-06T11:15:13"/>
    <d v="2016-10-06T11:15:12"/>
    <m/>
    <d v="2016-10-06T11:19:56"/>
    <d v="2016-10-06T11:15:13"/>
    <s v=""/>
    <m/>
    <m/>
  </r>
  <r>
    <n v="2033"/>
    <x v="0"/>
    <x v="20"/>
    <s v="customer"/>
    <s v="n."/>
    <s v="顾客"/>
    <d v="2016-10-06T11:15:15"/>
    <d v="2016-10-06T12:02:42"/>
    <d v="2016-10-06T12:02:42"/>
    <m/>
    <d v="2016-10-06T12:05:00"/>
    <d v="2016-10-06T12:02:42"/>
    <s v=""/>
    <m/>
    <m/>
  </r>
  <r>
    <n v="2034"/>
    <x v="0"/>
    <x v="20"/>
    <s v="complain"/>
    <s v="v."/>
    <s v="抱怨；投诉"/>
    <d v="2016-10-06T11:15:22"/>
    <d v="2016-10-06T12:02:46"/>
    <d v="2016-10-06T12:02:44"/>
    <m/>
    <d v="2016-10-06T12:05:04"/>
    <d v="2016-10-06T12:02:46"/>
    <s v=""/>
    <m/>
    <m/>
  </r>
  <r>
    <n v="2035"/>
    <x v="0"/>
    <x v="20"/>
    <s v="waiter"/>
    <s v="n."/>
    <s v="服务生，侍者"/>
    <d v="2016-10-06T11:15:28"/>
    <d v="2016-10-06T11:15:29"/>
    <d v="2016-10-06T11:15:28"/>
    <m/>
    <d v="2016-10-06T11:20:20"/>
    <d v="2016-10-06T11:15:29"/>
    <s v=""/>
    <m/>
    <m/>
  </r>
  <r>
    <n v="2036"/>
    <x v="0"/>
    <x v="20"/>
    <s v="annoyed"/>
    <s v="adj."/>
    <s v="苦恼的；生气的"/>
    <d v="2016-10-06T11:15:35"/>
    <d v="2016-10-06T11:15:36"/>
    <d v="2016-10-06T11:15:35"/>
    <m/>
    <d v="2016-10-06T11:20:23"/>
    <d v="2016-10-06T11:15:36"/>
    <s v=""/>
    <m/>
    <m/>
  </r>
  <r>
    <n v="2037"/>
    <x v="0"/>
    <x v="20"/>
    <s v="term"/>
    <s v="n."/>
    <s v="学期"/>
    <d v="2016-10-06T11:15:39"/>
    <d v="2016-10-06T12:02:51"/>
    <d v="2016-10-06T12:02:50"/>
    <m/>
    <d v="2016-10-06T12:05:07"/>
    <d v="2016-10-06T12:02:51"/>
    <s v=""/>
    <m/>
    <m/>
  </r>
  <r>
    <n v="2038"/>
    <x v="0"/>
    <x v="20"/>
    <s v="favourite"/>
    <s v="adj."/>
    <s v="最喜爱的"/>
    <d v="2016-10-06T11:15:42"/>
    <d v="2016-10-06T11:15:43"/>
    <d v="2016-10-06T11:15:43"/>
    <m/>
    <d v="2016-10-06T11:20:34"/>
    <d v="2016-10-06T11:15:43"/>
    <s v=""/>
    <m/>
    <m/>
  </r>
  <r>
    <n v="2039"/>
    <x v="0"/>
    <x v="20"/>
    <s v="topic"/>
    <s v="n."/>
    <s v="话题，主题"/>
    <d v="2016-10-06T11:15:45"/>
    <d v="2016-10-06T11:15:46"/>
    <d v="2016-10-06T11:15:46"/>
    <m/>
    <d v="2016-10-06T11:20:37"/>
    <d v="2016-10-06T11:15:46"/>
    <s v=""/>
    <m/>
    <m/>
  </r>
  <r>
    <n v="2040"/>
    <x v="0"/>
    <x v="20"/>
    <s v="position"/>
    <s v="n."/>
    <s v="位置，职位"/>
    <d v="2016-10-06T11:15:48"/>
    <d v="2016-10-06T12:02:58"/>
    <d v="2016-10-06T12:02:58"/>
    <m/>
    <d v="2016-10-06T12:05:25"/>
    <d v="2016-10-06T12:02:58"/>
    <s v=""/>
    <m/>
    <m/>
  </r>
  <r>
    <n v="2041"/>
    <x v="0"/>
    <x v="20"/>
    <s v="physics"/>
    <s v="n."/>
    <s v="物理学"/>
    <d v="2016-10-06T11:15:56"/>
    <d v="2016-10-06T12:03:06"/>
    <d v="2016-10-06T12:03:05"/>
    <m/>
    <d v="2016-10-06T12:05:28"/>
    <d v="2016-10-06T12:03:06"/>
    <s v=""/>
    <m/>
    <m/>
  </r>
  <r>
    <n v="2042"/>
    <x v="0"/>
    <x v="20"/>
    <s v="revision"/>
    <s v="n."/>
    <s v="复习"/>
    <d v="2016-10-06T11:16:00"/>
    <d v="2016-10-06T12:06:15"/>
    <d v="2016-10-06T12:06:14"/>
    <m/>
    <d v="2016-10-06T12:06:25"/>
    <d v="2016-10-06T12:06:15"/>
    <s v=""/>
    <m/>
    <m/>
  </r>
  <r>
    <n v="2043"/>
    <x v="0"/>
    <x v="20"/>
    <s v="concert"/>
    <s v="n."/>
    <s v="音乐会"/>
    <d v="2016-10-06T11:16:07"/>
    <d v="2016-10-06T11:16:08"/>
    <d v="2016-10-06T11:16:08"/>
    <m/>
    <d v="2016-10-06T11:20:55"/>
    <d v="2016-10-06T11:16:08"/>
    <s v=""/>
    <m/>
    <m/>
  </r>
  <r>
    <n v="2044"/>
    <x v="0"/>
    <x v="20"/>
    <s v="odd"/>
    <s v="adj."/>
    <s v="与其他不同的"/>
    <d v="2016-10-06T11:16:11"/>
    <d v="2016-10-06T12:03:14"/>
    <d v="2016-10-06T12:03:14"/>
    <m/>
    <d v="2016-10-06T12:05:38"/>
    <d v="2016-10-06T12:03:14"/>
    <s v=""/>
    <m/>
    <m/>
  </r>
  <r>
    <n v="2045"/>
    <x v="0"/>
    <x v="20"/>
    <s v="helicopter"/>
    <s v="n."/>
    <s v="直升机"/>
    <d v="2016-10-06T11:16:21"/>
    <d v="2016-10-06T11:16:22"/>
    <d v="2016-10-06T11:16:21"/>
    <m/>
    <d v="2016-10-06T11:21:04"/>
    <d v="2016-10-06T11:16:22"/>
    <s v=""/>
    <m/>
    <m/>
  </r>
  <r>
    <n v="2046"/>
    <x v="0"/>
    <x v="20"/>
    <s v="tram"/>
    <s v="n."/>
    <s v="有轨电车"/>
    <d v="2016-10-06T11:16:24"/>
    <d v="2016-10-06T12:03:21"/>
    <d v="2016-10-06T12:03:20"/>
    <m/>
    <d v="2016-10-06T12:05:42"/>
    <d v="2016-10-06T12:03:21"/>
    <s v=""/>
    <m/>
    <m/>
  </r>
  <r>
    <n v="2047"/>
    <x v="0"/>
    <x v="20"/>
    <s v="slim"/>
    <s v="adj."/>
    <s v="苗条的"/>
    <d v="2016-10-06T11:16:30"/>
    <d v="2016-10-06T11:16:31"/>
    <d v="2016-10-06T11:16:30"/>
    <m/>
    <d v="2016-10-06T11:21:11"/>
    <d v="2016-10-06T11:16:31"/>
    <s v=""/>
    <m/>
    <m/>
  </r>
  <r>
    <n v="2048"/>
    <x v="0"/>
    <x v="20"/>
    <s v="ferry"/>
    <s v="n."/>
    <s v="渡船"/>
    <d v="2016-10-06T11:16:33"/>
    <d v="2016-10-06T12:03:30"/>
    <d v="2016-10-06T12:03:29"/>
    <m/>
    <d v="2016-10-06T12:05:55"/>
    <d v="2016-10-06T12:03:30"/>
    <s v=""/>
    <m/>
    <m/>
  </r>
  <r>
    <n v="2049"/>
    <x v="0"/>
    <x v="20"/>
    <s v="colleague"/>
    <s v="n."/>
    <s v="同事"/>
    <d v="2016-10-06T11:16:36"/>
    <d v="2016-10-06T12:03:34"/>
    <d v="2016-10-06T12:03:34"/>
    <m/>
    <d v="2016-10-06T12:05:59"/>
    <d v="2016-10-06T12:03:34"/>
    <s v=""/>
    <m/>
    <m/>
  </r>
  <r>
    <n v="2050"/>
    <x v="0"/>
    <x v="20"/>
    <s v="joke"/>
    <s v="n."/>
    <s v="玩笑；笑话"/>
    <d v="2016-10-06T11:16:38"/>
    <d v="2016-10-06T11:16:41"/>
    <d v="2016-10-06T11:16:39"/>
    <m/>
    <d v="2016-10-06T11:21:25"/>
    <d v="2016-10-06T11:16:41"/>
    <s v=""/>
    <m/>
    <m/>
  </r>
  <r>
    <n v="2051"/>
    <x v="0"/>
    <x v="20"/>
    <s v="mechanic"/>
    <s v="n."/>
    <s v="机械师"/>
    <d v="2016-10-06T11:16:44"/>
    <d v="2016-10-06T12:03:43"/>
    <d v="2016-10-06T12:03:43"/>
    <m/>
    <d v="2016-10-06T12:06:02"/>
    <d v="2016-10-06T12:03:43"/>
    <s v=""/>
    <m/>
    <m/>
  </r>
  <r>
    <n v="2052"/>
    <x v="0"/>
    <x v="20"/>
    <s v="cousin"/>
    <s v="n."/>
    <s v="堂（表）兄弟姐妹"/>
    <d v="2016-10-06T11:16:49"/>
    <d v="2016-10-06T11:16:50"/>
    <d v="2016-10-06T11:16:49"/>
    <m/>
    <d v="2016-10-06T11:21:34"/>
    <d v="2016-10-06T11:16:50"/>
    <s v=""/>
    <m/>
    <m/>
  </r>
  <r>
    <n v="2053"/>
    <x v="0"/>
    <x v="21"/>
    <s v="supermarket"/>
    <s v="n."/>
    <s v="超级市场"/>
    <d v="2016-10-07T10:00:58"/>
    <d v="2016-10-07T10:00:59"/>
    <d v="2016-10-07T10:00:58"/>
    <m/>
    <d v="2016-10-07T10:02:30"/>
    <d v="2016-10-07T10:00:59"/>
    <s v=""/>
    <m/>
    <m/>
  </r>
  <r>
    <n v="2054"/>
    <x v="0"/>
    <x v="21"/>
    <s v="square"/>
    <s v="n."/>
    <s v="广场；正方形"/>
    <d v="2016-10-07T10:01:01"/>
    <d v="2016-10-07T10:01:02"/>
    <d v="2016-10-07T10:01:01"/>
    <m/>
    <d v="2016-10-07T10:02:34"/>
    <d v="2016-10-07T10:01:02"/>
    <s v=""/>
    <m/>
    <m/>
  </r>
  <r>
    <n v="2055"/>
    <x v="0"/>
    <x v="21"/>
    <s v="greengrocer"/>
    <s v="n."/>
    <s v="果蔬商；果蔬店"/>
    <d v="2016-10-07T10:01:04"/>
    <d v="2016-10-07T10:04:28"/>
    <d v="2016-10-07T10:04:27"/>
    <m/>
    <d v="2016-10-07T10:05:09"/>
    <d v="2016-10-07T10:04:28"/>
    <s v=""/>
    <m/>
    <m/>
  </r>
  <r>
    <n v="2056"/>
    <x v="0"/>
    <x v="21"/>
    <s v="entrance"/>
    <s v="n."/>
    <s v="入口，大门"/>
    <d v="2016-10-07T10:01:08"/>
    <d v="2016-10-07T10:04:30"/>
    <d v="2016-10-07T10:04:30"/>
    <m/>
    <d v="2016-10-07T10:05:11"/>
    <d v="2016-10-07T10:04:30"/>
    <s v=""/>
    <m/>
    <m/>
  </r>
  <r>
    <n v="2057"/>
    <x v="0"/>
    <x v="21"/>
    <s v="pedestrian"/>
    <s v="n."/>
    <s v="行人"/>
    <d v="2016-10-07T10:01:11"/>
    <d v="2016-10-07T10:04:33"/>
    <d v="2016-10-07T10:04:32"/>
    <m/>
    <d v="2016-10-07T10:05:15"/>
    <d v="2016-10-07T10:04:33"/>
    <s v=""/>
    <m/>
    <m/>
  </r>
  <r>
    <n v="2058"/>
    <x v="0"/>
    <x v="21"/>
    <s v="pedestrian"/>
    <s v="adj."/>
    <s v="行人的"/>
    <d v="2016-10-07T10:01:13"/>
    <d v="2016-10-07T10:04:37"/>
    <d v="2016-10-07T10:04:35"/>
    <m/>
    <d v="2016-10-07T10:05:19"/>
    <d v="2016-10-07T10:04:37"/>
    <s v=""/>
    <m/>
    <m/>
  </r>
  <r>
    <n v="2059"/>
    <x v="0"/>
    <x v="21"/>
    <s v="crossing"/>
    <s v="n."/>
    <s v="十字路口"/>
    <d v="2016-10-07T10:01:16"/>
    <d v="2016-10-07T10:04:40"/>
    <d v="2016-10-07T10:04:39"/>
    <m/>
    <d v="2016-10-07T10:05:35"/>
    <d v="2016-10-07T10:04:40"/>
    <s v=""/>
    <m/>
    <m/>
  </r>
  <r>
    <n v="2060"/>
    <x v="0"/>
    <x v="21"/>
    <s v="pedestrian crossing"/>
    <s v="n. phr."/>
    <s v="人行横道"/>
    <d v="2016-10-07T10:01:19"/>
    <d v="2016-10-07T10:01:20"/>
    <d v="2016-10-07T10:01:20"/>
    <m/>
    <d v="2016-10-07T10:03:06"/>
    <d v="2016-10-07T10:01:20"/>
    <s v=""/>
    <m/>
    <m/>
  </r>
  <r>
    <n v="2061"/>
    <x v="0"/>
    <x v="21"/>
    <s v="park"/>
    <s v="n."/>
    <s v="停车场"/>
    <d v="2016-10-07T10:01:22"/>
    <d v="2016-10-07T10:01:22"/>
    <d v="2016-10-07T10:01:22"/>
    <m/>
    <d v="2016-10-07T10:03:10"/>
    <d v="2016-10-07T10:01:22"/>
    <s v=""/>
    <m/>
    <m/>
  </r>
  <r>
    <n v="2062"/>
    <x v="0"/>
    <x v="21"/>
    <s v="park"/>
    <s v="v."/>
    <s v="停车"/>
    <d v="2016-10-07T10:01:24"/>
    <d v="2016-10-07T10:01:25"/>
    <d v="2016-10-07T10:01:25"/>
    <m/>
    <d v="2016-10-07T10:03:14"/>
    <d v="2016-10-07T10:01:25"/>
    <s v=""/>
    <m/>
    <m/>
  </r>
  <r>
    <n v="2063"/>
    <x v="0"/>
    <x v="21"/>
    <s v="opposite"/>
    <s v="prep."/>
    <s v="在…对面"/>
    <d v="2016-10-07T10:01:27"/>
    <d v="2016-10-07T10:04:44"/>
    <d v="2016-10-07T10:04:43"/>
    <m/>
    <d v="2016-10-07T10:05:38"/>
    <d v="2016-10-07T10:04:44"/>
    <s v=""/>
    <m/>
    <m/>
  </r>
  <r>
    <n v="2064"/>
    <x v="0"/>
    <x v="21"/>
    <s v="corner"/>
    <s v="n."/>
    <s v="角落"/>
    <d v="2016-10-07T10:01:31"/>
    <d v="2016-10-07T10:06:11"/>
    <d v="2016-10-07T10:06:10"/>
    <m/>
    <d v="2016-10-07T10:06:17"/>
    <d v="2016-10-07T10:06:11"/>
    <s v=""/>
    <m/>
    <m/>
  </r>
  <r>
    <n v="2065"/>
    <x v="0"/>
    <x v="21"/>
    <s v="stadium"/>
    <s v="n."/>
    <s v="体育场"/>
    <d v="2016-10-07T10:01:33"/>
    <d v="2016-10-07T10:01:35"/>
    <d v="2016-10-07T10:01:34"/>
    <m/>
    <d v="2016-10-07T10:03:29"/>
    <d v="2016-10-07T10:01:35"/>
    <s v=""/>
    <m/>
    <m/>
  </r>
  <r>
    <n v="2066"/>
    <x v="0"/>
    <x v="21"/>
    <s v="one-way street"/>
    <s v="n. phr."/>
    <s v="单行道"/>
    <d v="2016-10-07T10:01:36"/>
    <d v="2016-10-07T10:01:37"/>
    <d v="2016-10-07T10:01:37"/>
    <m/>
    <d v="2016-10-07T10:03:34"/>
    <d v="2016-10-07T10:01:37"/>
    <s v=""/>
    <m/>
    <m/>
  </r>
  <r>
    <n v="2067"/>
    <x v="0"/>
    <x v="21"/>
    <s v="kiosk"/>
    <s v="n."/>
    <s v="书报亭，报摊"/>
    <d v="2016-10-07T10:01:40"/>
    <d v="2016-10-07T10:04:49"/>
    <d v="2016-10-07T10:04:48"/>
    <m/>
    <d v="2016-10-07T10:05:46"/>
    <d v="2016-10-07T10:04:49"/>
    <s v=""/>
    <m/>
    <m/>
  </r>
  <r>
    <n v="2068"/>
    <x v="0"/>
    <x v="21"/>
    <s v="taxi rank"/>
    <s v="n. phr."/>
    <s v="出租车站"/>
    <d v="2016-10-07T10:01:44"/>
    <d v="2016-10-07T10:04:52"/>
    <d v="2016-10-07T10:04:51"/>
    <m/>
    <d v="2016-10-07T10:05:50"/>
    <d v="2016-10-07T10:04:52"/>
    <s v=""/>
    <m/>
    <m/>
  </r>
  <r>
    <n v="2069"/>
    <x v="0"/>
    <x v="21"/>
    <s v="petrol station"/>
    <s v="n. phr."/>
    <s v="加油站"/>
    <d v="2016-10-07T10:01:48"/>
    <d v="2016-10-07T10:01:49"/>
    <d v="2016-10-07T10:01:49"/>
    <m/>
    <d v="2016-10-07T10:03:51"/>
    <d v="2016-10-07T10:01:49"/>
    <s v=""/>
    <m/>
    <m/>
  </r>
  <r>
    <n v="2070"/>
    <x v="0"/>
    <x v="21"/>
    <s v="traffic"/>
    <s v="n."/>
    <s v="红绿灯"/>
    <d v="2016-10-07T10:01:51"/>
    <d v="2016-10-07T10:01:53"/>
    <d v="2016-10-07T10:01:52"/>
    <m/>
    <d v="2016-10-07T10:03:56"/>
    <d v="2016-10-07T10:01:53"/>
    <s v=""/>
    <m/>
    <m/>
  </r>
  <r>
    <n v="2071"/>
    <x v="0"/>
    <x v="21"/>
    <s v="delivery"/>
    <s v="n."/>
    <s v="（包裹、货物等的）递送"/>
    <d v="2016-10-07T10:01:55"/>
    <d v="2016-10-07T10:04:55"/>
    <d v="2016-10-07T10:04:54"/>
    <m/>
    <d v="2016-10-07T10:05:59"/>
    <d v="2016-10-07T10:04:55"/>
    <s v=""/>
    <m/>
    <m/>
  </r>
  <r>
    <n v="2072"/>
    <x v="0"/>
    <x v="21"/>
    <s v="new"/>
    <s v="adj."/>
    <s v="初来乍到的"/>
    <d v="2016-10-07T10:01:58"/>
    <d v="2016-10-07T10:01:58"/>
    <d v="2016-10-07T10:01:58"/>
    <m/>
    <d v="2016-10-07T10:04:05"/>
    <d v="2016-10-07T10:01:58"/>
    <s v=""/>
    <m/>
    <m/>
  </r>
  <r>
    <n v="2073"/>
    <x v="0"/>
    <x v="21"/>
    <s v="building"/>
    <s v="n."/>
    <s v="建筑物"/>
    <d v="2016-10-07T10:02:02"/>
    <d v="2016-10-07T10:02:03"/>
    <d v="2016-10-07T10:02:02"/>
    <m/>
    <d v="2016-10-07T10:04:09"/>
    <d v="2016-10-07T10:02:03"/>
    <s v=""/>
    <m/>
    <m/>
  </r>
  <r>
    <n v="2074"/>
    <x v="0"/>
    <x v="21"/>
    <s v="direction"/>
    <s v="n."/>
    <s v="方向；指路；指引"/>
    <d v="2016-10-07T10:02:06"/>
    <d v="2016-10-07T10:02:07"/>
    <d v="2016-10-07T10:02:06"/>
    <m/>
    <d v="2016-10-07T10:04:13"/>
    <d v="2016-10-07T10:02:07"/>
    <s v=""/>
    <m/>
    <m/>
  </r>
  <r>
    <n v="2075"/>
    <x v="0"/>
    <x v="21"/>
    <s v="reply"/>
    <s v="v."/>
    <s v="回答，答复"/>
    <d v="2016-10-08T18:47:15"/>
    <d v="2016-10-08T18:47:17"/>
    <d v="2016-10-08T18:47:16"/>
    <m/>
    <d v="2016-10-08T18:50:57"/>
    <d v="2016-10-08T18:47:17"/>
    <s v=""/>
    <m/>
    <m/>
  </r>
  <r>
    <n v="2076"/>
    <x v="0"/>
    <x v="21"/>
    <s v="diagram"/>
    <s v="n."/>
    <s v="图表，示意图"/>
    <d v="2016-10-08T18:47:19"/>
    <d v="2016-10-08T18:47:21"/>
    <d v="2016-10-08T18:47:19"/>
    <m/>
    <d v="2016-10-08T18:51:01"/>
    <d v="2016-10-08T18:47:21"/>
    <s v=""/>
    <m/>
    <m/>
  </r>
  <r>
    <n v="2077"/>
    <x v="0"/>
    <x v="21"/>
    <s v="roundabout"/>
    <s v="n."/>
    <s v="环状交叉路，环岛"/>
    <d v="2016-10-08T18:47:40"/>
    <d v="2016-10-08T18:47:42"/>
    <d v="2016-10-08T18:47:41"/>
    <m/>
    <d v="2016-10-08T18:51:05"/>
    <d v="2016-10-08T18:47:42"/>
    <s v=""/>
    <m/>
    <m/>
  </r>
  <r>
    <n v="2078"/>
    <x v="0"/>
    <x v="21"/>
    <s v="step"/>
    <s v="n."/>
    <s v="台阶"/>
    <d v="2016-10-08T18:47:43"/>
    <d v="2016-10-08T19:45:29"/>
    <d v="2016-10-08T19:45:29"/>
    <m/>
    <d v="2016-10-08T19:46:06"/>
    <d v="2016-10-08T19:45:29"/>
    <s v=""/>
    <m/>
    <m/>
  </r>
  <r>
    <n v="2079"/>
    <x v="0"/>
    <x v="21"/>
    <s v="comparative"/>
    <s v="adj."/>
    <s v="比较级的"/>
    <d v="2016-10-08T18:47:48"/>
    <d v="2016-10-08T18:47:50"/>
    <d v="2016-10-08T18:47:49"/>
    <m/>
    <d v="2016-10-08T18:51:16"/>
    <d v="2016-10-08T18:47:50"/>
    <s v=""/>
    <m/>
    <m/>
  </r>
  <r>
    <n v="2080"/>
    <x v="0"/>
    <x v="21"/>
    <s v="mountain bike"/>
    <s v="n. phr."/>
    <s v="山地车"/>
    <d v="2016-10-08T18:47:52"/>
    <d v="2016-10-08T18:47:53"/>
    <d v="2016-10-08T18:47:53"/>
    <m/>
    <d v="2016-10-08T18:51:21"/>
    <d v="2016-10-08T18:47:53"/>
    <s v=""/>
    <m/>
    <m/>
  </r>
  <r>
    <n v="2081"/>
    <x v="0"/>
    <x v="21"/>
    <s v="fashionable"/>
    <s v="adj."/>
    <s v="时尚的，流行的"/>
    <d v="2016-10-08T18:47:55"/>
    <d v="2016-10-08T18:47:57"/>
    <d v="2016-10-08T18:47:56"/>
    <m/>
    <d v="2016-10-08T18:51:26"/>
    <d v="2016-10-08T18:47:57"/>
    <s v=""/>
    <m/>
    <m/>
  </r>
  <r>
    <n v="2082"/>
    <x v="0"/>
    <x v="21"/>
    <s v="end"/>
    <s v="v."/>
    <s v="以结尾"/>
    <d v="2016-10-08T18:47:58"/>
    <d v="2016-10-08T19:45:32"/>
    <d v="2016-10-08T19:45:31"/>
    <m/>
    <d v="2016-10-08T19:46:09"/>
    <d v="2016-10-08T19:45:32"/>
    <s v=""/>
    <m/>
    <m/>
  </r>
  <r>
    <n v="2083"/>
    <x v="0"/>
    <x v="21"/>
    <s v="consonant"/>
    <s v="n."/>
    <s v="辅音，辅音字母"/>
    <d v="2016-10-08T18:48:01"/>
    <d v="2016-10-08T19:45:34"/>
    <d v="2016-10-08T19:45:34"/>
    <m/>
    <d v="2016-10-08T19:46:12"/>
    <d v="2016-10-08T19:45:34"/>
    <s v=""/>
    <m/>
    <m/>
  </r>
  <r>
    <n v="2084"/>
    <x v="0"/>
    <x v="21"/>
    <s v="double"/>
    <s v="v."/>
    <s v="重复；使加倍"/>
    <d v="2016-10-08T18:48:04"/>
    <d v="2016-10-08T18:48:06"/>
    <d v="2016-10-08T18:48:05"/>
    <m/>
    <d v="2016-10-08T18:51:40"/>
    <d v="2016-10-08T18:48:06"/>
    <s v=""/>
    <m/>
    <m/>
  </r>
  <r>
    <n v="2085"/>
    <x v="0"/>
    <x v="21"/>
    <s v="compare"/>
    <s v="v."/>
    <s v="对照，比较"/>
    <d v="2016-10-08T18:48:08"/>
    <d v="2016-10-08T18:48:09"/>
    <d v="2016-10-08T18:48:09"/>
    <m/>
    <d v="2016-10-08T18:51:43"/>
    <d v="2016-10-08T18:48:09"/>
    <s v=""/>
    <m/>
    <m/>
  </r>
  <r>
    <n v="2086"/>
    <x v="0"/>
    <x v="21"/>
    <s v="the Thames"/>
    <s v="n. phr."/>
    <s v="（英国）泰晤士涧"/>
    <d v="2016-10-08T18:48:12"/>
    <d v="2016-10-08T19:45:37"/>
    <d v="2016-10-08T19:45:36"/>
    <m/>
    <d v="2016-10-08T19:46:15"/>
    <d v="2016-10-08T19:45:37"/>
    <s v=""/>
    <m/>
    <m/>
  </r>
  <r>
    <n v="2087"/>
    <x v="0"/>
    <x v="21"/>
    <s v="the Amazon"/>
    <s v="n. phr."/>
    <s v="（美洲）亚马逊河"/>
    <d v="2016-10-08T18:48:20"/>
    <d v="2016-10-08T18:48:21"/>
    <d v="2016-10-08T18:48:21"/>
    <m/>
    <d v="2016-10-08T18:51:55"/>
    <d v="2016-10-08T18:48:21"/>
    <s v=""/>
    <m/>
    <m/>
  </r>
  <r>
    <n v="2088"/>
    <x v="0"/>
    <x v="21"/>
    <s v="ring"/>
    <s v="n."/>
    <s v="戒指"/>
    <d v="2016-10-08T18:48:48"/>
    <d v="2016-10-08T18:48:49"/>
    <d v="2016-10-08T18:48:49"/>
    <m/>
    <d v="2016-10-08T18:51:58"/>
    <d v="2016-10-08T18:48:49"/>
    <s v=""/>
    <m/>
    <m/>
  </r>
  <r>
    <n v="2089"/>
    <x v="0"/>
    <x v="21"/>
    <s v="winner"/>
    <s v="n."/>
    <s v="获胜方"/>
    <d v="2016-10-08T18:48:51"/>
    <d v="2016-10-08T18:48:52"/>
    <d v="2016-10-08T18:48:52"/>
    <m/>
    <d v="2016-10-08T18:52:02"/>
    <d v="2016-10-08T18:48:52"/>
    <s v=""/>
    <m/>
    <m/>
  </r>
  <r>
    <n v="2090"/>
    <x v="0"/>
    <x v="21"/>
    <s v="maze"/>
    <s v="n."/>
    <s v="迷宫，迷魂阵"/>
    <d v="2016-10-08T18:48:54"/>
    <d v="2016-10-08T18:48:56"/>
    <d v="2016-10-08T18:48:56"/>
    <m/>
    <d v="2016-10-08T18:52:05"/>
    <d v="2016-10-08T18:48:56"/>
    <s v=""/>
    <m/>
    <m/>
  </r>
  <r>
    <n v="2091"/>
    <x v="0"/>
    <x v="21"/>
    <s v="get through"/>
    <s v="v. phr."/>
    <s v="通过"/>
    <d v="2016-10-08T18:49:01"/>
    <d v="2016-10-08T19:45:39"/>
    <d v="2016-10-08T19:45:39"/>
    <m/>
    <d v="2016-10-08T19:46:20"/>
    <d v="2016-10-08T19:45:39"/>
    <s v=""/>
    <m/>
    <m/>
  </r>
  <r>
    <n v="2092"/>
    <x v="0"/>
    <x v="21"/>
    <s v="Lincoln"/>
    <s v="n."/>
    <s v="林肯（英国城市）"/>
    <d v="2016-10-08T18:49:04"/>
    <d v="2016-10-08T18:49:05"/>
    <d v="2016-10-08T18:49:04"/>
    <m/>
    <d v="2016-10-08T18:52:14"/>
    <d v="2016-10-08T18:49:05"/>
    <s v=""/>
    <m/>
    <m/>
  </r>
  <r>
    <n v="2093"/>
    <x v="0"/>
    <x v="21"/>
    <s v="expect"/>
    <s v="v."/>
    <s v="预料；期待"/>
    <d v="2016-10-08T18:49:07"/>
    <d v="2016-10-08T18:49:07"/>
    <d v="2016-10-08T18:49:07"/>
    <m/>
    <d v="2016-10-08T18:52:19"/>
    <d v="2016-10-08T18:49:07"/>
    <s v=""/>
    <m/>
    <m/>
  </r>
  <r>
    <n v="2094"/>
    <x v="0"/>
    <x v="21"/>
    <s v="cathedral"/>
    <s v="n."/>
    <s v="大教堂"/>
    <d v="2016-10-08T18:49:09"/>
    <d v="2016-10-08T19:45:42"/>
    <d v="2016-10-08T19:45:42"/>
    <m/>
    <d v="2016-10-08T19:46:24"/>
    <d v="2016-10-08T19:45:42"/>
    <s v=""/>
    <m/>
    <m/>
  </r>
  <r>
    <n v="2095"/>
    <x v="0"/>
    <x v="21"/>
    <s v="lawn"/>
    <s v="n."/>
    <s v="草坪"/>
    <d v="2016-10-08T18:49:13"/>
    <d v="2016-10-08T19:45:48"/>
    <d v="2016-10-08T19:45:47"/>
    <m/>
    <d v="2016-10-08T19:46:28"/>
    <d v="2016-10-08T19:45:48"/>
    <s v=""/>
    <m/>
    <m/>
  </r>
  <r>
    <n v="2096"/>
    <x v="0"/>
    <x v="21"/>
    <s v="far from"/>
    <s v="prep. phr."/>
    <s v="远离"/>
    <d v="2016-10-08T18:49:16"/>
    <d v="2016-10-08T18:49:18"/>
    <d v="2016-10-08T18:49:17"/>
    <m/>
    <d v="2016-10-08T18:52:32"/>
    <d v="2016-10-08T18:49:18"/>
    <s v=""/>
    <m/>
    <m/>
  </r>
  <r>
    <n v="2097"/>
    <x v="0"/>
    <x v="21"/>
    <s v="attraction"/>
    <s v="n."/>
    <s v="吸引；吸引物"/>
    <d v="2016-10-08T18:49:20"/>
    <d v="2016-10-08T19:45:51"/>
    <d v="2016-10-08T19:45:50"/>
    <m/>
    <d v="2016-10-08T19:46:32"/>
    <d v="2016-10-08T19:45:51"/>
    <s v=""/>
    <m/>
    <m/>
  </r>
  <r>
    <n v="2098"/>
    <x v="0"/>
    <x v="21"/>
    <s v="wonderful"/>
    <s v="adj."/>
    <s v="令人惊奇的；极好的"/>
    <d v="2016-10-08T18:49:23"/>
    <d v="2016-10-08T18:49:26"/>
    <d v="2016-10-08T18:49:24"/>
    <m/>
    <d v="2016-10-08T18:52:40"/>
    <d v="2016-10-08T18:49:26"/>
    <s v=""/>
    <m/>
    <m/>
  </r>
  <r>
    <n v="2099"/>
    <x v="0"/>
    <x v="21"/>
    <s v="view"/>
    <s v="n."/>
    <s v="景色；观点"/>
    <d v="2016-10-08T18:49:28"/>
    <d v="2016-10-08T18:49:30"/>
    <d v="2016-10-08T18:49:28"/>
    <m/>
    <d v="2016-10-08T18:52:43"/>
    <d v="2016-10-08T18:49:30"/>
    <s v=""/>
    <m/>
    <m/>
  </r>
  <r>
    <n v="2100"/>
    <x v="0"/>
    <x v="21"/>
    <s v="toy"/>
    <s v="n."/>
    <s v="玩具"/>
    <d v="2016-10-08T18:49:32"/>
    <d v="2016-10-08T18:49:33"/>
    <d v="2016-10-08T18:49:32"/>
    <m/>
    <d v="2016-10-08T18:52:47"/>
    <d v="2016-10-08T18:49:33"/>
    <s v=""/>
    <m/>
    <m/>
  </r>
  <r>
    <n v="2101"/>
    <x v="0"/>
    <x v="21"/>
    <s v="on the right"/>
    <s v="prep. phr."/>
    <s v="在右侧"/>
    <d v="2016-10-08T18:49:35"/>
    <d v="2016-10-08T18:49:36"/>
    <d v="2016-10-08T18:49:36"/>
    <m/>
    <d v="2016-10-08T18:52:51"/>
    <d v="2016-10-08T18:49:36"/>
    <s v=""/>
    <m/>
    <m/>
  </r>
  <r>
    <n v="2102"/>
    <x v="0"/>
    <x v="21"/>
    <s v="St"/>
    <s v="abbr."/>
    <s v="圣（=saint）"/>
    <d v="2016-10-08T18:49:38"/>
    <d v="2016-10-08T18:49:40"/>
    <d v="2016-10-08T18:49:39"/>
    <m/>
    <d v="2016-10-08T18:52:56"/>
    <d v="2016-10-08T18:49:40"/>
    <s v=""/>
    <m/>
    <m/>
  </r>
  <r>
    <n v="2103"/>
    <x v="0"/>
    <x v="21"/>
    <s v="straight"/>
    <s v="adv."/>
    <s v="直的"/>
    <d v="2016-10-08T18:50:32"/>
    <d v="2016-10-08T19:45:56"/>
    <d v="2016-10-08T19:45:56"/>
    <m/>
    <d v="2016-10-08T19:46:42"/>
    <d v="2016-10-08T19:45:56"/>
    <s v=""/>
    <m/>
    <m/>
  </r>
  <r>
    <n v="2104"/>
    <x v="0"/>
    <x v="21"/>
    <s v="crowd"/>
    <s v="n."/>
    <s v="人群"/>
    <d v="2016-10-08T18:50:38"/>
    <d v="2016-10-08T18:50:38"/>
    <d v="2016-10-08T18:50:38"/>
    <m/>
    <d v="2016-10-08T18:53:05"/>
    <d v="2016-10-08T18:50:38"/>
    <s v=""/>
    <m/>
    <m/>
  </r>
  <r>
    <n v="2105"/>
    <x v="0"/>
    <x v="22"/>
    <s v="celebrate"/>
    <s v="v."/>
    <s v="庆祝"/>
    <d v="2016-10-09T21:21:50"/>
    <d v="2016-10-09T21:21:51"/>
    <d v="2016-10-09T21:21:51"/>
    <m/>
    <d v="2016-10-19T18:53:46"/>
    <d v="2016-10-09T21:21:51"/>
    <s v=""/>
    <m/>
    <m/>
  </r>
  <r>
    <n v="2106"/>
    <x v="0"/>
    <x v="22"/>
    <s v="congratulation"/>
    <s v="n."/>
    <s v="（常用复）视贺"/>
    <d v="2016-10-09T21:22:11"/>
    <d v="2016-10-19T19:02:06"/>
    <d v="2016-10-19T19:02:06"/>
    <m/>
    <d v="2016-10-19T19:08:11"/>
    <d v="2016-10-19T19:02:06"/>
    <s v=""/>
    <m/>
    <m/>
  </r>
  <r>
    <n v="2107"/>
    <x v="0"/>
    <x v="22"/>
    <s v="exam room"/>
    <s v="n. phr."/>
    <s v="考场"/>
    <d v="2016-10-09T21:22:16"/>
    <d v="2016-10-09T21:22:18"/>
    <d v="2016-10-09T21:22:17"/>
    <m/>
    <d v="2016-10-19T18:53:58"/>
    <d v="2016-10-09T21:22:18"/>
    <s v=""/>
    <m/>
    <m/>
  </r>
  <r>
    <n v="2108"/>
    <x v="0"/>
    <x v="22"/>
    <s v="phrase"/>
    <s v="n."/>
    <s v="短语"/>
    <d v="2016-10-09T21:22:23"/>
    <d v="2016-10-09T21:22:24"/>
    <d v="2016-10-09T21:22:24"/>
    <m/>
    <d v="2016-10-19T18:54:03"/>
    <d v="2016-10-09T21:22:24"/>
    <s v=""/>
    <m/>
    <m/>
  </r>
  <r>
    <n v="2109"/>
    <x v="0"/>
    <x v="22"/>
    <s v="at other times"/>
    <s v="prep. phr."/>
    <s v="在其他时候"/>
    <d v="2016-10-09T21:22:26"/>
    <d v="2016-10-19T19:02:38"/>
    <d v="2016-10-19T19:02:38"/>
    <m/>
    <d v="2016-10-19T19:08:15"/>
    <d v="2016-10-19T19:02:38"/>
    <s v=""/>
    <m/>
    <m/>
  </r>
  <r>
    <n v="2110"/>
    <x v="0"/>
    <x v="22"/>
    <s v="public"/>
    <s v="adj."/>
    <s v="公共的"/>
    <d v="2016-10-09T21:22:31"/>
    <d v="2016-10-09T21:22:32"/>
    <d v="2016-10-09T21:22:31"/>
    <m/>
    <d v="2016-10-19T18:54:13"/>
    <d v="2016-10-09T21:22:32"/>
    <s v=""/>
    <m/>
    <m/>
  </r>
  <r>
    <n v="2111"/>
    <x v="0"/>
    <x v="22"/>
    <s v="wedding"/>
    <s v="n."/>
    <s v="婚礼"/>
    <d v="2016-10-09T21:23:01"/>
    <d v="2016-10-09T21:23:02"/>
    <d v="2016-10-09T21:23:02"/>
    <m/>
    <d v="2016-10-19T18:54:16"/>
    <d v="2016-10-09T21:23:02"/>
    <s v=""/>
    <m/>
    <m/>
  </r>
  <r>
    <n v="2112"/>
    <x v="0"/>
    <x v="22"/>
    <s v="newspaper"/>
    <s v="n."/>
    <s v="报纸"/>
    <d v="2016-10-09T21:23:05"/>
    <d v="2016-10-09T21:23:06"/>
    <d v="2016-10-09T21:23:06"/>
    <m/>
    <d v="2016-10-19T18:54:19"/>
    <d v="2016-10-09T21:23:06"/>
    <s v=""/>
    <m/>
    <m/>
  </r>
  <r>
    <n v="2113"/>
    <x v="0"/>
    <x v="22"/>
    <s v="UK"/>
    <s v="n."/>
    <s v="英国（UnitedKingdom）"/>
    <d v="2016-10-09T21:23:09"/>
    <d v="2016-10-09T21:23:09"/>
    <d v="2016-10-09T21:23:08"/>
    <m/>
    <d v="2016-10-19T18:54:22"/>
    <d v="2016-10-09T21:23:09"/>
    <s v=""/>
    <m/>
    <m/>
  </r>
  <r>
    <n v="2114"/>
    <x v="0"/>
    <x v="22"/>
    <s v="the Caribbean"/>
    <s v="n. phr."/>
    <s v="加勒比海"/>
    <d v="2016-10-09T21:23:12"/>
    <d v="2016-10-09T21:31:28"/>
    <d v="2016-10-09T21:31:27"/>
    <m/>
    <d v="2016-10-19T18:54:26"/>
    <d v="2016-10-09T21:31:28"/>
    <s v=""/>
    <m/>
    <m/>
  </r>
  <r>
    <n v="2115"/>
    <x v="0"/>
    <x v="22"/>
    <s v="romantic"/>
    <s v="adj."/>
    <s v="浪漫的"/>
    <d v="2016-10-09T21:23:18"/>
    <d v="2016-10-19T19:02:59"/>
    <d v="2016-10-19T19:02:59"/>
    <m/>
    <d v="2016-10-19T19:08:20"/>
    <d v="2016-10-19T19:02:59"/>
    <s v=""/>
    <m/>
    <m/>
  </r>
  <r>
    <n v="2116"/>
    <x v="0"/>
    <x v="22"/>
    <s v="sunset"/>
    <s v="n."/>
    <s v="日落"/>
    <d v="2016-10-09T21:23:22"/>
    <d v="2016-10-09T21:23:23"/>
    <d v="2016-10-09T21:23:23"/>
    <m/>
    <d v="2016-10-19T18:54:36"/>
    <d v="2016-10-09T21:23:23"/>
    <s v=""/>
    <m/>
    <m/>
  </r>
  <r>
    <n v="2117"/>
    <x v="0"/>
    <x v="22"/>
    <s v="bikini"/>
    <s v="n."/>
    <s v="比基尼泳装"/>
    <d v="2016-10-09T21:23:27"/>
    <d v="2016-10-09T21:23:27"/>
    <d v="2016-10-09T21:23:27"/>
    <m/>
    <d v="2016-10-19T18:54:40"/>
    <d v="2016-10-09T21:23:27"/>
    <s v=""/>
    <m/>
    <m/>
  </r>
  <r>
    <n v="2118"/>
    <x v="0"/>
    <x v="22"/>
    <s v="sunblock"/>
    <s v="n."/>
    <s v="防晒霜"/>
    <d v="2016-10-09T21:23:34"/>
    <d v="2016-10-09T21:23:35"/>
    <d v="2016-10-09T21:23:35"/>
    <m/>
    <d v="2016-10-19T18:54:44"/>
    <d v="2016-10-09T21:23:35"/>
    <s v=""/>
    <m/>
    <m/>
  </r>
  <r>
    <n v="2119"/>
    <x v="0"/>
    <x v="22"/>
    <s v="agent"/>
    <s v="n."/>
    <s v="经纪人"/>
    <d v="2016-10-09T21:23:41"/>
    <d v="2016-10-09T21:23:43"/>
    <d v="2016-10-09T21:23:42"/>
    <m/>
    <d v="2016-10-19T18:54:47"/>
    <d v="2016-10-09T21:23:43"/>
    <s v=""/>
    <m/>
    <m/>
  </r>
  <r>
    <n v="2120"/>
    <x v="0"/>
    <x v="22"/>
    <s v="travel agent"/>
    <s v="n. phr."/>
    <s v="旅行社经纪人"/>
    <d v="2016-10-09T21:23:45"/>
    <d v="2016-10-09T21:23:46"/>
    <d v="2016-10-09T21:23:46"/>
    <m/>
    <d v="2016-10-19T18:54:51"/>
    <d v="2016-10-09T21:23:46"/>
    <s v=""/>
    <m/>
    <m/>
  </r>
  <r>
    <n v="2121"/>
    <x v="0"/>
    <x v="22"/>
    <s v="barbecue"/>
    <s v="n."/>
    <s v="烧烤"/>
    <d v="2016-10-09T21:23:56"/>
    <d v="2016-10-19T19:03:06"/>
    <d v="2016-10-19T19:03:06"/>
    <m/>
    <d v="2016-10-19T19:08:24"/>
    <d v="2016-10-19T19:03:06"/>
    <s v=""/>
    <m/>
    <m/>
  </r>
  <r>
    <n v="2122"/>
    <x v="0"/>
    <x v="22"/>
    <s v="secret"/>
    <s v="n."/>
    <s v="秘密"/>
    <d v="2016-10-09T21:24:01"/>
    <d v="2016-10-19T19:03:10"/>
    <d v="2016-10-19T19:03:10"/>
    <m/>
    <d v="2016-10-19T19:08:28"/>
    <d v="2016-10-19T19:03:10"/>
    <s v=""/>
    <m/>
    <m/>
  </r>
  <r>
    <n v="2123"/>
    <x v="0"/>
    <x v="22"/>
    <s v="secret"/>
    <s v="adj."/>
    <s v="秘密的"/>
    <d v="2016-10-09T21:24:06"/>
    <d v="2016-10-09T21:24:07"/>
    <d v="2016-10-09T21:24:06"/>
    <m/>
    <d v="2016-10-19T18:55:06"/>
    <d v="2016-10-09T21:24:07"/>
    <s v=""/>
    <m/>
    <m/>
  </r>
  <r>
    <n v="2124"/>
    <x v="0"/>
    <x v="22"/>
    <s v="promise"/>
    <s v="v."/>
    <s v="承诺；许诺"/>
    <d v="2016-10-09T21:24:12"/>
    <d v="2016-10-09T21:24:13"/>
    <d v="2016-10-09T21:24:12"/>
    <m/>
    <d v="2016-10-19T18:55:10"/>
    <d v="2016-10-09T21:24:13"/>
    <s v=""/>
    <m/>
    <m/>
  </r>
  <r>
    <n v="2125"/>
    <x v="0"/>
    <x v="22"/>
    <s v="paper"/>
    <s v="n."/>
    <s v="报纸"/>
    <d v="2016-10-09T21:24:17"/>
    <d v="2016-10-09T21:24:17"/>
    <d v="2016-10-09T21:24:17"/>
    <m/>
    <d v="2016-10-19T18:55:13"/>
    <d v="2016-10-09T21:24:17"/>
    <s v=""/>
    <m/>
    <m/>
  </r>
  <r>
    <n v="2126"/>
    <x v="0"/>
    <x v="22"/>
    <s v="fan"/>
    <s v="n."/>
    <s v="迷；某人（或物）的热情崇拜者或拥护者"/>
    <d v="2016-10-09T21:24:21"/>
    <d v="2016-10-09T21:24:22"/>
    <d v="2016-10-09T21:24:22"/>
    <m/>
    <d v="2016-10-19T18:55:16"/>
    <d v="2016-10-09T21:24:22"/>
    <s v=""/>
    <m/>
    <m/>
  </r>
  <r>
    <n v="2127"/>
    <x v="0"/>
    <x v="22"/>
    <s v="cottage"/>
    <s v="n."/>
    <s v="简陋的小屋，村合"/>
    <d v="2016-10-09T21:24:25"/>
    <d v="2016-10-09T21:24:26"/>
    <d v="2016-10-09T21:24:25"/>
    <m/>
    <d v="2016-10-19T18:55:19"/>
    <d v="2016-10-09T21:24:26"/>
    <s v=""/>
    <m/>
    <m/>
  </r>
  <r>
    <n v="2128"/>
    <x v="0"/>
    <x v="22"/>
    <s v="honeymoon"/>
    <s v="n."/>
    <s v="蜜月"/>
    <d v="2016-10-09T21:24:28"/>
    <d v="2016-10-09T21:24:29"/>
    <d v="2016-10-09T21:24:29"/>
    <m/>
    <d v="2016-10-19T18:55:24"/>
    <d v="2016-10-09T21:24:29"/>
    <s v=""/>
    <m/>
    <m/>
  </r>
  <r>
    <n v="2129"/>
    <x v="0"/>
    <x v="22"/>
    <s v="disturb"/>
    <s v="v."/>
    <s v="打扰"/>
    <d v="2016-10-09T21:24:36"/>
    <d v="2016-10-09T21:31:37"/>
    <d v="2016-10-09T21:31:38"/>
    <m/>
    <d v="2016-10-19T18:55:28"/>
    <d v="2016-10-09T21:31:38"/>
    <s v=""/>
    <m/>
    <m/>
  </r>
  <r>
    <n v="2130"/>
    <x v="0"/>
    <x v="22"/>
    <s v="church"/>
    <s v="n."/>
    <s v="教堂"/>
    <d v="2016-10-09T21:24:43"/>
    <d v="2016-10-09T21:24:44"/>
    <d v="2016-10-09T21:24:43"/>
    <m/>
    <d v="2016-10-19T18:55:33"/>
    <d v="2016-10-09T21:24:44"/>
    <s v=""/>
    <m/>
    <m/>
  </r>
  <r>
    <n v="2131"/>
    <x v="0"/>
    <x v="22"/>
    <s v="certainly"/>
    <s v="adv."/>
    <s v="当然地"/>
    <d v="2016-10-09T21:24:50"/>
    <d v="2016-10-09T21:24:50"/>
    <d v="2016-10-09T21:24:50"/>
    <m/>
    <d v="2016-10-19T18:55:38"/>
    <d v="2016-10-09T21:24:50"/>
    <s v=""/>
    <m/>
    <m/>
  </r>
  <r>
    <n v="2132"/>
    <x v="0"/>
    <x v="22"/>
    <s v="engage"/>
    <s v="v."/>
    <s v="订婚"/>
    <d v="2016-10-09T21:24:54"/>
    <d v="2016-10-19T19:03:19"/>
    <d v="2016-10-19T19:03:18"/>
    <m/>
    <d v="2016-10-19T19:08:32"/>
    <d v="2016-10-19T19:03:19"/>
    <s v=""/>
    <m/>
    <m/>
  </r>
  <r>
    <n v="2133"/>
    <x v="0"/>
    <x v="22"/>
    <s v="relation"/>
    <s v="n."/>
    <s v="亲戚"/>
    <d v="2016-10-09T21:25:00"/>
    <d v="2016-10-19T19:03:30"/>
    <d v="2016-10-19T19:03:29"/>
    <m/>
    <d v="2016-10-19T19:08:36"/>
    <d v="2016-10-19T19:03:30"/>
    <s v=""/>
    <m/>
    <m/>
  </r>
  <r>
    <n v="2134"/>
    <x v="0"/>
    <x v="22"/>
    <s v="successful"/>
    <s v="adj."/>
    <s v="成功的"/>
    <d v="2016-10-09T21:25:04"/>
    <d v="2016-10-19T19:10:28"/>
    <d v="2016-10-19T19:10:28"/>
    <m/>
    <d v="2016-10-19T19:11:44"/>
    <d v="2016-10-19T19:10:28"/>
    <s v=""/>
    <m/>
    <m/>
  </r>
  <r>
    <n v="2135"/>
    <x v="0"/>
    <x v="22"/>
    <s v="invitation"/>
    <s v="n."/>
    <s v="邀请，邀请函"/>
    <d v="2016-10-09T21:25:29"/>
    <d v="2016-10-19T19:03:44"/>
    <d v="2016-10-19T19:03:43"/>
    <m/>
    <d v="2016-10-19T19:08:48"/>
    <d v="2016-10-19T19:03:44"/>
    <s v=""/>
    <m/>
    <m/>
  </r>
  <r>
    <n v="2136"/>
    <x v="0"/>
    <x v="22"/>
    <s v="accept"/>
    <s v="v."/>
    <s v="接受；承认"/>
    <d v="2016-10-11T17:01:59"/>
    <d v="2016-10-19T19:03:50"/>
    <d v="2016-10-19T19:03:49"/>
    <m/>
    <d v="2016-10-19T19:08:53"/>
    <d v="2016-10-19T19:03:50"/>
    <s v=""/>
    <m/>
    <m/>
  </r>
  <r>
    <n v="2137"/>
    <x v="0"/>
    <x v="22"/>
    <s v="refuse"/>
    <s v="v."/>
    <s v="拒绝"/>
    <d v="2016-10-11T17:02:02"/>
    <d v="2016-10-19T19:13:13"/>
    <d v="2016-10-19T19:13:13"/>
    <m/>
    <d v="2016-10-19T19:13:31"/>
    <d v="2016-10-19T19:13:13"/>
    <s v=""/>
    <m/>
    <m/>
  </r>
  <r>
    <n v="2138"/>
    <x v="0"/>
    <x v="22"/>
    <s v="appointment"/>
    <s v="n."/>
    <s v="预约"/>
    <d v="2016-10-11T17:02:06"/>
    <d v="2016-10-19T19:04:19"/>
    <d v="2016-10-19T19:04:19"/>
    <m/>
    <d v="2016-10-19T19:09:04"/>
    <d v="2016-10-19T19:04:19"/>
    <s v=""/>
    <m/>
    <m/>
  </r>
  <r>
    <n v="2139"/>
    <x v="0"/>
    <x v="22"/>
    <s v="registry"/>
    <s v="n."/>
    <s v="注册"/>
    <d v="2016-10-11T17:02:08"/>
    <d v="2016-10-19T19:04:26"/>
    <d v="2016-10-19T19:04:26"/>
    <m/>
    <d v="2016-10-19T19:09:08"/>
    <d v="2016-10-19T19:04:26"/>
    <s v=""/>
    <m/>
    <m/>
  </r>
  <r>
    <n v="2140"/>
    <x v="0"/>
    <x v="22"/>
    <s v="registry office"/>
    <s v="n. phr."/>
    <s v="注册办公室"/>
    <d v="2016-10-11T17:02:15"/>
    <d v="2016-10-19T19:04:37"/>
    <d v="2016-10-19T19:04:36"/>
    <m/>
    <d v="2016-10-19T19:09:13"/>
    <d v="2016-10-19T19:04:37"/>
    <s v=""/>
    <m/>
    <m/>
  </r>
  <r>
    <n v="2141"/>
    <x v="0"/>
    <x v="22"/>
    <s v="perhaps"/>
    <s v="adv."/>
    <s v="或许，可能"/>
    <d v="2016-10-11T17:02:18"/>
    <d v="2016-10-19T19:13:19"/>
    <d v="2016-10-19T19:13:18"/>
    <m/>
    <d v="2016-10-19T19:13:36"/>
    <d v="2016-10-19T19:13:19"/>
    <s v=""/>
    <m/>
    <m/>
  </r>
  <r>
    <n v="2142"/>
    <x v="0"/>
    <x v="22"/>
    <s v="present perfect"/>
    <s v="n. phr."/>
    <s v="现在完成时"/>
    <d v="2016-10-11T17:02:21"/>
    <d v="2016-10-19T19:13:24"/>
    <d v="2016-10-19T19:13:22"/>
    <m/>
    <d v="2016-10-19T19:13:40"/>
    <d v="2016-10-19T19:13:24"/>
    <s v=""/>
    <m/>
    <m/>
  </r>
  <r>
    <n v="2143"/>
    <x v="0"/>
    <x v="22"/>
    <s v="participle"/>
    <s v="n."/>
    <s v="分词"/>
    <d v="2016-10-11T17:02:25"/>
    <d v="2016-10-19T19:11:05"/>
    <d v="2016-10-19T19:11:05"/>
    <m/>
    <d v="2016-10-19T19:12:04"/>
    <d v="2016-10-19T19:11:05"/>
    <s v=""/>
    <m/>
    <m/>
  </r>
  <r>
    <n v="2144"/>
    <x v="0"/>
    <x v="22"/>
    <s v="past participle"/>
    <s v="n. phr."/>
    <s v="过去分词"/>
    <d v="2016-10-11T17:02:28"/>
    <d v="2016-10-11T17:02:29"/>
    <d v="2016-10-11T17:02:29"/>
    <m/>
    <d v="2016-10-19T18:57:30"/>
    <d v="2016-10-11T17:02:29"/>
    <s v=""/>
    <m/>
    <m/>
  </r>
  <r>
    <n v="2145"/>
    <x v="0"/>
    <x v="22"/>
    <s v="burn"/>
    <s v="v."/>
    <s v="烤煳；烧毁"/>
    <d v="2016-10-11T17:02:31"/>
    <d v="2016-10-11T17:27:17"/>
    <d v="2016-10-11T17:27:16"/>
    <m/>
    <d v="2016-10-19T18:57:34"/>
    <d v="2016-10-11T17:27:17"/>
    <s v=""/>
    <m/>
    <m/>
  </r>
  <r>
    <n v="2146"/>
    <x v="0"/>
    <x v="22"/>
    <s v="pizza"/>
    <s v="n."/>
    <s v="比萨"/>
    <d v="2016-10-11T17:02:33"/>
    <d v="2016-10-11T17:02:34"/>
    <d v="2016-10-11T17:02:34"/>
    <m/>
    <d v="2016-10-19T18:57:37"/>
    <d v="2016-10-11T17:02:34"/>
    <s v=""/>
    <m/>
    <m/>
  </r>
  <r>
    <n v="2147"/>
    <x v="0"/>
    <x v="22"/>
    <s v="drop"/>
    <s v="v."/>
    <s v="（使）掉下"/>
    <d v="2016-10-11T17:02:36"/>
    <d v="2016-10-11T17:02:37"/>
    <d v="2016-10-11T17:02:38"/>
    <m/>
    <d v="2016-10-19T18:57:41"/>
    <d v="2016-10-11T17:02:38"/>
    <s v=""/>
    <m/>
    <m/>
  </r>
  <r>
    <n v="2148"/>
    <x v="0"/>
    <x v="22"/>
    <s v="spill"/>
    <s v="n."/>
    <s v="果汁"/>
    <d v="2016-10-11T17:02:40"/>
    <d v="2016-10-19T19:06:29"/>
    <d v="2016-10-19T19:06:29"/>
    <m/>
    <d v="2016-10-19T19:09:28"/>
    <d v="2016-10-19T19:06:29"/>
    <s v=""/>
    <m/>
    <m/>
  </r>
  <r>
    <n v="2149"/>
    <x v="0"/>
    <x v="22"/>
    <s v="fizzy"/>
    <s v="adj."/>
    <s v="（指饮料）有大量气泡因而嘶嘶作响的"/>
    <d v="2016-10-11T17:02:43"/>
    <d v="2016-10-11T17:27:22"/>
    <d v="2016-10-11T17:27:22"/>
    <m/>
    <d v="2016-10-19T18:57:51"/>
    <d v="2016-10-11T17:27:22"/>
    <s v=""/>
    <m/>
    <m/>
  </r>
  <r>
    <n v="2150"/>
    <x v="0"/>
    <x v="22"/>
    <s v="mess"/>
    <s v="n."/>
    <s v="杂乱；混乱"/>
    <d v="2016-10-11T17:02:45"/>
    <d v="2016-10-19T19:11:15"/>
    <d v="2016-10-19T19:11:14"/>
    <m/>
    <d v="2016-10-19T19:12:07"/>
    <d v="2016-10-19T19:11:15"/>
    <s v=""/>
    <m/>
    <m/>
  </r>
  <r>
    <n v="2151"/>
    <x v="0"/>
    <x v="22"/>
    <s v="clear up"/>
    <s v="v. phr."/>
    <s v="清理"/>
    <d v="2016-10-11T17:02:48"/>
    <d v="2016-10-19T19:06:49"/>
    <d v="2016-10-19T19:06:49"/>
    <m/>
    <d v="2016-10-19T19:09:36"/>
    <d v="2016-10-19T19:06:49"/>
    <s v=""/>
    <m/>
    <m/>
  </r>
  <r>
    <n v="2152"/>
    <x v="0"/>
    <x v="22"/>
    <s v="sure"/>
    <s v="adj."/>
    <s v="无疑的；确信的"/>
    <d v="2016-10-11T17:23:17"/>
    <d v="2016-10-11T17:23:18"/>
    <d v="2016-10-11T17:23:17"/>
    <m/>
    <d v="2016-10-19T18:58:06"/>
    <d v="2016-10-11T17:23:18"/>
    <s v=""/>
    <m/>
    <m/>
  </r>
  <r>
    <n v="2153"/>
    <x v="0"/>
    <x v="22"/>
    <s v="sitting room"/>
    <s v="n. phr."/>
    <s v="起居室"/>
    <d v="2016-10-11T17:23:20"/>
    <d v="2016-10-11T17:23:21"/>
    <d v="2016-10-11T17:23:21"/>
    <m/>
    <d v="2016-10-19T18:58:09"/>
    <d v="2016-10-11T17:23:21"/>
    <s v=""/>
    <m/>
    <m/>
  </r>
  <r>
    <n v="2154"/>
    <x v="0"/>
    <x v="22"/>
    <s v="throw away"/>
    <s v="v. phr."/>
    <s v="扔掉"/>
    <d v="2016-10-11T17:23:24"/>
    <d v="2016-10-19T19:06:56"/>
    <d v="2016-10-19T19:06:55"/>
    <m/>
    <d v="2016-10-19T19:09:40"/>
    <d v="2016-10-19T19:06:56"/>
    <s v=""/>
    <m/>
    <m/>
  </r>
  <r>
    <n v="2155"/>
    <x v="0"/>
    <x v="22"/>
    <s v="rubbish"/>
    <s v="n."/>
    <s v="垃圾"/>
    <d v="2016-10-11T17:23:27"/>
    <d v="2016-10-11T17:23:28"/>
    <d v="2016-10-11T17:23:27"/>
    <m/>
    <d v="2016-10-19T18:58:17"/>
    <d v="2016-10-11T17:23:28"/>
    <s v=""/>
    <m/>
    <m/>
  </r>
  <r>
    <n v="2156"/>
    <x v="0"/>
    <x v="22"/>
    <s v="golden"/>
    <s v="adj."/>
    <s v="金色的"/>
    <d v="2016-10-11T17:23:32"/>
    <d v="2016-10-11T17:23:31"/>
    <d v="2016-10-11T17:23:30"/>
    <m/>
    <d v="2016-10-19T18:58:21"/>
    <d v="2016-10-11T17:23:32"/>
    <s v=""/>
    <m/>
    <m/>
  </r>
  <r>
    <n v="2157"/>
    <x v="0"/>
    <x v="22"/>
    <s v="event"/>
    <s v="n."/>
    <s v="事情，（尤指）大事，事件"/>
    <d v="2016-10-11T17:23:34"/>
    <d v="2016-10-19T19:07:03"/>
    <d v="2016-10-19T19:07:02"/>
    <m/>
    <d v="2016-10-19T19:09:43"/>
    <d v="2016-10-19T19:07:03"/>
    <s v=""/>
    <m/>
    <m/>
  </r>
  <r>
    <n v="2158"/>
    <x v="0"/>
    <x v="22"/>
    <s v="Christmas"/>
    <s v="n."/>
    <s v="圣诞节"/>
    <d v="2016-10-11T17:23:37"/>
    <d v="2016-10-11T17:23:39"/>
    <d v="2016-10-11T17:23:38"/>
    <m/>
    <d v="2016-10-19T18:58:30"/>
    <d v="2016-10-11T17:23:39"/>
    <s v=""/>
    <m/>
    <m/>
  </r>
  <r>
    <n v="2159"/>
    <x v="0"/>
    <x v="22"/>
    <s v="St Valentine's Day"/>
    <s v="n. phr."/>
    <s v="情人节"/>
    <d v="2016-10-11T17:23:40"/>
    <d v="2016-10-11T17:27:28"/>
    <d v="2016-10-11T17:27:28"/>
    <m/>
    <d v="2016-10-19T18:58:35"/>
    <d v="2016-10-11T17:27:28"/>
    <s v=""/>
    <m/>
    <m/>
  </r>
  <r>
    <n v="2160"/>
    <x v="0"/>
    <x v="22"/>
    <s v="Easter"/>
    <s v="n."/>
    <s v="复活节"/>
    <d v="2016-10-11T17:23:44"/>
    <d v="2016-10-11T17:23:45"/>
    <d v="2016-10-11T17:23:44"/>
    <m/>
    <d v="2016-10-19T18:58:38"/>
    <d v="2016-10-11T17:23:45"/>
    <s v=""/>
    <m/>
    <m/>
  </r>
  <r>
    <n v="2161"/>
    <x v="0"/>
    <x v="22"/>
    <s v="Children's Day"/>
    <s v="n. phr."/>
    <s v="儿童节"/>
    <d v="2016-10-11T17:23:49"/>
    <d v="2016-10-11T17:27:31"/>
    <d v="2016-10-11T17:27:30"/>
    <m/>
    <d v="2016-10-19T18:58:42"/>
    <d v="2016-10-11T17:27:31"/>
    <s v=""/>
    <m/>
    <m/>
  </r>
  <r>
    <n v="2162"/>
    <x v="0"/>
    <x v="22"/>
    <s v="take part"/>
    <s v="v. phr."/>
    <s v="参加，参与"/>
    <d v="2016-10-11T17:23:53"/>
    <d v="2016-10-19T19:11:18"/>
    <d v="2016-10-19T19:11:17"/>
    <m/>
    <d v="2016-10-19T19:12:11"/>
    <d v="2016-10-19T19:11:18"/>
    <s v=""/>
    <m/>
    <m/>
  </r>
  <r>
    <n v="2163"/>
    <x v="0"/>
    <x v="22"/>
    <s v="celebration"/>
    <s v="n."/>
    <s v="庆祝"/>
    <d v="2016-10-11T17:23:57"/>
    <d v="2016-10-19T19:07:20"/>
    <d v="2016-10-19T19:07:19"/>
    <m/>
    <d v="2016-10-19T19:09:53"/>
    <d v="2016-10-19T19:07:20"/>
    <s v=""/>
    <m/>
    <m/>
  </r>
  <r>
    <n v="2164"/>
    <x v="0"/>
    <x v="22"/>
    <s v="prepare"/>
    <s v="v."/>
    <s v="准备"/>
    <d v="2016-10-11T17:24:02"/>
    <d v="2016-10-19T19:07:23"/>
    <d v="2016-10-19T19:07:22"/>
    <m/>
    <d v="2016-10-19T19:09:58"/>
    <d v="2016-10-19T19:07:23"/>
    <s v=""/>
    <m/>
    <m/>
  </r>
  <r>
    <n v="2165"/>
    <x v="0"/>
    <x v="22"/>
    <s v="apologise"/>
    <s v="v."/>
    <s v="道歉"/>
    <d v="2016-10-11T17:24:07"/>
    <d v="2016-10-19T19:07:52"/>
    <d v="2016-10-19T19:07:51"/>
    <m/>
    <d v="2016-10-19T19:10:02"/>
    <d v="2016-10-19T19:07:52"/>
    <s v=""/>
    <m/>
    <m/>
  </r>
  <r>
    <n v="2166"/>
    <x v="0"/>
    <x v="23"/>
    <s v="exercise"/>
    <s v="v."/>
    <s v="锻炼"/>
    <d v="2016-10-14T20:36:35"/>
    <d v="2016-10-18T17:00:51"/>
    <d v="2016-10-18T17:00:50"/>
    <m/>
    <d v="2016-10-25T19:11:12"/>
    <d v="2016-10-18T17:00:51"/>
    <s v=""/>
    <m/>
    <m/>
  </r>
  <r>
    <n v="2167"/>
    <x v="0"/>
    <x v="23"/>
    <s v="keep fit"/>
    <s v="v. phr."/>
    <s v="保持健康"/>
    <d v="2016-10-14T20:36:39"/>
    <d v="2016-10-18T17:00:53"/>
    <d v="2016-10-18T17:00:52"/>
    <m/>
    <d v="2016-10-25T19:11:16"/>
    <d v="2016-10-18T17:00:53"/>
    <s v=""/>
    <m/>
    <m/>
  </r>
  <r>
    <n v="2168"/>
    <x v="0"/>
    <x v="23"/>
    <s v="helpline"/>
    <s v="n."/>
    <s v="救助热线"/>
    <d v="2016-10-14T20:36:44"/>
    <d v="2016-10-18T17:00:56"/>
    <d v="2016-10-18T17:00:56"/>
    <m/>
    <d v="2016-10-25T19:11:20"/>
    <d v="2016-10-18T17:00:56"/>
    <s v=""/>
    <m/>
    <m/>
  </r>
  <r>
    <n v="2169"/>
    <x v="0"/>
    <x v="23"/>
    <s v="ambulance"/>
    <s v="n."/>
    <s v="救护车"/>
    <d v="2016-10-14T20:36:46"/>
    <d v="2016-10-18T17:00:59"/>
    <d v="2016-10-18T17:00:59"/>
    <m/>
    <d v="2016-10-25T19:11:22"/>
    <d v="2016-10-18T17:00:59"/>
    <s v=""/>
    <m/>
    <m/>
  </r>
  <r>
    <n v="2170"/>
    <x v="0"/>
    <x v="23"/>
    <s v="disagree"/>
    <s v="v."/>
    <s v="不同意"/>
    <d v="2016-10-14T20:36:48"/>
    <d v="2016-10-18T17:01:01"/>
    <d v="2016-10-18T17:01:01"/>
    <m/>
    <d v="2016-10-25T19:11:26"/>
    <d v="2016-10-18T17:01:01"/>
    <s v=""/>
    <m/>
    <m/>
  </r>
  <r>
    <n v="2171"/>
    <x v="0"/>
    <x v="23"/>
    <s v="chest"/>
    <s v="n."/>
    <s v="胸腔"/>
    <d v="2016-10-14T20:36:51"/>
    <d v="2016-10-18T17:01:03"/>
    <d v="2016-10-18T17:01:03"/>
    <m/>
    <d v="2016-10-25T19:11:29"/>
    <d v="2016-10-18T17:01:03"/>
    <s v=""/>
    <m/>
    <m/>
  </r>
  <r>
    <n v="2172"/>
    <x v="0"/>
    <x v="23"/>
    <s v="temperature"/>
    <s v="n."/>
    <s v="温度；发烧"/>
    <d v="2016-10-14T20:37:04"/>
    <d v="2016-10-18T17:01:06"/>
    <d v="2016-10-18T17:01:06"/>
    <m/>
    <d v="2016-10-25T19:11:33"/>
    <d v="2016-10-18T17:01:06"/>
    <s v=""/>
    <m/>
    <m/>
  </r>
  <r>
    <n v="2173"/>
    <x v="0"/>
    <x v="23"/>
    <s v="mixture"/>
    <s v="n."/>
    <s v="混合剂，混合物"/>
    <d v="2016-10-14T20:37:55"/>
    <d v="2016-10-14T20:37:55"/>
    <d v="2016-10-14T20:37:55"/>
    <m/>
    <d v="2016-10-25T19:11:38"/>
    <d v="2016-10-14T20:37:55"/>
    <s v=""/>
    <m/>
    <m/>
  </r>
  <r>
    <n v="2174"/>
    <x v="0"/>
    <x v="23"/>
    <s v="cough mixture"/>
    <s v="n. phr."/>
    <s v="止咳药水"/>
    <d v="2016-10-14T20:37:58"/>
    <d v="2016-10-14T20:37:59"/>
    <d v="2016-10-14T20:37:58"/>
    <m/>
    <d v="2016-10-25T19:11:41"/>
    <d v="2016-10-14T20:37:59"/>
    <s v=""/>
    <m/>
    <m/>
  </r>
  <r>
    <n v="2175"/>
    <x v="0"/>
    <x v="23"/>
    <s v="antibiotic"/>
    <s v="n."/>
    <s v="抗生素"/>
    <d v="2016-10-14T20:38:09"/>
    <d v="2016-10-14T20:38:10"/>
    <d v="2016-10-14T20:38:10"/>
    <m/>
    <d v="2016-10-25T19:11:46"/>
    <d v="2016-10-14T20:38:10"/>
    <s v=""/>
    <m/>
    <m/>
  </r>
  <r>
    <n v="2176"/>
    <x v="0"/>
    <x v="23"/>
    <s v="aspirin"/>
    <s v="n."/>
    <s v="阿司匹林"/>
    <d v="2016-10-14T20:40:48"/>
    <d v="2016-10-14T20:40:49"/>
    <d v="2016-10-14T20:40:49"/>
    <m/>
    <d v="2016-10-25T19:11:49"/>
    <d v="2016-10-14T20:40:49"/>
    <s v=""/>
    <m/>
    <m/>
  </r>
  <r>
    <n v="2177"/>
    <x v="0"/>
    <x v="23"/>
    <s v="contain"/>
    <s v="v."/>
    <s v="包含；容纳"/>
    <d v="2016-10-14T20:40:50"/>
    <d v="2016-10-18T17:08:44"/>
    <d v="2016-10-18T17:08:44"/>
    <m/>
    <d v="2016-10-25T19:11:53"/>
    <d v="2016-10-18T17:08:44"/>
    <s v=""/>
    <m/>
    <m/>
  </r>
  <r>
    <n v="2178"/>
    <x v="0"/>
    <x v="23"/>
    <s v="finger"/>
    <s v="n."/>
    <s v="手指"/>
    <d v="2016-10-14T20:40:53"/>
    <d v="2016-10-14T20:40:54"/>
    <d v="2016-10-14T20:40:53"/>
    <m/>
    <d v="2016-10-25T19:11:56"/>
    <d v="2016-10-14T20:40:54"/>
    <s v=""/>
    <m/>
    <m/>
  </r>
  <r>
    <n v="2179"/>
    <x v="0"/>
    <x v="23"/>
    <s v="cold"/>
    <s v="n."/>
    <s v="感冒"/>
    <d v="2016-10-14T20:40:59"/>
    <d v="2016-10-25T19:15:21"/>
    <d v="2016-10-25T19:15:20"/>
    <m/>
    <d v="2016-10-26T19:15:52"/>
    <d v="2016-10-25T19:15:21"/>
    <s v=""/>
    <m/>
    <m/>
  </r>
  <r>
    <n v="2180"/>
    <x v="0"/>
    <x v="23"/>
    <s v="burger"/>
    <s v="n."/>
    <s v="汉堡包"/>
    <d v="2016-10-14T20:41:02"/>
    <d v="2016-10-14T20:41:02"/>
    <d v="2016-10-14T20:41:02"/>
    <m/>
    <d v="2016-10-25T19:12:03"/>
    <d v="2016-10-14T20:41:02"/>
    <s v=""/>
    <m/>
    <m/>
  </r>
  <r>
    <n v="2181"/>
    <x v="0"/>
    <x v="23"/>
    <s v="pillow"/>
    <s v="n."/>
    <s v="枕头"/>
    <d v="2016-10-14T20:41:04"/>
    <d v="2016-10-14T20:41:05"/>
    <d v="2016-10-14T20:41:04"/>
    <m/>
    <d v="2016-10-25T19:12:06"/>
    <d v="2016-10-14T20:41:05"/>
    <s v=""/>
    <m/>
    <m/>
  </r>
  <r>
    <n v="2182"/>
    <x v="0"/>
    <x v="23"/>
    <s v="dial"/>
    <s v="v."/>
    <s v="拨打电话号码"/>
    <d v="2016-10-14T20:41:07"/>
    <d v="2016-10-18T17:08:46"/>
    <d v="2016-10-18T17:08:46"/>
    <m/>
    <d v="2016-10-25T19:12:11"/>
    <d v="2016-10-18T17:08:46"/>
    <s v=""/>
    <m/>
    <m/>
  </r>
  <r>
    <n v="2183"/>
    <x v="0"/>
    <x v="23"/>
    <s v="sick"/>
    <s v="adj."/>
    <s v="恶心的；不舒服的，病的"/>
    <d v="2016-10-14T20:41:10"/>
    <d v="2016-10-26T19:17:36"/>
    <d v="2016-10-26T19:17:36"/>
    <m/>
    <d v="2016-10-26T19:18:52"/>
    <d v="2016-10-26T19:17:36"/>
    <s v=""/>
    <m/>
    <m/>
  </r>
  <r>
    <n v="2184"/>
    <x v="0"/>
    <x v="23"/>
    <s v="headache"/>
    <s v="n."/>
    <s v="头痛"/>
    <d v="2016-10-14T20:41:12"/>
    <d v="2016-10-25T19:15:58"/>
    <d v="2016-10-25T19:15:57"/>
    <m/>
    <d v="2016-10-26T19:16:00"/>
    <d v="2016-10-25T19:15:58"/>
    <s v=""/>
    <m/>
    <m/>
  </r>
  <r>
    <n v="2185"/>
    <x v="0"/>
    <x v="23"/>
    <s v="contact lenses"/>
    <s v="n. phr."/>
    <s v="隐形眼镜"/>
    <d v="2016-10-14T20:41:15"/>
    <d v="2016-10-25T19:16:00"/>
    <d v="2016-10-25T19:16:00"/>
    <m/>
    <d v="2016-10-26T19:16:05"/>
    <d v="2016-10-25T19:16:00"/>
    <s v=""/>
    <m/>
    <m/>
  </r>
  <r>
    <n v="2186"/>
    <x v="0"/>
    <x v="23"/>
    <s v="hurt"/>
    <s v="v."/>
    <s v="伤害，受伤，疼痛"/>
    <d v="2016-10-14T20:41:30"/>
    <d v="2016-10-18T17:46:53"/>
    <d v="2016-10-18T17:46:53"/>
    <m/>
    <d v="2016-10-25T19:12:30"/>
    <d v="2016-10-18T17:46:53"/>
    <s v=""/>
    <m/>
    <m/>
  </r>
  <r>
    <n v="2187"/>
    <x v="0"/>
    <x v="23"/>
    <s v="lose"/>
    <s v="v."/>
    <s v="失败"/>
    <d v="2016-10-14T20:41:33"/>
    <d v="2016-10-25T19:16:04"/>
    <d v="2016-10-25T19:16:03"/>
    <m/>
    <d v="2016-10-26T19:16:08"/>
    <d v="2016-10-25T19:16:04"/>
    <s v=""/>
    <m/>
    <m/>
  </r>
  <r>
    <n v="2188"/>
    <x v="0"/>
    <x v="23"/>
    <s v="training"/>
    <s v="n."/>
    <s v="训练；培训"/>
    <d v="2016-10-14T20:41:36"/>
    <d v="2016-10-18T17:46:58"/>
    <d v="2016-10-18T17:46:57"/>
    <m/>
    <d v="2016-10-25T19:12:37"/>
    <d v="2016-10-18T17:46:58"/>
    <s v=""/>
    <m/>
    <m/>
  </r>
  <r>
    <n v="2189"/>
    <x v="0"/>
    <x v="23"/>
    <s v="healthy"/>
    <s v="adj."/>
    <s v="健康的"/>
    <d v="2016-10-14T20:41:38"/>
    <d v="2016-10-14T20:41:40"/>
    <d v="2016-10-14T20:41:39"/>
    <m/>
    <d v="2016-10-25T19:12:40"/>
    <d v="2016-10-14T20:41:40"/>
    <s v=""/>
    <m/>
    <m/>
  </r>
  <r>
    <n v="2190"/>
    <x v="0"/>
    <x v="23"/>
    <s v="keen"/>
    <s v="adj."/>
    <s v="热衷的"/>
    <d v="2016-10-14T20:41:42"/>
    <d v="2016-10-14T20:41:42"/>
    <d v="2016-10-14T20:41:42"/>
    <m/>
    <d v="2016-10-25T19:12:43"/>
    <d v="2016-10-14T20:41:42"/>
    <s v=""/>
    <m/>
    <m/>
  </r>
  <r>
    <n v="2191"/>
    <x v="0"/>
    <x v="23"/>
    <s v="be keen on"/>
    <s v="v. phr."/>
    <s v="热衷于某事物"/>
    <d v="2016-10-14T20:41:44"/>
    <d v="2016-10-18T17:47:01"/>
    <d v="2016-10-18T17:47:00"/>
    <m/>
    <d v="2016-10-25T19:12:48"/>
    <d v="2016-10-18T17:47:01"/>
    <s v=""/>
    <m/>
    <m/>
  </r>
  <r>
    <n v="2192"/>
    <x v="0"/>
    <x v="23"/>
    <s v="chocolate"/>
    <s v="n."/>
    <s v="巧克力"/>
    <d v="2016-10-14T20:41:47"/>
    <d v="2016-10-14T20:41:48"/>
    <d v="2016-10-14T20:41:47"/>
    <m/>
    <d v="2016-10-25T19:12:50"/>
    <d v="2016-10-14T20:41:48"/>
    <s v=""/>
    <m/>
    <m/>
  </r>
  <r>
    <n v="2193"/>
    <x v="0"/>
    <x v="23"/>
    <s v="vegetable"/>
    <s v="n."/>
    <s v="蔬菜"/>
    <d v="2016-10-14T20:41:50"/>
    <d v="2016-10-14T20:41:53"/>
    <d v="2016-10-14T20:41:51"/>
    <m/>
    <d v="2016-10-25T19:12:55"/>
    <d v="2016-10-14T20:41:53"/>
    <s v=""/>
    <m/>
    <m/>
  </r>
  <r>
    <n v="2194"/>
    <x v="0"/>
    <x v="23"/>
    <s v="weight"/>
    <s v="n."/>
    <s v="重量，体重"/>
    <d v="2016-10-18T17:01:11"/>
    <d v="2016-10-18T17:01:13"/>
    <d v="2016-10-18T17:01:11"/>
    <m/>
    <d v="2016-10-25T19:12:59"/>
    <d v="2016-10-18T17:01:13"/>
    <s v=""/>
    <m/>
    <m/>
  </r>
  <r>
    <n v="2195"/>
    <x v="0"/>
    <x v="23"/>
    <s v="lose weight"/>
    <s v="v. phr."/>
    <s v="减肥"/>
    <d v="2016-10-18T17:01:15"/>
    <d v="2016-10-18T17:47:03"/>
    <d v="2016-10-18T17:47:03"/>
    <m/>
    <d v="2016-10-25T19:13:04"/>
    <d v="2016-10-18T17:47:03"/>
    <s v=""/>
    <m/>
    <m/>
  </r>
  <r>
    <n v="2196"/>
    <x v="0"/>
    <x v="23"/>
    <s v="overweight"/>
    <s v="adj."/>
    <s v="过重的，超重的"/>
    <d v="2016-10-18T17:01:18"/>
    <d v="2016-10-18T17:01:19"/>
    <d v="2016-10-18T17:01:19"/>
    <m/>
    <d v="2016-10-25T19:13:08"/>
    <d v="2016-10-18T17:01:19"/>
    <s v=""/>
    <m/>
    <m/>
  </r>
  <r>
    <n v="2197"/>
    <x v="0"/>
    <x v="23"/>
    <s v="healthily"/>
    <s v="adv."/>
    <s v="健康地"/>
    <d v="2016-10-18T17:01:21"/>
    <d v="2016-10-18T17:01:22"/>
    <d v="2016-10-18T17:01:22"/>
    <m/>
    <d v="2016-10-25T19:13:11"/>
    <d v="2016-10-18T17:01:22"/>
    <s v=""/>
    <m/>
    <m/>
  </r>
  <r>
    <n v="2198"/>
    <x v="0"/>
    <x v="23"/>
    <s v="sore"/>
    <s v="adj."/>
    <s v="疼痛的"/>
    <d v="2016-10-18T17:01:24"/>
    <d v="2016-10-18T17:01:26"/>
    <d v="2016-10-18T17:01:24"/>
    <m/>
    <d v="2016-10-25T19:13:14"/>
    <d v="2016-10-18T17:01:26"/>
    <s v=""/>
    <m/>
    <m/>
  </r>
  <r>
    <n v="2199"/>
    <x v="0"/>
    <x v="23"/>
    <s v="throat"/>
    <s v="n."/>
    <s v="喉咙"/>
    <d v="2016-10-18T17:01:28"/>
    <d v="2016-10-18T17:01:29"/>
    <d v="2016-10-18T17:01:28"/>
    <m/>
    <d v="2016-10-25T19:13:17"/>
    <d v="2016-10-18T17:01:29"/>
    <s v=""/>
    <m/>
    <m/>
  </r>
  <r>
    <n v="2200"/>
    <x v="0"/>
    <x v="23"/>
    <s v="stomachache"/>
    <s v="n."/>
    <s v="胃痛"/>
    <d v="2016-10-18T17:01:31"/>
    <d v="2016-10-18T17:47:05"/>
    <d v="2016-10-18T17:47:04"/>
    <m/>
    <d v="2016-10-25T19:13:22"/>
    <d v="2016-10-18T17:47:05"/>
    <s v=""/>
    <m/>
    <m/>
  </r>
  <r>
    <n v="2201"/>
    <x v="0"/>
    <x v="23"/>
    <s v="backache"/>
    <s v="n."/>
    <s v="背痛"/>
    <d v="2016-10-18T17:01:34"/>
    <d v="2016-10-18T17:01:35"/>
    <d v="2016-10-18T17:01:35"/>
    <m/>
    <d v="2016-10-25T19:13:25"/>
    <d v="2016-10-18T17:01:35"/>
    <s v=""/>
    <m/>
    <m/>
  </r>
  <r>
    <n v="2202"/>
    <x v="0"/>
    <x v="23"/>
    <s v="earache"/>
    <s v="n."/>
    <s v="耳朵痛"/>
    <d v="2016-10-18T17:01:38"/>
    <d v="2016-10-18T17:01:39"/>
    <d v="2016-10-18T17:01:39"/>
    <m/>
    <d v="2016-10-25T19:13:28"/>
    <d v="2016-10-18T17:01:39"/>
    <s v=""/>
    <m/>
    <m/>
  </r>
  <r>
    <n v="2203"/>
    <x v="0"/>
    <x v="23"/>
    <s v="toothache"/>
    <s v="n."/>
    <s v="牙痛"/>
    <d v="2016-10-18T17:01:41"/>
    <d v="2016-10-25T19:16:06"/>
    <d v="2016-10-25T19:16:06"/>
    <m/>
    <d v="2016-10-26T19:16:10"/>
    <d v="2016-10-25T19:16:06"/>
    <s v=""/>
    <m/>
    <m/>
  </r>
  <r>
    <n v="2204"/>
    <x v="0"/>
    <x v="23"/>
    <s v="health club"/>
    <s v="n. phr."/>
    <s v="健身俱乐部"/>
    <d v="2016-10-18T17:01:43"/>
    <d v="2016-10-18T17:01:44"/>
    <d v="2016-10-18T17:01:44"/>
    <m/>
    <d v="2016-10-25T19:13:34"/>
    <d v="2016-10-18T17:01:44"/>
    <s v=""/>
    <m/>
    <m/>
  </r>
  <r>
    <n v="2205"/>
    <x v="0"/>
    <x v="23"/>
    <s v="up-to-date"/>
    <s v="adj."/>
    <s v="最新式的"/>
    <d v="2016-10-18T17:01:46"/>
    <d v="2016-10-26T19:17:41"/>
    <d v="2016-10-26T19:17:40"/>
    <m/>
    <d v="2016-10-26T19:18:57"/>
    <d v="2016-10-26T19:17:41"/>
    <s v=""/>
    <m/>
    <m/>
  </r>
  <r>
    <n v="2206"/>
    <x v="0"/>
    <x v="23"/>
    <s v="surprised"/>
    <s v="adj."/>
    <s v="感到；吃惊的"/>
    <d v="2016-10-18T17:01:50"/>
    <d v="2016-10-26T19:17:44"/>
    <d v="2016-10-26T19:17:43"/>
    <m/>
    <d v="2016-10-26T19:18:59"/>
    <d v="2016-10-26T19:17:44"/>
    <s v=""/>
    <m/>
    <m/>
  </r>
  <r>
    <n v="2207"/>
    <x v="0"/>
    <x v="23"/>
    <s v="instructor"/>
    <s v="n."/>
    <s v="指导教师"/>
    <d v="2016-10-18T17:01:52"/>
    <d v="2016-10-26T19:17:47"/>
    <d v="2016-10-26T19:17:47"/>
    <m/>
    <d v="2016-10-26T19:19:03"/>
    <d v="2016-10-26T19:17:47"/>
    <s v=""/>
    <m/>
    <m/>
  </r>
  <r>
    <n v="2208"/>
    <x v="0"/>
    <x v="23"/>
    <s v="lifeguard"/>
    <s v="n."/>
    <s v="救生员"/>
    <d v="2016-10-18T17:01:56"/>
    <d v="2016-10-25T19:39:27"/>
    <d v="2016-10-25T19:39:26"/>
    <m/>
    <d v="2016-10-26T19:16:31"/>
    <d v="2016-10-25T19:39:27"/>
    <s v=""/>
    <m/>
    <m/>
  </r>
  <r>
    <n v="2209"/>
    <x v="0"/>
    <x v="23"/>
    <s v="brilliant"/>
    <s v="adj."/>
    <s v="出色的"/>
    <d v="2016-10-18T17:02:00"/>
    <d v="2016-10-18T17:02:01"/>
    <d v="2016-10-18T17:02:00"/>
    <m/>
    <d v="2016-10-25T19:14:01"/>
    <d v="2016-10-18T17:02:01"/>
    <s v=""/>
    <m/>
    <m/>
  </r>
  <r>
    <n v="2210"/>
    <x v="0"/>
    <x v="23"/>
    <s v="stressed"/>
    <s v="adj."/>
    <s v="（精神上或肉体上）痛苦的"/>
    <d v="2016-10-18T17:02:03"/>
    <d v="2016-10-26T19:17:53"/>
    <d v="2016-10-26T19:17:52"/>
    <m/>
    <d v="2016-10-26T19:19:06"/>
    <d v="2016-10-26T19:17:53"/>
    <s v=""/>
    <m/>
    <m/>
  </r>
  <r>
    <n v="2211"/>
    <x v="0"/>
    <x v="23"/>
    <s v="all the time"/>
    <s v="adv. phr."/>
    <s v="总是"/>
    <d v="2016-10-18T17:02:07"/>
    <d v="2016-10-26T19:24:46"/>
    <d v="2016-10-26T19:24:45"/>
    <m/>
    <d v="2016-10-26T19:24:52"/>
    <d v="2016-10-26T19:24:46"/>
    <s v=""/>
    <m/>
    <m/>
  </r>
  <r>
    <n v="2212"/>
    <x v="0"/>
    <x v="23"/>
    <s v="discount"/>
    <s v="n."/>
    <s v="折扣"/>
    <d v="2016-10-18T17:02:10"/>
    <d v="2016-10-26T19:17:58"/>
    <d v="2016-10-26T19:17:57"/>
    <m/>
    <d v="2016-10-26T19:19:13"/>
    <d v="2016-10-26T19:17:58"/>
    <s v=""/>
    <m/>
    <m/>
  </r>
  <r>
    <n v="2213"/>
    <x v="0"/>
    <x v="23"/>
    <s v="come along"/>
    <s v="v. phr."/>
    <s v="过来"/>
    <d v="2016-10-18T17:02:13"/>
    <d v="2016-10-26T19:14:22"/>
    <d v="2016-10-26T19:14:20"/>
    <m/>
    <d v="2016-10-26T19:16:54"/>
    <d v="2016-10-26T19:14:22"/>
    <s v=""/>
    <m/>
    <m/>
  </r>
  <r>
    <n v="2214"/>
    <x v="0"/>
    <x v="23"/>
    <s v="rude"/>
    <s v="adj."/>
    <s v="粗鲁的"/>
    <d v="2016-10-18T17:02:17"/>
    <d v="2016-10-26T19:14:27"/>
    <d v="2016-10-26T19:14:27"/>
    <m/>
    <d v="2016-10-26T19:16:57"/>
    <d v="2016-10-26T19:14:27"/>
    <s v=""/>
    <m/>
    <m/>
  </r>
  <r>
    <n v="2215"/>
    <x v="0"/>
    <x v="23"/>
    <s v="laugh at"/>
    <s v="v. phr."/>
    <s v="嘲笑"/>
    <d v="2016-10-18T17:02:19"/>
    <d v="2016-10-18T17:02:21"/>
    <d v="2016-10-18T17:02:21"/>
    <m/>
    <d v="2016-10-25T19:14:26"/>
    <d v="2016-10-18T17:02:21"/>
    <s v=""/>
    <m/>
    <m/>
  </r>
  <r>
    <n v="2216"/>
    <x v="0"/>
    <x v="23"/>
    <s v="exercise bike"/>
    <s v="n. phr."/>
    <s v="健身自行车"/>
    <d v="2016-10-18T17:02:23"/>
    <d v="2016-10-26T19:15:30"/>
    <d v="2016-10-26T19:15:30"/>
    <m/>
    <d v="2016-10-26T19:17:01"/>
    <d v="2016-10-26T19:15:30"/>
    <s v=""/>
    <m/>
    <m/>
  </r>
  <r>
    <n v="2217"/>
    <x v="0"/>
    <x v="23"/>
    <s v="fault"/>
    <s v="n."/>
    <s v="过错"/>
    <d v="2016-10-18T17:02:26"/>
    <d v="2016-10-26T19:18:00"/>
    <d v="2016-10-26T19:18:00"/>
    <m/>
    <d v="2016-10-26T19:19:17"/>
    <d v="2016-10-26T19:18:00"/>
    <s v=""/>
    <m/>
    <m/>
  </r>
  <r>
    <n v="2218"/>
    <x v="0"/>
    <x v="23"/>
    <s v="detail"/>
    <s v="n."/>
    <s v="细节"/>
    <d v="2016-10-18T17:02:30"/>
    <d v="2016-10-26T19:19:46"/>
    <d v="2016-10-26T19:19:45"/>
    <m/>
    <d v="2016-10-26T19:24:37"/>
    <d v="2016-10-26T19:19:46"/>
    <s v=""/>
    <m/>
    <m/>
  </r>
  <r>
    <n v="2219"/>
    <x v="0"/>
    <x v="23"/>
    <s v="state"/>
    <s v="v."/>
    <s v="陈述"/>
    <d v="2016-10-18T17:02:33"/>
    <d v="2016-10-18T17:02:34"/>
    <d v="2016-10-18T17:02:33"/>
    <m/>
    <d v="2016-10-25T19:14:46"/>
    <d v="2016-10-18T17:02:34"/>
    <s v=""/>
    <m/>
    <m/>
  </r>
  <r>
    <n v="2220"/>
    <x v="0"/>
    <x v="23"/>
    <s v="agree on"/>
    <s v="v. phr."/>
    <s v="对取得一致意见"/>
    <d v="2016-10-18T17:02:36"/>
    <d v="2016-10-18T17:02:37"/>
    <d v="2016-10-18T17:02:36"/>
    <m/>
    <d v="2016-10-25T19:14:50"/>
    <d v="2016-10-18T17:02:37"/>
    <s v=""/>
    <m/>
    <m/>
  </r>
  <r>
    <n v="2221"/>
    <x v="0"/>
    <x v="23"/>
    <s v="in my opinion"/>
    <s v="phrase"/>
    <s v="依我看来"/>
    <d v="2016-10-18T17:02:39"/>
    <d v="2016-10-26T19:18:11"/>
    <d v="2016-10-26T19:18:11"/>
    <m/>
    <d v="2016-10-26T19:19:24"/>
    <d v="2016-10-26T19:18:11"/>
    <s v=""/>
    <m/>
    <m/>
  </r>
  <r>
    <n v="2222"/>
    <x v="0"/>
    <x v="23"/>
    <s v="had better"/>
    <s v="phrase"/>
    <s v="最好"/>
    <d v="2016-10-18T17:02:43"/>
    <d v="2016-10-26T19:18:15"/>
    <d v="2016-10-26T19:18:15"/>
    <m/>
    <d v="2016-10-26T19:19:29"/>
    <d v="2016-10-26T19:18:15"/>
    <s v=""/>
    <m/>
    <m/>
  </r>
  <r>
    <n v="2223"/>
    <x v="0"/>
    <x v="23"/>
    <s v="the rest"/>
    <s v="n. phr."/>
    <s v="其余的人或物"/>
    <d v="2016-10-18T17:02:46"/>
    <d v="2016-10-26T19:15:43"/>
    <d v="2016-10-26T19:15:42"/>
    <m/>
    <d v="2016-10-26T19:17:25"/>
    <d v="2016-10-26T19:15:43"/>
    <s v=""/>
    <m/>
    <m/>
  </r>
  <r>
    <n v="2224"/>
    <x v="0"/>
    <x v="24"/>
    <s v="hear from"/>
    <s v="v. phr."/>
    <s v="收到（某人的）来信，得到（某人的）消息"/>
    <d v="2016-10-19T19:13:54"/>
    <d v="2016-10-19T19:13:55"/>
    <d v="2016-10-19T19:13:55"/>
    <m/>
    <d v="2016-10-19T19:15:30"/>
    <d v="2016-10-19T19:13:55"/>
    <s v=""/>
    <m/>
    <m/>
  </r>
  <r>
    <n v="2225"/>
    <x v="0"/>
    <x v="24"/>
    <s v="Switzerland"/>
    <s v="n."/>
    <s v="瑞士"/>
    <d v="2016-10-19T19:13:57"/>
    <d v="2016-10-19T19:13:58"/>
    <d v="2016-10-19T19:13:58"/>
    <m/>
    <d v="2016-10-19T19:15:33"/>
    <d v="2016-10-19T19:13:58"/>
    <s v=""/>
    <m/>
    <m/>
  </r>
  <r>
    <n v="2226"/>
    <x v="0"/>
    <x v="24"/>
    <s v="application"/>
    <s v="n."/>
    <s v="申请"/>
    <d v="2016-10-19T19:14:00"/>
    <d v="2016-10-19T19:17:40"/>
    <d v="2016-10-19T19:17:40"/>
    <m/>
    <d v="2016-10-19T19:19:19"/>
    <d v="2016-10-19T19:17:40"/>
    <s v=""/>
    <m/>
    <m/>
  </r>
  <r>
    <n v="2227"/>
    <x v="0"/>
    <x v="24"/>
    <s v="application form"/>
    <s v="n. phr."/>
    <s v="申请表"/>
    <d v="2016-10-19T19:14:04"/>
    <d v="2016-10-19T19:14:05"/>
    <d v="2016-10-19T19:14:04"/>
    <m/>
    <d v="2016-10-19T19:15:41"/>
    <d v="2016-10-19T19:14:05"/>
    <s v=""/>
    <m/>
    <m/>
  </r>
  <r>
    <n v="2228"/>
    <x v="0"/>
    <x v="24"/>
    <s v="arrange"/>
    <s v="v."/>
    <s v="安排"/>
    <d v="2016-10-19T19:14:06"/>
    <d v="2016-10-19T19:17:42"/>
    <d v="2016-10-19T19:17:42"/>
    <m/>
    <d v="2016-10-19T19:19:22"/>
    <d v="2016-10-19T19:17:42"/>
    <s v=""/>
    <m/>
    <m/>
  </r>
  <r>
    <n v="2229"/>
    <x v="0"/>
    <x v="24"/>
    <s v="anniversary"/>
    <s v="n."/>
    <s v="周年"/>
    <d v="2016-10-19T19:14:09"/>
    <d v="2016-10-19T19:14:11"/>
    <d v="2016-10-19T19:14:10"/>
    <m/>
    <d v="2016-10-19T19:15:48"/>
    <d v="2016-10-19T19:14:11"/>
    <s v=""/>
    <m/>
    <m/>
  </r>
  <r>
    <n v="2230"/>
    <x v="0"/>
    <x v="24"/>
    <s v="different"/>
    <s v="adj."/>
    <s v="不同的"/>
    <d v="2016-10-19T19:14:13"/>
    <d v="2016-10-19T19:21:41"/>
    <d v="2016-10-19T19:21:40"/>
    <m/>
    <d v="2016-10-19T19:22:36"/>
    <d v="2016-10-19T19:21:41"/>
    <s v=""/>
    <m/>
    <m/>
  </r>
  <r>
    <n v="2231"/>
    <x v="0"/>
    <x v="24"/>
    <s v="close"/>
    <s v="v."/>
    <s v="关闭，打烨"/>
    <d v="2016-10-19T19:14:16"/>
    <d v="2016-10-19T19:21:42"/>
    <d v="2016-10-19T19:21:42"/>
    <m/>
    <d v="2016-10-19T19:22:39"/>
    <d v="2016-10-19T19:21:42"/>
    <s v=""/>
    <m/>
    <m/>
  </r>
  <r>
    <n v="2232"/>
    <x v="0"/>
    <x v="24"/>
    <s v="sad"/>
    <s v="adj."/>
    <s v="悲伤的"/>
    <d v="2016-10-19T19:14:19"/>
    <d v="2016-10-19T19:21:44"/>
    <d v="2016-10-19T19:21:44"/>
    <m/>
    <d v="2016-10-19T19:22:41"/>
    <d v="2016-10-19T19:21:44"/>
    <s v=""/>
    <m/>
    <m/>
  </r>
  <r>
    <n v="2233"/>
    <x v="0"/>
    <x v="24"/>
    <s v="all day"/>
    <s v="adv. phr."/>
    <s v="整天"/>
    <d v="2016-10-19T19:14:21"/>
    <d v="2016-10-19T19:24:33"/>
    <d v="2016-10-19T19:24:32"/>
    <m/>
    <d v="2016-10-19T19:24:42"/>
    <d v="2016-10-19T19:24:33"/>
    <s v=""/>
    <m/>
    <m/>
  </r>
  <r>
    <n v="2234"/>
    <x v="0"/>
    <x v="24"/>
    <s v="every day"/>
    <s v="adv. phr."/>
    <s v="每天"/>
    <d v="2016-10-19T19:14:23"/>
    <d v="2016-10-19T19:14:24"/>
    <d v="2016-10-19T19:14:23"/>
    <m/>
    <d v="2016-10-19T19:16:09"/>
    <d v="2016-10-19T19:14:24"/>
    <s v=""/>
    <m/>
    <m/>
  </r>
  <r>
    <n v="2235"/>
    <x v="0"/>
    <x v="24"/>
    <s v="business letter"/>
    <s v="n. phr."/>
    <s v="商务信函"/>
    <d v="2016-10-19T19:14:26"/>
    <d v="2016-10-19T19:18:36"/>
    <d v="2016-10-19T19:18:35"/>
    <m/>
    <d v="2016-10-19T19:20:42"/>
    <d v="2016-10-19T19:18:36"/>
    <s v=""/>
    <m/>
    <m/>
  </r>
  <r>
    <n v="2236"/>
    <x v="0"/>
    <x v="24"/>
    <s v="the same as"/>
    <s v="adv. phr."/>
    <s v="与…一样"/>
    <d v="2016-10-19T19:14:28"/>
    <d v="2016-10-19T19:21:48"/>
    <d v="2016-10-19T19:21:48"/>
    <m/>
    <d v="2016-10-19T19:23:10"/>
    <d v="2016-10-19T19:21:48"/>
    <s v=""/>
    <m/>
    <m/>
  </r>
  <r>
    <n v="2237"/>
    <x v="0"/>
    <x v="24"/>
    <s v="recently"/>
    <s v="adv."/>
    <s v="最近地"/>
    <d v="2016-10-19T19:14:31"/>
    <d v="2016-10-19T19:14:31"/>
    <d v="2016-10-19T19:14:31"/>
    <m/>
    <d v="2016-10-19T19:16:25"/>
    <d v="2016-10-19T19:14:31"/>
    <s v=""/>
    <m/>
    <m/>
  </r>
  <r>
    <n v="2238"/>
    <x v="0"/>
    <x v="24"/>
    <s v="mixed up"/>
    <s v="v. phr."/>
    <s v="混在一起"/>
    <d v="2016-10-19T19:14:33"/>
    <d v="2016-10-19T19:14:35"/>
    <d v="2016-10-19T19:14:34"/>
    <m/>
    <d v="2016-10-19T19:16:30"/>
    <d v="2016-10-19T19:14:35"/>
    <s v=""/>
    <m/>
    <m/>
  </r>
  <r>
    <n v="2239"/>
    <x v="0"/>
    <x v="24"/>
    <s v="belong with"/>
    <s v="v. phr."/>
    <s v="应该在某处；属于"/>
    <d v="2016-10-19T19:14:37"/>
    <d v="2016-10-19T19:21:50"/>
    <d v="2016-10-19T19:21:50"/>
    <m/>
    <d v="2016-10-19T19:23:13"/>
    <d v="2016-10-19T19:21:50"/>
    <s v=""/>
    <m/>
    <m/>
  </r>
  <r>
    <n v="2240"/>
    <x v="0"/>
    <x v="24"/>
    <s v="forget"/>
    <s v="v."/>
    <s v="忘记"/>
    <d v="2016-10-19T19:14:40"/>
    <d v="2016-10-19T19:14:41"/>
    <d v="2016-10-19T19:14:40"/>
    <m/>
    <d v="2016-10-19T19:16:39"/>
    <d v="2016-10-19T19:14:41"/>
    <s v=""/>
    <m/>
    <m/>
  </r>
  <r>
    <n v="2241"/>
    <x v="0"/>
    <x v="24"/>
    <s v="since"/>
    <s v="prep."/>
    <s v="自从"/>
    <d v="2016-10-19T19:14:42"/>
    <d v="2016-10-19T19:23:54"/>
    <d v="2016-10-19T19:23:54"/>
    <m/>
    <d v="2016-10-19T19:24:18"/>
    <d v="2016-10-19T19:23:54"/>
    <s v=""/>
    <m/>
    <m/>
  </r>
  <r>
    <n v="2242"/>
    <x v="0"/>
    <x v="24"/>
    <s v="since"/>
    <s v="conj."/>
    <s v="自…以来，自…以后"/>
    <d v="2016-10-19T19:14:45"/>
    <d v="2016-10-19T19:18:56"/>
    <d v="2016-10-19T19:18:55"/>
    <m/>
    <d v="2016-10-19T19:20:57"/>
    <d v="2016-10-19T19:18:56"/>
    <s v=""/>
    <m/>
    <m/>
  </r>
  <r>
    <n v="2243"/>
    <x v="0"/>
    <x v="24"/>
    <s v="change"/>
    <s v="n."/>
    <s v="变化"/>
    <d v="2016-10-19T19:14:49"/>
    <d v="2016-10-19T19:21:54"/>
    <d v="2016-10-19T19:21:54"/>
    <m/>
    <d v="2016-10-19T19:23:23"/>
    <d v="2016-10-19T19:21:54"/>
    <s v=""/>
    <m/>
    <m/>
  </r>
  <r>
    <n v="2244"/>
    <x v="0"/>
    <x v="24"/>
    <s v="thanks"/>
    <s v="n."/>
    <s v="感谢"/>
    <d v="2016-10-19T19:14:51"/>
    <d v="2016-10-19T19:21:56"/>
    <d v="2016-10-19T19:21:56"/>
    <m/>
    <d v="2016-10-19T19:23:32"/>
    <d v="2016-10-19T19:21:56"/>
    <s v=""/>
    <m/>
    <m/>
  </r>
  <r>
    <n v="2245"/>
    <x v="0"/>
    <x v="24"/>
    <s v="all the best"/>
    <s v="phrase"/>
    <s v="一切顺利，一路平安"/>
    <d v="2016-10-19T19:14:56"/>
    <d v="2016-10-19T19:23:57"/>
    <d v="2016-10-19T19:23:57"/>
    <m/>
    <d v="2016-10-19T19:24:23"/>
    <d v="2016-10-19T19:23:57"/>
    <s v=""/>
    <m/>
    <m/>
  </r>
  <r>
    <n v="2246"/>
    <x v="0"/>
    <x v="24"/>
    <s v="sincerely"/>
    <s v="adv."/>
    <s v="真诚地"/>
    <d v="2016-10-19T19:15:00"/>
    <d v="2016-10-19T19:15:01"/>
    <d v="2016-10-19T19:15:01"/>
    <m/>
    <d v="2016-10-19T19:17:08"/>
    <d v="2016-10-19T19:15:01"/>
    <s v=""/>
    <m/>
    <m/>
  </r>
  <r>
    <n v="2247"/>
    <x v="0"/>
    <x v="24"/>
    <s v="reserve"/>
    <s v="v."/>
    <s v="预订"/>
    <d v="2016-10-19T19:15:03"/>
    <d v="2016-10-19T19:15:04"/>
    <d v="2016-10-19T19:15:03"/>
    <m/>
    <d v="2016-10-19T19:17:12"/>
    <d v="2016-10-19T19:15:04"/>
    <s v=""/>
    <m/>
    <m/>
  </r>
  <r>
    <n v="2248"/>
    <x v="0"/>
    <x v="24"/>
    <s v="hostel"/>
    <s v="n."/>
    <s v="宿舍，招待所"/>
    <d v="2016-10-19T19:15:05"/>
    <d v="2016-10-19T19:15:06"/>
    <d v="2016-10-19T19:15:06"/>
    <m/>
    <d v="2016-10-19T19:17:16"/>
    <d v="2016-10-19T19:15:06"/>
    <s v=""/>
    <m/>
    <m/>
  </r>
  <r>
    <n v="2249"/>
    <x v="0"/>
    <x v="24"/>
    <s v="best wishes"/>
    <s v="n. phr."/>
    <s v="祝好"/>
    <d v="2016-10-19T19:15:09"/>
    <d v="2016-10-19T19:22:01"/>
    <d v="2016-10-19T19:22:01"/>
    <m/>
    <d v="2016-10-19T19:23:40"/>
    <d v="2016-10-19T19:22:01"/>
    <s v=""/>
    <m/>
    <m/>
  </r>
  <r>
    <n v="2250"/>
    <x v="0"/>
    <x v="24"/>
    <s v="convenient"/>
    <s v="adj."/>
    <s v="方便的"/>
    <d v="2016-10-19T19:15:14"/>
    <d v="2016-10-19T19:19:08"/>
    <d v="2016-10-19T19:19:08"/>
    <m/>
    <d v="2016-10-19T19:21:31"/>
    <d v="2016-10-19T19:19:08"/>
    <s v=""/>
    <m/>
    <m/>
  </r>
  <r>
    <n v="2251"/>
    <x v="0"/>
    <x v="24"/>
    <s v="public transport"/>
    <s v="n. phr."/>
    <s v="公共交通"/>
    <d v="2016-10-25T16:29:55"/>
    <d v="2016-10-19T19:18:41"/>
    <d v="2016-10-25T16:29:56"/>
    <m/>
    <d v="2016-10-25T16:46:11"/>
    <d v="2016-10-25T16:29:56"/>
    <s v=""/>
    <m/>
    <m/>
  </r>
  <r>
    <n v="2252"/>
    <x v="0"/>
    <x v="24"/>
    <s v="indeed"/>
    <s v="adv."/>
    <s v="（加强语气）确实；真正地"/>
    <d v="2016-10-25T16:29:58"/>
    <d v="2016-10-25T16:29:58"/>
    <d v="2016-10-25T16:29:58"/>
    <m/>
    <d v="2016-10-25T16:46:14"/>
    <d v="2016-10-25T16:29:58"/>
    <s v=""/>
    <m/>
    <m/>
  </r>
  <r>
    <n v="2253"/>
    <x v="0"/>
    <x v="24"/>
    <s v="unfortunately"/>
    <s v="adv."/>
    <s v="不幸地，遗憾地"/>
    <d v="2016-10-25T16:30:01"/>
    <d v="2016-10-25T16:30:01"/>
    <d v="2016-10-25T16:30:01"/>
    <m/>
    <d v="2016-10-25T16:46:19"/>
    <d v="2016-10-25T16:30:01"/>
    <s v=""/>
    <m/>
    <m/>
  </r>
  <r>
    <n v="2254"/>
    <x v="0"/>
    <x v="24"/>
    <s v="move"/>
    <s v="v."/>
    <s v="（to）移动，迁移"/>
    <d v="2016-10-25T16:30:30"/>
    <d v="2016-10-25T16:30:31"/>
    <d v="2016-10-25T16:30:31"/>
    <m/>
    <d v="2016-10-25T16:46:24"/>
    <d v="2016-10-25T16:30:31"/>
    <s v=""/>
    <m/>
    <m/>
  </r>
  <r>
    <n v="2255"/>
    <x v="0"/>
    <x v="24"/>
    <s v="tense"/>
    <s v="n."/>
    <s v="（语法）时态"/>
    <d v="2016-10-25T16:30:33"/>
    <d v="2016-10-25T16:30:34"/>
    <d v="2016-10-25T16:30:33"/>
    <m/>
    <d v="2016-10-25T16:46:37"/>
    <d v="2016-10-25T16:30:34"/>
    <s v=""/>
    <m/>
    <m/>
  </r>
  <r>
    <n v="2256"/>
    <x v="0"/>
    <x v="24"/>
    <s v="landlady"/>
    <s v="n."/>
    <s v="女房东；（旅馆等的）老板娘"/>
    <d v="2016-10-25T16:30:35"/>
    <d v="2016-10-25T16:30:36"/>
    <d v="2016-10-25T16:30:36"/>
    <m/>
    <d v="2016-10-25T16:46:40"/>
    <d v="2016-10-25T16:30:36"/>
    <s v=""/>
    <m/>
    <m/>
  </r>
  <r>
    <n v="2257"/>
    <x v="0"/>
    <x v="24"/>
    <s v="earn"/>
    <s v="v."/>
    <s v="赚得，获得"/>
    <d v="2016-10-25T16:30:37"/>
    <d v="2016-10-25T16:30:38"/>
    <d v="2016-10-25T16:30:38"/>
    <m/>
    <d v="2016-10-25T16:46:43"/>
    <d v="2016-10-25T16:30:38"/>
    <s v=""/>
    <m/>
    <m/>
  </r>
  <r>
    <n v="2258"/>
    <x v="0"/>
    <x v="24"/>
    <s v="ever"/>
    <s v="adv."/>
    <s v="曾经"/>
    <d v="2016-10-25T16:30:40"/>
    <d v="2016-10-25T16:30:41"/>
    <d v="2016-10-25T16:30:41"/>
    <m/>
    <d v="2016-10-25T16:46:55"/>
    <d v="2016-10-25T16:30:41"/>
    <s v=""/>
    <m/>
    <m/>
  </r>
  <r>
    <n v="2259"/>
    <x v="0"/>
    <x v="24"/>
    <s v="Bangkok"/>
    <s v="n."/>
    <s v="曼谷（泰国首都）"/>
    <d v="2016-10-25T16:30:43"/>
    <d v="2016-10-25T16:30:43"/>
    <d v="2016-10-25T16:30:43"/>
    <m/>
    <d v="2016-10-25T16:46:58"/>
    <d v="2016-10-25T16:30:43"/>
    <s v=""/>
    <m/>
    <m/>
  </r>
  <r>
    <n v="2260"/>
    <x v="0"/>
    <x v="24"/>
    <s v="stranger"/>
    <s v="n."/>
    <s v="陌生人"/>
    <d v="2016-10-25T16:30:46"/>
    <d v="2016-10-25T16:30:47"/>
    <d v="2016-10-25T16:30:46"/>
    <m/>
    <d v="2016-10-25T16:47:01"/>
    <d v="2016-10-25T16:30:47"/>
    <s v=""/>
    <m/>
    <m/>
  </r>
  <r>
    <n v="2261"/>
    <x v="0"/>
    <x v="24"/>
    <s v="hairbrush"/>
    <s v="n."/>
    <s v="发刷"/>
    <d v="2016-10-25T16:30:48"/>
    <d v="2016-10-25T16:30:50"/>
    <d v="2016-10-25T16:30:49"/>
    <m/>
    <d v="2016-10-25T16:47:12"/>
    <d v="2016-10-25T16:30:50"/>
    <s v=""/>
    <m/>
    <m/>
  </r>
  <r>
    <n v="2262"/>
    <x v="0"/>
    <x v="24"/>
    <s v="back"/>
    <s v="n."/>
    <s v="（人体的）背部"/>
    <d v="2016-10-25T16:30:53"/>
    <d v="2016-10-25T16:30:53"/>
    <d v="2016-10-25T16:30:52"/>
    <m/>
    <d v="2016-10-25T16:47:15"/>
    <d v="2016-10-25T16:30:53"/>
    <s v=""/>
    <m/>
    <m/>
  </r>
  <r>
    <n v="2263"/>
    <x v="0"/>
    <x v="24"/>
    <s v="catch"/>
    <s v="v."/>
    <s v="捕捉，及时赶上"/>
    <d v="2016-10-25T16:30:56"/>
    <d v="2016-10-25T16:30:57"/>
    <d v="2016-10-25T16:30:57"/>
    <m/>
    <d v="2016-10-25T16:47:18"/>
    <d v="2016-10-25T16:30:57"/>
    <s v=""/>
    <m/>
    <m/>
  </r>
  <r>
    <n v="2264"/>
    <x v="0"/>
    <x v="24"/>
    <s v="salad"/>
    <s v="n."/>
    <s v="沙拉"/>
    <d v="2016-10-25T16:30:59"/>
    <d v="2016-10-25T16:31:00"/>
    <d v="2016-10-25T16:31:00"/>
    <m/>
    <d v="2016-10-25T16:47:26"/>
    <d v="2016-10-25T16:31:00"/>
    <s v=""/>
    <m/>
    <m/>
  </r>
  <r>
    <n v="2265"/>
    <x v="0"/>
    <x v="24"/>
    <s v="famous"/>
    <s v="adj."/>
    <s v="著名的"/>
    <d v="2016-10-25T16:31:02"/>
    <d v="2016-10-25T16:31:03"/>
    <d v="2016-10-25T16:31:03"/>
    <m/>
    <d v="2016-10-25T16:47:28"/>
    <d v="2016-10-25T16:31:03"/>
    <s v=""/>
    <m/>
    <m/>
  </r>
  <r>
    <n v="2266"/>
    <x v="0"/>
    <x v="24"/>
    <s v="Europe"/>
    <s v="n."/>
    <s v="欧洲"/>
    <d v="2016-10-25T16:31:05"/>
    <d v="2016-10-25T16:31:06"/>
    <d v="2016-10-25T16:31:06"/>
    <m/>
    <d v="2016-10-25T16:47:32"/>
    <d v="2016-10-25T16:31:06"/>
    <s v=""/>
    <m/>
    <m/>
  </r>
  <r>
    <n v="2267"/>
    <x v="0"/>
    <x v="24"/>
    <s v="Picasso"/>
    <s v="n."/>
    <s v="毕加索（西班牙画家）"/>
    <d v="2016-10-25T16:45:40"/>
    <d v="2016-10-25T16:45:41"/>
    <d v="2016-10-25T16:45:41"/>
    <m/>
    <d v="2016-10-25T16:47:35"/>
    <d v="2016-10-25T16:45:41"/>
    <s v=""/>
    <m/>
    <m/>
  </r>
  <r>
    <n v="2268"/>
    <x v="0"/>
    <x v="24"/>
    <s v="paint"/>
    <s v="n."/>
    <s v="油漆"/>
    <d v="2016-10-25T16:45:44"/>
    <d v="2016-10-25T16:48:40"/>
    <d v="2016-10-25T16:48:40"/>
    <m/>
    <d v="2016-10-25T16:49:18"/>
    <d v="2016-10-25T16:48:40"/>
    <s v=""/>
    <m/>
    <m/>
  </r>
  <r>
    <n v="2269"/>
    <x v="0"/>
    <x v="24"/>
    <s v="shortcut"/>
    <s v="n."/>
    <s v="捷径"/>
    <d v="2016-10-25T16:45:46"/>
    <d v="2016-10-25T16:45:46"/>
    <d v="2016-10-25T16:45:46"/>
    <m/>
    <d v="2016-10-25T16:47:52"/>
    <d v="2016-10-25T16:45:46"/>
    <s v=""/>
    <m/>
    <m/>
  </r>
  <r>
    <n v="2270"/>
    <x v="0"/>
    <x v="24"/>
    <s v="tness"/>
    <s v="n."/>
    <s v="健康"/>
    <d v="2016-10-25T16:45:48"/>
    <d v="2016-10-25T16:45:49"/>
    <d v="2016-10-25T16:45:49"/>
    <m/>
    <d v="2016-10-25T16:47:55"/>
    <d v="2016-10-25T16:45:49"/>
    <s v=""/>
    <m/>
    <m/>
  </r>
  <r>
    <n v="2271"/>
    <x v="0"/>
    <x v="24"/>
    <s v="fitness centre"/>
    <s v="n. phr."/>
    <s v="健身中心"/>
    <d v="2016-10-25T16:45:51"/>
    <d v="2016-10-25T16:45:52"/>
    <d v="2016-10-25T16:45:52"/>
    <m/>
    <d v="2016-10-25T16:47:59"/>
    <d v="2016-10-25T16:45:52"/>
    <s v=""/>
    <m/>
    <m/>
  </r>
  <r>
    <n v="2272"/>
    <x v="0"/>
    <x v="24"/>
    <s v="outdoors"/>
    <s v="adv."/>
    <s v="在户外"/>
    <d v="2016-10-25T16:45:53"/>
    <d v="2016-10-25T16:45:54"/>
    <d v="2016-10-25T16:45:54"/>
    <m/>
    <d v="2016-10-25T16:48:11"/>
    <d v="2016-10-25T16:45:54"/>
    <s v=""/>
    <m/>
    <m/>
  </r>
  <r>
    <n v="2273"/>
    <x v="0"/>
    <x v="24"/>
    <s v="improve"/>
    <s v="v."/>
    <s v="改进"/>
    <d v="2016-10-25T16:45:56"/>
    <d v="2016-10-25T16:45:57"/>
    <d v="2016-10-25T16:45:56"/>
    <m/>
    <d v="2016-10-25T16:48:13"/>
    <d v="2016-10-25T16:45:57"/>
    <s v=""/>
    <m/>
    <m/>
  </r>
  <r>
    <n v="2274"/>
    <x v="0"/>
    <x v="24"/>
    <s v="go to the cinema"/>
    <s v="v. phr."/>
    <s v="看电影"/>
    <d v="2016-10-25T16:45:59"/>
    <d v="2016-10-25T16:45:59"/>
    <d v="2016-10-25T16:45:59"/>
    <m/>
    <d v="2016-10-25T16:48:16"/>
    <d v="2016-10-25T16:45:59"/>
    <s v=""/>
    <m/>
    <m/>
  </r>
  <r>
    <n v="2275"/>
    <x v="0"/>
    <x v="24"/>
    <s v="compare with"/>
    <s v="v. phr."/>
    <s v="与…比较"/>
    <d v="2016-10-25T16:46:01"/>
    <d v="2016-10-25T16:46:03"/>
    <d v="2016-10-25T16:46:01"/>
    <m/>
    <d v="2016-10-25T16:48:31"/>
    <d v="2016-10-25T16:46:03"/>
    <s v=""/>
    <m/>
    <m/>
  </r>
  <r>
    <n v="2276"/>
    <x v="0"/>
    <x v="25"/>
    <s v="fact"/>
    <s v="n."/>
    <s v="事实"/>
    <d v="2016-10-30T21:14:30"/>
    <d v="2016-11-07T21:08:21"/>
    <d v="2016-11-07T21:08:21"/>
    <m/>
    <d v="2016-11-07T21:08:47"/>
    <d v="2016-11-07T21:08:21"/>
    <s v=""/>
    <m/>
    <m/>
  </r>
  <r>
    <n v="2277"/>
    <x v="0"/>
    <x v="25"/>
    <s v="figure"/>
    <s v="n."/>
    <s v="数字"/>
    <d v="2016-10-30T21:14:32"/>
    <d v="2016-10-30T21:14:32"/>
    <d v="2016-10-30T21:14:32"/>
    <m/>
    <d v="2016-11-07T20:57:57"/>
    <d v="2016-10-30T21:14:32"/>
    <s v=""/>
    <m/>
    <m/>
  </r>
  <r>
    <n v="2278"/>
    <x v="0"/>
    <x v="25"/>
    <s v="flag"/>
    <s v="n."/>
    <s v="旗帜"/>
    <d v="2016-10-30T21:14:34"/>
    <d v="2016-10-30T21:14:34"/>
    <d v="2016-10-30T21:14:34"/>
    <m/>
    <d v="2016-11-07T20:57:59"/>
    <d v="2016-10-30T21:14:34"/>
    <s v=""/>
    <m/>
    <m/>
  </r>
  <r>
    <n v="2279"/>
    <x v="0"/>
    <x v="25"/>
    <s v="shape"/>
    <s v="n."/>
    <s v="形状"/>
    <d v="2016-10-30T21:14:37"/>
    <d v="2016-10-30T21:14:37"/>
    <d v="2016-10-30T21:14:37"/>
    <m/>
    <d v="2016-11-07T20:58:03"/>
    <d v="2016-10-30T21:14:37"/>
    <s v=""/>
    <m/>
    <m/>
  </r>
  <r>
    <n v="2280"/>
    <x v="0"/>
    <x v="25"/>
    <s v="underneath"/>
    <s v="adv."/>
    <s v="在下方"/>
    <d v="2016-10-30T21:29:08"/>
    <d v="2016-11-09T19:08:39"/>
    <d v="2016-11-09T19:08:39"/>
    <m/>
    <d v="2016-11-09T19:09:21"/>
    <d v="2016-11-09T19:08:39"/>
    <s v=""/>
    <m/>
    <m/>
  </r>
  <r>
    <n v="2281"/>
    <x v="0"/>
    <x v="25"/>
    <s v="Japan"/>
    <s v="n."/>
    <s v="日本"/>
    <d v="2016-10-30T21:29:10"/>
    <d v="2016-10-30T21:29:11"/>
    <d v="2016-10-30T21:29:11"/>
    <m/>
    <d v="2016-11-07T20:58:06"/>
    <d v="2016-10-30T21:29:11"/>
    <s v=""/>
    <m/>
    <m/>
  </r>
  <r>
    <n v="2282"/>
    <x v="0"/>
    <x v="25"/>
    <s v="Portugal"/>
    <s v="n."/>
    <s v="葡萄牙"/>
    <d v="2016-10-30T21:29:13"/>
    <d v="2016-11-07T21:08:25"/>
    <d v="2016-11-07T21:08:25"/>
    <m/>
    <d v="2016-11-07T21:08:54"/>
    <d v="2016-11-07T21:08:25"/>
    <s v=""/>
    <m/>
    <m/>
  </r>
  <r>
    <n v="2283"/>
    <x v="0"/>
    <x v="25"/>
    <s v="Australia"/>
    <s v="n."/>
    <s v="澳大利亚"/>
    <d v="2016-10-30T21:29:16"/>
    <d v="2016-10-30T21:29:18"/>
    <d v="2016-10-30T21:29:17"/>
    <m/>
    <d v="2016-11-07T21:04:56"/>
    <d v="2016-10-30T21:29:18"/>
    <s v=""/>
    <m/>
    <m/>
  </r>
  <r>
    <n v="2284"/>
    <x v="0"/>
    <x v="25"/>
    <s v="Kenya"/>
    <s v="n."/>
    <s v="肯尼亚"/>
    <d v="2016-10-30T21:29:20"/>
    <d v="2016-10-30T21:29:23"/>
    <d v="2016-10-30T21:29:20"/>
    <m/>
    <d v="2016-11-07T21:05:00"/>
    <d v="2016-10-30T21:29:23"/>
    <s v=""/>
    <m/>
    <m/>
  </r>
  <r>
    <n v="2285"/>
    <x v="0"/>
    <x v="25"/>
    <s v="Mexico"/>
    <s v="n."/>
    <s v="墨西哥"/>
    <d v="2016-11-06T19:09:36"/>
    <d v="2016-11-06T19:09:36"/>
    <d v="2016-11-06T19:09:36"/>
    <m/>
    <d v="2016-11-07T21:08:57"/>
    <d v="2016-11-06T19:09:36"/>
    <s v=""/>
    <m/>
    <m/>
  </r>
  <r>
    <n v="2286"/>
    <x v="0"/>
    <x v="25"/>
    <s v="Italy"/>
    <s v="n."/>
    <s v="意大利"/>
    <d v="2016-11-06T19:09:38"/>
    <d v="2016-11-07T21:08:26"/>
    <d v="2016-11-07T21:08:26"/>
    <m/>
    <d v="2016-11-09T19:09:24"/>
    <d v="2016-11-07T21:08:26"/>
    <s v=""/>
    <m/>
    <m/>
  </r>
  <r>
    <n v="2287"/>
    <x v="0"/>
    <x v="25"/>
    <s v="South America"/>
    <s v="n. phr."/>
    <s v="南美洲"/>
    <d v="2016-11-06T19:09:40"/>
    <d v="2016-11-07T21:08:28"/>
    <d v="2016-11-07T21:08:28"/>
    <m/>
    <d v="2016-11-09T19:09:27"/>
    <d v="2016-11-07T21:08:28"/>
    <s v=""/>
    <m/>
    <m/>
  </r>
  <r>
    <n v="2288"/>
    <x v="0"/>
    <x v="25"/>
    <s v="continent"/>
    <s v="n."/>
    <s v="大陆"/>
    <d v="2016-11-06T19:09:43"/>
    <d v="2016-11-09T19:08:41"/>
    <d v="2016-11-09T19:08:41"/>
    <m/>
    <d v="2016-11-09T19:09:36"/>
    <d v="2016-11-09T19:08:41"/>
    <s v=""/>
    <m/>
    <m/>
  </r>
  <r>
    <n v="2289"/>
    <x v="0"/>
    <x v="25"/>
    <s v="border"/>
    <s v="n."/>
    <s v="边境"/>
    <d v="2016-11-06T19:09:45"/>
    <d v="2016-11-07T21:08:32"/>
    <d v="2016-11-07T21:08:32"/>
    <m/>
    <d v="2016-11-09T19:09:38"/>
    <d v="2016-11-07T21:08:32"/>
    <s v=""/>
    <m/>
    <m/>
  </r>
  <r>
    <n v="2290"/>
    <x v="0"/>
    <x v="25"/>
    <s v="equator"/>
    <s v="n."/>
    <s v="赤道"/>
    <d v="2016-11-06T19:09:50"/>
    <d v="2016-11-07T21:08:34"/>
    <d v="2016-11-07T21:08:34"/>
    <m/>
    <d v="2016-11-09T19:09:42"/>
    <d v="2016-11-07T21:08:34"/>
    <s v=""/>
    <m/>
    <m/>
  </r>
  <r>
    <n v="2291"/>
    <x v="0"/>
    <x v="25"/>
    <s v="island"/>
    <s v="n."/>
    <s v="岛屿"/>
    <d v="2016-11-06T19:09:54"/>
    <d v="2016-11-07T21:08:36"/>
    <d v="2016-11-07T21:08:36"/>
    <m/>
    <d v="2016-11-09T19:09:45"/>
    <d v="2016-11-07T21:08:36"/>
    <s v=""/>
    <m/>
    <m/>
  </r>
  <r>
    <n v="2292"/>
    <x v="0"/>
    <x v="25"/>
    <s v="Asia"/>
    <s v="n."/>
    <s v="亚洲"/>
    <d v="2016-11-06T19:09:58"/>
    <d v="2016-11-09T19:08:42"/>
    <d v="2016-11-09T19:08:42"/>
    <m/>
    <d v="2016-11-09T19:09:47"/>
    <d v="2016-11-09T19:08:42"/>
    <s v=""/>
    <m/>
    <m/>
  </r>
  <r>
    <n v="2293"/>
    <x v="0"/>
    <x v="25"/>
    <s v="ocean"/>
    <s v="n."/>
    <s v="大洋"/>
    <d v="2016-11-06T19:10:03"/>
    <d v="2016-11-06T19:10:03"/>
    <d v="2016-11-06T19:10:03"/>
    <m/>
    <d v="2016-11-09T19:09:50"/>
    <d v="2016-11-06T19:10:03"/>
    <s v=""/>
    <m/>
    <m/>
  </r>
  <r>
    <n v="2294"/>
    <x v="0"/>
    <x v="25"/>
    <s v="Atlantic"/>
    <s v="adj."/>
    <s v="大西洋的"/>
    <d v="2016-11-06T19:10:08"/>
    <d v="2016-11-06T19:10:08"/>
    <d v="2016-11-06T19:10:08"/>
    <m/>
    <d v="2016-11-09T19:09:54"/>
    <d v="2016-11-06T19:10:08"/>
    <s v=""/>
    <m/>
    <m/>
  </r>
  <r>
    <n v="2295"/>
    <x v="0"/>
    <x v="25"/>
    <s v="Atlantic Ocean"/>
    <s v="n. phr."/>
    <s v="大西祥"/>
    <d v="2016-11-06T19:10:35"/>
    <d v="2016-11-06T19:10:35"/>
    <d v="2016-11-06T19:10:35"/>
    <m/>
    <d v="2016-11-09T19:09:57"/>
    <d v="2016-11-06T19:10:35"/>
    <s v=""/>
    <m/>
    <m/>
  </r>
  <r>
    <n v="2296"/>
    <x v="0"/>
    <x v="25"/>
    <s v="Indian"/>
    <s v="adj."/>
    <s v="印度人的"/>
    <d v="2016-11-06T19:10:39"/>
    <d v="2016-11-07T21:08:38"/>
    <d v="2016-11-07T21:08:38"/>
    <m/>
    <d v="2016-11-09T19:10:01"/>
    <d v="2016-11-07T21:08:38"/>
    <s v=""/>
    <m/>
    <m/>
  </r>
  <r>
    <n v="2297"/>
    <x v="0"/>
    <x v="25"/>
    <s v="Indian Ocean"/>
    <s v="n. phr."/>
    <s v="印度洋"/>
    <d v="2016-11-06T19:10:41"/>
    <d v="2016-11-06T19:10:41"/>
    <d v="2016-11-06T19:10:41"/>
    <m/>
    <d v="2016-11-09T19:10:05"/>
    <d v="2016-11-06T19:10:41"/>
    <s v=""/>
    <m/>
    <m/>
  </r>
  <r>
    <n v="2298"/>
    <x v="0"/>
    <x v="25"/>
    <s v="Arctic"/>
    <s v="adj."/>
    <s v="北冰洋的"/>
    <d v="2016-11-06T19:10:43"/>
    <d v="2016-11-06T19:10:43"/>
    <d v="2016-11-06T19:10:43"/>
    <m/>
    <d v="2016-11-09T19:10:08"/>
    <d v="2016-11-06T19:10:43"/>
    <s v=""/>
    <m/>
    <m/>
  </r>
  <r>
    <n v="2299"/>
    <x v="0"/>
    <x v="25"/>
    <s v="Arctic Ocean"/>
    <s v="n. phr."/>
    <s v="北冰洋"/>
    <d v="2016-11-06T19:10:46"/>
    <d v="2016-11-06T19:10:46"/>
    <d v="2016-11-06T19:10:46"/>
    <m/>
    <d v="2016-11-09T19:10:10"/>
    <d v="2016-11-06T19:10:46"/>
    <s v=""/>
    <m/>
    <m/>
  </r>
  <r>
    <n v="2300"/>
    <x v="0"/>
    <x v="25"/>
    <s v="Canada"/>
    <s v="n."/>
    <s v="加拿大"/>
    <d v="2016-11-06T19:10:53"/>
    <d v="2016-11-06T19:10:53"/>
    <d v="2016-11-06T19:10:53"/>
    <m/>
    <d v="2016-11-09T19:10:13"/>
    <d v="2016-11-06T19:10:53"/>
    <s v=""/>
    <m/>
    <m/>
  </r>
  <r>
    <n v="2301"/>
    <x v="0"/>
    <x v="25"/>
    <s v="Argentina"/>
    <s v="n."/>
    <s v="阿根廷"/>
    <d v="2016-11-06T19:10:56"/>
    <d v="2016-11-09T19:08:44"/>
    <d v="2016-11-09T19:08:44"/>
    <m/>
    <d v="2016-11-09T19:10:15"/>
    <d v="2016-11-09T19:08:44"/>
    <s v=""/>
    <m/>
    <m/>
  </r>
  <r>
    <n v="2302"/>
    <x v="0"/>
    <x v="25"/>
    <s v="India"/>
    <s v="n."/>
    <s v="印庭"/>
    <d v="2016-11-06T19:10:59"/>
    <d v="2016-11-06T19:10:59"/>
    <d v="2016-11-06T19:10:59"/>
    <m/>
    <d v="2016-11-09T19:10:18"/>
    <d v="2016-11-06T19:10:59"/>
    <s v=""/>
    <m/>
    <m/>
  </r>
  <r>
    <n v="2303"/>
    <x v="0"/>
    <x v="25"/>
    <s v="Colombia"/>
    <s v="n."/>
    <s v="哥伦比亚"/>
    <d v="2016-11-06T19:11:02"/>
    <d v="2016-11-09T19:08:46"/>
    <d v="2016-11-09T19:08:46"/>
    <m/>
    <d v="2016-11-09T19:10:24"/>
    <d v="2016-11-09T19:08:46"/>
    <s v=""/>
    <m/>
    <m/>
  </r>
  <r>
    <n v="2304"/>
    <x v="0"/>
    <x v="25"/>
    <s v="Nigeria"/>
    <s v="n."/>
    <s v="尼日利亚"/>
    <d v="2016-11-06T19:11:04"/>
    <d v="2016-11-09T19:08:48"/>
    <d v="2016-11-09T19:08:48"/>
    <m/>
    <d v="2016-11-09T19:10:27"/>
    <d v="2016-11-09T19:08:48"/>
    <s v=""/>
    <m/>
    <m/>
  </r>
  <r>
    <n v="2305"/>
    <x v="0"/>
    <x v="25"/>
    <s v="planet"/>
    <s v="n."/>
    <s v="行呈"/>
    <d v="2016-11-06T19:11:06"/>
    <d v="2016-11-09T19:08:51"/>
    <d v="2016-11-09T19:08:51"/>
    <m/>
    <d v="2016-11-09T19:10:41"/>
    <d v="2016-11-09T19:08:51"/>
    <s v=""/>
    <m/>
    <m/>
  </r>
  <r>
    <n v="2306"/>
    <x v="0"/>
    <x v="25"/>
    <s v="Venus"/>
    <s v="n."/>
    <s v="金星"/>
    <d v="2016-11-06T19:11:10"/>
    <d v="2016-11-09T19:08:52"/>
    <d v="2016-11-09T19:08:52"/>
    <m/>
    <d v="2016-11-09T19:10:44"/>
    <d v="2016-11-09T19:08:52"/>
    <s v=""/>
    <m/>
    <m/>
  </r>
  <r>
    <n v="2307"/>
    <x v="0"/>
    <x v="25"/>
    <s v="Jupiter"/>
    <s v="n."/>
    <s v="木星"/>
    <d v="2016-11-06T19:11:14"/>
    <d v="2016-11-09T19:08:55"/>
    <d v="2016-11-09T19:08:55"/>
    <m/>
    <d v="2016-11-09T19:10:46"/>
    <d v="2016-11-09T19:08:55"/>
    <s v=""/>
    <m/>
    <m/>
  </r>
  <r>
    <n v="2308"/>
    <x v="0"/>
    <x v="25"/>
    <s v="Greece"/>
    <s v="n."/>
    <s v="希腊"/>
    <d v="2016-11-06T19:11:16"/>
    <d v="2016-11-09T19:12:34"/>
    <d v="2016-11-09T19:12:34"/>
    <m/>
    <d v="2016-11-09T19:13:55"/>
    <d v="2016-11-09T19:12:34"/>
    <s v=""/>
    <m/>
    <m/>
  </r>
  <r>
    <n v="2309"/>
    <x v="0"/>
    <x v="25"/>
    <s v="Great Britain"/>
    <s v="n. phr."/>
    <s v="大不列颠"/>
    <d v="2016-11-06T19:11:20"/>
    <d v="2016-11-09T19:08:57"/>
    <d v="2016-11-09T19:08:57"/>
    <m/>
    <d v="2016-11-09T19:10:55"/>
    <d v="2016-11-09T19:08:57"/>
    <s v=""/>
    <m/>
    <m/>
  </r>
  <r>
    <n v="2310"/>
    <x v="0"/>
    <x v="25"/>
    <s v="Greenland"/>
    <s v="n."/>
    <s v="格陵兰岛"/>
    <d v="2016-11-06T19:11:23"/>
    <d v="2016-11-06T19:11:23"/>
    <d v="2016-11-06T19:11:23"/>
    <m/>
    <d v="2016-11-09T19:10:58"/>
    <d v="2016-11-06T19:11:23"/>
    <s v=""/>
    <m/>
    <m/>
  </r>
  <r>
    <n v="2311"/>
    <x v="0"/>
    <x v="25"/>
    <s v="Cuba"/>
    <s v="n."/>
    <s v="古巴"/>
    <d v="2016-11-06T19:11:52"/>
    <d v="2016-11-09T19:12:36"/>
    <d v="2016-11-09T19:12:36"/>
    <m/>
    <d v="2016-11-09T19:13:58"/>
    <d v="2016-11-09T19:12:36"/>
    <s v=""/>
    <m/>
    <m/>
  </r>
  <r>
    <n v="2312"/>
    <x v="0"/>
    <x v="25"/>
    <s v="Australasia"/>
    <s v="n."/>
    <s v="澳大拉西亚（一般指澳大利亚、新西兰及附近南太平洋诸岛）"/>
    <d v="2016-11-06T19:11:56"/>
    <d v="2016-11-06T19:11:56"/>
    <d v="2016-11-06T19:11:56"/>
    <m/>
    <d v="2016-11-09T19:11:01"/>
    <d v="2016-11-06T19:11:56"/>
    <s v=""/>
    <m/>
    <m/>
  </r>
  <r>
    <n v="2313"/>
    <x v="0"/>
    <x v="25"/>
    <s v="Africa"/>
    <s v="n."/>
    <s v="非洲"/>
    <d v="2016-11-06T19:12:33"/>
    <d v="2016-11-06T19:12:33"/>
    <d v="2016-11-06T19:12:33"/>
    <m/>
    <d v="2016-11-09T19:11:06"/>
    <d v="2016-11-06T19:12:33"/>
    <s v=""/>
    <m/>
    <m/>
  </r>
  <r>
    <n v="2314"/>
    <x v="0"/>
    <x v="25"/>
    <s v="Geneva"/>
    <s v="n."/>
    <s v="日内瓦（瑞士城市）"/>
    <d v="2016-11-06T19:12:35"/>
    <d v="2016-11-06T19:12:35"/>
    <d v="2016-11-06T19:12:35"/>
    <m/>
    <d v="2016-11-09T19:11:19"/>
    <d v="2016-11-06T19:12:35"/>
    <s v=""/>
    <m/>
    <m/>
  </r>
  <r>
    <n v="2315"/>
    <x v="0"/>
    <x v="25"/>
    <s v="Paris"/>
    <s v="n."/>
    <s v="巴黎（法国首都）"/>
    <d v="2016-11-06T19:12:37"/>
    <d v="2016-11-06T19:12:37"/>
    <d v="2016-11-06T19:12:37"/>
    <m/>
    <d v="2016-11-09T19:11:21"/>
    <d v="2016-11-06T19:12:37"/>
    <s v=""/>
    <m/>
    <m/>
  </r>
  <r>
    <n v="2316"/>
    <x v="0"/>
    <x v="25"/>
    <s v="Tokyo"/>
    <s v="n."/>
    <s v="东京（日本首都）"/>
    <d v="2016-11-06T19:12:44"/>
    <d v="2016-11-06T19:12:45"/>
    <d v="2016-11-06T19:12:45"/>
    <m/>
    <d v="2016-11-09T19:11:23"/>
    <d v="2016-11-06T19:12:45"/>
    <s v=""/>
    <m/>
    <m/>
  </r>
  <r>
    <n v="2317"/>
    <x v="0"/>
    <x v="25"/>
    <s v="valley"/>
    <s v="n."/>
    <s v="峡谷"/>
    <d v="2016-11-06T19:12:47"/>
    <d v="2016-11-09T19:12:38"/>
    <d v="2016-11-09T19:12:38"/>
    <m/>
    <d v="2016-11-09T19:14:02"/>
    <d v="2016-11-09T19:12:38"/>
    <s v=""/>
    <m/>
    <m/>
  </r>
  <r>
    <n v="2318"/>
    <x v="0"/>
    <x v="25"/>
    <s v="Peru"/>
    <s v="n."/>
    <s v="秘鲁"/>
    <d v="2016-11-06T19:12:57"/>
    <d v="2016-11-06T19:12:57"/>
    <d v="2016-11-06T19:12:57"/>
    <m/>
    <d v="2016-11-09T19:11:26"/>
    <d v="2016-11-06T19:12:57"/>
    <s v=""/>
    <m/>
    <m/>
  </r>
  <r>
    <n v="2319"/>
    <x v="0"/>
    <x v="25"/>
    <s v="superlative"/>
    <s v="adj."/>
    <s v="（语法）最高级的"/>
    <d v="2016-11-06T19:12:59"/>
    <d v="2016-11-09T19:12:40"/>
    <d v="2016-11-09T19:12:40"/>
    <m/>
    <d v="2016-11-09T19:14:14"/>
    <d v="2016-11-09T19:12:40"/>
    <s v=""/>
    <m/>
    <m/>
  </r>
  <r>
    <n v="2320"/>
    <x v="0"/>
    <x v="25"/>
    <s v="abbreviation"/>
    <s v="n."/>
    <s v="省畸形式"/>
    <d v="2016-11-06T19:13:03"/>
    <d v="2016-11-09T19:12:42"/>
    <d v="2016-11-09T19:12:42"/>
    <m/>
    <d v="2016-11-09T19:14:16"/>
    <d v="2016-11-09T19:12:42"/>
    <s v=""/>
    <m/>
    <m/>
  </r>
  <r>
    <n v="2321"/>
    <x v="0"/>
    <x v="25"/>
    <s v="mm"/>
    <s v="abbr."/>
    <s v="（=millimetre）毫米"/>
    <d v="2016-11-06T19:14:28"/>
    <d v="2016-11-09T19:12:44"/>
    <d v="2016-11-09T19:12:44"/>
    <m/>
    <d v="2016-11-09T19:14:19"/>
    <d v="2016-11-09T19:12:44"/>
    <s v=""/>
    <m/>
    <m/>
  </r>
  <r>
    <n v="2322"/>
    <x v="0"/>
    <x v="25"/>
    <s v="cm"/>
    <s v="abbr."/>
    <s v="（=centimetre）厘米"/>
    <d v="2016-11-06T19:14:30"/>
    <d v="2016-11-09T19:12:46"/>
    <d v="2016-11-09T19:12:46"/>
    <m/>
    <d v="2016-11-09T19:14:22"/>
    <d v="2016-11-09T19:12:46"/>
    <s v=""/>
    <m/>
    <m/>
  </r>
  <r>
    <n v="2323"/>
    <x v="0"/>
    <x v="25"/>
    <s v="km"/>
    <s v="abbr."/>
    <s v="（=kilometre）公里"/>
    <d v="2016-11-06T19:14:33"/>
    <d v="2016-11-09T19:12:48"/>
    <d v="2016-11-09T19:12:48"/>
    <m/>
    <d v="2016-11-09T19:14:24"/>
    <d v="2016-11-09T19:12:48"/>
    <s v=""/>
    <m/>
    <m/>
  </r>
  <r>
    <n v="2324"/>
    <x v="0"/>
    <x v="25"/>
    <s v="Atlanta"/>
    <s v="n."/>
    <s v="亚特兰大（美国城市）"/>
    <d v="2016-11-06T19:14:35"/>
    <d v="2016-11-09T19:12:50"/>
    <d v="2016-11-09T19:12:50"/>
    <m/>
    <d v="2016-11-09T19:14:27"/>
    <d v="2016-11-09T19:12:50"/>
    <s v=""/>
    <m/>
    <m/>
  </r>
  <r>
    <n v="2325"/>
    <x v="0"/>
    <x v="25"/>
    <s v="area"/>
    <s v="n."/>
    <s v="面积"/>
    <d v="2016-11-06T19:14:37"/>
    <d v="2016-11-06T19:14:37"/>
    <d v="2016-11-06T19:14:37"/>
    <m/>
    <d v="2016-11-09T19:11:30"/>
    <d v="2016-11-06T19:14:37"/>
    <s v=""/>
    <m/>
    <m/>
  </r>
  <r>
    <n v="2326"/>
    <x v="0"/>
    <x v="25"/>
    <s v="nationality"/>
    <s v="n."/>
    <s v="国籍"/>
    <d v="2016-11-06T19:14:39"/>
    <d v="2016-11-09T19:12:52"/>
    <d v="2016-11-09T19:12:52"/>
    <m/>
    <d v="2016-11-09T19:14:39"/>
    <d v="2016-11-09T19:12:52"/>
    <s v=""/>
    <m/>
    <m/>
  </r>
  <r>
    <n v="2327"/>
    <x v="0"/>
    <x v="25"/>
    <s v="Spain"/>
    <s v="n."/>
    <s v="西班牙"/>
    <d v="2016-11-06T19:15:05"/>
    <d v="2016-11-06T19:15:05"/>
    <d v="2016-11-06T19:15:05"/>
    <m/>
    <d v="2016-11-09T19:11:33"/>
    <d v="2016-11-06T19:15:05"/>
    <s v=""/>
    <m/>
    <m/>
  </r>
  <r>
    <n v="2328"/>
    <x v="0"/>
    <x v="25"/>
    <s v="Russian"/>
    <s v="n."/>
    <s v="俄罗斯人"/>
    <d v="2016-11-06T19:15:07"/>
    <d v="2016-11-06T19:15:07"/>
    <d v="2016-11-06T19:15:07"/>
    <m/>
    <d v="2016-11-09T19:11:36"/>
    <d v="2016-11-06T19:15:07"/>
    <s v=""/>
    <m/>
    <m/>
  </r>
  <r>
    <n v="2329"/>
    <x v="0"/>
    <x v="25"/>
    <s v="similar"/>
    <s v="adj."/>
    <s v="类似的"/>
    <d v="2016-11-06T19:15:10"/>
    <d v="2016-11-09T19:12:53"/>
    <d v="2016-11-09T19:12:53"/>
    <m/>
    <d v="2016-11-09T19:14:41"/>
    <d v="2016-11-09T19:12:53"/>
    <s v=""/>
    <m/>
    <m/>
  </r>
  <r>
    <n v="2330"/>
    <x v="0"/>
    <x v="25"/>
    <s v="irregular"/>
    <s v="adj."/>
    <s v="不规则的"/>
    <d v="2016-11-06T19:15:12"/>
    <d v="2016-11-09T19:12:55"/>
    <d v="2016-11-09T19:12:55"/>
    <m/>
    <d v="2016-11-09T19:14:45"/>
    <d v="2016-11-09T19:12:55"/>
    <s v=""/>
    <m/>
    <m/>
  </r>
  <r>
    <n v="2331"/>
    <x v="0"/>
    <x v="25"/>
    <s v="pineapple"/>
    <s v="n."/>
    <s v="菠萝"/>
    <d v="2016-11-06T19:14:42"/>
    <d v="2016-11-06T19:14:42"/>
    <d v="2016-11-06T19:14:42"/>
    <m/>
    <d v="2016-11-09T19:11:41"/>
    <d v="2016-11-06T19:14:42"/>
    <s v=""/>
    <m/>
    <m/>
  </r>
  <r>
    <n v="2332"/>
    <x v="0"/>
    <x v="25"/>
    <s v="passive"/>
    <s v="n."/>
    <s v="（语法）被动语态"/>
    <d v="2016-11-06T19:14:44"/>
    <d v="2016-11-09T19:12:57"/>
    <d v="2016-11-09T19:12:57"/>
    <m/>
    <d v="2016-11-09T19:14:48"/>
    <d v="2016-11-09T19:12:57"/>
    <s v=""/>
    <m/>
    <m/>
  </r>
  <r>
    <n v="2333"/>
    <x v="0"/>
    <x v="25"/>
    <s v="pick"/>
    <s v="v."/>
    <s v="摘"/>
    <d v="2016-11-06T19:14:46"/>
    <d v="2016-11-06T19:14:46"/>
    <d v="2016-11-06T19:14:46"/>
    <m/>
    <d v="2016-11-07T21:04:47"/>
    <d v="2016-11-06T19:14:46"/>
    <s v=""/>
    <m/>
    <m/>
  </r>
  <r>
    <n v="2334"/>
    <x v="0"/>
    <x v="25"/>
    <s v="water"/>
    <s v="v."/>
    <s v="浇水"/>
    <d v="2016-11-06T19:14:49"/>
    <d v="2016-11-06T19:14:49"/>
    <d v="2016-11-06T19:14:49"/>
    <m/>
    <d v="2016-11-07T21:04:51"/>
    <d v="2016-11-06T19:14:49"/>
    <s v=""/>
    <m/>
    <m/>
  </r>
  <r>
    <n v="2335"/>
    <x v="0"/>
    <x v="25"/>
    <s v="pack"/>
    <s v="v."/>
    <s v="包装"/>
    <d v="2016-11-06T19:14:51"/>
    <d v="2016-11-09T19:15:59"/>
    <d v="2016-11-09T19:15:59"/>
    <m/>
    <d v="2016-11-09T19:16:06"/>
    <d v="2016-11-09T19:15:59"/>
    <s v=""/>
    <m/>
    <m/>
  </r>
  <r>
    <n v="2336"/>
    <x v="0"/>
    <x v="25"/>
    <s v="brush"/>
    <s v="n."/>
    <s v="刷子"/>
    <d v="2016-11-06T19:15:25"/>
    <d v="2016-11-06T19:15:25"/>
    <d v="2016-11-06T19:15:25"/>
    <m/>
    <d v="2016-11-09T19:11:43"/>
    <d v="2016-11-06T19:15:25"/>
    <s v=""/>
    <m/>
    <m/>
  </r>
  <r>
    <n v="2337"/>
    <x v="0"/>
    <x v="25"/>
    <s v="machine"/>
    <s v="n."/>
    <s v="机器"/>
    <d v="2016-11-06T19:15:29"/>
    <d v="2016-11-06T19:15:29"/>
    <d v="2016-11-06T19:15:29"/>
    <m/>
    <d v="2016-11-09T19:11:47"/>
    <d v="2016-11-06T19:15:29"/>
    <s v=""/>
    <m/>
    <m/>
  </r>
  <r>
    <n v="2338"/>
    <x v="0"/>
    <x v="25"/>
    <s v="copy"/>
    <s v="n."/>
    <s v="副本"/>
    <d v="2016-11-06T19:15:32"/>
    <d v="2016-11-09T19:13:01"/>
    <d v="2016-11-09T19:13:01"/>
    <m/>
    <d v="2016-11-09T19:14:57"/>
    <d v="2016-11-09T19:13:01"/>
    <s v=""/>
    <m/>
    <m/>
  </r>
  <r>
    <n v="2339"/>
    <x v="0"/>
    <x v="25"/>
    <s v="copy"/>
    <s v="v."/>
    <s v="复制"/>
    <d v="2016-11-06T19:15:36"/>
    <d v="2016-11-06T19:15:36"/>
    <d v="2016-11-06T19:15:36"/>
    <m/>
    <d v="2016-11-09T19:11:56"/>
    <d v="2016-11-06T19:15:36"/>
    <s v=""/>
    <m/>
    <m/>
  </r>
  <r>
    <n v="2340"/>
    <x v="0"/>
    <x v="25"/>
    <s v="region"/>
    <s v="n."/>
    <s v="地区"/>
    <d v="2016-11-06T19:15:42"/>
    <d v="2016-11-09T19:13:03"/>
    <d v="2016-11-09T19:13:03"/>
    <m/>
    <d v="2016-11-09T19:15:04"/>
    <d v="2016-11-09T19:13:03"/>
    <s v=""/>
    <m/>
    <m/>
  </r>
  <r>
    <n v="2341"/>
    <x v="0"/>
    <x v="25"/>
    <s v="score"/>
    <s v="n."/>
    <s v="分数"/>
    <d v="2016-11-06T19:15:46"/>
    <d v="2016-11-06T19:15:46"/>
    <d v="2016-11-06T19:15:46"/>
    <m/>
    <d v="2016-11-09T19:12:07"/>
    <d v="2016-11-06T19:15:46"/>
    <s v=""/>
    <m/>
    <m/>
  </r>
  <r>
    <n v="2342"/>
    <x v="0"/>
    <x v="25"/>
    <s v="although"/>
    <s v="conj."/>
    <s v="尽管，虽然"/>
    <d v="2016-11-06T19:15:49"/>
    <d v="2016-11-09T19:13:05"/>
    <d v="2016-11-09T19:13:05"/>
    <m/>
    <d v="2016-11-09T19:15:08"/>
    <d v="2016-11-09T19:13:05"/>
    <s v=""/>
    <m/>
    <m/>
  </r>
  <r>
    <n v="2343"/>
    <x v="0"/>
    <x v="25"/>
    <s v="disgusting"/>
    <s v="adj."/>
    <s v="令人作呕的，讨厌的"/>
    <d v="2016-11-06T19:15:52"/>
    <d v="2016-11-09T19:13:07"/>
    <d v="2016-11-09T19:13:07"/>
    <m/>
    <d v="2016-11-09T19:15:19"/>
    <d v="2016-11-09T19:13:07"/>
    <s v=""/>
    <m/>
    <m/>
  </r>
  <r>
    <n v="2344"/>
    <x v="0"/>
    <x v="25"/>
    <s v="cook"/>
    <s v="n."/>
    <s v="厨师"/>
    <d v="2016-11-06T19:15:57"/>
    <d v="2016-11-06T19:15:57"/>
    <d v="2016-11-06T19:15:57"/>
    <m/>
    <d v="2016-11-09T19:12:10"/>
    <d v="2016-11-06T19:15:57"/>
    <s v=""/>
    <m/>
    <m/>
  </r>
  <r>
    <n v="2345"/>
    <x v="0"/>
    <x v="25"/>
    <s v="background"/>
    <s v="n."/>
    <s v="背景"/>
    <d v="2016-11-06T19:15:59"/>
    <d v="2016-11-09T19:13:09"/>
    <d v="2016-11-09T19:13:09"/>
    <m/>
    <d v="2016-11-09T19:15:21"/>
    <d v="2016-11-09T19:13:09"/>
    <s v=""/>
    <m/>
    <m/>
  </r>
  <r>
    <n v="2346"/>
    <x v="0"/>
    <x v="25"/>
    <s v="North Pole"/>
    <s v="n. phr."/>
    <s v="北极"/>
    <d v="2016-11-06T19:16:03"/>
    <d v="2016-11-09T19:13:11"/>
    <d v="2016-11-09T19:13:11"/>
    <m/>
    <d v="2016-11-09T19:15:31"/>
    <d v="2016-11-09T19:13:11"/>
    <s v=""/>
    <m/>
    <m/>
  </r>
  <r>
    <n v="2347"/>
    <x v="0"/>
    <x v="25"/>
    <s v="freezer"/>
    <s v="n."/>
    <s v="冷藏库，冰柜"/>
    <d v="2016-11-06T19:16:08"/>
    <d v="2016-11-09T19:13:12"/>
    <d v="2016-11-09T19:13:12"/>
    <m/>
    <d v="2016-11-09T19:15:39"/>
    <d v="2016-11-09T19:13:12"/>
    <s v=""/>
    <m/>
    <m/>
  </r>
  <r>
    <n v="2348"/>
    <x v="0"/>
    <x v="25"/>
    <s v="comfortable"/>
    <s v="adj."/>
    <s v="舒适的"/>
    <d v="2016-11-06T19:16:15"/>
    <d v="2016-11-06T19:16:15"/>
    <d v="2016-11-06T19:16:15"/>
    <m/>
    <d v="2016-11-09T19:12:13"/>
    <d v="2016-11-06T19:16:15"/>
    <s v=""/>
    <m/>
    <m/>
  </r>
  <r>
    <n v="2349"/>
    <x v="0"/>
    <x v="25"/>
    <s v="during"/>
    <s v="prep."/>
    <s v="在…的期间"/>
    <d v="2016-11-06T19:16:18"/>
    <d v="2016-11-06T19:16:18"/>
    <d v="2016-11-06T19:16:18"/>
    <m/>
    <d v="2016-11-09T19:12:17"/>
    <d v="2016-11-06T19:16:18"/>
    <s v=""/>
    <m/>
    <m/>
  </r>
  <r>
    <n v="2350"/>
    <x v="0"/>
    <x v="25"/>
    <s v="amazed"/>
    <s v="adj."/>
    <s v="吃惊的，惊奇的"/>
    <d v="2016-11-06T19:16:28"/>
    <d v="2016-11-06T19:16:28"/>
    <d v="2016-11-06T19:16:28"/>
    <m/>
    <d v="2016-11-09T19:12:20"/>
    <d v="2016-11-06T19:16:28"/>
    <s v=""/>
    <m/>
    <m/>
  </r>
  <r>
    <n v="2351"/>
    <x v="0"/>
    <x v="25"/>
    <s v="candle"/>
    <s v="n."/>
    <s v="蜡烛"/>
    <d v="2016-11-06T19:16:47"/>
    <d v="2016-11-06T19:16:47"/>
    <d v="2016-11-06T19:16:47"/>
    <m/>
    <d v="2016-11-09T19:12:23"/>
    <d v="2016-11-06T19:16:47"/>
    <s v=""/>
    <m/>
    <m/>
  </r>
  <r>
    <n v="2352"/>
    <x v="0"/>
    <x v="25"/>
    <s v="therefore"/>
    <s v="adv."/>
    <s v="因此，所以"/>
    <d v="2016-11-06T19:17:13"/>
    <d v="2016-11-09T19:13:14"/>
    <d v="2016-11-09T19:13:14"/>
    <m/>
    <d v="2016-11-09T19:15:47"/>
    <d v="2016-11-09T19:13:14"/>
    <s v=""/>
    <m/>
    <m/>
  </r>
  <r>
    <n v="2353"/>
    <x v="0"/>
    <x v="26"/>
    <s v="read"/>
    <s v="n."/>
    <s v="阅读"/>
    <d v="2016-11-07T20:59:03"/>
    <d v="2016-11-07T21:12:42"/>
    <d v="2016-11-07T21:12:42"/>
    <m/>
    <d v="2016-11-23T18:46:56"/>
    <d v="2016-11-07T21:12:42"/>
    <s v=""/>
    <m/>
    <m/>
  </r>
  <r>
    <n v="2354"/>
    <x v="0"/>
    <x v="26"/>
    <s v="echo"/>
    <s v="n."/>
    <s v="回声"/>
    <d v="2016-11-07T20:59:05"/>
    <d v="2016-11-07T20:59:05"/>
    <d v="2016-11-07T20:59:05"/>
    <m/>
    <d v="2016-11-23T18:46:59"/>
    <d v="2016-11-07T20:59:05"/>
    <s v=""/>
    <m/>
    <m/>
  </r>
  <r>
    <n v="2355"/>
    <x v="0"/>
    <x v="26"/>
    <s v="bestselling"/>
    <s v="adj."/>
    <s v="畅销的"/>
    <d v="2016-11-07T20:59:13"/>
    <d v="2016-11-07T21:14:48"/>
    <d v="2016-11-07T21:14:48"/>
    <m/>
    <d v="2016-11-23T18:47:02"/>
    <d v="2016-11-07T21:14:48"/>
    <s v=""/>
    <m/>
    <m/>
  </r>
  <r>
    <n v="2356"/>
    <x v="0"/>
    <x v="26"/>
    <s v="author"/>
    <s v="n."/>
    <s v="作者"/>
    <d v="2016-11-07T20:59:23"/>
    <d v="2016-11-07T21:12:45"/>
    <d v="2016-11-07T21:12:45"/>
    <m/>
    <d v="2016-11-23T18:47:05"/>
    <d v="2016-11-07T21:12:45"/>
    <s v=""/>
    <m/>
    <m/>
  </r>
  <r>
    <n v="2357"/>
    <x v="0"/>
    <x v="26"/>
    <s v="masterwork"/>
    <s v="n."/>
    <s v="杰作，（尤指）名作"/>
    <d v="2016-11-07T20:59:34"/>
    <d v="2016-11-07T21:12:46"/>
    <d v="2016-11-07T21:12:46"/>
    <m/>
    <d v="2016-11-07T21:14:11"/>
    <d v="2016-11-07T21:12:46"/>
    <s v=""/>
    <m/>
    <m/>
  </r>
  <r>
    <n v="2358"/>
    <x v="0"/>
    <x v="26"/>
    <s v="luck"/>
    <s v="n."/>
    <s v="运气"/>
    <d v="2016-11-07T20:59:39"/>
    <d v="2016-11-07T20:59:39"/>
    <d v="2016-11-07T20:59:39"/>
    <m/>
    <d v="2016-11-07T21:14:14"/>
    <d v="2016-11-07T20:59:39"/>
    <s v=""/>
    <m/>
    <m/>
  </r>
  <r>
    <n v="2359"/>
    <x v="0"/>
    <x v="26"/>
    <s v="novel"/>
    <s v="n."/>
    <s v="小说"/>
    <d v="2016-11-07T20:59:44"/>
    <d v="2016-11-07T21:12:48"/>
    <d v="2016-11-07T21:12:48"/>
    <m/>
    <d v="2016-11-07T21:14:17"/>
    <d v="2016-11-07T21:12:48"/>
    <s v=""/>
    <m/>
    <m/>
  </r>
  <r>
    <n v="2360"/>
    <x v="0"/>
    <x v="26"/>
    <s v="horror"/>
    <s v="n."/>
    <s v="恐怖"/>
    <d v="2016-11-07T21:00:23"/>
    <d v="2016-11-07T21:00:23"/>
    <d v="2016-11-07T21:00:23"/>
    <m/>
    <d v="2016-11-07T21:14:20"/>
    <d v="2016-11-07T21:00:23"/>
    <s v=""/>
    <m/>
    <m/>
  </r>
  <r>
    <n v="2361"/>
    <x v="0"/>
    <x v="26"/>
    <s v="biography"/>
    <s v="n."/>
    <s v="传记"/>
    <d v="2016-11-07T21:02:40"/>
    <d v="2016-11-07T21:02:40"/>
    <d v="2016-11-07T21:02:40"/>
    <m/>
    <d v="2016-11-07T21:14:22"/>
    <d v="2016-11-07T21:02:40"/>
    <s v=""/>
    <m/>
    <m/>
  </r>
  <r>
    <n v="2362"/>
    <x v="0"/>
    <x v="26"/>
    <s v="fiction"/>
    <s v="n."/>
    <s v="小说，虚构"/>
    <d v="2016-11-07T21:02:42"/>
    <d v="2016-11-07T21:02:42"/>
    <d v="2016-11-07T21:02:42"/>
    <m/>
    <d v="2016-11-07T21:14:25"/>
    <d v="2016-11-07T21:02:42"/>
    <s v=""/>
    <m/>
    <m/>
  </r>
  <r>
    <n v="2363"/>
    <x v="0"/>
    <x v="26"/>
    <s v="science fiction"/>
    <s v="n. phr."/>
    <s v="科幻小说"/>
    <d v="2016-11-07T21:02:44"/>
    <d v="2016-11-07T21:14:49"/>
    <d v="2016-11-07T21:14:49"/>
    <m/>
    <d v="2016-11-07T21:15:06"/>
    <d v="2016-11-07T21:14:49"/>
    <s v=""/>
    <m/>
    <m/>
  </r>
  <r>
    <n v="2364"/>
    <x v="0"/>
    <x v="26"/>
    <s v="thriller"/>
    <s v="n."/>
    <s v="惊险读物、电影、戏剧"/>
    <d v="2016-11-07T21:02:45"/>
    <d v="2016-11-07T21:02:45"/>
    <d v="2016-11-07T21:02:45"/>
    <m/>
    <d v="2016-11-07T21:14:29"/>
    <d v="2016-11-07T21:02:45"/>
    <s v=""/>
    <m/>
    <m/>
  </r>
  <r>
    <n v="2365"/>
    <x v="0"/>
    <x v="26"/>
    <s v="non-fiction"/>
    <s v="n."/>
    <s v="非虚构类小说"/>
    <d v="2016-11-07T21:02:47"/>
    <d v="2016-11-07T21:02:47"/>
    <d v="2016-11-07T21:02:47"/>
    <m/>
    <d v="2016-11-07T21:14:32"/>
    <d v="2016-11-07T21:02:47"/>
    <s v=""/>
    <m/>
    <m/>
  </r>
  <r>
    <n v="2366"/>
    <x v="0"/>
    <x v="26"/>
    <s v="double bass"/>
    <s v="n. phr."/>
    <s v="低音提琴"/>
    <d v="2016-11-07T21:02:49"/>
    <d v="2016-11-07T21:12:50"/>
    <d v="2016-11-07T21:12:50"/>
    <m/>
    <d v="2016-11-07T21:14:35"/>
    <d v="2016-11-07T21:12:50"/>
    <s v=""/>
    <m/>
    <m/>
  </r>
  <r>
    <n v="2367"/>
    <x v="0"/>
    <x v="26"/>
    <s v="mystery"/>
    <s v="n."/>
    <s v="谜"/>
    <d v="2016-11-07T21:02:51"/>
    <d v="2016-11-22T18:03:20"/>
    <d v="2016-11-22T18:03:20"/>
    <m/>
    <d v="2016-11-23T18:50:29"/>
    <d v="2016-11-22T18:03:20"/>
    <s v=""/>
    <m/>
    <m/>
  </r>
  <r>
    <n v="2368"/>
    <x v="0"/>
    <x v="26"/>
    <s v="orchestra"/>
    <s v="n."/>
    <s v="管弦乐队，交响乐团"/>
    <d v="2016-11-07T21:15:28"/>
    <d v="2016-11-07T21:15:28"/>
    <d v="2016-11-07T21:15:28"/>
    <m/>
    <d v="2016-11-07T21:17:22"/>
    <d v="2016-11-07T21:15:28"/>
    <s v=""/>
    <m/>
    <m/>
  </r>
  <r>
    <n v="2369"/>
    <x v="0"/>
    <x v="26"/>
    <s v="Barcelona"/>
    <s v="n."/>
    <s v="巴塞罗纳（西班牙城市）"/>
    <d v="2016-11-07T21:15:29"/>
    <d v="2016-11-23T18:50:56"/>
    <d v="2016-11-23T18:50:56"/>
    <m/>
    <d v="2016-11-23T18:53:52"/>
    <d v="2016-11-23T18:50:56"/>
    <s v=""/>
    <m/>
    <m/>
  </r>
  <r>
    <n v="2370"/>
    <x v="0"/>
    <x v="26"/>
    <s v="fall asleep"/>
    <s v="v. phr."/>
    <s v="入睡"/>
    <d v="2016-11-07T21:15:31"/>
    <d v="2016-11-07T21:15:31"/>
    <d v="2016-11-07T21:15:31"/>
    <m/>
    <d v="2016-11-07T21:17:28"/>
    <d v="2016-11-07T21:15:31"/>
    <s v=""/>
    <m/>
    <m/>
  </r>
  <r>
    <n v="2371"/>
    <x v="0"/>
    <x v="26"/>
    <s v="find out"/>
    <s v="v. phr."/>
    <s v="发现；了解"/>
    <d v="2016-11-07T21:15:33"/>
    <d v="2016-11-23T18:51:00"/>
    <d v="2016-11-23T18:51:00"/>
    <m/>
    <d v="2016-11-23T18:53:56"/>
    <d v="2016-11-23T18:51:00"/>
    <s v=""/>
    <m/>
    <m/>
  </r>
  <r>
    <n v="2372"/>
    <x v="0"/>
    <x v="26"/>
    <s v="scream"/>
    <s v="n."/>
    <s v="尖叫"/>
    <d v="2016-11-07T21:15:34"/>
    <d v="2016-11-23T18:51:02"/>
    <d v="2016-11-23T18:51:02"/>
    <m/>
    <d v="2016-11-23T18:53:58"/>
    <d v="2016-11-23T18:51:02"/>
    <s v=""/>
    <m/>
    <m/>
  </r>
  <r>
    <n v="2373"/>
    <x v="0"/>
    <x v="26"/>
    <s v="asleep"/>
    <s v="adj."/>
    <s v="睡着的，睡熟的"/>
    <d v="2016-11-07T21:15:36"/>
    <d v="2016-11-07T21:15:36"/>
    <d v="2016-11-07T21:15:36"/>
    <m/>
    <d v="2016-11-07T21:18:03"/>
    <d v="2016-11-07T21:15:36"/>
    <s v=""/>
    <m/>
    <m/>
  </r>
  <r>
    <n v="2374"/>
    <x v="0"/>
    <x v="26"/>
    <s v="dream"/>
    <s v="v."/>
    <s v="做梦"/>
    <d v="2016-11-07T21:15:38"/>
    <d v="2016-11-07T21:15:38"/>
    <d v="2016-11-07T21:15:38"/>
    <m/>
    <d v="2016-11-07T21:18:06"/>
    <d v="2016-11-07T21:15:38"/>
    <s v=""/>
    <m/>
    <m/>
  </r>
  <r>
    <n v="2375"/>
    <x v="0"/>
    <x v="26"/>
    <s v="dream"/>
    <s v="n."/>
    <s v="梦"/>
    <d v="2016-11-07T21:15:40"/>
    <d v="2016-11-07T21:15:40"/>
    <d v="2016-11-07T21:15:40"/>
    <m/>
    <d v="2016-11-07T21:18:08"/>
    <d v="2016-11-07T21:15:40"/>
    <s v=""/>
    <m/>
    <m/>
  </r>
  <r>
    <n v="2376"/>
    <x v="0"/>
    <x v="26"/>
    <s v="violinist"/>
    <s v="n."/>
    <s v="小提琴手"/>
    <d v="2016-11-07T21:15:42"/>
    <d v="2016-11-07T21:15:42"/>
    <d v="2016-11-07T21:15:42"/>
    <m/>
    <d v="2016-11-07T21:18:11"/>
    <d v="2016-11-07T21:15:42"/>
    <s v=""/>
    <m/>
    <m/>
  </r>
  <r>
    <n v="2377"/>
    <x v="0"/>
    <x v="26"/>
    <s v="conductor"/>
    <s v="n."/>
    <s v="（乐队）指挥"/>
    <d v="2016-11-07T21:15:44"/>
    <d v="2016-11-07T21:15:44"/>
    <d v="2016-11-07T21:15:44"/>
    <m/>
    <d v="2016-11-07T21:18:14"/>
    <d v="2016-11-07T21:15:44"/>
    <s v=""/>
    <m/>
    <m/>
  </r>
  <r>
    <n v="2378"/>
    <x v="0"/>
    <x v="26"/>
    <s v="half asleep"/>
    <s v="n. phr."/>
    <s v="半睡半醒"/>
    <d v="2016-11-07T21:15:46"/>
    <d v="2016-11-07T21:15:46"/>
    <d v="2016-11-07T21:15:46"/>
    <m/>
    <d v="2016-11-07T21:18:17"/>
    <d v="2016-11-07T21:15:46"/>
    <s v=""/>
    <m/>
    <m/>
  </r>
  <r>
    <n v="2379"/>
    <x v="0"/>
    <x v="26"/>
    <s v="night-dress"/>
    <s v="n."/>
    <s v="（妇女、儿童的）睡衣"/>
    <d v="2016-11-07T21:18:30"/>
    <d v="2016-11-07T21:18:30"/>
    <d v="2016-11-07T21:18:30"/>
    <m/>
    <d v="2016-11-08T17:44:34"/>
    <d v="2016-11-07T21:18:30"/>
    <s v=""/>
    <m/>
    <m/>
  </r>
  <r>
    <n v="2380"/>
    <x v="0"/>
    <x v="26"/>
    <s v="sleepily"/>
    <s v="adv."/>
    <s v="困的，欲睡的"/>
    <d v="2016-11-07T21:18:32"/>
    <d v="2016-11-08T17:44:13"/>
    <d v="2016-11-08T17:44:13"/>
    <m/>
    <d v="2016-11-08T17:44:37"/>
    <d v="2016-11-08T17:44:13"/>
    <s v=""/>
    <m/>
    <m/>
  </r>
  <r>
    <n v="2381"/>
    <x v="0"/>
    <x v="26"/>
    <s v="trumpet"/>
    <s v="n."/>
    <s v="小号，喇叭"/>
    <d v="2016-11-07T21:18:34"/>
    <d v="2016-11-07T21:18:34"/>
    <d v="2016-11-07T21:18:34"/>
    <m/>
    <d v="2016-11-08T17:44:40"/>
    <d v="2016-11-07T21:18:34"/>
    <s v=""/>
    <m/>
    <m/>
  </r>
  <r>
    <n v="2382"/>
    <x v="0"/>
    <x v="26"/>
    <s v="else"/>
    <s v="adv."/>
    <s v="另外，其他"/>
    <d v="2016-11-07T21:18:35"/>
    <d v="2016-11-08T17:44:16"/>
    <d v="2016-11-08T17:44:16"/>
    <m/>
    <d v="2016-11-08T17:44:50"/>
    <d v="2016-11-08T17:44:16"/>
    <s v=""/>
    <m/>
    <m/>
  </r>
  <r>
    <n v="2383"/>
    <x v="0"/>
    <x v="26"/>
    <s v="lift"/>
    <s v="n."/>
    <s v="（英）电梯"/>
    <d v="2016-11-07T21:18:36"/>
    <d v="2016-11-08T17:44:18"/>
    <d v="2016-11-08T17:44:18"/>
    <m/>
    <d v="2016-11-08T17:44:53"/>
    <d v="2016-11-08T17:44:18"/>
    <s v=""/>
    <m/>
    <m/>
  </r>
  <r>
    <n v="2384"/>
    <x v="0"/>
    <x v="26"/>
    <s v="ground floor"/>
    <s v="n. phr."/>
    <s v="（英）一层楼"/>
    <d v="2016-11-07T21:18:38"/>
    <d v="2016-11-08T17:44:20"/>
    <d v="2016-11-08T17:44:20"/>
    <m/>
    <d v="2016-11-08T17:45:05"/>
    <d v="2016-11-08T17:44:20"/>
    <s v=""/>
    <m/>
    <m/>
  </r>
  <r>
    <n v="2385"/>
    <x v="0"/>
    <x v="26"/>
    <s v="push"/>
    <s v="v."/>
    <s v="推；挤"/>
    <d v="2016-11-07T21:18:39"/>
    <d v="2016-11-07T21:18:39"/>
    <d v="2016-11-07T21:18:39"/>
    <m/>
    <d v="2016-11-08T17:45:07"/>
    <d v="2016-11-07T21:18:39"/>
    <s v=""/>
    <m/>
    <m/>
  </r>
  <r>
    <n v="2386"/>
    <x v="0"/>
    <x v="26"/>
    <s v="harp"/>
    <s v="n."/>
    <s v="竖琴"/>
    <d v="2016-11-07T21:18:41"/>
    <d v="2016-11-08T17:44:21"/>
    <d v="2016-11-08T17:44:21"/>
    <m/>
    <d v="2016-11-08T17:45:19"/>
    <d v="2016-11-08T17:44:21"/>
    <s v=""/>
    <m/>
    <m/>
  </r>
  <r>
    <n v="2387"/>
    <x v="0"/>
    <x v="26"/>
    <s v="point"/>
    <s v="v."/>
    <s v="指向"/>
    <d v="2016-11-07T21:18:43"/>
    <d v="2016-11-07T21:18:43"/>
    <d v="2016-11-07T21:18:43"/>
    <m/>
    <d v="2016-11-08T17:45:22"/>
    <d v="2016-11-07T21:18:43"/>
    <s v=""/>
    <m/>
    <m/>
  </r>
  <r>
    <n v="2388"/>
    <x v="0"/>
    <x v="26"/>
    <s v="point at"/>
    <s v="v. phr."/>
    <s v="指向（某物、某人）"/>
    <d v="2016-11-07T21:18:44"/>
    <d v="2016-11-07T21:18:44"/>
    <d v="2016-11-07T21:18:44"/>
    <m/>
    <d v="2016-11-08T17:45:25"/>
    <d v="2016-11-07T21:18:44"/>
    <s v=""/>
    <m/>
    <m/>
  </r>
  <r>
    <n v="2389"/>
    <x v="0"/>
    <x v="26"/>
    <s v="at one"/>
    <s v="phrase"/>
    <s v="在脚下"/>
    <d v="2016-11-08T16:48:29"/>
    <d v="2016-11-08T17:44:23"/>
    <d v="2016-11-08T17:44:23"/>
    <m/>
    <d v="2016-11-08T17:45:38"/>
    <d v="2016-11-08T17:44:23"/>
    <s v=""/>
    <m/>
    <m/>
  </r>
  <r>
    <n v="2390"/>
    <x v="0"/>
    <x v="26"/>
    <s v="blood"/>
    <s v="n."/>
    <s v="血液"/>
    <d v="2016-11-08T16:48:31"/>
    <d v="2016-11-08T16:48:31"/>
    <d v="2016-11-08T16:48:31"/>
    <m/>
    <d v="2016-11-08T17:45:41"/>
    <d v="2016-11-08T16:48:31"/>
    <s v=""/>
    <m/>
    <m/>
  </r>
  <r>
    <n v="2391"/>
    <x v="0"/>
    <x v="26"/>
    <s v="past continuous"/>
    <s v="n. phr."/>
    <s v="过去进行时"/>
    <d v="2016-11-08T16:48:33"/>
    <d v="2016-11-08T16:48:33"/>
    <d v="2016-11-08T16:48:33"/>
    <m/>
    <d v="2016-11-08T17:45:44"/>
    <d v="2016-11-08T16:48:33"/>
    <s v=""/>
    <m/>
    <m/>
  </r>
  <r>
    <n v="2392"/>
    <x v="0"/>
    <x v="26"/>
    <s v="underground"/>
    <s v="adj."/>
    <s v="（英）地铁"/>
    <d v="2016-11-08T16:48:37"/>
    <d v="2016-11-08T17:46:31"/>
    <d v="2016-11-08T17:46:31"/>
    <m/>
    <d v="2016-11-08T17:46:41"/>
    <d v="2016-11-08T17:46:31"/>
    <s v=""/>
    <m/>
    <m/>
  </r>
  <r>
    <n v="2393"/>
    <x v="0"/>
    <x v="26"/>
    <s v="platform"/>
    <s v="n."/>
    <s v="站台"/>
    <d v="2016-11-08T16:48:39"/>
    <d v="2016-11-08T17:44:26"/>
    <d v="2016-11-08T17:44:26"/>
    <m/>
    <d v="2016-11-08T17:46:00"/>
    <d v="2016-11-08T17:44:26"/>
    <s v=""/>
    <m/>
    <m/>
  </r>
  <r>
    <n v="2394"/>
    <x v="0"/>
    <x v="26"/>
    <s v="laugh"/>
    <s v="v."/>
    <s v="笑"/>
    <d v="2016-11-08T16:48:41"/>
    <d v="2016-11-08T16:48:41"/>
    <d v="2016-11-08T16:48:41"/>
    <m/>
    <d v="2016-11-08T17:46:02"/>
    <d v="2016-11-08T16:48:41"/>
    <s v=""/>
    <m/>
    <m/>
  </r>
  <r>
    <n v="2395"/>
    <x v="0"/>
    <x v="26"/>
    <s v="laugh"/>
    <s v="n."/>
    <s v="笑声"/>
    <d v="2016-11-08T16:48:45"/>
    <d v="2016-11-08T16:48:45"/>
    <d v="2016-11-08T16:48:45"/>
    <m/>
    <d v="2016-11-08T17:46:05"/>
    <d v="2016-11-08T16:48:45"/>
    <s v=""/>
    <m/>
    <m/>
  </r>
  <r>
    <n v="2396"/>
    <x v="0"/>
    <x v="26"/>
    <s v="spy"/>
    <s v="n."/>
    <s v="间谍"/>
    <d v="2016-11-08T16:48:48"/>
    <d v="2016-11-08T17:44:27"/>
    <d v="2016-11-08T17:44:27"/>
    <m/>
    <d v="2016-11-08T17:46:14"/>
    <d v="2016-11-08T17:44:27"/>
    <s v=""/>
    <m/>
    <m/>
  </r>
  <r>
    <n v="2397"/>
    <x v="0"/>
    <x v="26"/>
    <s v="twin"/>
    <s v="adj."/>
    <s v="双胞胎的"/>
    <d v="2016-11-08T16:48:49"/>
    <d v="2016-11-08T16:48:49"/>
    <d v="2016-11-08T16:48:49"/>
    <m/>
    <d v="2016-11-08T17:46:17"/>
    <d v="2016-11-08T16:48:49"/>
    <s v=""/>
    <m/>
    <m/>
  </r>
  <r>
    <n v="2398"/>
    <x v="0"/>
    <x v="26"/>
    <s v="disc jockey"/>
    <s v="n. phr."/>
    <s v="（DJ）（广播电台）流行音乐节目主持人"/>
    <d v="2016-11-08T16:48:51"/>
    <d v="2016-11-08T16:48:51"/>
    <d v="2016-11-08T16:48:51"/>
    <m/>
    <d v="2016-11-08T17:46:21"/>
    <d v="2016-11-08T16:48:51"/>
    <s v=""/>
    <m/>
    <m/>
  </r>
  <r>
    <n v="2399"/>
    <x v="0"/>
    <x v="26"/>
    <s v="both"/>
    <s v="adj."/>
    <s v="两者的"/>
    <d v="2016-11-09T19:06:06"/>
    <d v="2016-11-09T19:06:06"/>
    <d v="2016-11-09T19:06:06"/>
    <m/>
    <d v="2016-11-09T19:07:57"/>
    <d v="2016-11-09T19:06:06"/>
    <s v=""/>
    <m/>
    <m/>
  </r>
  <r>
    <n v="2400"/>
    <x v="0"/>
    <x v="26"/>
    <s v="both"/>
    <s v="n."/>
    <s v="双方，两者"/>
    <d v="2016-11-09T19:06:08"/>
    <d v="2016-11-09T19:06:08"/>
    <d v="2016-11-09T19:06:08"/>
    <m/>
    <d v="2016-11-09T19:08:00"/>
    <d v="2016-11-09T19:06:08"/>
    <s v=""/>
    <m/>
    <m/>
  </r>
  <r>
    <n v="2401"/>
    <x v="0"/>
    <x v="26"/>
    <s v="shower"/>
    <s v="n."/>
    <s v="淋浴"/>
    <d v="2016-11-09T19:06:09"/>
    <d v="2016-11-09T19:07:34"/>
    <d v="2016-11-09T19:07:34"/>
    <m/>
    <d v="2016-11-09T19:08:02"/>
    <d v="2016-11-09T19:07:34"/>
    <s v=""/>
    <m/>
    <m/>
  </r>
  <r>
    <n v="2402"/>
    <x v="0"/>
    <x v="26"/>
    <s v="pull"/>
    <s v="v."/>
    <s v="拉"/>
    <d v="2016-11-09T19:06:11"/>
    <d v="2016-11-09T19:06:11"/>
    <d v="2016-11-09T19:06:11"/>
    <m/>
    <d v="2016-11-09T19:08:04"/>
    <d v="2016-11-09T19:06:11"/>
    <s v=""/>
    <m/>
    <m/>
  </r>
  <r>
    <n v="2403"/>
    <x v="0"/>
    <x v="26"/>
    <s v="blind"/>
    <s v="n."/>
    <s v="窗帘；百叶窗"/>
    <d v="2016-11-09T19:06:13"/>
    <d v="2016-11-09T19:07:40"/>
    <d v="2016-11-09T19:07:40"/>
    <m/>
    <d v="2016-11-09T19:08:08"/>
    <d v="2016-11-09T19:07:40"/>
    <s v=""/>
    <m/>
    <m/>
  </r>
  <r>
    <n v="2404"/>
    <x v="0"/>
    <x v="26"/>
    <s v="switch"/>
    <s v="v."/>
    <s v="开；关"/>
    <d v="2016-11-09T19:06:14"/>
    <d v="2016-11-09T19:06:14"/>
    <d v="2016-11-09T19:06:14"/>
    <m/>
    <d v="2016-11-09T19:08:10"/>
    <d v="2016-11-09T19:06:14"/>
    <s v=""/>
    <m/>
    <m/>
  </r>
  <r>
    <n v="2405"/>
    <x v="0"/>
    <x v="26"/>
    <s v="switch on/off"/>
    <s v="v. phr."/>
    <s v="打开／关闭（电源）"/>
    <d v="2016-11-09T19:06:16"/>
    <d v="2016-11-09T19:07:43"/>
    <d v="2016-11-09T19:07:43"/>
    <m/>
    <d v="2016-11-09T19:08:12"/>
    <d v="2016-11-09T19:07:43"/>
    <s v=""/>
    <m/>
    <m/>
  </r>
  <r>
    <n v="2406"/>
    <x v="0"/>
    <x v="26"/>
    <s v="torch"/>
    <s v="n."/>
    <s v="手电筒"/>
    <d v="2016-11-09T19:06:20"/>
    <d v="2016-11-09T19:06:20"/>
    <d v="2016-11-09T19:06:20"/>
    <m/>
    <d v="2016-11-09T19:08:24"/>
    <d v="2016-11-09T19:06:20"/>
    <s v=""/>
    <m/>
    <m/>
  </r>
  <r>
    <n v="2407"/>
    <x v="0"/>
    <x v="26"/>
    <s v="corridor"/>
    <s v="n."/>
    <s v="过道g走廊"/>
    <d v="2016-11-09T19:06:22"/>
    <d v="2016-11-09T19:07:50"/>
    <d v="2016-11-09T19:07:50"/>
    <m/>
    <d v="2016-11-09T19:08:27"/>
    <d v="2016-11-09T19:07:50"/>
    <s v=""/>
    <m/>
    <m/>
  </r>
  <r>
    <n v="2408"/>
    <x v="0"/>
    <x v="26"/>
    <s v="hit"/>
    <s v="v."/>
    <s v="击中，打击"/>
    <d v="2016-11-09T19:06:24"/>
    <d v="2016-11-09T19:06:24"/>
    <d v="2016-11-09T19:06:24"/>
    <m/>
    <d v="2016-11-09T19:08:30"/>
    <d v="2016-11-09T19:06:24"/>
    <s v=""/>
    <m/>
    <m/>
  </r>
  <r>
    <n v="2409"/>
    <x v="0"/>
    <x v="26"/>
    <s v="bullet"/>
    <s v="n."/>
    <s v="子弹"/>
    <d v="2016-11-09T19:17:04"/>
    <d v="2016-11-09T19:17:04"/>
    <d v="2016-11-09T19:17:04"/>
    <m/>
    <d v="2016-11-09T19:17:46"/>
    <d v="2016-11-09T19:17:04"/>
    <s v=""/>
    <m/>
    <m/>
  </r>
  <r>
    <n v="2410"/>
    <x v="0"/>
    <x v="26"/>
    <s v="shoot"/>
    <s v="v."/>
    <s v="开枪"/>
    <d v="2016-11-09T19:17:08"/>
    <d v="2016-11-09T19:17:08"/>
    <d v="2016-11-09T19:17:08"/>
    <m/>
    <d v="2016-11-09T19:17:49"/>
    <d v="2016-11-09T19:17:08"/>
    <s v=""/>
    <m/>
    <m/>
  </r>
  <r>
    <n v="2411"/>
    <x v="0"/>
    <x v="26"/>
    <s v="put down"/>
    <s v="v. phr."/>
    <s v="放下"/>
    <d v="2016-11-09T19:17:13"/>
    <d v="2016-11-09T19:17:13"/>
    <d v="2016-11-09T19:17:13"/>
    <m/>
    <d v="2016-11-09T19:17:52"/>
    <d v="2016-11-09T19:17:13"/>
    <s v=""/>
    <m/>
    <m/>
  </r>
  <r>
    <n v="2412"/>
    <x v="0"/>
    <x v="26"/>
    <s v="cool"/>
    <s v="adj."/>
    <s v="冷酷的，凉爽的"/>
    <d v="2016-11-09T19:17:15"/>
    <d v="2016-11-09T19:17:15"/>
    <d v="2016-11-09T19:17:15"/>
    <m/>
    <d v="2016-11-09T19:17:55"/>
    <d v="2016-11-09T19:17:15"/>
    <s v=""/>
    <m/>
    <m/>
  </r>
  <r>
    <n v="2413"/>
    <x v="0"/>
    <x v="26"/>
    <s v="suit"/>
    <s v="n."/>
    <s v="西装"/>
    <d v="2016-11-09T19:17:17"/>
    <d v="2016-11-09T19:17:17"/>
    <d v="2016-11-09T19:17:17"/>
    <m/>
    <d v="2016-11-09T19:17:58"/>
    <d v="2016-11-09T19:17:17"/>
    <s v=""/>
    <m/>
    <m/>
  </r>
  <r>
    <n v="2414"/>
    <x v="0"/>
    <x v="26"/>
    <s v="rope"/>
    <s v="n."/>
    <s v="绳子"/>
    <d v="2016-11-09T19:17:19"/>
    <d v="2016-11-09T19:17:19"/>
    <d v="2016-11-09T19:17:19"/>
    <m/>
    <d v="2016-11-09T19:18:00"/>
    <d v="2016-11-09T19:17:19"/>
    <s v=""/>
    <m/>
    <m/>
  </r>
  <r>
    <n v="2415"/>
    <x v="0"/>
    <x v="26"/>
    <s v="take turns"/>
    <s v="v. phr."/>
    <s v="轮流；依次"/>
    <d v="2016-11-09T19:17:21"/>
    <d v="2016-11-09T19:17:21"/>
    <d v="2016-11-09T19:17:21"/>
    <m/>
    <d v="2016-11-09T19:18:03"/>
    <d v="2016-11-09T19:17:21"/>
    <s v=""/>
    <m/>
    <m/>
  </r>
  <r>
    <n v="2416"/>
    <x v="0"/>
    <x v="26"/>
    <s v="fantastic"/>
    <s v="adj."/>
    <s v="极好的，极妙的"/>
    <d v="2016-11-09T19:17:24"/>
    <d v="2016-11-09T19:17:25"/>
    <d v="2016-11-09T19:17:25"/>
    <m/>
    <d v="2016-11-09T19:18:07"/>
    <d v="2016-11-09T19:17:25"/>
    <s v=""/>
    <m/>
    <m/>
  </r>
  <r>
    <n v="2417"/>
    <x v="0"/>
    <x v="26"/>
    <s v="review"/>
    <s v="n."/>
    <s v="书评；评论"/>
    <d v="2016-11-09T19:17:27"/>
    <d v="2016-11-09T19:17:27"/>
    <d v="2016-11-09T19:17:27"/>
    <m/>
    <d v="2016-11-09T19:18:19"/>
    <d v="2016-11-09T19:17:27"/>
    <s v=""/>
    <m/>
    <m/>
  </r>
  <r>
    <n v="2418"/>
    <x v="0"/>
    <x v="26"/>
    <s v="poem"/>
    <s v="n."/>
    <s v="诗歌"/>
    <d v="2016-11-09T19:17:30"/>
    <d v="2016-11-09T19:17:30"/>
    <d v="2016-11-09T19:17:30"/>
    <m/>
    <d v="2016-11-09T19:18:27"/>
    <d v="2016-11-09T19:17:30"/>
    <s v=""/>
    <m/>
    <m/>
  </r>
  <r>
    <n v="2419"/>
    <x v="0"/>
    <x v="26"/>
    <s v="thick"/>
    <s v="adj."/>
    <s v="厚的"/>
    <d v="2016-11-09T19:18:40"/>
    <d v="2016-11-09T19:18:40"/>
    <d v="2016-11-09T19:18:40"/>
    <m/>
    <d v="2016-11-09T19:34:47"/>
    <d v="2016-11-09T19:18:40"/>
    <s v=""/>
    <m/>
    <m/>
  </r>
  <r>
    <n v="2420"/>
    <x v="0"/>
    <x v="26"/>
    <s v="stupid"/>
    <s v="adj."/>
    <s v="愚蠢的"/>
    <d v="2016-11-09T19:18:42"/>
    <d v="2016-11-09T19:18:42"/>
    <d v="2016-11-09T19:18:42"/>
    <m/>
    <d v="2016-11-09T19:34:50"/>
    <d v="2016-11-09T19:18:42"/>
    <s v=""/>
    <m/>
    <m/>
  </r>
  <r>
    <n v="2421"/>
    <x v="0"/>
    <x v="26"/>
    <s v="original"/>
    <s v="adj."/>
    <s v="新颖的，独到的"/>
    <d v="2016-11-09T19:18:48"/>
    <d v="2016-11-09T19:18:48"/>
    <d v="2016-11-09T19:18:48"/>
    <m/>
    <d v="2016-11-09T19:34:58"/>
    <d v="2016-11-09T19:18:48"/>
    <s v=""/>
    <m/>
    <m/>
  </r>
  <r>
    <n v="2422"/>
    <x v="0"/>
    <x v="26"/>
    <s v="perfect"/>
    <s v="adj."/>
    <s v="完美的"/>
    <d v="2016-11-09T19:18:51"/>
    <d v="2016-11-09T19:18:51"/>
    <d v="2016-11-09T19:18:51"/>
    <m/>
    <d v="2016-11-09T19:35:01"/>
    <d v="2016-11-09T19:18:51"/>
    <s v=""/>
    <m/>
    <m/>
  </r>
  <r>
    <n v="2423"/>
    <x v="0"/>
    <x v="26"/>
    <s v="series"/>
    <s v="n."/>
    <s v="系列作品"/>
    <d v="2016-11-09T19:18:57"/>
    <d v="2016-11-09T19:18:57"/>
    <d v="2016-11-09T19:18:57"/>
    <m/>
    <d v="2016-11-09T19:35:20"/>
    <d v="2016-11-09T19:18:57"/>
    <s v=""/>
    <m/>
    <m/>
  </r>
  <r>
    <n v="2424"/>
    <x v="0"/>
    <x v="26"/>
    <s v="hero"/>
    <s v="n."/>
    <s v="男主人公"/>
    <d v="2016-11-09T19:19:03"/>
    <d v="2016-11-09T19:19:04"/>
    <d v="2016-11-09T19:19:04"/>
    <m/>
    <d v="2016-11-09T19:35:22"/>
    <d v="2016-11-09T19:19:04"/>
    <s v=""/>
    <m/>
    <m/>
  </r>
  <r>
    <n v="2425"/>
    <x v="0"/>
    <x v="26"/>
    <s v="horrible"/>
    <s v="adj."/>
    <s v="可怕的"/>
    <d v="2016-11-09T19:19:08"/>
    <d v="2016-11-09T19:19:08"/>
    <d v="2016-11-09T19:19:08"/>
    <m/>
    <d v="2016-11-09T19:35:25"/>
    <d v="2016-11-09T19:19:08"/>
    <s v=""/>
    <m/>
    <m/>
  </r>
  <r>
    <n v="2426"/>
    <x v="0"/>
    <x v="26"/>
    <s v="heroine"/>
    <s v="n."/>
    <s v="女主人公"/>
    <d v="2016-11-09T19:19:14"/>
    <d v="2016-11-09T19:19:14"/>
    <d v="2016-11-09T19:19:14"/>
    <m/>
    <d v="2016-11-09T19:35:28"/>
    <d v="2016-11-09T19:19:14"/>
    <s v=""/>
    <m/>
    <m/>
  </r>
  <r>
    <n v="2427"/>
    <x v="0"/>
    <x v="26"/>
    <s v="silly"/>
    <s v="adj."/>
    <s v="愚昧的，傻的"/>
    <d v="2016-11-09T19:19:24"/>
    <d v="2016-11-09T19:19:24"/>
    <d v="2016-11-09T19:19:24"/>
    <m/>
    <d v="2016-11-09T19:35:31"/>
    <d v="2016-11-09T19:19:24"/>
    <s v=""/>
    <m/>
    <m/>
  </r>
  <r>
    <n v="2428"/>
    <x v="0"/>
    <x v="26"/>
    <s v="depressing"/>
    <s v="adj."/>
    <s v="令人沮丧的"/>
    <d v="2016-11-09T19:19:30"/>
    <d v="2016-11-09T19:19:30"/>
    <d v="2016-11-09T19:19:30"/>
    <m/>
    <d v="2016-11-09T19:35:34"/>
    <d v="2016-11-09T19:19:30"/>
    <s v=""/>
    <m/>
    <m/>
  </r>
  <r>
    <n v="2429"/>
    <x v="0"/>
    <x v="26"/>
    <s v="take place"/>
    <s v="v. phr."/>
    <s v="发生"/>
    <d v="2016-11-09T19:35:45"/>
    <d v="2016-11-09T19:41:29"/>
    <d v="2016-11-09T19:41:29"/>
    <m/>
    <d v="2016-11-09T19:41:48"/>
    <d v="2016-11-09T19:41:29"/>
    <s v=""/>
    <m/>
    <m/>
  </r>
  <r>
    <n v="2430"/>
    <x v="0"/>
    <x v="26"/>
    <s v="Athens"/>
    <s v="n."/>
    <s v="雅典（希腊首都）"/>
    <d v="2016-11-09T19:35:46"/>
    <d v="2016-11-09T19:35:46"/>
    <d v="2016-11-09T19:35:46"/>
    <m/>
    <d v="2016-11-09T19:41:50"/>
    <d v="2016-11-09T19:35:46"/>
    <s v=""/>
    <m/>
    <m/>
  </r>
  <r>
    <n v="2431"/>
    <x v="0"/>
    <x v="26"/>
    <s v="amazing"/>
    <s v="adj."/>
    <s v="令人惊奇的"/>
    <d v="2016-11-09T19:35:48"/>
    <d v="2016-11-09T19:35:48"/>
    <d v="2016-11-09T19:35:48"/>
    <m/>
    <d v="2016-11-09T19:41:53"/>
    <d v="2016-11-09T19:35:48"/>
    <s v=""/>
    <m/>
    <m/>
  </r>
  <r>
    <n v="2432"/>
    <x v="0"/>
    <x v="26"/>
    <s v="translation"/>
    <s v="n."/>
    <s v="译文z翻译"/>
    <d v="2016-11-09T19:35:50"/>
    <d v="2016-11-09T19:51:17"/>
    <d v="2016-11-09T19:51:17"/>
    <m/>
    <d v="2016-11-09T19:51:46"/>
    <d v="2016-11-09T19:51:17"/>
    <s v=""/>
    <m/>
    <m/>
  </r>
  <r>
    <n v="2433"/>
    <x v="0"/>
    <x v="26"/>
    <s v="astonishing"/>
    <s v="adj."/>
    <s v="令人震惊的"/>
    <d v="2016-11-09T19:35:51"/>
    <d v="2016-11-09T19:51:20"/>
    <d v="2016-11-09T19:51:20"/>
    <m/>
    <d v="2016-11-09T19:52:00"/>
    <d v="2016-11-09T19:51:20"/>
    <s v=""/>
    <m/>
    <m/>
  </r>
  <r>
    <n v="2434"/>
    <x v="0"/>
    <x v="26"/>
    <s v="success"/>
    <s v="n."/>
    <s v="成功"/>
    <d v="2016-11-09T19:35:53"/>
    <d v="2016-11-09T19:51:21"/>
    <d v="2016-11-09T19:51:21"/>
    <m/>
    <d v="2016-11-09T19:52:04"/>
    <d v="2016-11-09T19:51:21"/>
    <s v=""/>
    <m/>
    <m/>
  </r>
  <r>
    <n v="2435"/>
    <x v="0"/>
    <x v="26"/>
    <s v="traditional"/>
    <s v="adj."/>
    <s v="传统的"/>
    <d v="2016-11-09T19:35:55"/>
    <d v="2016-11-09T19:35:55"/>
    <d v="2016-11-09T19:35:55"/>
    <m/>
    <d v="2016-11-09T19:52:06"/>
    <d v="2016-11-09T19:35:55"/>
    <s v=""/>
    <m/>
    <m/>
  </r>
  <r>
    <n v="2436"/>
    <x v="0"/>
    <x v="26"/>
    <s v="simple"/>
    <s v="adj."/>
    <s v="简单的；朴实的"/>
    <d v="2016-11-09T19:35:58"/>
    <d v="2016-11-09T19:35:58"/>
    <d v="2016-11-09T19:35:58"/>
    <m/>
    <d v="2016-11-09T19:52:10"/>
    <d v="2016-11-09T19:35:58"/>
    <s v=""/>
    <m/>
    <m/>
  </r>
  <r>
    <n v="2437"/>
    <x v="0"/>
    <x v="26"/>
    <s v="examiner"/>
    <s v="n."/>
    <s v="主考官"/>
    <d v="2016-11-09T19:36:00"/>
    <d v="2016-11-09T19:36:00"/>
    <d v="2016-11-09T19:36:00"/>
    <m/>
    <d v="2016-11-09T19:52:13"/>
    <d v="2016-11-09T19:36:00"/>
    <s v=""/>
    <m/>
    <m/>
  </r>
  <r>
    <n v="2438"/>
    <x v="0"/>
    <x v="26"/>
    <s v="province"/>
    <s v="n."/>
    <s v="省"/>
    <d v="2016-11-09T19:36:01"/>
    <d v="2016-11-09T19:41:34"/>
    <d v="2016-11-09T19:41:34"/>
    <m/>
    <d v="2016-11-09T19:52:15"/>
    <d v="2016-11-09T19:41:34"/>
    <s v=""/>
    <m/>
    <m/>
  </r>
  <r>
    <n v="2439"/>
    <x v="0"/>
    <x v="26"/>
    <s v="normal"/>
    <s v="adj."/>
    <s v="师范的"/>
    <d v="2016-11-22T18:04:52"/>
    <d v="2016-11-22T18:04:52"/>
    <d v="2016-11-22T18:04:52"/>
    <m/>
    <d v="2016-11-23T18:50:32"/>
    <d v="2016-11-22T18:04:52"/>
    <s v=""/>
    <m/>
    <m/>
  </r>
  <r>
    <n v="2440"/>
    <x v="0"/>
    <x v="26"/>
    <s v="title"/>
    <s v="n."/>
    <s v="标题；名称；书名"/>
    <d v="2016-11-22T18:04:54"/>
    <d v="2016-11-23T18:51:06"/>
    <d v="2016-11-23T18:51:06"/>
    <m/>
    <d v="2016-11-23T18:54:01"/>
    <d v="2016-11-23T18:51:06"/>
    <s v=""/>
    <m/>
    <m/>
  </r>
  <r>
    <n v="2441"/>
    <x v="0"/>
    <x v="26"/>
    <s v="unwanted"/>
    <s v="adj."/>
    <s v="不受欢迎的；不需要的"/>
    <d v="2016-11-22T18:04:55"/>
    <d v="2016-11-23T18:51:09"/>
    <d v="2016-11-23T18:51:09"/>
    <m/>
    <d v="2016-11-23T18:54:04"/>
    <d v="2016-11-23T18:51:09"/>
    <s v=""/>
    <m/>
    <m/>
  </r>
  <r>
    <n v="2442"/>
    <x v="0"/>
    <x v="26"/>
    <s v="suprise"/>
    <s v="n."/>
    <s v="惊喜，惊奇"/>
    <d v="2016-11-22T18:04:57"/>
    <d v="2016-11-23T18:51:13"/>
    <d v="2016-11-23T18:51:13"/>
    <m/>
    <d v="2016-11-23T18:54:07"/>
    <d v="2016-11-23T18:51:13"/>
    <s v=""/>
    <m/>
    <m/>
  </r>
  <r>
    <n v="2443"/>
    <x v="0"/>
    <x v="26"/>
    <s v="beginning"/>
    <s v="n."/>
    <s v="（文章的）开头"/>
    <d v="2016-11-22T18:04:59"/>
    <d v="2016-11-22T18:04:59"/>
    <d v="2016-11-22T18:04:59"/>
    <m/>
    <d v="2016-11-23T18:50:34"/>
    <d v="2016-11-22T18:04:59"/>
    <s v=""/>
    <m/>
    <m/>
  </r>
  <r>
    <n v="2444"/>
    <x v="0"/>
    <x v="26"/>
    <s v="ending"/>
    <s v="n."/>
    <s v="（文章的）结尾"/>
    <d v="2016-11-22T18:05:00"/>
    <d v="2016-11-22T18:05:00"/>
    <d v="2016-11-22T18:05:00"/>
    <m/>
    <d v="2016-11-23T18:50:38"/>
    <d v="2016-11-22T18:05:00"/>
    <s v=""/>
    <m/>
    <m/>
  </r>
  <r>
    <n v="2445"/>
    <x v="0"/>
    <x v="26"/>
    <s v="metal"/>
    <s v="n."/>
    <s v="金属"/>
    <d v="2016-11-23T18:51:29"/>
    <d v="2016-11-23T18:51:29"/>
    <d v="2016-11-23T18:51:29"/>
    <m/>
    <d v="2016-11-23T18:54:10"/>
    <d v="2016-11-23T18:51:29"/>
    <s v=""/>
    <m/>
    <m/>
  </r>
  <r>
    <n v="2446"/>
    <x v="0"/>
    <x v="26"/>
    <s v="fortnight"/>
    <s v="n."/>
    <s v="两周"/>
    <d v="2016-11-23T18:51:36"/>
    <d v="2016-11-23T18:51:36"/>
    <d v="2016-11-23T18:51:36"/>
    <m/>
    <d v="2016-11-23T18:54:13"/>
    <d v="2016-11-23T18:51:36"/>
    <s v=""/>
    <m/>
    <m/>
  </r>
  <r>
    <n v="2447"/>
    <x v="0"/>
    <x v="26"/>
    <s v="explore"/>
    <s v="v."/>
    <s v="探索"/>
    <d v="2016-11-23T18:51:43"/>
    <d v="2016-11-23T18:51:43"/>
    <d v="2016-11-23T18:51:43"/>
    <m/>
    <d v="2016-11-23T18:54:16"/>
    <d v="2016-11-23T18:51:43"/>
    <s v=""/>
    <m/>
    <m/>
  </r>
  <r>
    <n v="2448"/>
    <x v="0"/>
    <x v="26"/>
    <s v="wrap"/>
    <s v="v."/>
    <s v="把某物包起来"/>
    <d v="2016-11-23T18:52:05"/>
    <d v="2016-11-23T18:57:53"/>
    <d v="2016-11-23T18:57:53"/>
    <m/>
    <d v="2016-11-23T19:02:12"/>
    <d v="2016-11-23T18:57:53"/>
    <s v=""/>
    <m/>
    <m/>
  </r>
  <r>
    <n v="2449"/>
    <x v="0"/>
    <x v="26"/>
    <s v="dustbin"/>
    <s v="n."/>
    <s v="垃圾箱"/>
    <d v="2016-11-23T18:57:55"/>
    <d v="2016-11-23T18:57:55"/>
    <d v="2016-11-23T18:57:55"/>
    <m/>
    <d v="2016-11-23T19:02:22"/>
    <d v="2016-11-23T18:57:55"/>
    <s v=""/>
    <m/>
    <m/>
  </r>
  <r>
    <n v="2450"/>
    <x v="0"/>
    <x v="26"/>
    <s v="The Tower of London"/>
    <s v="n. phr."/>
    <s v="伦敦塔"/>
    <d v="2016-11-23T18:57:57"/>
    <d v="2016-11-23T18:57:57"/>
    <d v="2016-11-23T18:57:57"/>
    <m/>
    <d v="2016-11-23T19:02:24"/>
    <d v="2016-11-23T18:57:57"/>
    <s v=""/>
    <m/>
    <m/>
  </r>
  <r>
    <n v="2451"/>
    <x v="0"/>
    <x v="26"/>
    <s v="finish up"/>
    <s v="v. phr."/>
    <s v="终结；结束"/>
    <d v="2016-11-23T18:59:09"/>
    <d v="2016-11-23T19:02:04"/>
    <d v="2016-11-23T19:02:04"/>
    <m/>
    <d v="2016-11-23T19:02:29"/>
    <d v="2016-11-23T19:02:04"/>
    <s v=""/>
    <m/>
    <m/>
  </r>
  <r>
    <n v="2452"/>
    <x v="0"/>
    <x v="26"/>
    <s v="opera"/>
    <s v="n."/>
    <s v="歌剧"/>
    <d v="2016-11-23T18:59:14"/>
    <d v="2016-11-23T18:59:14"/>
    <d v="2016-11-23T18:59:14"/>
    <m/>
    <d v="2016-11-23T19:02:31"/>
    <d v="2016-11-23T18:59:14"/>
    <s v=""/>
    <m/>
    <m/>
  </r>
  <r>
    <n v="2453"/>
    <x v="0"/>
    <x v="26"/>
    <s v="translate"/>
    <s v="v."/>
    <s v="翻译"/>
    <d v="2016-11-23T18:59:21"/>
    <d v="2016-11-23T18:59:21"/>
    <d v="2016-11-23T18:59:21"/>
    <m/>
    <d v="2016-11-23T19:02:35"/>
    <d v="2016-11-23T18:59:21"/>
    <s v=""/>
    <m/>
    <m/>
  </r>
  <r>
    <n v="2454"/>
    <x v="0"/>
    <x v="26"/>
    <s v="ankle"/>
    <s v="n."/>
    <s v="脚跟"/>
    <d v="2016-11-23T18:59:28"/>
    <d v="2016-11-23T18:59:28"/>
    <d v="2016-11-23T18:59:28"/>
    <m/>
    <d v="2016-11-23T19:02:38"/>
    <d v="2016-11-23T18:59:28"/>
    <s v=""/>
    <m/>
    <m/>
  </r>
  <r>
    <n v="2455"/>
    <x v="0"/>
    <x v="26"/>
    <s v="desert"/>
    <s v="n."/>
    <s v="沙漠"/>
    <d v="2016-11-23T18:59:31"/>
    <d v="2016-11-23T18:59:31"/>
    <d v="2016-11-23T18:59:31"/>
    <m/>
    <d v="2016-11-23T19:02:40"/>
    <d v="2016-11-23T18:59:31"/>
    <s v=""/>
    <m/>
    <m/>
  </r>
  <r>
    <n v="2456"/>
    <x v="0"/>
    <x v="26"/>
    <s v="thermometer"/>
    <s v="n."/>
    <s v="温度计"/>
    <d v="2016-11-23T19:00:04"/>
    <d v="2016-11-23T19:00:04"/>
    <d v="2016-11-23T19:00:04"/>
    <m/>
    <d v="2016-11-23T19:02:42"/>
    <d v="2016-11-23T19:00:04"/>
    <s v=""/>
    <m/>
    <m/>
  </r>
  <r>
    <n v="2457"/>
    <x v="0"/>
    <x v="26"/>
    <s v="tongue"/>
    <s v="n."/>
    <s v="舌头"/>
    <d v="2016-11-23T19:00:11"/>
    <d v="2016-11-23T19:00:11"/>
    <d v="2016-11-23T19:00:11"/>
    <m/>
    <d v="2016-11-23T19:02:45"/>
    <d v="2016-11-23T19:00:11"/>
    <s v=""/>
    <m/>
    <m/>
  </r>
  <r>
    <n v="2458"/>
    <x v="0"/>
    <x v="26"/>
    <s v="turning"/>
    <s v="n."/>
    <s v="（道路的）转弯处，岔路口"/>
    <d v="2016-11-23T19:00:17"/>
    <d v="2016-11-23T19:00:17"/>
    <d v="2016-11-23T19:00:17"/>
    <m/>
    <d v="2016-11-23T19:02:48"/>
    <d v="2016-11-23T19:00:17"/>
    <s v=""/>
    <m/>
    <m/>
  </r>
  <r>
    <n v="2459"/>
    <x v="0"/>
    <x v="27"/>
    <s v="antique"/>
    <s v="n."/>
    <s v="古董"/>
    <d v="2016-11-26T10:02:01"/>
    <d v="2016-11-26T10:02:01"/>
    <d v="2016-11-26T10:02:01"/>
    <m/>
    <d v="2016-11-26T10:04:45"/>
    <d v="2016-11-26T10:02:01"/>
    <s v=""/>
    <m/>
    <m/>
  </r>
  <r>
    <n v="2460"/>
    <x v="0"/>
    <x v="27"/>
    <s v="crazy"/>
    <s v="adj."/>
    <s v="疯狂的"/>
    <d v="2016-11-26T10:02:03"/>
    <d v="2016-11-26T10:04:04"/>
    <d v="2016-11-26T10:04:04"/>
    <m/>
    <d v="2016-11-26T10:04:48"/>
    <d v="2016-11-26T10:04:04"/>
    <s v=""/>
    <m/>
    <m/>
  </r>
  <r>
    <n v="2461"/>
    <x v="0"/>
    <x v="27"/>
    <s v="old-fashioned"/>
    <s v="adj."/>
    <s v="旧式的，过时的"/>
    <d v="2016-11-26T10:02:04"/>
    <d v="2016-11-26T10:04:13"/>
    <d v="2016-11-26T10:04:13"/>
    <m/>
    <d v="2016-11-26T10:04:51"/>
    <d v="2016-11-26T10:04:13"/>
    <s v=""/>
    <m/>
    <m/>
  </r>
  <r>
    <n v="2462"/>
    <x v="0"/>
    <x v="27"/>
    <s v="plastic"/>
    <s v="adj."/>
    <s v="塑料的"/>
    <d v="2016-11-26T10:02:05"/>
    <d v="2016-11-26T10:04:17"/>
    <d v="2016-11-26T10:04:17"/>
    <m/>
    <d v="2016-11-26T10:04:54"/>
    <d v="2016-11-26T10:04:17"/>
    <s v=""/>
    <m/>
    <m/>
  </r>
  <r>
    <n v="2463"/>
    <x v="0"/>
    <x v="27"/>
    <s v="plastic"/>
    <s v="n."/>
    <s v="塑料；塑料制品"/>
    <d v="2016-11-26T10:02:08"/>
    <d v="2016-11-26T10:02:08"/>
    <d v="2016-11-26T10:02:08"/>
    <m/>
    <d v="2016-11-26T10:04:57"/>
    <d v="2016-11-26T10:02:08"/>
    <s v=""/>
    <m/>
    <m/>
  </r>
  <r>
    <n v="2464"/>
    <x v="0"/>
    <x v="27"/>
    <s v="ugly"/>
    <s v="adj."/>
    <s v="丑陋的"/>
    <d v="2016-11-26T10:02:11"/>
    <d v="2016-11-26T10:02:11"/>
    <d v="2016-11-26T10:02:11"/>
    <m/>
    <d v="2016-11-26T10:05:00"/>
    <d v="2016-11-26T10:02:11"/>
    <s v=""/>
    <m/>
    <m/>
  </r>
  <r>
    <n v="2465"/>
    <x v="0"/>
    <x v="27"/>
    <s v="useful"/>
    <s v="adj."/>
    <s v="有用的"/>
    <d v="2016-11-26T10:02:13"/>
    <d v="2016-11-26T10:02:13"/>
    <d v="2016-11-26T10:02:13"/>
    <m/>
    <d v="2016-11-26T10:05:02"/>
    <d v="2016-11-26T10:02:13"/>
    <s v=""/>
    <m/>
    <m/>
  </r>
  <r>
    <n v="2466"/>
    <x v="0"/>
    <x v="27"/>
    <s v="wooden"/>
    <s v="adj."/>
    <s v="木制的"/>
    <d v="2016-11-26T10:02:14"/>
    <d v="2016-11-26T10:02:14"/>
    <d v="2016-11-26T10:02:14"/>
    <m/>
    <d v="2016-11-26T10:05:05"/>
    <d v="2016-11-26T10:02:14"/>
    <s v=""/>
    <m/>
    <m/>
  </r>
  <r>
    <n v="2467"/>
    <x v="0"/>
    <x v="27"/>
    <s v="furniture"/>
    <s v="n."/>
    <s v="家具"/>
    <d v="2016-11-26T10:02:16"/>
    <d v="2016-11-26T10:02:16"/>
    <d v="2016-11-26T10:02:16"/>
    <m/>
    <d v="2016-11-26T10:05:08"/>
    <d v="2016-11-26T10:02:16"/>
    <s v=""/>
    <m/>
    <m/>
  </r>
  <r>
    <n v="2468"/>
    <x v="0"/>
    <x v="27"/>
    <s v="side"/>
    <s v="adj."/>
    <s v="偏僻的"/>
    <d v="2016-11-26T10:02:19"/>
    <d v="2016-11-26T10:02:19"/>
    <d v="2016-11-26T10:02:19"/>
    <m/>
    <d v="2016-11-26T10:05:11"/>
    <d v="2016-11-26T10:02:19"/>
    <s v=""/>
    <m/>
    <m/>
  </r>
  <r>
    <n v="2469"/>
    <x v="0"/>
    <x v="27"/>
    <s v="worth"/>
    <s v="adj."/>
    <s v="值得的"/>
    <d v="2016-11-26T10:02:22"/>
    <d v="2016-11-26T10:02:22"/>
    <d v="2016-11-26T10:02:22"/>
    <m/>
    <d v="2016-11-26T10:05:15"/>
    <d v="2016-11-26T10:02:22"/>
    <s v=""/>
    <m/>
    <m/>
  </r>
  <r>
    <n v="2470"/>
    <x v="0"/>
    <x v="27"/>
    <s v="afford"/>
    <s v="v."/>
    <s v="买得起；承担得起"/>
    <d v="2016-11-26T10:02:25"/>
    <d v="2016-11-26T10:02:25"/>
    <d v="2016-11-26T10:02:25"/>
    <m/>
    <d v="2016-11-26T10:05:17"/>
    <d v="2016-11-26T10:02:25"/>
    <s v=""/>
    <m/>
    <m/>
  </r>
  <r>
    <n v="2471"/>
    <x v="0"/>
    <x v="27"/>
    <s v="dining room"/>
    <s v="n. phr."/>
    <s v="餐厅"/>
    <d v="2016-11-26T10:12:58"/>
    <d v="2016-11-26T10:12:58"/>
    <d v="2016-11-26T10:12:58"/>
    <m/>
    <d v="2016-11-26T10:13:50"/>
    <d v="2016-11-26T10:12:58"/>
    <s v=""/>
    <m/>
    <m/>
  </r>
  <r>
    <n v="2472"/>
    <x v="0"/>
    <x v="27"/>
    <s v="bathroom"/>
    <s v="n."/>
    <s v="裕室"/>
    <d v="2016-11-26T10:13:02"/>
    <d v="2016-11-26T10:13:03"/>
    <d v="2016-11-26T10:13:03"/>
    <m/>
    <d v="2016-11-26T10:13:54"/>
    <d v="2016-11-26T10:13:03"/>
    <s v=""/>
    <m/>
    <m/>
  </r>
  <r>
    <n v="2473"/>
    <x v="0"/>
    <x v="27"/>
    <s v="curtain"/>
    <s v="n."/>
    <s v="窗帘"/>
    <d v="2016-11-26T10:13:09"/>
    <d v="2016-11-26T10:13:09"/>
    <d v="2016-11-26T10:13:09"/>
    <m/>
    <d v="2016-11-26T10:13:57"/>
    <d v="2016-11-26T10:13:09"/>
    <s v=""/>
    <m/>
    <m/>
  </r>
  <r>
    <n v="2474"/>
    <x v="0"/>
    <x v="27"/>
    <s v="carpet"/>
    <s v="n."/>
    <s v="地毯"/>
    <d v="2016-11-26T10:13:13"/>
    <d v="2016-11-26T10:13:13"/>
    <d v="2016-11-26T10:13:13"/>
    <m/>
    <d v="2016-11-26T10:14:06"/>
    <d v="2016-11-26T10:13:13"/>
    <s v=""/>
    <m/>
    <m/>
  </r>
  <r>
    <n v="2475"/>
    <x v="0"/>
    <x v="27"/>
    <s v="hi-fi"/>
    <s v="n."/>
    <s v="高保真音响"/>
    <d v="2016-11-26T10:13:19"/>
    <d v="2016-11-26T10:13:19"/>
    <d v="2016-11-26T10:13:19"/>
    <m/>
    <d v="2016-11-26T10:14:09"/>
    <d v="2016-11-26T10:13:19"/>
    <s v=""/>
    <m/>
    <m/>
  </r>
  <r>
    <n v="2476"/>
    <x v="0"/>
    <x v="27"/>
    <s v="central heating"/>
    <s v="n. phr."/>
    <s v="中央采暧"/>
    <d v="2016-11-26T10:13:27"/>
    <d v="2016-11-26T10:13:27"/>
    <d v="2016-11-26T10:13:27"/>
    <m/>
    <d v="2016-11-26T10:14:14"/>
    <d v="2016-11-26T10:13:27"/>
    <s v=""/>
    <m/>
    <m/>
  </r>
  <r>
    <n v="2477"/>
    <x v="0"/>
    <x v="27"/>
    <s v="solar"/>
    <s v="adj."/>
    <s v="太阳的"/>
    <d v="2016-11-26T10:13:32"/>
    <d v="2016-11-26T10:13:32"/>
    <d v="2016-11-26T10:13:32"/>
    <m/>
    <d v="2016-11-26T10:14:17"/>
    <d v="2016-11-26T10:13:32"/>
    <s v=""/>
    <m/>
    <m/>
  </r>
  <r>
    <n v="2478"/>
    <x v="0"/>
    <x v="27"/>
    <s v="solar power"/>
    <s v="n. phr."/>
    <s v="太阳能"/>
    <d v="2016-11-26T10:13:37"/>
    <d v="2016-11-26T10:13:37"/>
    <d v="2016-11-26T10:13:37"/>
    <m/>
    <d v="2016-11-26T10:14:20"/>
    <d v="2016-11-26T10:13:37"/>
    <s v=""/>
    <m/>
    <m/>
  </r>
  <r>
    <n v="2479"/>
    <x v="0"/>
    <x v="27"/>
    <s v="save"/>
    <s v="v."/>
    <s v="保存；节省"/>
    <d v="2016-11-26T10:13:40"/>
    <d v="2016-11-26T10:13:40"/>
    <d v="2016-11-26T10:13:40"/>
    <m/>
    <d v="2016-11-26T10:14:22"/>
    <d v="2016-11-26T10:13:40"/>
    <s v=""/>
    <m/>
    <m/>
  </r>
  <r>
    <n v="2480"/>
    <x v="0"/>
    <x v="27"/>
    <s v="sitting room"/>
    <s v="n. phr."/>
    <s v="起居室"/>
    <d v="2016-11-26T10:13:43"/>
    <d v="2016-11-26T10:13:43"/>
    <d v="2016-11-26T10:13:43"/>
    <m/>
    <d v="2016-11-26T10:14:25"/>
    <d v="2016-11-26T10:13:43"/>
    <s v=""/>
    <m/>
    <m/>
  </r>
  <r>
    <n v="2481"/>
    <x v="0"/>
    <x v="27"/>
    <s v="actor"/>
    <s v="n."/>
    <s v="演员"/>
    <d v="2016-11-26T10:14:41"/>
    <d v="2016-11-26T10:17:01"/>
    <d v="2016-11-26T10:17:01"/>
    <m/>
    <d v="2016-11-26T10:18:30"/>
    <d v="2016-11-26T10:17:01"/>
    <s v=""/>
    <m/>
    <m/>
  </r>
  <r>
    <n v="2482"/>
    <x v="0"/>
    <x v="27"/>
    <s v="handsome"/>
    <s v="adj."/>
    <s v="英俊的"/>
    <d v="2016-11-26T10:14:43"/>
    <d v="2016-11-26T10:17:04"/>
    <d v="2016-11-26T10:17:04"/>
    <m/>
    <d v="2016-11-26T10:18:34"/>
    <d v="2016-11-26T10:17:04"/>
    <s v=""/>
    <m/>
    <m/>
  </r>
  <r>
    <n v="2483"/>
    <x v="0"/>
    <x v="27"/>
    <s v="babysit"/>
    <s v="v."/>
    <s v="担任临时保姆，照看婴儿"/>
    <d v="2016-11-26T10:15:33"/>
    <d v="2016-11-26T10:18:20"/>
    <d v="2016-11-26T10:18:20"/>
    <m/>
    <d v="2016-11-26T10:18:37"/>
    <d v="2016-11-26T10:18:20"/>
    <s v=""/>
    <m/>
    <m/>
  </r>
  <r>
    <n v="2484"/>
    <x v="0"/>
    <x v="27"/>
    <s v="fridge"/>
    <s v="n."/>
    <s v="冰箱"/>
    <d v="2016-11-26T10:15:35"/>
    <d v="2016-11-26T10:15:35"/>
    <d v="2016-11-26T10:15:35"/>
    <m/>
    <d v="2016-11-26T10:16:19"/>
    <d v="2016-11-26T10:15:35"/>
    <s v=""/>
    <m/>
    <m/>
  </r>
  <r>
    <n v="2485"/>
    <x v="0"/>
    <x v="27"/>
    <s v="neighbour"/>
    <s v="n."/>
    <s v="邻居"/>
    <d v="2016-11-26T10:15:37"/>
    <d v="2016-11-26T10:15:37"/>
    <d v="2016-11-26T10:15:37"/>
    <m/>
    <d v="2016-11-26T10:18:40"/>
    <d v="2016-11-26T10:15:37"/>
    <s v=""/>
    <m/>
    <m/>
  </r>
  <r>
    <n v="2486"/>
    <x v="0"/>
    <x v="27"/>
    <s v="false"/>
    <s v="adj."/>
    <s v="错误的"/>
    <d v="2016-11-26T10:15:40"/>
    <d v="2016-11-26T10:15:40"/>
    <d v="2016-11-26T10:15:40"/>
    <m/>
    <d v="2016-11-26T10:18:43"/>
    <d v="2016-11-26T10:15:40"/>
    <s v=""/>
    <m/>
    <m/>
  </r>
  <r>
    <n v="2487"/>
    <x v="0"/>
    <x v="27"/>
    <s v="basin"/>
    <s v="n."/>
    <s v="面盆"/>
    <d v="2016-11-26T10:15:41"/>
    <d v="2016-11-26T10:17:14"/>
    <d v="2016-11-26T10:17:14"/>
    <m/>
    <d v="2016-11-26T10:18:45"/>
    <d v="2016-11-26T10:17:14"/>
    <s v=""/>
    <m/>
    <m/>
  </r>
  <r>
    <n v="2488"/>
    <x v="0"/>
    <x v="27"/>
    <s v="toilet"/>
    <s v="n."/>
    <s v="抽水马桶"/>
    <d v="2016-11-26T10:15:43"/>
    <d v="2016-11-26T10:15:43"/>
    <d v="2016-11-26T10:15:43"/>
    <m/>
    <d v="2016-11-26T10:18:47"/>
    <d v="2016-11-26T10:15:43"/>
    <s v=""/>
    <m/>
    <m/>
  </r>
  <r>
    <n v="2489"/>
    <x v="0"/>
    <x v="27"/>
    <s v="cupboard"/>
    <s v="n."/>
    <s v="壁橱，小橱"/>
    <d v="2016-11-26T10:15:53"/>
    <d v="2016-11-26T10:15:53"/>
    <d v="2016-11-26T10:15:53"/>
    <m/>
    <d v="2016-11-26T10:18:50"/>
    <d v="2016-11-26T10:15:53"/>
    <s v=""/>
    <m/>
    <m/>
  </r>
  <r>
    <n v="2490"/>
    <x v="0"/>
    <x v="27"/>
    <s v="face"/>
    <s v="v."/>
    <s v="正对；朝"/>
    <d v="2016-11-26T10:15:55"/>
    <d v="2016-11-26T10:18:24"/>
    <d v="2016-11-26T10:18:24"/>
    <m/>
    <d v="2016-11-26T10:18:53"/>
    <d v="2016-11-26T10:18:24"/>
    <s v=""/>
    <m/>
    <m/>
  </r>
  <r>
    <n v="2491"/>
    <x v="0"/>
    <x v="27"/>
    <s v="towel"/>
    <s v="n."/>
    <s v="毛巾"/>
    <d v="2016-11-26T11:27:04"/>
    <d v="2016-11-26T11:27:04"/>
    <d v="2016-11-26T11:27:04"/>
    <m/>
    <d v="2016-11-26T11:40:14"/>
    <d v="2016-11-26T11:27:04"/>
    <s v=""/>
    <m/>
    <m/>
  </r>
  <r>
    <n v="2492"/>
    <x v="0"/>
    <x v="27"/>
    <s v="hook"/>
    <s v="n."/>
    <s v="挂钩"/>
    <d v="2016-11-26T11:27:05"/>
    <d v="2016-11-26T11:32:37"/>
    <d v="2016-11-26T11:32:37"/>
    <m/>
    <d v="2016-11-26T11:40:17"/>
    <d v="2016-11-26T11:32:37"/>
    <s v=""/>
    <m/>
    <m/>
  </r>
  <r>
    <n v="2493"/>
    <x v="0"/>
    <x v="27"/>
    <s v="toothbrush"/>
    <s v="n."/>
    <s v="牙刷"/>
    <d v="2016-11-26T11:27:07"/>
    <d v="2016-11-26T11:27:07"/>
    <d v="2016-11-26T11:27:07"/>
    <m/>
    <d v="2016-11-26T11:40:21"/>
    <d v="2016-11-26T11:27:07"/>
    <s v=""/>
    <m/>
    <m/>
  </r>
  <r>
    <n v="2494"/>
    <x v="0"/>
    <x v="27"/>
    <s v="drawer"/>
    <s v="n."/>
    <s v="抽屉"/>
    <d v="2016-11-26T11:27:10"/>
    <d v="2016-11-26T11:27:10"/>
    <d v="2016-11-26T11:27:10"/>
    <m/>
    <d v="2016-11-26T11:40:24"/>
    <d v="2016-11-26T11:27:10"/>
    <s v=""/>
    <m/>
    <m/>
  </r>
  <r>
    <n v="2495"/>
    <x v="0"/>
    <x v="27"/>
    <s v="beyond"/>
    <s v="prep."/>
    <s v="在远处，在之外"/>
    <d v="2016-11-26T11:27:12"/>
    <d v="2016-11-26T11:39:22"/>
    <d v="2016-11-26T11:39:22"/>
    <m/>
    <d v="2016-11-26T11:40:38"/>
    <d v="2016-11-26T11:39:22"/>
    <s v=""/>
    <m/>
    <m/>
  </r>
  <r>
    <n v="2496"/>
    <x v="0"/>
    <x v="27"/>
    <s v="chest of drawers"/>
    <s v="n. phr."/>
    <s v="五斗橱，五斗柜"/>
    <d v="2016-11-26T11:27:13"/>
    <d v="2016-11-26T11:39:24"/>
    <d v="2016-11-26T11:39:24"/>
    <m/>
    <d v="2016-11-26T11:40:41"/>
    <d v="2016-11-26T11:39:24"/>
    <s v=""/>
    <m/>
    <m/>
  </r>
  <r>
    <n v="2497"/>
    <x v="0"/>
    <x v="27"/>
    <s v="cooker"/>
    <s v="n."/>
    <s v="炉具"/>
    <d v="2016-11-26T11:27:15"/>
    <d v="2016-11-26T11:27:15"/>
    <d v="2016-11-26T11:27:15"/>
    <m/>
    <d v="2016-11-26T11:40:45"/>
    <d v="2016-11-26T11:27:15"/>
    <s v=""/>
    <m/>
    <m/>
  </r>
  <r>
    <n v="2498"/>
    <x v="0"/>
    <x v="27"/>
    <s v="cushion"/>
    <s v="n."/>
    <s v="软垫"/>
    <d v="2016-11-26T11:27:18"/>
    <d v="2016-11-26T11:36:02"/>
    <d v="2016-11-26T11:36:02"/>
    <m/>
    <d v="2016-11-26T11:40:49"/>
    <d v="2016-11-26T11:36:02"/>
    <s v=""/>
    <m/>
    <m/>
  </r>
  <r>
    <n v="2499"/>
    <x v="0"/>
    <x v="27"/>
    <s v="sink"/>
    <s v="n."/>
    <s v="水槽，水池子"/>
    <d v="2016-11-26T11:27:19"/>
    <d v="2016-11-26T11:36:04"/>
    <d v="2016-11-26T11:36:04"/>
    <m/>
    <d v="2016-11-26T11:40:53"/>
    <d v="2016-11-26T11:36:04"/>
    <s v=""/>
    <m/>
    <m/>
  </r>
  <r>
    <n v="2500"/>
    <x v="0"/>
    <x v="27"/>
    <s v="sofa"/>
    <s v="n."/>
    <s v="沙发"/>
    <d v="2016-11-26T11:27:22"/>
    <d v="2016-11-26T11:27:22"/>
    <d v="2016-11-26T11:27:22"/>
    <m/>
    <d v="2016-11-26T11:40:56"/>
    <d v="2016-11-26T11:27:22"/>
    <s v=""/>
    <m/>
    <m/>
  </r>
  <r>
    <n v="2501"/>
    <x v="0"/>
    <x v="27"/>
    <s v="wastepaper"/>
    <s v="n."/>
    <s v="废纸"/>
    <d v="2016-11-26T11:42:06"/>
    <d v="2016-11-26T11:42:06"/>
    <d v="2016-11-26T11:42:06"/>
    <m/>
    <d v="2016-11-26T11:43:28"/>
    <d v="2016-11-26T11:42:06"/>
    <s v=""/>
    <m/>
    <m/>
  </r>
  <r>
    <n v="2502"/>
    <x v="0"/>
    <x v="27"/>
    <s v="wastepaper basket"/>
    <s v="n. phr."/>
    <s v="废纸篓"/>
    <d v="2016-11-26T11:42:08"/>
    <d v="2016-11-26T11:42:08"/>
    <d v="2016-11-26T11:42:08"/>
    <m/>
    <d v="2016-11-26T11:43:31"/>
    <d v="2016-11-26T11:42:08"/>
    <s v=""/>
    <m/>
    <m/>
  </r>
  <r>
    <n v="2503"/>
    <x v="0"/>
    <x v="27"/>
    <s v="measure"/>
    <s v="v."/>
    <s v="测量"/>
    <d v="2016-11-26T11:42:18"/>
    <d v="2016-11-26T11:42:18"/>
    <d v="2016-11-26T11:42:18"/>
    <m/>
    <d v="2016-11-26T11:43:35"/>
    <d v="2016-11-26T11:42:18"/>
    <s v=""/>
    <m/>
    <m/>
  </r>
  <r>
    <n v="2504"/>
    <x v="0"/>
    <x v="27"/>
    <s v="revision"/>
    <s v="n."/>
    <s v="复习"/>
    <d v="2016-11-26T11:42:25"/>
    <d v="2016-11-26T11:42:25"/>
    <d v="2016-11-26T11:42:25"/>
    <m/>
    <d v="2016-11-26T11:43:38"/>
    <d v="2016-11-26T11:42:25"/>
    <s v=""/>
    <m/>
    <m/>
  </r>
  <r>
    <n v="2505"/>
    <x v="0"/>
    <x v="27"/>
    <s v="jog"/>
    <s v="v."/>
    <s v="慢跑"/>
    <d v="2016-11-26T11:42:30"/>
    <d v="2016-11-26T11:42:30"/>
    <d v="2016-11-26T11:42:30"/>
    <m/>
    <d v="2016-11-26T11:43:42"/>
    <d v="2016-11-26T11:42:30"/>
    <s v=""/>
    <m/>
    <m/>
  </r>
  <r>
    <n v="2506"/>
    <x v="0"/>
    <x v="27"/>
    <s v="pleasure"/>
    <s v="n."/>
    <s v="乐趣"/>
    <d v="2016-11-26T11:42:37"/>
    <d v="2016-11-26T11:45:02"/>
    <d v="2016-11-26T11:45:02"/>
    <m/>
    <d v="2016-11-26T11:45:14"/>
    <d v="2016-11-26T11:45:02"/>
    <s v=""/>
    <m/>
    <m/>
  </r>
  <r>
    <n v="2507"/>
    <x v="0"/>
    <x v="27"/>
    <s v="jealous"/>
    <s v="adj."/>
    <s v="嫉妒的"/>
    <d v="2016-11-26T11:42:43"/>
    <d v="2016-11-26T11:42:43"/>
    <d v="2016-11-26T11:42:43"/>
    <m/>
    <d v="2016-11-26T11:43:56"/>
    <d v="2016-11-26T11:42:43"/>
    <s v=""/>
    <m/>
    <m/>
  </r>
  <r>
    <n v="2508"/>
    <x v="0"/>
    <x v="27"/>
    <s v="be jealous of"/>
    <s v="v. phr."/>
    <s v="嫉妒（某人）"/>
    <d v="2016-11-26T11:42:49"/>
    <d v="2016-11-26T11:42:49"/>
    <d v="2016-11-26T11:42:49"/>
    <m/>
    <d v="2016-11-26T11:44:01"/>
    <d v="2016-11-26T11:42:49"/>
    <s v=""/>
    <m/>
    <m/>
  </r>
  <r>
    <n v="2509"/>
    <x v="0"/>
    <x v="27"/>
    <s v="generous"/>
    <s v="adj."/>
    <s v="丰厚的；慷慨的"/>
    <d v="2016-11-26T11:42:56"/>
    <d v="2016-11-26T11:42:56"/>
    <d v="2016-11-26T11:42:56"/>
    <m/>
    <d v="2016-11-26T11:44:05"/>
    <d v="2016-11-26T11:42:56"/>
    <s v=""/>
    <m/>
    <m/>
  </r>
  <r>
    <n v="2510"/>
    <x v="0"/>
    <x v="27"/>
    <s v="wage"/>
    <s v="n."/>
    <s v="（常用复）工资"/>
    <d v="2016-11-26T11:43:02"/>
    <d v="2016-11-26T11:43:02"/>
    <d v="2016-11-26T11:43:02"/>
    <m/>
    <d v="2016-11-26T11:44:16"/>
    <d v="2016-11-26T11:43:02"/>
    <s v=""/>
    <m/>
    <m/>
  </r>
  <r>
    <n v="2511"/>
    <x v="0"/>
    <x v="27"/>
    <s v="excellent"/>
    <s v="adj."/>
    <s v="卓越的，极好的"/>
    <d v="2016-11-26T11:46:24"/>
    <d v="2016-11-26T11:46:24"/>
    <d v="2016-11-26T11:46:24"/>
    <m/>
    <d v="2016-11-26T12:36:50"/>
    <d v="2016-11-26T11:46:24"/>
    <s v=""/>
    <m/>
    <m/>
  </r>
  <r>
    <n v="2512"/>
    <x v="0"/>
    <x v="27"/>
    <s v="giraffe"/>
    <s v="n."/>
    <s v="长颈鹿"/>
    <d v="2016-11-26T11:46:26"/>
    <d v="2016-11-26T11:46:26"/>
    <d v="2016-11-26T11:46:26"/>
    <m/>
    <d v="2016-11-26T12:36:53"/>
    <d v="2016-11-26T11:46:26"/>
    <s v=""/>
    <m/>
    <m/>
  </r>
  <r>
    <n v="2513"/>
    <x v="0"/>
    <x v="27"/>
    <s v="pet"/>
    <s v="n."/>
    <s v="宠物"/>
    <d v="2016-11-26T11:46:32"/>
    <d v="2016-11-26T11:46:32"/>
    <d v="2016-11-26T11:46:32"/>
    <m/>
    <d v="2016-11-26T12:36:56"/>
    <d v="2016-11-26T11:46:32"/>
    <s v=""/>
    <m/>
    <m/>
  </r>
  <r>
    <n v="2514"/>
    <x v="0"/>
    <x v="27"/>
    <s v="decision"/>
    <s v="n."/>
    <s v="决定，决心"/>
    <d v="2016-11-26T11:46:37"/>
    <d v="2016-11-26T11:46:37"/>
    <d v="2016-11-26T11:46:37"/>
    <m/>
    <d v="2016-11-26T12:37:00"/>
    <d v="2016-11-26T11:46:37"/>
    <s v=""/>
    <m/>
    <m/>
  </r>
  <r>
    <n v="2515"/>
    <x v="0"/>
    <x v="27"/>
    <s v="full-time"/>
    <s v="adj."/>
    <s v="全职的"/>
    <d v="2016-11-26T11:46:44"/>
    <d v="2016-11-26T12:39:04"/>
    <d v="2016-11-26T12:39:04"/>
    <m/>
    <d v="2016-11-26T12:39:25"/>
    <d v="2016-11-26T12:39:04"/>
    <s v=""/>
    <m/>
    <m/>
  </r>
  <r>
    <n v="2516"/>
    <x v="0"/>
    <x v="27"/>
    <s v="part-time"/>
    <s v="adj."/>
    <s v="兼职的"/>
    <d v="2016-11-26T11:46:49"/>
    <d v="2016-11-26T11:46:49"/>
    <d v="2016-11-26T11:46:49"/>
    <m/>
    <d v="2016-11-26T12:37:13"/>
    <d v="2016-11-26T11:46:49"/>
    <s v=""/>
    <m/>
    <m/>
  </r>
  <r>
    <n v="2517"/>
    <x v="0"/>
    <x v="27"/>
    <s v="and … as well"/>
    <s v="prep. phr."/>
    <s v="以及，又"/>
    <d v="2016-11-26T11:46:57"/>
    <d v="2016-11-26T11:46:57"/>
    <d v="2016-11-26T11:46:57"/>
    <m/>
    <d v="2016-11-26T12:37:23"/>
    <d v="2016-11-26T11:46:57"/>
    <s v=""/>
    <m/>
    <m/>
  </r>
  <r>
    <n v="2518"/>
    <x v="0"/>
    <x v="27"/>
    <s v="social"/>
    <s v="adj."/>
    <s v="社会的"/>
    <d v="2016-11-26T11:47:05"/>
    <d v="2016-11-26T11:47:05"/>
    <d v="2016-11-26T11:47:05"/>
    <m/>
    <d v="2016-11-26T12:37:35"/>
    <d v="2016-11-26T11:47:05"/>
    <s v=""/>
    <m/>
    <m/>
  </r>
  <r>
    <n v="2519"/>
    <x v="0"/>
    <x v="27"/>
    <s v="countryside"/>
    <s v="n."/>
    <s v="乡间，农村"/>
    <d v="2016-11-26T11:47:10"/>
    <d v="2016-11-26T11:47:10"/>
    <d v="2016-11-26T11:47:10"/>
    <m/>
    <d v="2016-11-26T12:37:39"/>
    <d v="2016-11-26T11:47:10"/>
    <s v=""/>
    <m/>
    <m/>
  </r>
  <r>
    <n v="2520"/>
    <x v="0"/>
    <x v="27"/>
    <s v="place of interest"/>
    <s v="n. phr."/>
    <s v="名胜古迹"/>
    <d v="2016-11-26T11:47:28"/>
    <d v="2016-11-26T11:47:28"/>
    <d v="2016-11-26T11:47:28"/>
    <m/>
    <d v="2016-11-26T12:37:47"/>
    <d v="2016-11-26T11:47:28"/>
    <s v=""/>
    <m/>
    <m/>
  </r>
  <r>
    <n v="2521"/>
    <x v="0"/>
    <x v="27"/>
    <s v="last"/>
    <s v="v."/>
    <s v="持续"/>
    <d v="2016-11-26T11:47:32"/>
    <d v="2016-11-26T11:47:32"/>
    <d v="2016-11-26T11:47:32"/>
    <m/>
    <d v="2016-11-26T12:37:51"/>
    <d v="2016-11-26T11:47:32"/>
    <s v=""/>
    <m/>
    <m/>
  </r>
  <r>
    <n v="2522"/>
    <x v="0"/>
    <x v="27"/>
    <s v="a range of"/>
    <s v="phrase"/>
    <s v="一系列的"/>
    <d v="2016-11-26T11:47:50"/>
    <d v="2016-11-26T12:39:06"/>
    <d v="2016-11-26T12:39:06"/>
    <m/>
    <d v="2016-11-26T12:39:29"/>
    <d v="2016-11-26T12:39:06"/>
    <s v=""/>
    <m/>
    <m/>
  </r>
  <r>
    <n v="2523"/>
    <x v="0"/>
    <x v="27"/>
    <s v="either"/>
    <s v="adj."/>
    <s v="两者之一的"/>
    <d v="2016-11-26T12:36:12"/>
    <d v="2016-11-26T12:36:12"/>
    <d v="2016-11-26T12:36:12"/>
    <m/>
    <d v="2016-11-26T12:38:03"/>
    <d v="2016-11-26T12:36:12"/>
    <s v=""/>
    <m/>
    <m/>
  </r>
  <r>
    <n v="2524"/>
    <x v="0"/>
    <x v="27"/>
    <s v="footpath"/>
    <s v="n."/>
    <s v="小路；小径"/>
    <d v="2016-11-26T12:36:18"/>
    <d v="2016-11-26T12:36:18"/>
    <d v="2016-11-26T12:36:18"/>
    <m/>
    <d v="2016-11-26T12:38:07"/>
    <d v="2016-11-26T12:36:18"/>
    <s v=""/>
    <m/>
    <m/>
  </r>
  <r>
    <n v="2525"/>
    <x v="0"/>
    <x v="27"/>
    <s v="attractive"/>
    <s v="adj."/>
    <s v="吸引人的"/>
    <d v="2016-11-26T12:36:21"/>
    <d v="2016-11-26T12:36:21"/>
    <d v="2016-11-26T12:36:21"/>
    <m/>
    <d v="2016-11-26T12:38:10"/>
    <d v="2016-11-26T12:36:21"/>
    <s v=""/>
    <m/>
    <m/>
  </r>
  <r>
    <n v="2526"/>
    <x v="0"/>
    <x v="27"/>
    <s v="private"/>
    <s v="adj."/>
    <s v="个人的；私人的"/>
    <d v="2016-11-26T12:36:24"/>
    <d v="2016-11-26T12:36:24"/>
    <d v="2016-11-26T12:36:24"/>
    <m/>
    <d v="2016-11-26T12:38:29"/>
    <d v="2016-11-26T12:36:24"/>
    <s v=""/>
    <m/>
    <m/>
  </r>
  <r>
    <n v="2527"/>
    <x v="0"/>
    <x v="27"/>
    <s v="nearby"/>
    <s v="adv."/>
    <s v="在附近"/>
    <d v="2016-11-26T12:36:26"/>
    <d v="2016-11-26T12:36:26"/>
    <d v="2016-11-26T12:36:26"/>
    <m/>
    <d v="2016-11-26T12:38:32"/>
    <d v="2016-11-26T12:36:26"/>
    <s v=""/>
    <m/>
    <m/>
  </r>
  <r>
    <n v="2528"/>
    <x v="0"/>
    <x v="27"/>
    <s v="situate"/>
    <s v="v."/>
    <s v="位于"/>
    <d v="2016-11-26T12:36:33"/>
    <d v="2016-11-26T12:36:33"/>
    <d v="2016-11-26T12:36:33"/>
    <m/>
    <d v="2016-11-26T12:38:40"/>
    <d v="2016-11-26T12:36:33"/>
    <s v=""/>
    <m/>
    <m/>
  </r>
  <r>
    <n v="2529"/>
    <x v="0"/>
    <x v="27"/>
    <s v="village"/>
    <s v="n."/>
    <s v="乡村，村庄"/>
    <d v="2016-11-26T12:36:37"/>
    <d v="2016-11-26T12:36:37"/>
    <d v="2016-11-26T12:36:37"/>
    <m/>
    <d v="2016-11-26T12:38:43"/>
    <d v="2016-11-26T12:36:37"/>
    <s v=""/>
    <m/>
    <m/>
  </r>
  <r>
    <n v="2530"/>
    <x v="0"/>
    <x v="27"/>
    <s v="encourage"/>
    <s v="v."/>
    <s v="鼓励"/>
    <d v="2016-11-26T12:36:40"/>
    <d v="2016-11-26T12:36:40"/>
    <d v="2016-11-26T12:36:40"/>
    <m/>
    <d v="2016-11-26T12:38:49"/>
    <d v="2016-11-26T12:36:40"/>
    <s v=""/>
    <m/>
    <m/>
  </r>
  <r>
    <n v="2531"/>
    <x v="0"/>
    <x v="28"/>
    <s v="fashion"/>
    <s v="n."/>
    <s v="时尚"/>
    <d v="2016-11-29T15:39:11"/>
    <d v="2016-11-29T15:39:11"/>
    <d v="2016-11-29T15:39:11"/>
    <m/>
    <d v="2016-12-11T12:17:11"/>
    <d v="2016-11-29T15:39:11"/>
    <s v=""/>
    <m/>
    <m/>
  </r>
  <r>
    <n v="2532"/>
    <x v="0"/>
    <x v="28"/>
    <s v="in fashion"/>
    <s v="phrase"/>
    <s v="时尚的；流行的"/>
    <d v="2016-11-29T15:39:13"/>
    <d v="2016-12-11T12:17:57"/>
    <d v="2016-12-11T12:17:57"/>
    <m/>
    <d v="2016-12-11T12:18:08"/>
    <d v="2016-12-11T12:17:57"/>
    <s v=""/>
    <m/>
    <m/>
  </r>
  <r>
    <n v="2533"/>
    <x v="0"/>
    <x v="28"/>
    <s v="audience"/>
    <s v="n."/>
    <s v="听众，观众"/>
    <d v="2016-11-29T15:39:15"/>
    <d v="2016-11-29T15:39:15"/>
    <d v="2016-11-29T15:39:15"/>
    <m/>
    <d v="2016-12-11T12:17:26"/>
    <d v="2016-11-29T15:39:15"/>
    <s v=""/>
    <m/>
    <m/>
  </r>
  <r>
    <n v="2534"/>
    <x v="0"/>
    <x v="28"/>
    <s v="heel"/>
    <s v="n."/>
    <s v="脚后跟"/>
    <d v="2016-12-11T11:55:29"/>
    <d v="2016-12-11T12:16:38"/>
    <d v="2016-12-11T12:16:38"/>
    <m/>
    <d v="2016-12-11T12:17:29"/>
    <d v="2016-12-11T12:16:38"/>
    <s v=""/>
    <m/>
    <m/>
  </r>
  <r>
    <n v="2535"/>
    <x v="0"/>
    <x v="28"/>
    <s v="leather"/>
    <s v="adj."/>
    <s v="皮革的"/>
    <d v="2016-12-11T11:55:31"/>
    <d v="2016-12-11T12:16:44"/>
    <d v="2016-12-11T12:16:44"/>
    <m/>
    <d v="2016-12-11T12:17:32"/>
    <d v="2016-12-11T12:16:44"/>
    <s v=""/>
    <m/>
    <m/>
  </r>
  <r>
    <n v="2536"/>
    <x v="0"/>
    <x v="28"/>
    <s v="striped"/>
    <s v="adj."/>
    <s v="有条纹的"/>
    <d v="2016-12-11T11:55:34"/>
    <d v="2016-12-11T11:55:34"/>
    <d v="2016-12-11T11:55:34"/>
    <m/>
    <d v="2016-12-11T12:17:35"/>
    <d v="2016-12-11T11:55:34"/>
    <s v=""/>
    <m/>
    <m/>
  </r>
  <r>
    <n v="2537"/>
    <x v="0"/>
    <x v="28"/>
    <s v="enormous"/>
    <s v="adj."/>
    <s v="巨大的"/>
    <d v="2016-12-11T11:55:35"/>
    <d v="2016-12-11T11:55:35"/>
    <d v="2016-12-11T11:55:35"/>
    <m/>
    <d v="2016-12-11T12:17:38"/>
    <d v="2016-12-11T11:55:35"/>
    <s v=""/>
    <m/>
    <m/>
  </r>
  <r>
    <n v="2538"/>
    <x v="0"/>
    <x v="28"/>
    <s v="grey"/>
    <s v="adj."/>
    <s v="灰色的"/>
    <d v="2016-12-11T11:55:38"/>
    <d v="2016-12-11T11:55:38"/>
    <d v="2016-12-11T11:55:38"/>
    <m/>
    <d v="2016-12-11T12:17:41"/>
    <d v="2016-12-11T11:55:38"/>
    <s v=""/>
    <m/>
    <m/>
  </r>
  <r>
    <n v="2539"/>
    <x v="0"/>
    <x v="28"/>
    <s v="awful"/>
    <s v="adj."/>
    <s v="糟糕的"/>
    <d v="2016-12-11T11:55:40"/>
    <d v="2016-12-11T11:55:40"/>
    <d v="2016-12-11T11:55:40"/>
    <m/>
    <d v="2016-12-11T12:17:44"/>
    <d v="2016-12-11T11:55:40"/>
    <s v=""/>
    <m/>
    <m/>
  </r>
  <r>
    <n v="2540"/>
    <x v="0"/>
    <x v="28"/>
    <s v="sleeveless"/>
    <s v="adj."/>
    <s v="无袖的"/>
    <d v="2016-12-11T11:55:45"/>
    <d v="2016-12-11T12:16:59"/>
    <d v="2016-12-11T12:16:59"/>
    <m/>
    <d v="2016-12-11T12:17:47"/>
    <d v="2016-12-11T12:16:59"/>
    <s v=""/>
    <m/>
    <m/>
  </r>
  <r>
    <n v="2541"/>
    <x v="0"/>
    <x v="28"/>
    <s v="silk"/>
    <s v="n."/>
    <s v="丝绸"/>
    <d v="2016-12-11T12:18:26"/>
    <d v="2016-12-11T12:18:26"/>
    <d v="2016-12-11T12:18:26"/>
    <m/>
    <d v="2016-12-11T12:19:09"/>
    <d v="2016-12-11T12:18:26"/>
    <s v=""/>
    <m/>
    <m/>
  </r>
  <r>
    <n v="2542"/>
    <x v="0"/>
    <x v="28"/>
    <s v="paragraph"/>
    <s v="n."/>
    <s v="（文章的）段落"/>
    <d v="2016-12-11T12:18:29"/>
    <d v="2016-12-11T12:18:29"/>
    <d v="2016-12-11T12:18:29"/>
    <m/>
    <d v="2016-12-11T12:19:12"/>
    <d v="2016-12-11T12:18:29"/>
    <s v=""/>
    <m/>
    <m/>
  </r>
  <r>
    <n v="2543"/>
    <x v="0"/>
    <x v="28"/>
    <s v="used to"/>
    <s v="v. phr."/>
    <s v="过去常常（做某事）"/>
    <d v="2016-12-11T12:18:30"/>
    <d v="2016-12-11T14:23:54"/>
    <d v="2016-12-11T14:23:54"/>
    <m/>
    <d v="2016-12-11T14:24:14"/>
    <d v="2016-12-11T14:23:54"/>
    <s v=""/>
    <m/>
    <m/>
  </r>
  <r>
    <n v="2544"/>
    <x v="0"/>
    <x v="28"/>
    <s v="mad"/>
    <s v="adj."/>
    <s v="疯狂的"/>
    <d v="2016-12-11T12:18:31"/>
    <d v="2016-12-11T12:18:31"/>
    <d v="2016-12-11T12:18:31"/>
    <m/>
    <d v="2016-12-11T12:19:19"/>
    <d v="2016-12-11T12:18:31"/>
    <s v=""/>
    <m/>
    <m/>
  </r>
  <r>
    <n v="2545"/>
    <x v="0"/>
    <x v="28"/>
    <s v="material"/>
    <s v="n."/>
    <s v="材料"/>
    <d v="2016-12-11T12:18:34"/>
    <d v="2016-12-11T12:18:34"/>
    <d v="2016-12-11T12:18:34"/>
    <m/>
    <d v="2016-12-11T12:19:23"/>
    <d v="2016-12-11T12:18:34"/>
    <s v=""/>
    <m/>
    <m/>
  </r>
  <r>
    <n v="2546"/>
    <x v="0"/>
    <x v="28"/>
    <s v="shiny"/>
    <s v="adj."/>
    <s v="闪亮的"/>
    <d v="2016-12-11T12:18:35"/>
    <d v="2016-12-11T12:18:35"/>
    <d v="2016-12-11T12:18:35"/>
    <m/>
    <d v="2016-12-11T12:19:27"/>
    <d v="2016-12-11T12:18:35"/>
    <s v=""/>
    <m/>
    <m/>
  </r>
  <r>
    <n v="2547"/>
    <x v="0"/>
    <x v="28"/>
    <s v="pattern"/>
    <s v="n."/>
    <s v="有图案的；带花纹的"/>
    <d v="2016-12-11T12:18:38"/>
    <d v="2016-12-11T14:25:04"/>
    <d v="2016-12-11T14:25:04"/>
    <m/>
    <d v="2016-12-11T14:25:30"/>
    <d v="2016-12-11T14:25:04"/>
    <s v=""/>
    <m/>
    <m/>
  </r>
  <r>
    <n v="2548"/>
    <x v="0"/>
    <x v="28"/>
    <s v="collar"/>
    <s v="n."/>
    <s v="领子"/>
    <d v="2016-12-11T12:18:39"/>
    <d v="2016-12-11T14:25:05"/>
    <d v="2016-12-11T14:25:05"/>
    <m/>
    <d v="2016-12-11T14:25:33"/>
    <d v="2016-12-11T14:25:05"/>
    <s v=""/>
    <m/>
    <m/>
  </r>
  <r>
    <n v="2549"/>
    <x v="0"/>
    <x v="28"/>
    <s v="tie"/>
    <s v="n."/>
    <s v="领带"/>
    <d v="2016-12-11T12:18:42"/>
    <d v="2016-12-11T12:18:42"/>
    <d v="2016-12-11T12:18:42"/>
    <m/>
    <d v="2016-12-11T14:24:22"/>
    <d v="2016-12-11T12:18:42"/>
    <s v=""/>
    <m/>
    <m/>
  </r>
  <r>
    <n v="2550"/>
    <x v="0"/>
    <x v="28"/>
    <s v="glove"/>
    <s v="n."/>
    <s v="手套"/>
    <d v="2016-12-11T12:18:44"/>
    <d v="2016-12-11T12:18:44"/>
    <d v="2016-12-11T12:18:44"/>
    <m/>
    <d v="2016-12-11T14:24:25"/>
    <d v="2016-12-11T12:18:44"/>
    <s v=""/>
    <m/>
    <m/>
  </r>
  <r>
    <n v="2551"/>
    <x v="0"/>
    <x v="28"/>
    <s v="teenage"/>
    <s v="adj."/>
    <s v="十几岁的"/>
    <d v="2016-12-11T12:18:46"/>
    <d v="2016-12-11T12:18:46"/>
    <d v="2016-12-11T12:18:46"/>
    <m/>
    <d v="2016-12-11T14:24:38"/>
    <d v="2016-12-11T12:18:46"/>
    <s v=""/>
    <m/>
    <m/>
  </r>
  <r>
    <n v="2552"/>
    <x v="0"/>
    <x v="28"/>
    <s v="cotton"/>
    <s v="n."/>
    <s v="棉制品"/>
    <d v="2016-12-11T12:18:48"/>
    <d v="2016-12-11T12:18:48"/>
    <d v="2016-12-11T12:18:48"/>
    <m/>
    <d v="2016-12-11T14:24:42"/>
    <d v="2016-12-11T12:18:48"/>
    <s v=""/>
    <m/>
    <m/>
  </r>
  <r>
    <n v="2553"/>
    <x v="0"/>
    <x v="28"/>
    <s v="flat"/>
    <s v="adj."/>
    <s v="平底的"/>
    <d v="2016-12-11T12:18:50"/>
    <d v="2016-12-11T14:25:09"/>
    <d v="2016-12-11T14:25:09"/>
    <m/>
    <d v="2016-12-11T14:25:41"/>
    <d v="2016-12-11T14:25:09"/>
    <s v=""/>
    <m/>
    <m/>
  </r>
  <r>
    <n v="2554"/>
    <x v="0"/>
    <x v="28"/>
    <s v="teddy boys"/>
    <s v="n. phr."/>
    <s v="（英国20世纪50年代的）不良少年"/>
    <d v="2016-12-11T12:18:52"/>
    <d v="2016-12-11T14:25:10"/>
    <d v="2016-12-11T14:25:10"/>
    <m/>
    <d v="2016-12-11T14:25:45"/>
    <d v="2016-12-11T14:25:10"/>
    <s v=""/>
    <m/>
    <m/>
  </r>
  <r>
    <n v="2555"/>
    <x v="0"/>
    <x v="28"/>
    <s v="narrow"/>
    <s v="adj."/>
    <s v="狭窄的"/>
    <d v="2016-12-11T12:18:53"/>
    <d v="2016-12-11T14:25:13"/>
    <d v="2016-12-11T14:25:13"/>
    <m/>
    <d v="2016-12-11T14:25:52"/>
    <d v="2016-12-11T14:25:13"/>
    <s v=""/>
    <m/>
    <m/>
  </r>
  <r>
    <n v="2556"/>
    <x v="0"/>
    <x v="28"/>
    <s v="pointed"/>
    <s v="adj."/>
    <s v="尖的"/>
    <d v="2016-12-11T14:27:21"/>
    <d v="2016-12-11T14:27:21"/>
    <d v="2016-12-11T14:27:21"/>
    <m/>
    <d v="2016-12-11T14:27:35"/>
    <d v="2016-12-11T14:27:21"/>
    <s v=""/>
    <m/>
    <m/>
  </r>
  <r>
    <n v="2557"/>
    <x v="0"/>
    <x v="28"/>
    <s v="toe"/>
    <s v="n."/>
    <s v="鞋尖"/>
    <d v="2016-12-11T14:27:23"/>
    <d v="2016-12-11T14:27:23"/>
    <d v="2016-12-11T14:27:23"/>
    <m/>
    <d v="2016-12-11T14:27:44"/>
    <d v="2016-12-11T14:27:23"/>
    <s v=""/>
    <m/>
    <m/>
  </r>
  <r>
    <n v="2558"/>
    <x v="0"/>
    <x v="28"/>
    <s v="straight"/>
    <s v="adj."/>
    <s v="笔直的"/>
    <d v="2016-12-11T14:27:25"/>
    <d v="2016-12-11T14:27:25"/>
    <d v="2016-12-11T14:27:25"/>
    <m/>
    <d v="2016-12-11T14:27:47"/>
    <d v="2016-12-11T14:27:25"/>
    <s v=""/>
    <m/>
    <m/>
  </r>
  <r>
    <n v="2559"/>
    <x v="0"/>
    <x v="28"/>
    <s v="dress"/>
    <s v="n."/>
    <s v="连衣裙"/>
    <d v="2016-12-11T14:27:27"/>
    <d v="2016-12-11T14:27:27"/>
    <d v="2016-12-11T14:27:27"/>
    <m/>
    <d v="2016-12-11T14:27:50"/>
    <d v="2016-12-11T14:27:27"/>
    <s v=""/>
    <m/>
    <m/>
  </r>
  <r>
    <n v="2560"/>
    <x v="0"/>
    <x v="28"/>
    <s v="waist"/>
    <s v="n."/>
    <s v="腰"/>
    <d v="2016-12-11T14:27:29"/>
    <d v="2016-12-11T14:27:29"/>
    <d v="2016-12-11T14:27:29"/>
    <m/>
    <d v="2016-12-11T14:27:54"/>
    <d v="2016-12-11T14:27:29"/>
    <s v=""/>
    <m/>
    <m/>
  </r>
  <r>
    <n v="2561"/>
    <x v="0"/>
    <x v="28"/>
    <s v="belt"/>
    <s v="n."/>
    <s v="皮带"/>
    <d v="2016-12-14T19:41:15"/>
    <d v="2016-12-14T19:41:15"/>
    <d v="2016-12-14T19:41:15"/>
    <m/>
    <d v="2016-12-14T19:52:18"/>
    <d v="2016-12-14T19:41:15"/>
    <s v=""/>
    <m/>
    <m/>
  </r>
  <r>
    <n v="2562"/>
    <x v="0"/>
    <x v="28"/>
    <s v="hip"/>
    <s v="n."/>
    <s v="臀部"/>
    <d v="2016-12-14T19:41:20"/>
    <d v="2016-12-14T19:41:20"/>
    <d v="2016-12-14T19:41:20"/>
    <m/>
    <d v="2016-12-14T19:52:21"/>
    <d v="2016-12-14T19:41:20"/>
    <s v=""/>
    <m/>
    <m/>
  </r>
  <r>
    <n v="2563"/>
    <x v="0"/>
    <x v="28"/>
    <s v="scarf"/>
    <s v="n."/>
    <s v="围巾"/>
    <d v="2016-12-14T19:41:21"/>
    <d v="2016-12-14T19:56:51"/>
    <d v="2016-12-14T19:56:51"/>
    <m/>
    <d v="2016-12-14T19:57:16"/>
    <d v="2016-12-14T19:56:51"/>
    <s v=""/>
    <m/>
    <m/>
  </r>
  <r>
    <n v="2564"/>
    <x v="0"/>
    <x v="28"/>
    <s v="bead"/>
    <s v="n."/>
    <s v="珠子项链；珠饰"/>
    <d v="2016-12-14T19:41:30"/>
    <d v="2016-12-14T19:41:30"/>
    <d v="2016-12-14T19:41:30"/>
    <m/>
    <d v="2016-12-14T19:52:31"/>
    <d v="2016-12-14T19:41:30"/>
    <s v=""/>
    <m/>
    <m/>
  </r>
  <r>
    <n v="2565"/>
    <x v="0"/>
    <x v="28"/>
    <s v="sweater"/>
    <s v="n."/>
    <s v="羊毛衫"/>
    <d v="2016-12-14T19:41:34"/>
    <d v="2016-12-14T19:41:34"/>
    <d v="2016-12-14T19:41:34"/>
    <m/>
    <d v="2016-12-14T19:52:34"/>
    <d v="2016-12-14T19:41:34"/>
    <s v=""/>
    <m/>
    <m/>
  </r>
  <r>
    <n v="2566"/>
    <x v="0"/>
    <x v="28"/>
    <s v="latest"/>
    <s v="adj."/>
    <s v="最新的"/>
    <d v="2016-12-14T19:41:41"/>
    <d v="2016-12-14T19:41:41"/>
    <d v="2016-12-14T19:41:41"/>
    <m/>
    <d v="2016-12-14T19:52:39"/>
    <d v="2016-12-14T19:41:41"/>
    <s v=""/>
    <m/>
    <m/>
  </r>
  <r>
    <n v="2567"/>
    <x v="0"/>
    <x v="28"/>
    <s v="trainer"/>
    <s v="n."/>
    <s v="软底胶鞋，运动鞋"/>
    <d v="2016-12-14T19:41:43"/>
    <d v="2016-12-14T19:41:43"/>
    <d v="2016-12-14T19:41:43"/>
    <m/>
    <d v="2016-12-14T19:52:42"/>
    <d v="2016-12-14T19:41:43"/>
    <s v=""/>
    <m/>
    <m/>
  </r>
  <r>
    <n v="2568"/>
    <x v="0"/>
    <x v="28"/>
    <s v="jewellery"/>
    <s v="n."/>
    <s v="珠宝"/>
    <d v="2016-12-14T19:41:45"/>
    <d v="2016-12-14T19:56:58"/>
    <d v="2016-12-14T19:56:58"/>
    <m/>
    <d v="2016-12-14T19:57:18"/>
    <d v="2016-12-14T19:56:58"/>
    <s v=""/>
    <m/>
    <m/>
  </r>
  <r>
    <n v="2569"/>
    <x v="0"/>
    <x v="28"/>
    <s v="nail"/>
    <s v="n."/>
    <s v="指甲"/>
    <d v="2016-12-14T19:41:47"/>
    <d v="2016-12-14T19:57:07"/>
    <d v="2016-12-14T19:57:07"/>
    <m/>
    <d v="2016-12-14T19:57:21"/>
    <d v="2016-12-14T19:57:07"/>
    <s v=""/>
    <m/>
    <m/>
  </r>
  <r>
    <n v="2570"/>
    <x v="0"/>
    <x v="28"/>
    <s v="baseball"/>
    <s v="n."/>
    <s v="棒球"/>
    <d v="2016-12-14T19:41:49"/>
    <d v="2016-12-14T19:41:49"/>
    <d v="2016-12-14T19:41:49"/>
    <m/>
    <d v="2016-12-14T19:57:24"/>
    <d v="2016-12-14T19:41:49"/>
    <s v=""/>
    <m/>
    <m/>
  </r>
  <r>
    <n v="2571"/>
    <x v="0"/>
    <x v="28"/>
    <s v="loose"/>
    <s v="adj."/>
    <s v="宽松的"/>
    <d v="2016-12-14T19:41:51"/>
    <d v="2016-12-14T19:57:50"/>
    <d v="2016-12-14T19:57:50"/>
    <m/>
    <d v="2016-12-14T19:58:17"/>
    <d v="2016-12-14T19:57:50"/>
    <s v=""/>
    <m/>
    <m/>
  </r>
  <r>
    <n v="2572"/>
    <x v="0"/>
    <x v="28"/>
    <s v="sweatshirt"/>
    <s v="n."/>
    <s v="击走袖运动衫"/>
    <d v="2016-12-14T19:41:53"/>
    <d v="2016-12-14T19:41:53"/>
    <d v="2016-12-14T19:41:53"/>
    <m/>
    <d v="2016-12-14T19:57:28"/>
    <d v="2016-12-14T19:41:53"/>
    <s v=""/>
    <m/>
    <m/>
  </r>
  <r>
    <n v="2573"/>
    <x v="0"/>
    <x v="28"/>
    <s v="decade"/>
    <s v="n."/>
    <s v="十年"/>
    <d v="2016-12-14T19:41:55"/>
    <d v="2016-12-14T19:57:53"/>
    <d v="2016-12-14T19:57:53"/>
    <m/>
    <d v="2016-12-14T19:58:29"/>
    <d v="2016-12-14T19:57:53"/>
    <s v=""/>
    <m/>
    <m/>
  </r>
  <r>
    <n v="2574"/>
    <x v="0"/>
    <x v="28"/>
    <s v="tight"/>
    <s v="adj."/>
    <s v="紧身的"/>
    <d v="2016-12-14T19:41:58"/>
    <d v="2016-12-14T19:58:01"/>
    <d v="2016-12-14T19:58:01"/>
    <m/>
    <d v="2016-12-14T19:58:32"/>
    <d v="2016-12-14T19:58:01"/>
    <s v=""/>
    <m/>
    <m/>
  </r>
  <r>
    <n v="2575"/>
    <x v="0"/>
    <x v="28"/>
    <s v="dull"/>
    <s v="adj."/>
    <s v="（色彩）不鲜明的，暗淡的"/>
    <d v="2016-12-14T19:42:00"/>
    <d v="2016-12-14T19:58:05"/>
    <d v="2016-12-14T19:58:05"/>
    <m/>
    <d v="2016-12-14T19:58:35"/>
    <d v="2016-12-14T19:58:05"/>
    <s v=""/>
    <m/>
    <m/>
  </r>
  <r>
    <n v="2576"/>
    <x v="0"/>
    <x v="28"/>
    <s v="plain"/>
    <s v="adj."/>
    <s v="单色的，无图案的"/>
    <d v="2016-12-15T20:45:47"/>
    <d v="2016-12-15T20:45:47"/>
    <d v="2016-12-15T20:45:47"/>
    <m/>
    <d v="2016-12-15T20:46:21"/>
    <d v="2016-12-15T20:45:47"/>
    <s v=""/>
    <m/>
    <m/>
  </r>
  <r>
    <n v="2577"/>
    <x v="0"/>
    <x v="28"/>
    <s v="enough"/>
    <s v="adj."/>
    <s v="足够的，充足的"/>
    <d v="2016-12-15T20:45:48"/>
    <d v="2016-12-15T20:45:48"/>
    <d v="2016-12-15T20:45:48"/>
    <m/>
    <d v="2016-12-15T20:46:24"/>
    <d v="2016-12-15T20:45:48"/>
    <s v=""/>
    <m/>
    <m/>
  </r>
  <r>
    <n v="2578"/>
    <x v="0"/>
    <x v="28"/>
    <s v="colourful"/>
    <s v="adj."/>
    <s v="色彩斑斓的"/>
    <d v="2016-12-15T20:45:50"/>
    <d v="2016-12-15T20:45:50"/>
    <d v="2016-12-15T20:45:50"/>
    <m/>
    <d v="2016-12-15T20:46:27"/>
    <d v="2016-12-15T20:45:50"/>
    <s v=""/>
    <m/>
    <m/>
  </r>
  <r>
    <n v="2579"/>
    <x v="0"/>
    <x v="28"/>
    <s v="alphabet"/>
    <s v="n."/>
    <s v="字母表"/>
    <d v="2016-12-15T20:45:56"/>
    <d v="2016-12-15T20:45:56"/>
    <d v="2016-12-15T20:45:56"/>
    <m/>
    <d v="2016-12-15T20:46:30"/>
    <d v="2016-12-15T20:45:56"/>
    <s v=""/>
    <m/>
    <m/>
  </r>
  <r>
    <n v="2580"/>
    <x v="0"/>
    <x v="28"/>
    <s v="instruction"/>
    <s v="n."/>
    <s v="指示，指令"/>
    <d v="2016-12-15T20:46:01"/>
    <d v="2016-12-15T20:46:01"/>
    <d v="2016-12-15T20:46:01"/>
    <m/>
    <d v="2016-12-15T20:46:35"/>
    <d v="2016-12-15T20:46:01"/>
    <s v=""/>
    <m/>
    <m/>
  </r>
  <r>
    <n v="2581"/>
    <x v="0"/>
    <x v="28"/>
    <s v="lamp"/>
    <s v="n."/>
    <s v="台灯"/>
    <d v="2016-12-15T20:46:05"/>
    <d v="2016-12-15T20:46:05"/>
    <d v="2016-12-15T20:46:05"/>
    <m/>
    <d v="2016-12-15T20:46:37"/>
    <d v="2016-12-15T20:46:05"/>
    <s v=""/>
    <m/>
    <m/>
  </r>
  <r>
    <n v="2582"/>
    <x v="0"/>
    <x v="28"/>
    <s v="cover"/>
    <s v="n."/>
    <s v="床罩"/>
    <d v="2016-12-15T20:46:09"/>
    <d v="2016-12-15T20:46:09"/>
    <d v="2016-12-15T20:46:09"/>
    <m/>
    <d v="2016-12-15T20:46:41"/>
    <d v="2016-12-15T20:46:09"/>
    <s v=""/>
    <m/>
    <m/>
  </r>
  <r>
    <n v="2583"/>
    <x v="0"/>
    <x v="28"/>
    <s v="tiny"/>
    <s v="adj."/>
    <s v="很少的，微小的"/>
    <d v="2016-12-15T20:46:10"/>
    <d v="2016-12-15T20:46:10"/>
    <d v="2016-12-15T20:46:10"/>
    <m/>
    <d v="2016-12-15T20:46:44"/>
    <d v="2016-12-15T20:46:10"/>
    <s v=""/>
    <m/>
    <m/>
  </r>
  <r>
    <n v="2584"/>
    <x v="0"/>
    <x v="28"/>
    <s v="soft"/>
    <s v="adj."/>
    <s v="柔软的，温和的"/>
    <d v="2016-12-15T20:46:12"/>
    <d v="2016-12-15T20:46:12"/>
    <d v="2016-12-15T20:46:12"/>
    <m/>
    <d v="2016-12-15T20:46:47"/>
    <d v="2016-12-15T20:46:12"/>
    <s v=""/>
    <m/>
    <m/>
  </r>
  <r>
    <n v="2585"/>
    <x v="0"/>
    <x v="28"/>
    <s v="seaside"/>
    <s v="n."/>
    <s v="海边"/>
    <d v="2016-12-15T20:46:14"/>
    <d v="2016-12-15T20:46:14"/>
    <d v="2016-12-15T20:46:14"/>
    <m/>
    <d v="2016-12-15T20:46:49"/>
    <d v="2016-12-15T20:46:14"/>
    <s v=""/>
    <m/>
    <m/>
  </r>
  <r>
    <n v="2586"/>
    <x v="0"/>
    <x v="29"/>
    <s v="risk"/>
    <s v="v."/>
    <s v="冒险"/>
    <d v="2016-12-19T19:25:56"/>
    <d v="2016-12-19T19:36:08"/>
    <d v="2016-12-19T19:36:08"/>
    <m/>
    <d v="2016-12-19T19:38:53"/>
    <d v="2016-12-19T19:36:08"/>
    <s v=""/>
    <m/>
    <m/>
  </r>
  <r>
    <n v="2587"/>
    <x v="0"/>
    <x v="29"/>
    <s v="vote"/>
    <s v="v."/>
    <s v="投票，表决"/>
    <d v="2016-12-19T19:25:58"/>
    <d v="2016-12-19T19:25:58"/>
    <d v="2016-12-19T19:25:58"/>
    <m/>
    <d v="2016-12-19T19:27:20"/>
    <d v="2016-12-19T19:25:58"/>
    <s v=""/>
    <m/>
    <m/>
  </r>
  <r>
    <n v="2588"/>
    <x v="0"/>
    <x v="29"/>
    <s v="election"/>
    <s v="n."/>
    <s v="大选"/>
    <d v="2016-12-19T19:26:00"/>
    <d v="2016-12-19T19:26:00"/>
    <d v="2016-12-19T19:26:00"/>
    <m/>
    <d v="2016-12-19T19:27:22"/>
    <d v="2016-12-19T19:26:00"/>
    <s v=""/>
    <m/>
    <m/>
  </r>
  <r>
    <n v="2589"/>
    <x v="0"/>
    <x v="29"/>
    <s v="tattoo"/>
    <s v="n."/>
    <s v="纹身"/>
    <d v="2016-12-19T19:26:03"/>
    <d v="2016-12-19T19:26:03"/>
    <d v="2016-12-19T19:26:03"/>
    <m/>
    <d v="2016-12-19T19:27:26"/>
    <d v="2016-12-19T19:26:03"/>
    <s v=""/>
    <m/>
    <m/>
  </r>
  <r>
    <n v="2590"/>
    <x v="0"/>
    <x v="29"/>
    <s v="firework"/>
    <s v="n."/>
    <s v="烟花，焰火"/>
    <d v="2016-12-19T19:26:05"/>
    <d v="2016-12-19T19:26:05"/>
    <d v="2016-12-19T19:26:05"/>
    <m/>
    <d v="2016-12-19T19:27:28"/>
    <d v="2016-12-19T19:26:05"/>
    <s v=""/>
    <m/>
    <m/>
  </r>
  <r>
    <n v="2591"/>
    <x v="0"/>
    <x v="29"/>
    <s v="lottery"/>
    <s v="n."/>
    <s v="彩票的发行"/>
    <d v="2016-12-19T19:26:07"/>
    <d v="2016-12-19T19:36:10"/>
    <d v="2016-12-19T19:36:10"/>
    <m/>
    <d v="2016-12-19T19:38:57"/>
    <d v="2016-12-19T19:36:10"/>
    <s v=""/>
    <m/>
    <m/>
  </r>
  <r>
    <n v="2592"/>
    <x v="0"/>
    <x v="29"/>
    <s v="lottery ticket"/>
    <s v="n. phr."/>
    <s v="彩票"/>
    <d v="2016-12-19T19:26:09"/>
    <d v="2016-12-19T19:36:13"/>
    <d v="2016-12-19T19:36:13"/>
    <m/>
    <d v="2016-12-19T19:39:01"/>
    <d v="2016-12-19T19:36:13"/>
    <s v=""/>
    <m/>
    <m/>
  </r>
  <r>
    <n v="2593"/>
    <x v="0"/>
    <x v="29"/>
    <s v="pilot"/>
    <s v="v."/>
    <s v="驾驶（飞机）"/>
    <d v="2016-12-19T19:26:11"/>
    <d v="2016-12-19T19:36:15"/>
    <d v="2016-12-19T19:36:15"/>
    <m/>
    <d v="2016-12-19T19:39:03"/>
    <d v="2016-12-19T19:36:15"/>
    <s v=""/>
    <m/>
    <m/>
  </r>
  <r>
    <n v="2594"/>
    <x v="0"/>
    <x v="29"/>
    <s v="moped"/>
    <s v="n."/>
    <s v="摩托自行车"/>
    <d v="2016-12-19T19:42:44"/>
    <d v="2016-12-19T20:11:43"/>
    <d v="2016-12-19T20:11:43"/>
    <m/>
    <d v="2016-12-19T20:12:21"/>
    <d v="2016-12-19T20:11:43"/>
    <s v=""/>
    <m/>
    <m/>
  </r>
  <r>
    <n v="2595"/>
    <x v="0"/>
    <x v="29"/>
    <s v="give blood"/>
    <s v="v. phr."/>
    <s v="献血"/>
    <d v="2016-12-19T19:42:47"/>
    <d v="2016-12-19T19:42:47"/>
    <d v="2016-12-19T19:42:47"/>
    <m/>
    <d v="2016-12-19T19:50:21"/>
    <d v="2016-12-19T19:42:47"/>
    <s v=""/>
    <m/>
    <m/>
  </r>
  <r>
    <n v="2596"/>
    <x v="0"/>
    <x v="29"/>
    <s v="marathon"/>
    <s v="n."/>
    <s v="马拉松赛跑"/>
    <d v="2016-12-19T19:42:48"/>
    <d v="2016-12-19T20:11:49"/>
    <d v="2016-12-19T20:11:49"/>
    <m/>
    <d v="2016-12-19T20:12:24"/>
    <d v="2016-12-19T20:11:49"/>
    <s v=""/>
    <m/>
    <m/>
  </r>
  <r>
    <n v="2597"/>
    <x v="0"/>
    <x v="29"/>
    <s v="sand"/>
    <s v="n."/>
    <s v="沙，沙漠，沙滩"/>
    <d v="2016-12-19T19:42:50"/>
    <d v="2016-12-19T19:42:50"/>
    <d v="2016-12-19T19:42:50"/>
    <m/>
    <d v="2016-12-19T19:50:28"/>
    <d v="2016-12-19T19:42:50"/>
    <s v=""/>
    <m/>
    <m/>
  </r>
  <r>
    <n v="2598"/>
    <x v="0"/>
    <x v="29"/>
    <s v="race"/>
    <s v="n."/>
    <s v="赛跑，竞赛"/>
    <d v="2016-12-19T20:12:00"/>
    <d v="2016-12-19T20:12:56"/>
    <d v="2016-12-19T20:12:56"/>
    <m/>
    <d v="2016-12-19T20:13:20"/>
    <d v="2016-12-19T20:12:56"/>
    <s v=""/>
    <m/>
    <m/>
  </r>
  <r>
    <n v="2599"/>
    <x v="0"/>
    <x v="29"/>
    <s v="Sahara"/>
    <s v="n."/>
    <s v="撒哈拉沙漠"/>
    <d v="2016-12-19T19:42:54"/>
    <d v="2016-12-19T20:11:53"/>
    <d v="2016-12-19T20:11:53"/>
    <m/>
    <d v="2016-12-19T20:12:36"/>
    <d v="2016-12-19T20:11:53"/>
    <s v=""/>
    <m/>
    <m/>
  </r>
  <r>
    <n v="2600"/>
    <x v="0"/>
    <x v="29"/>
    <s v="desert"/>
    <s v="n."/>
    <s v="沙漠"/>
    <d v="2016-12-19T19:42:56"/>
    <d v="2016-12-19T19:42:56"/>
    <d v="2016-12-19T19:42:56"/>
    <m/>
    <d v="2016-12-19T19:51:04"/>
    <d v="2016-12-19T19:42:56"/>
    <s v=""/>
    <m/>
    <m/>
  </r>
  <r>
    <n v="2601"/>
    <x v="0"/>
    <x v="29"/>
    <s v="Morocco"/>
    <s v="n."/>
    <s v="摩洛哥（非洲国家）"/>
    <d v="2016-12-19T19:42:57"/>
    <d v="2016-12-19T19:42:57"/>
    <d v="2016-12-19T19:42:57"/>
    <m/>
    <d v="2016-12-19T19:51:07"/>
    <d v="2016-12-19T19:42:57"/>
    <s v=""/>
    <m/>
    <m/>
  </r>
  <r>
    <n v="2602"/>
    <x v="0"/>
    <x v="29"/>
    <s v="contact"/>
    <s v="v."/>
    <s v="联络"/>
    <d v="2016-12-19T19:42:59"/>
    <d v="2016-12-19T19:42:59"/>
    <d v="2016-12-19T19:42:59"/>
    <m/>
    <d v="2016-12-19T20:00:02"/>
    <d v="2016-12-19T19:42:59"/>
    <s v=""/>
    <m/>
    <m/>
  </r>
  <r>
    <n v="2603"/>
    <x v="0"/>
    <x v="29"/>
    <s v="skydive"/>
    <s v="v."/>
    <s v="高空跳伞特技表演"/>
    <d v="2016-12-19T20:12:13"/>
    <d v="2016-12-19T20:13:45"/>
    <d v="2016-12-19T20:13:45"/>
    <m/>
    <d v="2016-12-19T20:13:51"/>
    <d v="2016-12-19T20:13:45"/>
    <s v=""/>
    <m/>
    <m/>
  </r>
  <r>
    <n v="2604"/>
    <x v="0"/>
    <x v="29"/>
    <s v="certain"/>
    <s v="adj."/>
    <s v="某一（些）"/>
    <d v="2016-12-19T19:43:03"/>
    <d v="2016-12-19T20:13:08"/>
    <d v="2016-12-19T20:13:08"/>
    <m/>
    <d v="2016-12-19T20:13:32"/>
    <d v="2016-12-19T20:13:08"/>
    <s v=""/>
    <m/>
    <m/>
  </r>
  <r>
    <n v="2605"/>
    <x v="0"/>
    <x v="29"/>
    <s v="runner"/>
    <s v="n."/>
    <s v="参加赛跑的人"/>
    <d v="2016-12-19T19:43:06"/>
    <d v="2016-12-19T19:43:06"/>
    <d v="2016-12-19T19:43:06"/>
    <m/>
    <d v="2016-12-19T20:00:20"/>
    <d v="2016-12-19T19:43:06"/>
    <s v=""/>
    <m/>
    <m/>
  </r>
  <r>
    <n v="2606"/>
    <x v="0"/>
    <x v="29"/>
    <s v="tent"/>
    <s v="n."/>
    <s v="帐篷"/>
    <d v="2016-12-19T19:43:09"/>
    <d v="2016-12-19T19:43:09"/>
    <d v="2016-12-19T19:43:09"/>
    <m/>
    <d v="2016-12-19T20:00:22"/>
    <d v="2016-12-19T19:43:09"/>
    <s v=""/>
    <m/>
    <m/>
  </r>
  <r>
    <n v="2607"/>
    <x v="0"/>
    <x v="29"/>
    <s v="average"/>
    <s v="adj."/>
    <s v="平均的"/>
    <d v="2016-12-19T19:43:11"/>
    <d v="2016-12-19T19:43:11"/>
    <d v="2016-12-19T19:43:11"/>
    <m/>
    <d v="2016-12-19T20:00:35"/>
    <d v="2016-12-19T19:43:11"/>
    <s v=""/>
    <m/>
    <m/>
  </r>
  <r>
    <n v="2608"/>
    <x v="0"/>
    <x v="29"/>
    <s v="daytime"/>
    <s v="n."/>
    <s v="白天，日间"/>
    <d v="2016-12-19T19:43:13"/>
    <d v="2016-12-19T19:43:13"/>
    <d v="2016-12-19T19:43:13"/>
    <m/>
    <d v="2016-12-19T20:00:38"/>
    <d v="2016-12-19T19:43:13"/>
    <s v=""/>
    <m/>
    <m/>
  </r>
  <r>
    <n v="2609"/>
    <x v="0"/>
    <x v="29"/>
    <s v="competition"/>
    <s v="n."/>
    <s v="竞争；比赛"/>
    <d v="2016-12-21T10:39:17"/>
    <d v="2016-12-21T10:46:41"/>
    <d v="2016-12-21T10:46:41"/>
    <m/>
    <d v="2016-12-21T10:50:11"/>
    <d v="2016-12-21T10:46:41"/>
    <s v=""/>
    <m/>
    <m/>
  </r>
  <r>
    <n v="2610"/>
    <x v="0"/>
    <x v="29"/>
    <s v="mix with"/>
    <s v="v. phr."/>
    <s v="和…混合"/>
    <d v="2016-12-21T10:39:19"/>
    <d v="2016-12-21T10:39:19"/>
    <d v="2016-12-21T10:39:19"/>
    <m/>
    <d v="2016-12-21T10:50:14"/>
    <d v="2016-12-21T10:39:19"/>
    <s v=""/>
    <m/>
    <m/>
  </r>
  <r>
    <n v="2611"/>
    <x v="0"/>
    <x v="29"/>
    <s v="sleeping bag"/>
    <s v="n. phr."/>
    <s v="睡袋"/>
    <d v="2016-12-21T10:39:21"/>
    <d v="2016-12-21T10:39:21"/>
    <d v="2016-12-21T10:39:21"/>
    <m/>
    <d v="2016-12-21T10:50:17"/>
    <d v="2016-12-21T10:39:21"/>
    <s v=""/>
    <m/>
    <m/>
  </r>
  <r>
    <n v="2612"/>
    <x v="0"/>
    <x v="29"/>
    <s v="sunrise"/>
    <s v="n."/>
    <s v="日出"/>
    <d v="2016-12-21T10:39:22"/>
    <d v="2016-12-21T10:46:56"/>
    <d v="2016-12-21T10:46:56"/>
    <m/>
    <d v="2016-12-21T10:50:22"/>
    <d v="2016-12-21T10:46:56"/>
    <s v=""/>
    <m/>
    <m/>
  </r>
  <r>
    <n v="2613"/>
    <x v="0"/>
    <x v="29"/>
    <s v="organiser"/>
    <s v="n."/>
    <s v="组织者"/>
    <d v="2016-12-21T10:39:28"/>
    <d v="2016-12-21T10:39:28"/>
    <d v="2016-12-21T10:39:28"/>
    <m/>
    <d v="2016-12-21T10:50:24"/>
    <d v="2016-12-21T10:39:28"/>
    <s v=""/>
    <m/>
    <m/>
  </r>
  <r>
    <n v="2614"/>
    <x v="0"/>
    <x v="29"/>
    <s v="clue"/>
    <s v="n."/>
    <s v="线索；提示"/>
    <d v="2016-12-21T10:39:30"/>
    <d v="2016-12-21T10:49:37"/>
    <d v="2016-12-21T10:49:38"/>
    <m/>
    <d v="2016-12-21T10:50:27"/>
    <d v="2016-12-21T10:49:38"/>
    <s v=""/>
    <m/>
    <m/>
  </r>
  <r>
    <n v="2615"/>
    <x v="0"/>
    <x v="29"/>
    <s v="costume"/>
    <s v="n."/>
    <s v="服装；戏装"/>
    <d v="2016-12-21T10:39:34"/>
    <d v="2016-12-21T10:49:40"/>
    <d v="2016-12-21T10:49:40"/>
    <m/>
    <d v="2016-12-21T10:50:31"/>
    <d v="2016-12-21T10:49:40"/>
    <s v=""/>
    <m/>
    <m/>
  </r>
  <r>
    <n v="2616"/>
    <x v="0"/>
    <x v="29"/>
    <s v="skysuit"/>
    <s v="n."/>
    <s v="跳伞服"/>
    <d v="2016-12-21T10:39:37"/>
    <d v="2016-12-21T10:47:30"/>
    <d v="2016-12-21T10:47:30"/>
    <m/>
    <d v="2016-12-21T10:50:33"/>
    <d v="2016-12-21T10:47:30"/>
    <s v=""/>
    <m/>
    <m/>
  </r>
  <r>
    <n v="2617"/>
    <x v="0"/>
    <x v="29"/>
    <s v="risky"/>
    <s v="adj."/>
    <s v="有风险的"/>
    <d v="2016-12-21T10:39:41"/>
    <d v="2016-12-21T10:51:07"/>
    <d v="2016-12-21T10:51:07"/>
    <m/>
    <d v="2016-12-21T10:51:16"/>
    <d v="2016-12-21T10:51:07"/>
    <s v=""/>
    <m/>
    <m/>
  </r>
  <r>
    <n v="2618"/>
    <x v="0"/>
    <x v="29"/>
    <s v="take a risk"/>
    <s v="v. phr."/>
    <s v="冒险"/>
    <d v="2016-12-21T10:39:43"/>
    <d v="2016-12-21T10:39:43"/>
    <d v="2016-12-21T10:39:43"/>
    <m/>
    <d v="2016-12-21T10:50:49"/>
    <d v="2016-12-21T10:39:43"/>
    <s v=""/>
    <m/>
    <m/>
  </r>
  <r>
    <n v="2619"/>
    <x v="0"/>
    <x v="29"/>
    <s v="ride"/>
    <s v="n."/>
    <s v="（游乐园供娱乐的）骑座装置"/>
    <d v="2016-12-21T10:51:53"/>
    <d v="2016-12-21T10:51:53"/>
    <d v="2016-12-21T10:51:53"/>
    <m/>
    <d v="2016-12-21T11:07:46"/>
    <d v="2016-12-21T10:51:53"/>
    <s v=""/>
    <m/>
    <m/>
  </r>
  <r>
    <n v="2620"/>
    <x v="0"/>
    <x v="29"/>
    <s v="funfair"/>
    <s v="n."/>
    <s v="游乐场，儿童乐园"/>
    <d v="2016-12-21T10:54:13"/>
    <d v="2016-12-21T11:01:39"/>
    <d v="2016-12-21T11:01:39"/>
    <m/>
    <d v="2016-12-21T11:07:49"/>
    <d v="2016-12-21T11:01:39"/>
    <s v=""/>
    <m/>
    <m/>
  </r>
  <r>
    <n v="2621"/>
    <x v="0"/>
    <x v="29"/>
    <s v="sell-by date"/>
    <s v="n. phr."/>
    <s v="（商店中某物的）最迟销售日期"/>
    <d v="2016-12-21T10:54:23"/>
    <d v="2016-12-21T10:54:23"/>
    <d v="2016-12-21T10:54:23"/>
    <m/>
    <d v="2016-12-21T11:07:52"/>
    <d v="2016-12-21T10:54:23"/>
    <s v=""/>
    <m/>
    <m/>
  </r>
  <r>
    <n v="2622"/>
    <x v="0"/>
    <x v="29"/>
    <s v="flavour"/>
    <s v="n."/>
    <s v="特色；气氛"/>
    <d v="2016-12-21T10:54:53"/>
    <d v="2016-12-21T10:54:53"/>
    <d v="2016-12-21T10:54:53"/>
    <m/>
    <d v="2016-12-21T11:07:56"/>
    <d v="2016-12-21T10:54:53"/>
    <s v=""/>
    <m/>
    <m/>
  </r>
  <r>
    <n v="2623"/>
    <x v="0"/>
    <x v="29"/>
    <s v="ought"/>
    <s v="v."/>
    <s v="应该，应当"/>
    <d v="2016-12-21T10:54:59"/>
    <d v="2016-12-21T11:01:45"/>
    <d v="2016-12-21T11:01:45"/>
    <m/>
    <d v="2016-12-21T11:08:09"/>
    <d v="2016-12-21T11:01:45"/>
    <s v=""/>
    <m/>
    <m/>
  </r>
  <r>
    <n v="2624"/>
    <x v="0"/>
    <x v="29"/>
    <s v="adverb"/>
    <s v="n."/>
    <s v="副词"/>
    <d v="2016-12-21T10:55:04"/>
    <d v="2016-12-21T10:55:04"/>
    <d v="2016-12-21T10:55:04"/>
    <m/>
    <d v="2016-12-21T11:08:13"/>
    <d v="2016-12-21T10:55:04"/>
    <s v=""/>
    <m/>
    <m/>
  </r>
  <r>
    <n v="2625"/>
    <x v="0"/>
    <x v="29"/>
    <s v="behave"/>
    <s v="v."/>
    <s v="（举止或行为）表现"/>
    <d v="2016-12-21T10:55:49"/>
    <d v="2016-12-21T11:07:38"/>
    <d v="2016-12-21T11:07:38"/>
    <m/>
    <d v="2016-12-21T11:08:22"/>
    <d v="2016-12-21T11:07:38"/>
    <s v=""/>
    <m/>
    <m/>
  </r>
  <r>
    <n v="2626"/>
    <x v="0"/>
    <x v="29"/>
    <s v="sensible"/>
    <s v="adj."/>
    <s v="明智的；切合实际的"/>
    <d v="2016-12-21T10:55:58"/>
    <d v="2016-12-21T11:08:52"/>
    <d v="2016-12-21T11:08:52"/>
    <m/>
    <d v="2016-12-21T11:09:02"/>
    <d v="2016-12-21T11:08:52"/>
    <s v=""/>
    <m/>
    <m/>
  </r>
  <r>
    <n v="2627"/>
    <x v="0"/>
    <x v="29"/>
    <s v="sensibly"/>
    <s v="adv."/>
    <s v="合情理地"/>
    <d v="2016-12-21T10:56:01"/>
    <d v="2016-12-21T10:56:01"/>
    <d v="2016-12-21T10:56:01"/>
    <m/>
    <d v="2016-12-21T11:09:05"/>
    <d v="2016-12-21T10:56:01"/>
    <s v=""/>
    <m/>
    <m/>
  </r>
  <r>
    <n v="2628"/>
    <x v="0"/>
    <x v="29"/>
    <s v="comfortably"/>
    <s v="adv."/>
    <s v="舒适地"/>
    <d v="2016-12-21T10:56:03"/>
    <d v="2016-12-21T11:08:53"/>
    <d v="2016-12-21T11:08:53"/>
    <m/>
    <d v="2016-12-21T11:09:09"/>
    <d v="2016-12-21T11:08:53"/>
    <s v=""/>
    <m/>
    <m/>
  </r>
  <r>
    <n v="2629"/>
    <x v="0"/>
    <x v="29"/>
    <s v="noisily"/>
    <s v="adv."/>
    <s v="喧闹地；嘈杂地"/>
    <d v="2016-12-22T20:02:47"/>
    <d v="2016-12-22T20:02:47"/>
    <d v="2016-12-22T20:02:47"/>
    <m/>
    <d v="2016-12-22T20:14:36"/>
    <d v="2016-12-22T20:02:47"/>
    <s v=""/>
    <m/>
    <m/>
  </r>
  <r>
    <n v="2630"/>
    <x v="0"/>
    <x v="29"/>
    <s v="anxious"/>
    <s v="adj."/>
    <s v="焦虑的"/>
    <d v="2016-12-22T20:02:49"/>
    <d v="2016-12-22T20:15:36"/>
    <d v="2016-12-22T20:15:36"/>
    <m/>
    <d v="2016-12-24T13:58:54"/>
    <d v="2016-12-22T20:15:36"/>
    <s v=""/>
    <m/>
    <m/>
  </r>
  <r>
    <n v="2631"/>
    <x v="0"/>
    <x v="29"/>
    <s v="chearful"/>
    <s v="adj."/>
    <s v="快乐的"/>
    <d v="2016-12-22T20:02:51"/>
    <d v="2016-12-22T20:09:46"/>
    <d v="2016-12-22T20:09:46"/>
    <m/>
    <d v="2016-12-22T20:14:50"/>
    <d v="2016-12-22T20:09:46"/>
    <s v=""/>
    <m/>
    <m/>
  </r>
  <r>
    <n v="2632"/>
    <x v="0"/>
    <x v="29"/>
    <s v="gentle"/>
    <s v="adj."/>
    <s v="柔和地"/>
    <d v="2016-12-22T20:02:56"/>
    <d v="2016-12-24T13:57:28"/>
    <d v="2016-12-24T13:57:28"/>
    <m/>
    <d v="2016-12-24T13:58:57"/>
    <d v="2016-12-24T13:57:28"/>
    <s v=""/>
    <m/>
    <m/>
  </r>
  <r>
    <n v="2633"/>
    <x v="0"/>
    <x v="29"/>
    <s v="instructor"/>
    <s v="n."/>
    <s v="教员；指导者"/>
    <d v="2016-12-22T20:02:58"/>
    <d v="2016-12-22T20:10:57"/>
    <d v="2016-12-22T20:10:57"/>
    <m/>
    <d v="2016-12-22T20:15:11"/>
    <d v="2016-12-22T20:10:57"/>
    <s v=""/>
    <m/>
    <m/>
  </r>
  <r>
    <n v="2634"/>
    <x v="0"/>
    <x v="29"/>
    <s v="chat"/>
    <s v="v."/>
    <s v="聊天"/>
    <d v="2016-12-22T20:03:00"/>
    <d v="2016-12-22T20:03:00"/>
    <d v="2016-12-22T20:03:00"/>
    <m/>
    <d v="2016-12-22T20:15:14"/>
    <d v="2016-12-22T20:03:00"/>
    <s v=""/>
    <m/>
    <m/>
  </r>
  <r>
    <n v="2635"/>
    <x v="0"/>
    <x v="29"/>
    <s v="second"/>
    <s v="n."/>
    <s v="秒"/>
    <d v="2016-12-22T20:03:07"/>
    <d v="2016-12-22T20:11:03"/>
    <d v="2016-12-22T20:11:03"/>
    <m/>
    <d v="2016-12-22T20:15:16"/>
    <d v="2016-12-22T20:11:03"/>
    <s v=""/>
    <m/>
    <m/>
  </r>
  <r>
    <n v="2636"/>
    <x v="0"/>
    <x v="29"/>
    <s v="cord"/>
    <s v="n."/>
    <s v="绳索"/>
    <d v="2016-12-22T20:05:15"/>
    <d v="2016-12-22T20:12:30"/>
    <d v="2016-12-22T20:12:30"/>
    <m/>
    <d v="2016-12-22T20:15:19"/>
    <d v="2016-12-22T20:12:30"/>
    <s v=""/>
    <m/>
    <m/>
  </r>
  <r>
    <n v="2637"/>
    <x v="0"/>
    <x v="29"/>
    <s v="parachute"/>
    <s v="n."/>
    <s v="降荡伞"/>
    <d v="2016-12-22T20:05:17"/>
    <d v="2016-12-22T20:12:42"/>
    <d v="2016-12-22T20:12:42"/>
    <m/>
    <d v="2016-12-22T20:15:23"/>
    <d v="2016-12-22T20:12:42"/>
    <s v=""/>
    <m/>
    <m/>
  </r>
  <r>
    <n v="2638"/>
    <x v="0"/>
    <x v="29"/>
    <s v="float"/>
    <s v="v."/>
    <s v="漂浮"/>
    <d v="2016-12-22T20:05:19"/>
    <d v="2016-12-24T13:54:58"/>
    <d v="2016-12-24T13:54:58"/>
    <m/>
    <d v="2016-12-24T13:59:01"/>
    <d v="2016-12-24T13:54:58"/>
    <s v=""/>
    <m/>
    <m/>
  </r>
  <r>
    <n v="2639"/>
    <x v="0"/>
    <x v="29"/>
    <s v="land"/>
    <s v="v."/>
    <s v="着陆"/>
    <d v="2016-12-24T13:55:00"/>
    <d v="2016-12-24T13:55:00"/>
    <d v="2016-12-24T13:55:00"/>
    <m/>
    <d v="2016-12-24T13:59:04"/>
    <d v="2016-12-24T13:55:00"/>
    <s v=""/>
    <m/>
    <m/>
  </r>
  <r>
    <n v="2640"/>
    <x v="0"/>
    <x v="29"/>
    <s v="bump"/>
    <s v="n."/>
    <s v="碰撞，撞击"/>
    <d v="2016-12-24T13:55:03"/>
    <d v="2016-12-24T14:01:29"/>
    <d v="2016-12-24T14:01:29"/>
    <m/>
    <d v="2016-12-24T14:01:52"/>
    <d v="2016-12-24T14:01:29"/>
    <s v=""/>
    <m/>
    <m/>
  </r>
  <r>
    <n v="2641"/>
    <x v="0"/>
    <x v="29"/>
    <s v="urgent"/>
    <s v="adj."/>
    <s v="紧急的，紧迫的"/>
    <d v="2016-12-24T13:55:05"/>
    <d v="2016-12-24T14:01:41"/>
    <d v="2016-12-24T14:01:41"/>
    <m/>
    <d v="2016-12-24T14:01:55"/>
    <d v="2016-12-24T14:01:41"/>
    <s v=""/>
    <m/>
    <m/>
  </r>
  <r>
    <n v="2642"/>
    <x v="0"/>
    <x v="29"/>
    <s v="secret"/>
    <s v="adj."/>
    <s v="秘密的"/>
    <d v="2016-12-24T13:55:07"/>
    <d v="2016-12-24T13:55:07"/>
    <d v="2016-12-24T13:55:07"/>
    <m/>
    <d v="2016-12-24T13:59:18"/>
    <d v="2016-12-24T13:55:07"/>
    <s v=""/>
    <m/>
    <m/>
  </r>
  <r>
    <n v="2643"/>
    <x v="0"/>
    <x v="29"/>
    <s v="point"/>
    <s v="n."/>
    <s v="（做记分单位的）分"/>
    <d v="2016-12-24T13:55:11"/>
    <d v="2016-12-24T13:57:50"/>
    <d v="2016-12-24T13:57:50"/>
    <m/>
    <d v="2016-12-24T13:59:21"/>
    <d v="2016-12-24T13:57:50"/>
    <s v=""/>
    <m/>
    <m/>
  </r>
  <r>
    <n v="2644"/>
    <x v="0"/>
    <x v="29"/>
    <s v="explanation"/>
    <s v="n."/>
    <s v="解释"/>
    <d v="2016-12-24T13:55:15"/>
    <d v="2016-12-24T13:58:42"/>
    <d v="2016-12-24T13:58:42"/>
    <m/>
    <d v="2016-12-24T13:59:25"/>
    <d v="2016-12-24T13:58:42"/>
    <s v=""/>
    <m/>
    <m/>
  </r>
  <r>
    <n v="2645"/>
    <x v="0"/>
    <x v="29"/>
    <s v="allow"/>
    <s v="v."/>
    <s v="允许"/>
    <d v="2016-12-24T13:55:18"/>
    <d v="2016-12-24T13:55:18"/>
    <d v="2016-12-24T13:55:18"/>
    <m/>
    <d v="2016-12-24T13:59:27"/>
    <d v="2016-12-24T13:55:18"/>
    <s v=""/>
    <m/>
    <m/>
  </r>
  <r>
    <n v="2646"/>
    <x v="0"/>
    <x v="29"/>
    <s v="remain"/>
    <s v="v."/>
    <s v="保持"/>
    <d v="2016-12-24T13:55:21"/>
    <d v="2016-12-24T13:58:47"/>
    <d v="2016-12-24T13:58:47"/>
    <m/>
    <d v="2016-12-24T13:59:30"/>
    <d v="2016-12-24T13:58:47"/>
    <s v=""/>
    <m/>
    <m/>
  </r>
  <r>
    <n v="2647"/>
    <x v="0"/>
    <x v="29"/>
    <s v="completely"/>
    <s v="adv."/>
    <s v="完全地"/>
    <d v="2016-12-24T13:55:23"/>
    <d v="2016-12-24T13:55:23"/>
    <d v="2016-12-24T13:55:23"/>
    <m/>
    <d v="2016-12-24T13:59:33"/>
    <d v="2016-12-24T13:55:23"/>
    <s v=""/>
    <m/>
    <m/>
  </r>
  <r>
    <n v="2648"/>
    <x v="0"/>
    <x v="29"/>
    <s v="serve"/>
    <s v="v."/>
    <s v="供应；服务"/>
    <d v="2016-12-24T13:55:25"/>
    <d v="2016-12-24T13:55:25"/>
    <d v="2016-12-24T13:55:25"/>
    <m/>
    <d v="2016-12-24T13:59:40"/>
    <d v="2016-12-24T13:55:25"/>
    <s v=""/>
    <m/>
    <m/>
  </r>
  <r>
    <n v="2649"/>
    <x v="0"/>
    <x v="30"/>
    <s v="make good use of"/>
    <s v="v. phr."/>
    <s v="很好地利用"/>
    <d v="2016-12-24T14:04:35"/>
    <d v="2016-12-24T14:04:35"/>
    <d v="2016-12-24T14:04:35"/>
    <m/>
    <d v="2016-12-24T14:04:57"/>
    <d v="2016-12-24T14:04:35"/>
    <s v=""/>
    <m/>
    <m/>
  </r>
  <r>
    <n v="2650"/>
    <x v="0"/>
    <x v="30"/>
    <s v="flowchart"/>
    <s v="n."/>
    <s v="流程图"/>
    <d v="2016-12-24T14:04:31"/>
    <d v="2016-12-24T14:04:31"/>
    <d v="2016-12-24T14:04:31"/>
    <m/>
    <d v="2016-12-24T14:05:00"/>
    <d v="2016-12-24T14:04:31"/>
    <s v=""/>
    <m/>
    <m/>
  </r>
  <r>
    <n v="2651"/>
    <x v="0"/>
    <x v="30"/>
    <s v="immediately"/>
    <s v="adv."/>
    <s v="立刻l"/>
    <d v="2016-12-24T14:04:26"/>
    <d v="2016-12-24T14:04:26"/>
    <d v="2016-12-24T14:04:26"/>
    <m/>
    <d v="2016-12-24T14:05:03"/>
    <d v="2016-12-24T14:04:26"/>
    <s v=""/>
    <m/>
    <m/>
  </r>
  <r>
    <n v="2652"/>
    <x v="0"/>
    <x v="30"/>
    <s v="mate"/>
    <s v="n."/>
    <s v="伙伴"/>
    <d v="2016-12-24T14:04:20"/>
    <d v="2016-12-24T14:04:20"/>
    <d v="2016-12-24T14:04:20"/>
    <m/>
    <d v="2016-12-24T14:05:06"/>
    <d v="2016-12-24T14:04:20"/>
    <s v=""/>
    <m/>
    <m/>
  </r>
  <r>
    <n v="2653"/>
    <x v="0"/>
    <x v="30"/>
    <s v="alphabetical"/>
    <s v="adj."/>
    <s v="按字母顺序的"/>
    <d v="2016-12-24T14:02:58"/>
    <d v="2016-12-24T14:02:58"/>
    <d v="2016-12-24T14:02:58"/>
    <m/>
    <d v="2016-12-24T14:05:09"/>
    <d v="2016-12-24T14:02:58"/>
    <s v=""/>
    <m/>
    <m/>
  </r>
  <r>
    <n v="2654"/>
    <x v="0"/>
    <x v="30"/>
    <s v="file"/>
    <s v="n."/>
    <s v="文件夹；文件"/>
    <d v="2016-12-24T14:02:53"/>
    <d v="2016-12-24T14:02:53"/>
    <d v="2016-12-24T14:02:53"/>
    <m/>
    <d v="2016-12-24T14:05:19"/>
    <d v="2016-12-24T14:02:53"/>
    <s v=""/>
    <m/>
    <m/>
  </r>
  <r>
    <n v="2655"/>
    <x v="0"/>
    <x v="30"/>
    <s v="temper"/>
    <s v="n."/>
    <s v="脾气"/>
    <d v="2016-12-24T14:02:48"/>
    <d v="2016-12-24T14:02:48"/>
    <d v="2016-12-24T14:02:48"/>
    <m/>
    <d v="2016-12-24T14:05:22"/>
    <d v="2016-12-24T14:02:48"/>
    <s v=""/>
    <m/>
    <m/>
  </r>
  <r>
    <n v="2656"/>
    <x v="0"/>
    <x v="30"/>
    <s v="lose one’s temper"/>
    <s v="v. phr."/>
    <s v="发脾气"/>
    <d v="2016-12-24T14:02:44"/>
    <d v="2016-12-24T14:02:44"/>
    <d v="2016-12-24T14:02:44"/>
    <m/>
    <d v="2016-12-24T14:05:24"/>
    <d v="2016-12-24T14:02:44"/>
    <s v=""/>
    <m/>
    <m/>
  </r>
  <r>
    <n v="2657"/>
    <x v="0"/>
    <x v="30"/>
    <s v="waste"/>
    <s v="v."/>
    <s v="浪费"/>
    <d v="2016-12-24T14:02:40"/>
    <d v="2016-12-24T14:02:40"/>
    <d v="2016-12-24T14:02:40"/>
    <m/>
    <d v="2016-12-24T14:05:27"/>
    <d v="2016-12-24T14:02:40"/>
    <s v=""/>
    <m/>
    <m/>
  </r>
  <r>
    <n v="2658"/>
    <x v="0"/>
    <x v="30"/>
    <s v="organised"/>
    <s v="adj."/>
    <s v="（做事）有条理的"/>
    <d v="2016-12-24T14:09:47"/>
    <d v="2016-12-24T14:09:47"/>
    <d v="2016-12-24T14:09:47"/>
    <m/>
    <d v="2016-12-24T14:10:11"/>
    <d v="2016-12-24T14:09:47"/>
    <s v=""/>
    <m/>
    <m/>
  </r>
  <r>
    <n v="2659"/>
    <x v="0"/>
    <x v="30"/>
    <s v="manage"/>
    <s v="v."/>
    <s v="管理"/>
    <d v="2016-12-24T14:09:49"/>
    <d v="2016-12-24T14:09:49"/>
    <d v="2016-12-24T14:09:49"/>
    <m/>
    <d v="2016-12-24T14:10:15"/>
    <d v="2016-12-24T14:09:49"/>
    <s v=""/>
    <m/>
    <m/>
  </r>
  <r>
    <n v="2660"/>
    <x v="0"/>
    <x v="30"/>
    <s v="fairly"/>
    <s v="adv."/>
    <s v="相当地"/>
    <d v="2016-12-24T14:09:51"/>
    <d v="2016-12-24T14:09:51"/>
    <d v="2016-12-24T14:09:51"/>
    <m/>
    <d v="2016-12-24T14:10:18"/>
    <d v="2016-12-24T14:09:51"/>
    <s v=""/>
    <m/>
    <m/>
  </r>
  <r>
    <n v="2661"/>
    <x v="0"/>
    <x v="30"/>
    <s v="be good at"/>
    <s v="v. phr."/>
    <s v="擅长"/>
    <d v="2016-12-24T14:09:52"/>
    <d v="2016-12-24T14:09:52"/>
    <d v="2016-12-24T14:09:52"/>
    <m/>
    <d v="2016-12-24T14:10:23"/>
    <d v="2016-12-24T14:09:52"/>
    <s v=""/>
    <m/>
    <m/>
  </r>
  <r>
    <n v="2662"/>
    <x v="0"/>
    <x v="30"/>
    <s v="prepare for"/>
    <s v="v. phr."/>
    <s v="为（某事）做准备"/>
    <d v="2016-12-24T14:09:54"/>
    <d v="2016-12-24T14:11:28"/>
    <d v="2016-12-24T14:11:28"/>
    <m/>
    <d v="2016-12-24T14:11:36"/>
    <d v="2016-12-24T14:11:28"/>
    <s v=""/>
    <m/>
    <m/>
  </r>
  <r>
    <n v="2663"/>
    <x v="0"/>
    <x v="30"/>
    <s v="careless"/>
    <s v="adj."/>
    <s v="粗心的"/>
    <d v="2016-12-24T14:09:56"/>
    <d v="2016-12-24T14:09:56"/>
    <d v="2016-12-24T14:09:56"/>
    <m/>
    <d v="2016-12-24T14:10:41"/>
    <d v="2016-12-24T14:09:56"/>
    <s v=""/>
    <m/>
    <m/>
  </r>
  <r>
    <n v="2664"/>
    <x v="0"/>
    <x v="30"/>
    <s v="in a hurry"/>
    <s v="adv. phr."/>
    <s v="匆忙地"/>
    <d v="2016-12-24T14:09:58"/>
    <d v="2016-12-24T14:09:58"/>
    <d v="2016-12-24T14:09:58"/>
    <m/>
    <d v="2016-12-24T14:10:51"/>
    <d v="2016-12-24T14:09:58"/>
    <s v=""/>
    <m/>
    <m/>
  </r>
  <r>
    <n v="2665"/>
    <x v="0"/>
    <x v="30"/>
    <s v="run out of"/>
    <s v="v. phr."/>
    <s v="用完"/>
    <d v="2016-12-24T14:10:00"/>
    <d v="2016-12-24T14:10:00"/>
    <d v="2016-12-24T14:10:00"/>
    <m/>
    <d v="2016-12-24T14:11:06"/>
    <d v="2016-12-24T14:10:00"/>
    <s v=""/>
    <m/>
    <m/>
  </r>
  <r>
    <n v="2666"/>
    <x v="0"/>
    <x v="30"/>
    <s v="totally"/>
    <s v="adv."/>
    <s v="完全地"/>
    <d v="2016-12-24T14:10:02"/>
    <d v="2016-12-24T14:10:02"/>
    <d v="2016-12-24T14:10:02"/>
    <m/>
    <d v="2016-12-24T14:11:09"/>
    <d v="2016-12-24T14:10:02"/>
    <s v=""/>
    <m/>
    <m/>
  </r>
  <r>
    <n v="2667"/>
    <x v="0"/>
    <x v="30"/>
    <s v="rule"/>
    <s v="v."/>
    <s v="统治；支配"/>
    <d v="2016-12-24T14:10:04"/>
    <d v="2016-12-24T14:10:04"/>
    <d v="2016-12-24T14:10:04"/>
    <m/>
    <d v="2016-12-24T14:11:13"/>
    <d v="2016-12-24T14:10:04"/>
    <s v=""/>
    <m/>
    <m/>
  </r>
  <r>
    <n v="2668"/>
    <x v="0"/>
    <x v="30"/>
    <s v="chat room"/>
    <s v="n. phr."/>
    <s v="聊天室"/>
    <d v="2016-12-25T19:39:15"/>
    <d v="2016-12-25T19:39:15"/>
    <d v="2016-12-25T19:39:15"/>
    <m/>
    <d v="2016-12-25T19:41:42"/>
    <d v="2016-12-25T19:39:15"/>
    <s v=""/>
    <m/>
    <m/>
  </r>
  <r>
    <n v="2669"/>
    <x v="0"/>
    <x v="30"/>
    <s v="revise"/>
    <s v="v."/>
    <s v="复习"/>
    <d v="2016-12-25T19:39:18"/>
    <d v="2016-12-25T19:39:18"/>
    <d v="2016-12-25T19:39:18"/>
    <m/>
    <d v="2016-12-25T19:41:45"/>
    <d v="2016-12-25T19:39:18"/>
    <s v=""/>
    <m/>
    <m/>
  </r>
  <r>
    <n v="2670"/>
    <x v="0"/>
    <x v="30"/>
    <s v="go on a diet"/>
    <s v="v. phr."/>
    <s v="节食；吃限定食物"/>
    <d v="2016-12-25T19:39:21"/>
    <d v="2016-12-25T19:39:21"/>
    <d v="2016-12-25T19:39:21"/>
    <m/>
    <d v="2016-12-25T19:41:48"/>
    <d v="2016-12-25T19:39:21"/>
    <s v=""/>
    <m/>
    <m/>
  </r>
  <r>
    <n v="2671"/>
    <x v="0"/>
    <x v="30"/>
    <s v="scented"/>
    <s v="adj."/>
    <s v="有香味的"/>
    <d v="2016-12-25T19:39:33"/>
    <d v="2016-12-25T19:39:33"/>
    <d v="2016-12-25T19:39:33"/>
    <m/>
    <d v="2016-12-25T19:41:51"/>
    <d v="2016-12-25T19:39:33"/>
    <s v=""/>
    <m/>
    <m/>
  </r>
  <r>
    <n v="2672"/>
    <x v="0"/>
    <x v="30"/>
    <s v="put away"/>
    <s v="v. phr."/>
    <s v="放好；储存备用"/>
    <d v="2016-12-25T19:39:46"/>
    <d v="2016-12-25T19:42:43"/>
    <d v="2016-12-25T19:42:43"/>
    <m/>
    <d v="2016-12-25T19:46:11"/>
    <d v="2016-12-25T19:42:43"/>
    <s v=""/>
    <m/>
    <m/>
  </r>
  <r>
    <n v="2673"/>
    <x v="0"/>
    <x v="30"/>
    <s v="demonstration"/>
    <s v="n."/>
    <s v="游行示威"/>
    <d v="2016-12-25T19:39:50"/>
    <d v="2016-12-25T19:39:50"/>
    <d v="2016-12-25T19:39:50"/>
    <m/>
    <d v="2016-12-25T19:42:07"/>
    <d v="2016-12-25T19:39:50"/>
    <s v=""/>
    <m/>
    <m/>
  </r>
  <r>
    <n v="2674"/>
    <x v="0"/>
    <x v="30"/>
    <s v="forest"/>
    <s v="n."/>
    <s v="森林"/>
    <d v="2016-12-25T19:39:53"/>
    <d v="2016-12-25T19:39:53"/>
    <d v="2016-12-25T19:39:53"/>
    <m/>
    <d v="2016-12-25T19:42:09"/>
    <d v="2016-12-25T19:39:53"/>
    <s v=""/>
    <m/>
    <m/>
  </r>
  <r>
    <n v="2675"/>
    <x v="0"/>
    <x v="30"/>
    <s v="funny"/>
    <s v="adj."/>
    <s v="滑稽可笑的"/>
    <d v="2016-12-25T19:41:23"/>
    <d v="2016-12-25T19:41:23"/>
    <d v="2016-12-25T19:41:23"/>
    <m/>
    <d v="2016-12-25T19:42:12"/>
    <d v="2016-12-25T19:41:23"/>
    <s v=""/>
    <m/>
    <m/>
  </r>
  <r>
    <n v="2676"/>
    <x v="0"/>
    <x v="30"/>
    <s v="increase"/>
    <s v="v."/>
    <s v="增加，增长"/>
    <d v="2016-12-25T19:41:28"/>
    <d v="2016-12-25T19:41:28"/>
    <d v="2016-12-25T19:41:28"/>
    <m/>
    <d v="2016-12-25T19:42:18"/>
    <d v="2016-12-25T19:41:28"/>
    <s v=""/>
    <m/>
    <m/>
  </r>
  <r>
    <n v="2677"/>
    <x v="0"/>
    <x v="30"/>
    <s v="fare"/>
    <s v="n."/>
    <s v="（公共汽车、轮船、计程车等的）票价"/>
    <d v="2016-12-25T19:41:34"/>
    <d v="2016-12-25T19:41:34"/>
    <d v="2016-12-25T19:41:34"/>
    <m/>
    <d v="2016-12-25T19:42:27"/>
    <d v="2016-12-25T19:41:34"/>
    <s v=""/>
    <m/>
    <m/>
  </r>
  <r>
    <n v="2678"/>
    <x v="0"/>
    <x v="30"/>
    <s v="preparation"/>
    <s v="n."/>
    <s v="准备"/>
    <d v="2016-12-25T19:46:22"/>
    <d v="2016-12-25T19:46:22"/>
    <d v="2016-12-25T19:46:22"/>
    <m/>
    <d v="2016-12-25T19:49:13"/>
    <d v="2016-12-25T19:46:22"/>
    <s v=""/>
    <m/>
    <m/>
  </r>
  <r>
    <n v="2679"/>
    <x v="0"/>
    <x v="30"/>
    <s v="anyway"/>
    <s v="adv."/>
    <s v="无论如何；总之"/>
    <d v="2016-12-25T19:46:29"/>
    <d v="2016-12-25T19:46:29"/>
    <d v="2016-12-25T19:46:29"/>
    <m/>
    <d v="2016-12-25T19:49:17"/>
    <d v="2016-12-25T19:46:29"/>
    <s v=""/>
    <m/>
    <m/>
  </r>
  <r>
    <n v="2680"/>
    <x v="0"/>
    <x v="30"/>
    <s v="parkng"/>
    <s v="n."/>
    <s v="停车场"/>
    <d v="2016-12-25T19:46:31"/>
    <d v="2016-12-25T19:46:31"/>
    <d v="2016-12-25T19:46:31"/>
    <m/>
    <d v="2016-12-25T19:49:20"/>
    <d v="2016-12-25T19:46:31"/>
    <s v=""/>
    <m/>
    <m/>
  </r>
  <r>
    <n v="2681"/>
    <x v="0"/>
    <x v="30"/>
    <s v="council"/>
    <s v="n."/>
    <s v="（市）政务会"/>
    <d v="2016-12-25T19:47:02"/>
    <d v="2016-12-25T19:47:02"/>
    <d v="2016-12-25T19:47:02"/>
    <m/>
    <d v="2016-12-25T19:49:34"/>
    <d v="2016-12-25T19:47:02"/>
    <s v=""/>
    <m/>
    <m/>
  </r>
  <r>
    <n v="2682"/>
    <x v="0"/>
    <x v="30"/>
    <s v="knock down"/>
    <s v="v. phr."/>
    <s v="拆除（某物）"/>
    <d v="2016-12-25T19:47:06"/>
    <d v="2016-12-25T19:47:06"/>
    <d v="2016-12-25T19:47:06"/>
    <m/>
    <d v="2016-12-25T19:49:37"/>
    <d v="2016-12-25T19:47:06"/>
    <s v=""/>
    <m/>
    <m/>
  </r>
  <r>
    <n v="2683"/>
    <x v="0"/>
    <x v="30"/>
    <s v="invent"/>
    <s v="v."/>
    <s v="创造；发明"/>
    <d v="2016-12-25T19:47:09"/>
    <d v="2016-12-25T19:47:09"/>
    <d v="2016-12-25T19:47:09"/>
    <m/>
    <d v="2016-12-25T19:49:41"/>
    <d v="2016-12-25T19:47:09"/>
    <s v=""/>
    <m/>
    <m/>
  </r>
  <r>
    <n v="2684"/>
    <x v="0"/>
    <x v="30"/>
    <s v="personal"/>
    <s v="adj."/>
    <s v="私人的"/>
    <d v="2016-12-25T19:47:12"/>
    <d v="2016-12-25T19:47:12"/>
    <d v="2016-12-25T19:47:12"/>
    <m/>
    <d v="2016-12-25T19:49:45"/>
    <d v="2016-12-25T19:47:12"/>
    <s v=""/>
    <m/>
    <m/>
  </r>
  <r>
    <n v="2685"/>
    <x v="0"/>
    <x v="30"/>
    <s v="organiser"/>
    <s v="n."/>
    <s v="日程管理表；工作计划"/>
    <d v="2016-12-25T19:47:19"/>
    <d v="2016-12-25T19:47:19"/>
    <d v="2016-12-25T19:47:19"/>
    <m/>
    <d v="2016-12-25T19:50:03"/>
    <d v="2016-12-25T19:47:19"/>
    <s v=""/>
    <m/>
    <m/>
  </r>
  <r>
    <n v="2686"/>
    <x v="0"/>
    <x v="30"/>
    <s v="imaginary"/>
    <s v="adj."/>
    <s v="虚构的"/>
    <d v="2016-12-25T19:47:21"/>
    <d v="2016-12-25T19:47:21"/>
    <d v="2016-12-25T19:47:21"/>
    <m/>
    <d v="2016-12-25T19:50:14"/>
    <d v="2016-12-25T19:47:21"/>
    <s v=""/>
    <m/>
    <m/>
  </r>
  <r>
    <n v="2687"/>
    <x v="0"/>
    <x v="30"/>
    <s v="exact"/>
    <s v="adj."/>
    <s v="精确的，准确的"/>
    <d v="2016-12-25T19:47:24"/>
    <d v="2016-12-25T19:47:24"/>
    <d v="2016-12-25T19:47:24"/>
    <m/>
    <d v="2016-12-25T19:50:18"/>
    <d v="2016-12-25T19:47:24"/>
    <s v=""/>
    <m/>
    <m/>
  </r>
  <r>
    <n v="2688"/>
    <x v="0"/>
    <x v="30"/>
    <s v="accept"/>
    <s v="v."/>
    <s v="接受，认可"/>
    <d v="2016-12-27T16:14:39"/>
    <d v="2016-12-27T16:14:39"/>
    <d v="2016-12-27T16:14:39"/>
    <m/>
    <d v="2016-12-27T16:45:13"/>
    <d v="2016-12-27T16:14:39"/>
    <s v=""/>
    <m/>
    <m/>
  </r>
  <r>
    <n v="2689"/>
    <x v="0"/>
    <x v="30"/>
    <s v="refuse"/>
    <s v="v."/>
    <s v="拒绝，谢绝"/>
    <d v="2016-12-27T16:14:44"/>
    <d v="2016-12-27T16:14:44"/>
    <d v="2016-12-27T16:14:44"/>
    <m/>
    <d v="2016-12-27T16:45:20"/>
    <d v="2016-12-27T16:14:44"/>
    <s v=""/>
    <m/>
    <m/>
  </r>
  <r>
    <n v="2690"/>
    <x v="0"/>
    <x v="30"/>
    <s v="option"/>
    <s v="n."/>
    <s v="选项；选择"/>
    <d v="2016-12-27T16:14:49"/>
    <d v="2016-12-27T16:14:49"/>
    <d v="2016-12-27T16:14:49"/>
    <m/>
    <d v="2016-12-27T16:45:40"/>
    <d v="2016-12-27T16:14:49"/>
    <s v=""/>
    <m/>
    <m/>
  </r>
  <r>
    <n v="2691"/>
    <x v="0"/>
    <x v="30"/>
    <s v="poetry"/>
    <s v="n."/>
    <s v="诗歌（总称）"/>
    <d v="2016-12-27T16:15:02"/>
    <d v="2016-12-27T17:16:45"/>
    <d v="2016-12-27T17:16:45"/>
    <m/>
    <d v="2016-12-27T17:17:02"/>
    <d v="2016-12-27T17:16:45"/>
    <s v=""/>
    <m/>
    <m/>
  </r>
  <r>
    <n v="2692"/>
    <x v="0"/>
    <x v="30"/>
    <s v="exhibition"/>
    <s v="n."/>
    <s v="展览会"/>
    <d v="2016-12-27T16:15:07"/>
    <d v="2016-12-27T16:15:07"/>
    <d v="2016-12-27T16:15:07"/>
    <m/>
    <d v="2016-12-27T16:45:48"/>
    <d v="2016-12-27T16:15:07"/>
    <s v=""/>
    <m/>
    <m/>
  </r>
  <r>
    <n v="2693"/>
    <x v="0"/>
    <x v="30"/>
    <s v="Amsterdam"/>
    <s v="n."/>
    <s v="阿姆斯特丹（荷兰首都）"/>
    <d v="2016-12-27T16:16:39"/>
    <d v="2016-12-27T17:16:51"/>
    <d v="2016-12-27T17:16:51"/>
    <m/>
    <d v="2016-12-27T17:17:04"/>
    <d v="2016-12-27T17:16:51"/>
    <s v=""/>
    <m/>
    <m/>
  </r>
  <r>
    <n v="2694"/>
    <x v="0"/>
    <x v="30"/>
    <s v="California"/>
    <s v="n."/>
    <s v="（美国）加利福尼亚州"/>
    <d v="2016-12-27T16:16:45"/>
    <d v="2016-12-27T16:16:45"/>
    <d v="2016-12-27T16:16:45"/>
    <m/>
    <d v="2016-12-27T16:45:57"/>
    <d v="2016-12-27T16:16:45"/>
    <s v=""/>
    <m/>
    <m/>
  </r>
  <r>
    <n v="2695"/>
    <x v="0"/>
    <x v="30"/>
    <s v="unsure"/>
    <s v="adj."/>
    <s v="不确定的"/>
    <d v="2016-12-27T16:16:52"/>
    <d v="2016-12-27T16:16:52"/>
    <d v="2016-12-27T16:16:52"/>
    <m/>
    <d v="2016-12-27T16:46:02"/>
    <d v="2016-12-27T16:16:52"/>
    <s v=""/>
    <m/>
    <m/>
  </r>
  <r>
    <n v="2696"/>
    <x v="0"/>
    <x v="30"/>
    <s v="deep end"/>
    <s v="n. phr."/>
    <s v="（游泳池的）深水区"/>
    <d v="2016-12-27T16:44:47"/>
    <d v="2016-12-27T16:44:47"/>
    <d v="2016-12-27T16:44:47"/>
    <m/>
    <d v="2016-12-27T16:46:05"/>
    <d v="2016-12-27T16:44:47"/>
    <s v=""/>
    <m/>
    <m/>
  </r>
  <r>
    <n v="2697"/>
    <x v="0"/>
    <x v="30"/>
    <s v="wimming costume"/>
    <s v="n. phr."/>
    <s v="游泳衣"/>
    <d v="2016-12-27T16:44:59"/>
    <d v="2016-12-27T16:44:59"/>
    <d v="2016-12-27T16:44:59"/>
    <m/>
    <d v="2016-12-27T16:46:09"/>
    <d v="2016-12-27T16:44:59"/>
    <s v=""/>
    <m/>
    <m/>
  </r>
  <r>
    <n v="2698"/>
    <x v="0"/>
    <x v="31"/>
    <s v="professor"/>
    <s v="n."/>
    <s v="教授"/>
    <d v="2016-12-28T18:42:55"/>
    <d v="2016-12-28T18:42:55"/>
    <d v="2016-12-28T18:42:55"/>
    <m/>
    <d v="2016-12-28T19:46:14"/>
    <d v="2016-12-28T18:42:55"/>
    <s v=""/>
    <m/>
    <m/>
  </r>
  <r>
    <n v="2699"/>
    <x v="0"/>
    <x v="31"/>
    <s v="great-grandchild"/>
    <s v="n."/>
    <s v="曾孙"/>
    <d v="2016-12-28T18:43:25"/>
    <d v="2016-12-28T19:51:21"/>
    <d v="2016-12-28T19:51:21"/>
    <m/>
    <d v="2016-12-28T19:51:30"/>
    <d v="2016-12-28T19:51:21"/>
    <s v=""/>
    <m/>
    <m/>
  </r>
  <r>
    <n v="2700"/>
    <x v="0"/>
    <x v="31"/>
    <s v="seem"/>
    <s v="v."/>
    <s v="像是，似乎"/>
    <d v="2016-12-28T18:43:27"/>
    <d v="2016-12-28T19:49:21"/>
    <d v="2016-12-28T19:49:21"/>
    <m/>
    <d v="2016-12-28T19:49:43"/>
    <d v="2016-12-28T19:49:21"/>
    <s v=""/>
    <m/>
    <m/>
  </r>
  <r>
    <n v="2701"/>
    <x v="0"/>
    <x v="31"/>
    <s v="improbable"/>
    <s v="adj."/>
    <s v="不可能的"/>
    <d v="2016-12-28T18:43:35"/>
    <d v="2016-12-28T18:43:35"/>
    <d v="2016-12-28T18:43:35"/>
    <m/>
    <d v="2016-12-28T19:46:31"/>
    <d v="2016-12-28T18:43:35"/>
    <s v=""/>
    <m/>
    <m/>
  </r>
  <r>
    <n v="2702"/>
    <x v="0"/>
    <x v="31"/>
    <s v="delicious"/>
    <s v="adj."/>
    <s v="美昧的"/>
    <d v="2016-12-28T18:43:55"/>
    <d v="2016-12-28T18:43:55"/>
    <d v="2016-12-28T18:43:55"/>
    <m/>
    <d v="2016-12-28T19:46:34"/>
    <d v="2016-12-28T18:43:55"/>
    <s v=""/>
    <m/>
    <m/>
  </r>
  <r>
    <n v="2703"/>
    <x v="0"/>
    <x v="31"/>
    <s v="pill"/>
    <s v="n."/>
    <s v="药丸"/>
    <d v="2016-12-28T18:44:00"/>
    <d v="2016-12-28T18:44:00"/>
    <d v="2016-12-28T18:44:00"/>
    <m/>
    <d v="2016-12-28T19:46:41"/>
    <d v="2016-12-28T18:44:00"/>
    <s v=""/>
    <m/>
    <m/>
  </r>
  <r>
    <n v="2704"/>
    <x v="0"/>
    <x v="31"/>
    <s v="provide"/>
    <s v="v."/>
    <s v="提供"/>
    <d v="2016-12-28T18:44:02"/>
    <d v="2016-12-28T18:44:02"/>
    <d v="2016-12-28T18:44:02"/>
    <m/>
    <d v="2016-12-28T19:46:48"/>
    <d v="2016-12-28T18:44:02"/>
    <s v=""/>
    <m/>
    <m/>
  </r>
  <r>
    <n v="2705"/>
    <x v="0"/>
    <x v="31"/>
    <s v="motor car"/>
    <s v="n. phr."/>
    <s v="汽车"/>
    <d v="2016-12-28T18:44:04"/>
    <d v="2016-12-28T18:44:04"/>
    <d v="2016-12-28T18:44:04"/>
    <m/>
    <d v="2016-12-28T19:46:52"/>
    <d v="2016-12-28T18:44:04"/>
    <s v=""/>
    <m/>
    <m/>
  </r>
  <r>
    <n v="2706"/>
    <x v="0"/>
    <x v="31"/>
    <s v="recorded"/>
    <s v="adj."/>
    <s v="录制的"/>
    <d v="2016-12-28T18:44:08"/>
    <d v="2016-12-28T18:44:08"/>
    <d v="2016-12-28T18:44:08"/>
    <m/>
    <d v="2016-12-28T19:46:57"/>
    <d v="2016-12-28T18:44:08"/>
    <s v=""/>
    <m/>
    <m/>
  </r>
  <r>
    <n v="2707"/>
    <x v="0"/>
    <x v="31"/>
    <s v="typical"/>
    <s v="adj."/>
    <s v="典型的"/>
    <d v="2016-12-28T18:44:10"/>
    <d v="2016-12-28T18:44:10"/>
    <d v="2016-12-28T18:44:10"/>
    <m/>
    <d v="2016-12-28T19:47:06"/>
    <d v="2016-12-28T18:44:10"/>
    <s v=""/>
    <m/>
    <m/>
  </r>
  <r>
    <n v="2708"/>
    <x v="0"/>
    <x v="31"/>
    <s v="nonsense"/>
    <s v="n."/>
    <s v="胡说八道"/>
    <d v="2016-12-28T18:44:12"/>
    <d v="2016-12-28T19:49:23"/>
    <d v="2016-12-28T19:49:23"/>
    <m/>
    <d v="2016-12-28T19:49:46"/>
    <d v="2016-12-28T19:49:23"/>
    <s v=""/>
    <m/>
    <m/>
  </r>
  <r>
    <n v="2709"/>
    <x v="0"/>
    <x v="31"/>
    <s v="nowadays"/>
    <s v="adv."/>
    <s v="当今"/>
    <d v="2016-12-28T18:44:15"/>
    <d v="2016-12-28T19:49:24"/>
    <d v="2016-12-28T19:49:25"/>
    <m/>
    <d v="2016-12-28T19:49:56"/>
    <d v="2016-12-28T19:49:25"/>
    <s v=""/>
    <m/>
    <m/>
  </r>
  <r>
    <n v="2710"/>
    <x v="0"/>
    <x v="31"/>
    <s v="positive"/>
    <s v="adj."/>
    <s v="肯寇的，确定的"/>
    <d v="2016-12-29T20:44:07"/>
    <d v="2016-12-29T20:45:48"/>
    <d v="2016-12-29T20:45:48"/>
    <m/>
    <d v="2016-12-29T20:51:46"/>
    <d v="2016-12-29T20:45:48"/>
    <s v=""/>
    <m/>
    <m/>
  </r>
  <r>
    <n v="2711"/>
    <x v="0"/>
    <x v="31"/>
    <s v="recent"/>
    <s v="adj."/>
    <s v="最近的"/>
    <d v="2016-12-29T20:44:08"/>
    <d v="2016-12-29T20:44:08"/>
    <d v="2016-12-29T20:44:08"/>
    <m/>
    <d v="2016-12-29T20:51:50"/>
    <d v="2016-12-29T20:44:08"/>
    <s v=""/>
    <m/>
    <m/>
  </r>
  <r>
    <n v="2712"/>
    <x v="0"/>
    <x v="31"/>
    <s v="warn"/>
    <s v="v."/>
    <s v="警告"/>
    <d v="2016-12-29T20:44:10"/>
    <d v="2016-12-29T20:45:53"/>
    <d v="2016-12-29T20:45:53"/>
    <m/>
    <d v="2016-12-29T20:52:00"/>
    <d v="2016-12-29T20:45:53"/>
    <s v=""/>
    <m/>
    <m/>
  </r>
  <r>
    <n v="2713"/>
    <x v="0"/>
    <x v="31"/>
    <s v="South Pole"/>
    <s v="n. phr."/>
    <s v="南极"/>
    <d v="2016-12-29T20:44:12"/>
    <d v="2016-12-29T20:45:57"/>
    <d v="2016-12-29T20:45:58"/>
    <m/>
    <d v="2016-12-29T20:52:03"/>
    <d v="2016-12-29T20:45:58"/>
    <s v=""/>
    <m/>
    <m/>
  </r>
  <r>
    <n v="2714"/>
    <x v="0"/>
    <x v="31"/>
    <s v="melt"/>
    <s v="v."/>
    <s v="融化"/>
    <d v="2016-12-29T20:44:13"/>
    <d v="2016-12-29T20:46:00"/>
    <d v="2016-12-29T20:46:00"/>
    <m/>
    <d v="2016-12-29T20:52:06"/>
    <d v="2016-12-29T20:46:00"/>
    <s v=""/>
    <m/>
    <m/>
  </r>
  <r>
    <n v="2715"/>
    <x v="0"/>
    <x v="31"/>
    <s v="level"/>
    <s v="n."/>
    <s v="水平；水平面"/>
    <d v="2016-12-29T20:44:15"/>
    <d v="2016-12-29T20:44:15"/>
    <d v="2016-12-29T20:44:15"/>
    <m/>
    <d v="2016-12-29T20:52:09"/>
    <d v="2016-12-29T20:44:15"/>
    <s v=""/>
    <m/>
    <m/>
  </r>
  <r>
    <n v="2716"/>
    <x v="0"/>
    <x v="31"/>
    <s v="sea level"/>
    <s v="n. phr."/>
    <s v="海平面"/>
    <d v="2016-12-29T20:44:16"/>
    <d v="2016-12-29T20:44:16"/>
    <d v="2016-12-29T20:44:16"/>
    <m/>
    <d v="2016-12-29T20:52:11"/>
    <d v="2016-12-29T20:44:16"/>
    <s v=""/>
    <m/>
    <m/>
  </r>
  <r>
    <n v="2717"/>
    <x v="0"/>
    <x v="31"/>
    <s v="rise"/>
    <s v="v."/>
    <s v="上升"/>
    <d v="2016-12-29T20:44:18"/>
    <d v="2016-12-29T20:44:18"/>
    <d v="2016-12-29T20:44:18"/>
    <m/>
    <d v="2016-12-29T20:52:14"/>
    <d v="2016-12-29T20:44:18"/>
    <s v=""/>
    <m/>
    <m/>
  </r>
  <r>
    <n v="2718"/>
    <x v="0"/>
    <x v="31"/>
    <s v="flood"/>
    <s v="n."/>
    <s v="洪水"/>
    <d v="2016-12-29T20:44:20"/>
    <d v="2016-12-29T20:44:20"/>
    <d v="2016-12-29T20:44:20"/>
    <m/>
    <d v="2016-12-29T20:52:23"/>
    <d v="2016-12-29T20:44:20"/>
    <s v=""/>
    <m/>
    <m/>
  </r>
  <r>
    <n v="2719"/>
    <x v="0"/>
    <x v="31"/>
    <s v="disappear"/>
    <s v="v."/>
    <s v="消失"/>
    <d v="2016-12-29T20:44:22"/>
    <d v="2016-12-29T20:46:05"/>
    <d v="2016-12-29T20:46:05"/>
    <m/>
    <d v="2016-12-29T20:52:25"/>
    <d v="2016-12-29T20:46:05"/>
    <s v=""/>
    <m/>
    <m/>
  </r>
  <r>
    <n v="2720"/>
    <x v="0"/>
    <x v="31"/>
    <s v="cover"/>
    <s v="v."/>
    <s v="淹没"/>
    <d v="2016-12-29T20:56:34"/>
    <d v="2016-12-29T21:08:19"/>
    <d v="2016-12-29T21:08:19"/>
    <m/>
    <d v="2016-12-29T21:08:25"/>
    <d v="2016-12-29T21:08:19"/>
    <s v=""/>
    <m/>
    <m/>
  </r>
  <r>
    <n v="2721"/>
    <x v="0"/>
    <x v="31"/>
    <s v="Maldives"/>
    <s v="n."/>
    <s v="马尔代夫（群岛）"/>
    <d v="2016-12-29T21:15:36"/>
    <d v="2016-12-29T21:15:36"/>
    <d v="2016-12-29T21:15:36"/>
    <m/>
    <d v="2016-12-29T21:25:46"/>
    <d v="2016-12-29T21:15:36"/>
    <s v=""/>
    <m/>
    <m/>
  </r>
  <r>
    <n v="2722"/>
    <x v="0"/>
    <x v="31"/>
    <s v="population"/>
    <s v="n."/>
    <s v="人口"/>
    <d v="2016-12-29T20:56:38"/>
    <d v="2016-12-29T20:56:38"/>
    <d v="2016-12-29T20:56:38"/>
    <m/>
    <d v="2016-12-29T21:04:41"/>
    <d v="2016-12-29T20:56:38"/>
    <s v=""/>
    <m/>
    <m/>
  </r>
  <r>
    <n v="2723"/>
    <x v="0"/>
    <x v="31"/>
    <s v="coastal"/>
    <s v="adj."/>
    <s v="海滨的"/>
    <d v="2016-12-29T21:15:45"/>
    <d v="2016-12-29T21:15:45"/>
    <d v="2016-12-29T21:15:45"/>
    <m/>
    <d v="2016-12-29T21:26:45"/>
    <d v="2016-12-29T21:15:45"/>
    <s v=""/>
    <m/>
    <m/>
  </r>
  <r>
    <n v="2724"/>
    <x v="0"/>
    <x v="31"/>
    <s v="Bangladesh"/>
    <s v="n."/>
    <s v="孟加拉国"/>
    <d v="2016-12-29T20:56:41"/>
    <d v="2016-12-29T20:56:41"/>
    <d v="2016-12-29T20:56:41"/>
    <m/>
    <d v="2016-12-29T21:04:50"/>
    <d v="2016-12-29T20:56:41"/>
    <s v=""/>
    <m/>
    <m/>
  </r>
  <r>
    <n v="2725"/>
    <x v="0"/>
    <x v="31"/>
    <s v="storm"/>
    <s v="n."/>
    <s v="暴风雨"/>
    <d v="2016-12-29T20:56:43"/>
    <d v="2016-12-29T20:56:43"/>
    <d v="2016-12-29T20:56:43"/>
    <m/>
    <d v="2016-12-29T21:04:53"/>
    <d v="2016-12-29T20:56:43"/>
    <s v=""/>
    <m/>
    <m/>
  </r>
  <r>
    <n v="2726"/>
    <x v="0"/>
    <x v="31"/>
    <s v="extremely"/>
    <s v="adv."/>
    <s v="极端地"/>
    <d v="2016-12-29T20:56:46"/>
    <d v="2016-12-29T20:56:46"/>
    <d v="2016-12-29T20:56:46"/>
    <m/>
    <d v="2016-12-29T21:04:58"/>
    <d v="2016-12-29T20:56:46"/>
    <s v=""/>
    <m/>
    <m/>
  </r>
  <r>
    <n v="2727"/>
    <x v="0"/>
    <x v="31"/>
    <s v="soap opera"/>
    <s v="n. phr."/>
    <s v="肥皂剧"/>
    <d v="2016-12-29T20:56:48"/>
    <d v="2016-12-29T20:56:48"/>
    <d v="2016-12-29T20:56:48"/>
    <m/>
    <d v="2016-12-29T21:05:02"/>
    <d v="2016-12-29T20:56:48"/>
    <s v=""/>
    <m/>
    <m/>
  </r>
  <r>
    <n v="2728"/>
    <x v="0"/>
    <x v="31"/>
    <s v="character"/>
    <s v="n."/>
    <s v="角色"/>
    <d v="2016-12-29T21:24:29"/>
    <d v="2016-12-29T21:24:29"/>
    <d v="2016-12-29T21:24:29"/>
    <m/>
    <d v="2016-12-29T21:26:49"/>
    <d v="2016-12-29T21:24:29"/>
    <s v=""/>
    <m/>
    <m/>
  </r>
  <r>
    <n v="2729"/>
    <x v="0"/>
    <x v="31"/>
    <s v="flatmate"/>
    <s v="n."/>
    <s v="同住一套公寓的人"/>
    <d v="2016-12-29T21:24:33"/>
    <d v="2016-12-29T21:24:33"/>
    <d v="2016-12-29T21:24:33"/>
    <m/>
    <d v="2016-12-29T21:26:52"/>
    <d v="2016-12-29T21:24:33"/>
    <s v=""/>
    <m/>
    <m/>
  </r>
  <r>
    <n v="2730"/>
    <x v="0"/>
    <x v="31"/>
    <s v="prediction"/>
    <s v="n."/>
    <s v="预言"/>
    <d v="2016-12-29T21:24:35"/>
    <d v="2016-12-29T21:24:35"/>
    <d v="2016-12-29T21:24:35"/>
    <m/>
    <d v="2016-12-29T21:26:55"/>
    <d v="2016-12-29T21:24:35"/>
    <s v=""/>
    <m/>
    <m/>
  </r>
  <r>
    <n v="2731"/>
    <x v="0"/>
    <x v="31"/>
    <s v="quarrel"/>
    <s v="v."/>
    <s v="争吵"/>
    <d v="2016-12-29T21:24:39"/>
    <d v="2016-12-29T21:28:01"/>
    <d v="2016-12-29T21:28:01"/>
    <m/>
    <d v="2016-12-29T21:32:38"/>
    <d v="2016-12-29T21:28:01"/>
    <s v=""/>
    <m/>
    <m/>
  </r>
  <r>
    <n v="2732"/>
    <x v="0"/>
    <x v="31"/>
    <s v="have a quarrel with"/>
    <s v="v. phr."/>
    <s v="同（某人）争吵"/>
    <d v="2016-12-29T21:24:46"/>
    <d v="2016-12-29T21:24:46"/>
    <d v="2016-12-29T21:24:46"/>
    <m/>
    <d v="2016-12-29T21:27:07"/>
    <d v="2016-12-29T21:24:46"/>
    <s v=""/>
    <m/>
    <m/>
  </r>
  <r>
    <n v="2733"/>
    <x v="0"/>
    <x v="31"/>
    <s v="chef"/>
    <s v="n."/>
    <s v="厨师"/>
    <d v="2016-12-29T21:03:22"/>
    <d v="2016-12-29T21:03:22"/>
    <d v="2016-12-29T21:03:22"/>
    <m/>
    <d v="2016-12-29T21:05:32"/>
    <d v="2016-12-29T21:03:22"/>
    <s v=""/>
    <m/>
    <m/>
  </r>
  <r>
    <n v="2734"/>
    <x v="0"/>
    <x v="31"/>
    <s v="episode"/>
    <s v="n."/>
    <s v="片段；插曲"/>
    <d v="2016-12-29T21:25:21"/>
    <d v="2016-12-29T21:25:21"/>
    <d v="2016-12-29T21:25:21"/>
    <m/>
    <d v="2016-12-29T21:27:17"/>
    <d v="2016-12-29T21:25:21"/>
    <s v=""/>
    <m/>
    <m/>
  </r>
  <r>
    <n v="2735"/>
    <x v="0"/>
    <x v="31"/>
    <s v="in good condition"/>
    <s v="phrase"/>
    <s v="状况良好"/>
    <d v="2016-12-29T21:25:27"/>
    <d v="2016-12-29T21:25:27"/>
    <d v="2016-12-29T21:25:27"/>
    <m/>
    <d v="2016-12-29T21:27:28"/>
    <d v="2016-12-29T21:25:27"/>
    <s v=""/>
    <m/>
    <m/>
  </r>
  <r>
    <n v="2736"/>
    <x v="0"/>
    <x v="31"/>
    <s v="definite"/>
    <s v="adj."/>
    <s v="明确的；确定的"/>
    <d v="2016-12-29T21:03:29"/>
    <d v="2016-12-29T21:03:29"/>
    <d v="2016-12-29T21:03:29"/>
    <m/>
    <d v="2016-12-29T21:05:52"/>
    <d v="2016-12-29T21:03:29"/>
    <s v=""/>
    <m/>
    <m/>
  </r>
  <r>
    <n v="2737"/>
    <x v="0"/>
    <x v="31"/>
    <s v="disappointed"/>
    <s v="adj."/>
    <s v="失望的"/>
    <d v="2016-12-29T21:03:31"/>
    <d v="2016-12-29T21:03:31"/>
    <d v="2016-12-29T21:03:31"/>
    <m/>
    <d v="2016-12-29T21:05:57"/>
    <d v="2016-12-29T21:03:31"/>
    <s v=""/>
    <m/>
    <m/>
  </r>
  <r>
    <n v="2738"/>
    <x v="0"/>
    <x v="31"/>
    <s v="progress"/>
    <s v="n."/>
    <s v="进展"/>
    <d v="2016-12-29T21:25:33"/>
    <d v="2016-12-29T21:25:33"/>
    <d v="2016-12-29T21:25:33"/>
    <m/>
    <d v="2016-12-29T21:27:36"/>
    <d v="2016-12-29T21:25:33"/>
    <s v=""/>
    <m/>
    <m/>
  </r>
  <r>
    <n v="2739"/>
    <x v="0"/>
    <x v="31"/>
    <s v="regularly"/>
    <s v="adv."/>
    <s v="定期地"/>
    <d v="2016-12-29T21:03:36"/>
    <d v="2016-12-29T21:03:36"/>
    <d v="2016-12-29T21:03:36"/>
    <m/>
    <d v="2016-12-29T21:06:10"/>
    <d v="2016-12-29T21:03:36"/>
    <s v=""/>
    <m/>
    <m/>
  </r>
  <r>
    <n v="2740"/>
    <x v="0"/>
    <x v="31"/>
    <s v="fingernail"/>
    <s v="n."/>
    <s v="手指甲"/>
    <d v="2016-12-29T21:28:56"/>
    <d v="2016-12-29T21:28:56"/>
    <d v="2016-12-29T21:28:56"/>
    <m/>
    <d v="2016-12-29T21:32:41"/>
    <d v="2016-12-29T21:28:56"/>
    <s v=""/>
    <m/>
    <m/>
  </r>
  <r>
    <n v="2741"/>
    <x v="0"/>
    <x v="31"/>
    <s v="particularly"/>
    <s v="adv."/>
    <s v="特别地"/>
    <d v="2016-12-29T21:29:44"/>
    <d v="2016-12-29T21:29:44"/>
    <d v="2016-12-29T21:29:44"/>
    <m/>
    <d v="2016-12-29T21:32:44"/>
    <d v="2016-12-29T21:29:44"/>
    <s v=""/>
    <m/>
    <m/>
  </r>
  <r>
    <n v="2742"/>
    <x v="0"/>
    <x v="31"/>
    <s v="traffic jam"/>
    <s v="n. phr."/>
    <s v="交通堵塞"/>
    <d v="2016-12-29T21:30:15"/>
    <d v="2016-12-29T21:33:23"/>
    <d v="2016-12-29T21:33:23"/>
    <m/>
    <d v="2016-12-29T21:33:29"/>
    <d v="2016-12-29T21:33:23"/>
    <s v=""/>
    <m/>
    <m/>
  </r>
  <r>
    <n v="2743"/>
    <x v="0"/>
    <x v="31"/>
    <s v="ordinary"/>
    <s v="adj."/>
    <s v="普通的"/>
    <d v="2016-12-29T21:30:42"/>
    <d v="2016-12-29T21:30:42"/>
    <d v="2016-12-29T21:30:42"/>
    <m/>
    <d v="2016-12-29T21:32:48"/>
    <d v="2016-12-29T21:30:42"/>
    <s v=""/>
    <m/>
    <m/>
  </r>
  <r>
    <n v="2744"/>
    <x v="0"/>
    <x v="31"/>
    <s v="size"/>
    <s v="n."/>
    <s v="规模；尺寸"/>
    <d v="2016-12-29T21:30:48"/>
    <d v="2016-12-29T21:30:48"/>
    <d v="2016-12-29T21:30:48"/>
    <m/>
    <d v="2016-12-29T21:32:51"/>
    <d v="2016-12-29T21:30:48"/>
    <s v=""/>
    <m/>
    <m/>
  </r>
  <r>
    <n v="2745"/>
    <x v="0"/>
    <x v="31"/>
    <s v="natural"/>
    <s v="adj."/>
    <s v="自然的"/>
    <d v="2016-12-29T21:30:53"/>
    <d v="2016-12-29T21:30:53"/>
    <d v="2016-12-29T21:30:53"/>
    <m/>
    <d v="2016-12-29T21:32:54"/>
    <d v="2016-12-29T21:30:53"/>
    <s v=""/>
    <m/>
    <m/>
  </r>
  <r>
    <n v="2746"/>
    <x v="0"/>
    <x v="31"/>
    <s v="wood"/>
    <s v="n."/>
    <s v="树林"/>
    <d v="2016-12-29T21:31:25"/>
    <d v="2016-12-29T21:31:25"/>
    <d v="2016-12-29T21:31:25"/>
    <m/>
    <d v="2016-12-29T21:32:57"/>
    <d v="2016-12-29T21:31:25"/>
    <s v=""/>
    <m/>
    <m/>
  </r>
  <r>
    <n v="2747"/>
    <x v="0"/>
    <x v="31"/>
    <s v="stream"/>
    <s v="n."/>
    <s v="溪流"/>
    <d v="2016-12-29T21:31:38"/>
    <d v="2016-12-29T21:31:38"/>
    <d v="2016-12-29T21:31:38"/>
    <m/>
    <d v="2016-12-29T21:33:02"/>
    <d v="2016-12-29T21:31:38"/>
    <s v=""/>
    <m/>
    <m/>
  </r>
  <r>
    <n v="2748"/>
    <x v="0"/>
    <x v="31"/>
    <s v="fisherman"/>
    <s v="n."/>
    <s v="渔夫"/>
    <d v="2016-12-29T21:31:42"/>
    <d v="2016-12-29T21:31:42"/>
    <d v="2016-12-29T21:31:42"/>
    <m/>
    <d v="2016-12-29T21:33:06"/>
    <d v="2016-12-29T21:31:42"/>
    <s v=""/>
    <m/>
    <m/>
  </r>
  <r>
    <n v="2749"/>
    <x v="0"/>
    <x v="31"/>
    <s v="bird-watcher"/>
    <s v="n."/>
    <s v="在野外观察并研究鸟的人"/>
    <d v="2016-12-29T21:31:49"/>
    <d v="2016-12-29T21:31:49"/>
    <d v="2016-12-29T21:31:49"/>
    <m/>
    <d v="2016-12-29T21:33:09"/>
    <d v="2016-12-29T21:31:49"/>
    <s v=""/>
    <m/>
    <m/>
  </r>
  <r>
    <n v="2750"/>
    <x v="0"/>
    <x v="31"/>
    <s v="neighbourhood"/>
    <s v="n."/>
    <s v="街坊；四邻"/>
    <d v="2017-01-01T16:31:50"/>
    <d v="2017-01-01T16:31:50"/>
    <d v="2017-01-01T16:31:50"/>
    <m/>
    <d v="2017-01-01T16:32:40"/>
    <d v="2017-01-01T16:31:50"/>
    <s v=""/>
    <m/>
    <m/>
  </r>
  <r>
    <n v="2751"/>
    <x v="0"/>
    <x v="31"/>
    <s v="cause"/>
    <s v="v."/>
    <s v="引起"/>
    <d v="2017-01-01T16:32:08"/>
    <d v="2017-01-01T16:38:41"/>
    <d v="2017-01-01T16:38:41"/>
    <m/>
    <d v="2017-01-01T16:40:34"/>
    <d v="2017-01-01T16:38:41"/>
    <s v=""/>
    <m/>
    <m/>
  </r>
  <r>
    <n v="2752"/>
    <x v="0"/>
    <x v="31"/>
    <s v="empty"/>
    <s v="adj."/>
    <s v="空无一人的"/>
    <d v="2017-01-01T16:32:12"/>
    <d v="2017-01-01T16:32:12"/>
    <d v="2017-01-01T16:32:12"/>
    <m/>
    <d v="2017-01-01T16:32:48"/>
    <d v="2017-01-01T16:32:12"/>
    <s v=""/>
    <m/>
    <m/>
  </r>
  <r>
    <n v="2753"/>
    <x v="0"/>
    <x v="31"/>
    <s v="no doubt"/>
    <s v="phrase"/>
    <s v="毫无疑问"/>
    <d v="2017-01-01T16:32:15"/>
    <d v="2017-01-01T16:38:47"/>
    <d v="2017-01-01T16:38:47"/>
    <m/>
    <d v="2017-01-01T16:40:38"/>
    <d v="2017-01-01T16:38:47"/>
    <s v=""/>
    <m/>
    <m/>
  </r>
  <r>
    <n v="2754"/>
    <x v="0"/>
    <x v="31"/>
    <s v="as well as"/>
    <s v="prep. phr."/>
    <s v="也，又"/>
    <d v="2017-01-01T16:32:21"/>
    <d v="2017-01-01T16:38:52"/>
    <d v="2017-01-01T16:38:52"/>
    <m/>
    <d v="2017-01-01T16:40:42"/>
    <d v="2017-01-01T16:38:52"/>
    <s v=""/>
    <m/>
    <m/>
  </r>
  <r>
    <n v="2755"/>
    <x v="0"/>
    <x v="31"/>
    <s v="pleasant"/>
    <s v="adj."/>
    <s v="使人愉快的"/>
    <d v="2017-01-01T16:32:25"/>
    <d v="2017-01-01T16:38:55"/>
    <d v="2017-01-01T16:38:55"/>
    <m/>
    <d v="2017-01-01T16:40:47"/>
    <d v="2017-01-01T16:38:55"/>
    <s v=""/>
    <m/>
    <m/>
  </r>
  <r>
    <n v="2756"/>
    <x v="0"/>
    <x v="31"/>
    <s v="government"/>
    <s v="n."/>
    <s v="政府"/>
    <d v="2017-01-01T16:32:27"/>
    <d v="2017-01-01T16:32:27"/>
    <d v="2017-01-01T16:32:27"/>
    <m/>
    <d v="2017-01-01T16:35:59"/>
    <d v="2017-01-01T16:32:27"/>
    <s v=""/>
    <m/>
    <m/>
  </r>
  <r>
    <n v="2757"/>
    <x v="0"/>
    <x v="31"/>
    <s v="protest"/>
    <s v="v."/>
    <s v="抗议，反对"/>
    <d v="2017-01-01T16:32:29"/>
    <d v="2017-01-01T16:39:03"/>
    <d v="2017-01-01T16:39:03"/>
    <m/>
    <d v="2017-01-01T16:40:58"/>
    <d v="2017-01-01T16:39:03"/>
    <s v=""/>
    <m/>
    <m/>
  </r>
  <r>
    <n v="2758"/>
    <x v="0"/>
    <x v="31"/>
    <s v="persuade"/>
    <s v="v."/>
    <s v="说服"/>
    <d v="2017-01-01T16:32:30"/>
    <d v="2017-01-01T16:39:08"/>
    <d v="2017-01-01T16:39:08"/>
    <m/>
    <d v="2017-01-01T16:43:13"/>
    <d v="2017-01-01T16:39:08"/>
    <s v=""/>
    <m/>
    <m/>
  </r>
  <r>
    <n v="2759"/>
    <x v="0"/>
    <x v="31"/>
    <s v="inform"/>
    <s v="v."/>
    <s v="告知"/>
    <d v="2017-01-01T16:32:33"/>
    <d v="2017-01-01T16:40:25"/>
    <d v="2017-01-01T16:40:25"/>
    <m/>
    <d v="2017-01-01T16:43:18"/>
    <d v="2017-01-01T16:40:25"/>
    <s v=""/>
    <m/>
    <m/>
  </r>
  <r>
    <n v="2760"/>
    <x v="0"/>
    <x v="32"/>
    <s v="shoot"/>
    <s v="n."/>
    <s v="场景"/>
    <d v="2017-01-01T16:44:34"/>
    <d v="2017-01-01T16:44:34"/>
    <d v="2017-01-01T16:44:34"/>
    <m/>
    <d v="2017-01-01T16:58:35"/>
    <d v="2017-01-01T16:44:34"/>
    <s v=""/>
    <m/>
    <m/>
  </r>
  <r>
    <n v="2761"/>
    <x v="0"/>
    <x v="32"/>
    <s v="filming"/>
    <s v="n."/>
    <s v="拍摄"/>
    <d v="2017-01-01T16:44:36"/>
    <d v="2017-01-01T16:44:36"/>
    <d v="2017-01-01T16:44:36"/>
    <m/>
    <d v="2017-01-01T16:58:38"/>
    <d v="2017-01-01T16:44:36"/>
    <s v=""/>
    <m/>
    <m/>
  </r>
  <r>
    <n v="2762"/>
    <x v="0"/>
    <x v="32"/>
    <s v="film crew"/>
    <s v="n. phr."/>
    <s v="摄制组"/>
    <d v="2017-01-01T16:44:38"/>
    <d v="2017-01-01T16:44:38"/>
    <d v="2017-01-01T16:44:38"/>
    <m/>
    <d v="2017-01-01T16:58:41"/>
    <d v="2017-01-01T16:44:38"/>
    <s v=""/>
    <m/>
    <m/>
  </r>
  <r>
    <n v="2763"/>
    <x v="0"/>
    <x v="32"/>
    <s v="a bit"/>
    <s v="phrase"/>
    <s v="（表示程度）有点儿"/>
    <d v="2017-01-01T16:44:41"/>
    <d v="2017-01-01T16:44:41"/>
    <d v="2017-01-01T16:44:41"/>
    <m/>
    <d v="2017-01-01T16:58:52"/>
    <d v="2017-01-01T16:44:41"/>
    <s v=""/>
    <m/>
    <m/>
  </r>
  <r>
    <n v="2764"/>
    <x v="0"/>
    <x v="32"/>
    <s v="plenty"/>
    <s v="n."/>
    <s v="充足，大量"/>
    <d v="2017-01-01T16:44:42"/>
    <d v="2017-01-01T16:59:28"/>
    <d v="2017-01-01T16:59:28"/>
    <m/>
    <d v="2017-01-01T16:59:35"/>
    <d v="2017-01-01T16:59:28"/>
    <s v=""/>
    <m/>
    <m/>
  </r>
  <r>
    <n v="2765"/>
    <x v="0"/>
    <x v="32"/>
    <s v="caravan"/>
    <s v="n."/>
    <s v="（有食宿装备的）拖车"/>
    <d v="2017-01-01T16:44:44"/>
    <d v="2017-01-01T16:44:44"/>
    <d v="2017-01-01T16:44:44"/>
    <m/>
    <d v="2017-01-01T16:59:08"/>
    <d v="2017-01-01T16:44:44"/>
    <s v=""/>
    <m/>
    <m/>
  </r>
  <r>
    <n v="2766"/>
    <x v="0"/>
    <x v="32"/>
    <s v="make- up room"/>
    <s v="n. phr."/>
    <s v="化装室"/>
    <d v="2017-01-01T16:44:46"/>
    <d v="2017-01-01T16:44:46"/>
    <d v="2017-01-01T16:44:46"/>
    <m/>
    <d v="2017-01-01T16:59:11"/>
    <d v="2017-01-01T16:44:46"/>
    <s v=""/>
    <m/>
    <m/>
  </r>
  <r>
    <n v="2767"/>
    <x v="0"/>
    <x v="32"/>
    <s v="dressing room"/>
    <s v="n. phr."/>
    <s v="更衣室"/>
    <d v="2017-01-02T10:14:37"/>
    <d v="2017-01-02T10:14:37"/>
    <d v="2017-01-02T10:14:37"/>
    <m/>
    <d v="2017-01-02T10:26:06"/>
    <d v="2017-01-02T10:14:37"/>
    <s v=""/>
    <m/>
    <m/>
  </r>
  <r>
    <n v="2768"/>
    <x v="0"/>
    <x v="32"/>
    <s v="picnic"/>
    <s v="n."/>
    <s v="野餐"/>
    <d v="2017-01-02T10:14:39"/>
    <d v="2017-01-02T10:14:39"/>
    <d v="2017-01-02T10:14:39"/>
    <m/>
    <d v="2017-01-02T10:26:13"/>
    <d v="2017-01-02T10:14:39"/>
    <s v=""/>
    <m/>
    <m/>
  </r>
  <r>
    <n v="2769"/>
    <x v="0"/>
    <x v="32"/>
    <s v="obviously"/>
    <s v="adv."/>
    <s v="显而易见的"/>
    <d v="2017-01-02T10:14:44"/>
    <d v="2017-01-02T10:27:11"/>
    <d v="2017-01-02T10:27:11"/>
    <m/>
    <d v="2017-01-02T10:27:21"/>
    <d v="2017-01-02T10:27:11"/>
    <s v=""/>
    <m/>
    <m/>
  </r>
  <r>
    <n v="2770"/>
    <x v="0"/>
    <x v="32"/>
    <s v="well-prepared"/>
    <s v="adj."/>
    <s v="准备充分的"/>
    <d v="2017-01-02T10:14:47"/>
    <d v="2017-01-02T10:14:47"/>
    <d v="2017-01-02T10:14:47"/>
    <m/>
    <d v="2017-01-02T10:26:28"/>
    <d v="2017-01-02T10:14:47"/>
    <s v=""/>
    <m/>
    <m/>
  </r>
  <r>
    <n v="2771"/>
    <x v="0"/>
    <x v="32"/>
    <s v="cameraman"/>
    <s v="n."/>
    <s v="摄影师；照相师"/>
    <d v="2017-01-02T10:17:16"/>
    <d v="2017-01-02T10:17:16"/>
    <d v="2017-01-02T10:17:16"/>
    <m/>
    <d v="2017-01-02T10:26:30"/>
    <d v="2017-01-02T10:17:16"/>
    <s v=""/>
    <m/>
    <m/>
  </r>
  <r>
    <n v="2772"/>
    <x v="0"/>
    <x v="32"/>
    <s v="microphone"/>
    <s v="n."/>
    <s v="麦克风"/>
    <d v="2017-01-02T10:17:19"/>
    <d v="2017-01-02T10:17:19"/>
    <d v="2017-01-02T10:17:19"/>
    <m/>
    <d v="2017-01-02T10:26:33"/>
    <d v="2017-01-02T10:17:19"/>
    <s v=""/>
    <m/>
    <m/>
  </r>
  <r>
    <n v="2773"/>
    <x v="0"/>
    <x v="32"/>
    <s v="clear"/>
    <s v="v."/>
    <s v="清理"/>
    <d v="2017-01-02T10:17:31"/>
    <d v="2017-01-02T10:17:31"/>
    <d v="2017-01-02T10:17:31"/>
    <m/>
    <d v="2017-01-02T10:26:36"/>
    <d v="2017-01-02T10:17:31"/>
    <s v=""/>
    <m/>
    <m/>
  </r>
  <r>
    <n v="2774"/>
    <x v="0"/>
    <x v="32"/>
    <s v="in sight"/>
    <s v="phrase"/>
    <s v="看得见"/>
    <d v="2017-01-02T10:17:34"/>
    <d v="2017-01-02T10:23:41"/>
    <d v="2017-01-02T10:23:41"/>
    <m/>
    <d v="2017-01-02T10:26:40"/>
    <d v="2017-01-02T10:23:41"/>
    <s v=""/>
    <m/>
    <m/>
  </r>
  <r>
    <n v="2775"/>
    <x v="0"/>
    <x v="32"/>
    <s v="Carry away"/>
    <s v="v. phr."/>
    <s v="运走，搬走"/>
    <d v="2017-01-02T10:17:38"/>
    <d v="2017-01-02T10:17:38"/>
    <d v="2017-01-02T10:17:38"/>
    <m/>
    <d v="2017-01-02T10:26:43"/>
    <d v="2017-01-02T10:17:38"/>
    <s v=""/>
    <m/>
    <m/>
  </r>
  <r>
    <n v="2776"/>
    <x v="0"/>
    <x v="32"/>
    <s v="director"/>
    <s v="n."/>
    <s v="导演"/>
    <d v="2017-01-02T10:17:41"/>
    <d v="2017-01-02T10:17:41"/>
    <d v="2017-01-02T10:17:41"/>
    <m/>
    <d v="2017-01-02T10:26:46"/>
    <d v="2017-01-02T10:17:41"/>
    <s v=""/>
    <m/>
    <m/>
  </r>
  <r>
    <n v="2777"/>
    <x v="0"/>
    <x v="32"/>
    <s v="rather"/>
    <s v="adv."/>
    <s v="相当地"/>
    <d v="2017-01-02T10:27:44"/>
    <d v="2017-01-02T10:34:43"/>
    <d v="2017-01-02T10:34:43"/>
    <m/>
    <d v="2017-01-02T10:34:50"/>
    <d v="2017-01-02T10:34:43"/>
    <s v=""/>
    <m/>
    <m/>
  </r>
  <r>
    <n v="2778"/>
    <x v="0"/>
    <x v="32"/>
    <s v="technician"/>
    <s v="n."/>
    <s v="技师"/>
    <d v="2017-01-02T10:27:47"/>
    <d v="2017-01-02T10:29:55"/>
    <d v="2017-01-02T10:29:55"/>
    <m/>
    <d v="2017-01-02T10:33:59"/>
    <d v="2017-01-02T10:29:55"/>
    <s v=""/>
    <m/>
    <m/>
  </r>
  <r>
    <n v="2779"/>
    <x v="0"/>
    <x v="32"/>
    <s v="company"/>
    <s v="n."/>
    <s v="公司"/>
    <d v="2017-01-02T10:27:54"/>
    <d v="2017-01-02T10:30:05"/>
    <d v="2017-01-02T10:30:05"/>
    <m/>
    <d v="2017-01-02T10:34:01"/>
    <d v="2017-01-02T10:30:05"/>
    <s v=""/>
    <m/>
    <m/>
  </r>
  <r>
    <n v="2780"/>
    <x v="0"/>
    <x v="32"/>
    <s v="holidaymaker"/>
    <s v="n."/>
    <s v="度假者"/>
    <d v="2017-01-02T10:28:02"/>
    <d v="2017-01-02T10:28:02"/>
    <d v="2017-01-02T10:28:02"/>
    <m/>
    <d v="2017-01-02T10:34:04"/>
    <d v="2017-01-02T10:28:02"/>
    <s v=""/>
    <m/>
    <m/>
  </r>
  <r>
    <n v="2781"/>
    <x v="0"/>
    <x v="32"/>
    <s v="abroad"/>
    <s v="adv."/>
    <s v="在海外"/>
    <d v="2017-01-02T10:28:05"/>
    <d v="2017-01-02T10:30:08"/>
    <d v="2017-01-02T10:30:08"/>
    <m/>
    <d v="2017-01-02T10:34:08"/>
    <d v="2017-01-02T10:30:08"/>
    <s v=""/>
    <m/>
    <m/>
  </r>
  <r>
    <n v="2782"/>
    <x v="0"/>
    <x v="32"/>
    <s v="aeroplane"/>
    <s v="n."/>
    <s v="飞机"/>
    <d v="2017-01-02T10:28:09"/>
    <d v="2017-01-02T10:32:41"/>
    <d v="2017-01-02T10:32:41"/>
    <m/>
    <d v="2017-01-02T10:34:12"/>
    <d v="2017-01-02T10:32:41"/>
    <s v=""/>
    <m/>
    <m/>
  </r>
  <r>
    <n v="2783"/>
    <x v="0"/>
    <x v="32"/>
    <s v="past perfect"/>
    <s v="n. phr."/>
    <s v="过去完成时"/>
    <d v="2017-01-02T10:28:14"/>
    <d v="2017-01-02T10:28:14"/>
    <d v="2017-01-02T10:28:14"/>
    <m/>
    <d v="2017-01-02T10:34:15"/>
    <d v="2017-01-02T10:28:14"/>
    <s v=""/>
    <m/>
    <m/>
  </r>
  <r>
    <n v="2784"/>
    <x v="0"/>
    <x v="32"/>
    <s v="wave"/>
    <s v="v."/>
    <s v="挥手"/>
    <d v="2017-01-02T10:28:17"/>
    <d v="2017-01-02T10:33:17"/>
    <d v="2017-01-02T10:33:17"/>
    <m/>
    <d v="2017-01-02T10:34:18"/>
    <d v="2017-01-02T10:33:17"/>
    <s v=""/>
    <m/>
    <m/>
  </r>
  <r>
    <n v="2785"/>
    <x v="0"/>
    <x v="32"/>
    <s v="recognise"/>
    <s v="v."/>
    <s v="认出"/>
    <d v="2017-01-02T10:28:21"/>
    <d v="2017-01-02T10:33:22"/>
    <d v="2017-01-02T10:33:22"/>
    <m/>
    <d v="2017-01-02T10:34:23"/>
    <d v="2017-01-02T10:33:22"/>
    <s v=""/>
    <m/>
    <m/>
  </r>
  <r>
    <n v="2786"/>
    <x v="0"/>
    <x v="32"/>
    <s v="remind"/>
    <s v="v."/>
    <s v="提醒，使想起"/>
    <d v="2017-01-02T10:28:25"/>
    <d v="2017-01-02T10:33:28"/>
    <d v="2017-01-02T10:33:28"/>
    <m/>
    <d v="2017-01-02T10:34:29"/>
    <d v="2017-01-02T10:33:28"/>
    <s v=""/>
    <m/>
    <m/>
  </r>
  <r>
    <n v="2787"/>
    <x v="0"/>
    <x v="32"/>
    <s v="dig"/>
    <s v="v."/>
    <s v="挖"/>
    <d v="2017-01-03T18:54:03"/>
    <d v="2017-01-03T18:54:03"/>
    <d v="2017-01-03T18:54:03"/>
    <m/>
    <d v="2017-01-04T19:51:45"/>
    <d v="2017-01-03T18:54:03"/>
    <s v=""/>
    <m/>
    <m/>
  </r>
  <r>
    <n v="2788"/>
    <x v="0"/>
    <x v="32"/>
    <s v="hole"/>
    <s v="n."/>
    <s v="洞"/>
    <d v="2017-01-03T18:54:05"/>
    <d v="2017-01-03T18:54:05"/>
    <d v="2017-01-03T18:54:05"/>
    <m/>
    <d v="2017-01-04T19:51:47"/>
    <d v="2017-01-03T18:54:05"/>
    <s v=""/>
    <m/>
    <m/>
  </r>
  <r>
    <n v="2789"/>
    <x v="0"/>
    <x v="32"/>
    <s v="embarrassed"/>
    <s v="adj."/>
    <s v="尴尬的"/>
    <d v="2017-01-03T18:54:11"/>
    <d v="2017-01-03T18:54:11"/>
    <d v="2017-01-03T18:54:11"/>
    <m/>
    <d v="2017-01-04T19:51:55"/>
    <d v="2017-01-03T18:54:11"/>
    <s v=""/>
    <m/>
    <m/>
  </r>
  <r>
    <n v="2790"/>
    <x v="0"/>
    <x v="32"/>
    <s v="definition"/>
    <s v="n."/>
    <s v="定义"/>
    <d v="2017-01-03T18:55:46"/>
    <d v="2017-01-03T18:55:46"/>
    <d v="2017-01-03T18:55:46"/>
    <m/>
    <d v="2017-01-04T19:52:05"/>
    <d v="2017-01-03T18:55:46"/>
    <s v=""/>
    <m/>
    <m/>
  </r>
  <r>
    <n v="2791"/>
    <x v="0"/>
    <x v="32"/>
    <s v="pretend"/>
    <s v="v."/>
    <s v="假装"/>
    <d v="2017-01-03T18:55:49"/>
    <d v="2017-01-03T18:55:49"/>
    <d v="2017-01-03T18:55:49"/>
    <m/>
    <d v="2017-01-04T19:52:09"/>
    <d v="2017-01-03T18:55:49"/>
    <s v=""/>
    <m/>
    <m/>
  </r>
  <r>
    <n v="2792"/>
    <x v="0"/>
    <x v="32"/>
    <s v="musical"/>
    <s v="adj."/>
    <s v="音乐的"/>
    <d v="2017-01-03T18:59:21"/>
    <d v="2017-01-03T18:59:21"/>
    <d v="2017-01-03T18:59:21"/>
    <m/>
    <d v="2017-01-04T19:52:12"/>
    <d v="2017-01-03T18:59:21"/>
    <s v=""/>
    <m/>
    <m/>
  </r>
  <r>
    <n v="2793"/>
    <x v="0"/>
    <x v="32"/>
    <s v="produce"/>
    <s v="v."/>
    <s v="生产，制造"/>
    <d v="2017-01-03T18:59:24"/>
    <d v="2017-01-03T18:59:24"/>
    <d v="2017-01-03T18:59:24"/>
    <m/>
    <d v="2017-01-04T19:52:16"/>
    <d v="2017-01-03T18:59:24"/>
    <s v=""/>
    <m/>
    <m/>
  </r>
  <r>
    <n v="2794"/>
    <x v="0"/>
    <x v="32"/>
    <s v="cartoon"/>
    <s v="n."/>
    <s v="卡通片；卡通画"/>
    <d v="2017-01-03T18:59:26"/>
    <d v="2017-01-03T18:59:26"/>
    <d v="2017-01-03T18:59:26"/>
    <m/>
    <d v="2017-01-04T19:52:19"/>
    <d v="2017-01-03T18:59:26"/>
    <s v=""/>
    <m/>
    <m/>
  </r>
  <r>
    <n v="2795"/>
    <x v="0"/>
    <x v="32"/>
    <s v="box office"/>
    <s v="n. phr."/>
    <s v="售票处"/>
    <d v="2017-01-03T18:59:28"/>
    <d v="2017-01-03T18:59:28"/>
    <d v="2017-01-03T18:59:28"/>
    <m/>
    <d v="2017-01-04T19:52:34"/>
    <d v="2017-01-03T18:59:28"/>
    <s v=""/>
    <m/>
    <m/>
  </r>
  <r>
    <n v="2796"/>
    <x v="0"/>
    <x v="32"/>
    <s v="screen"/>
    <s v="n."/>
    <s v="荧屏；屏幕"/>
    <d v="2017-01-03T18:59:31"/>
    <d v="2017-01-03T18:59:31"/>
    <d v="2017-01-03T18:59:31"/>
    <m/>
    <d v="2017-01-04T19:52:36"/>
    <d v="2017-01-03T18:59:31"/>
    <s v=""/>
    <m/>
    <m/>
  </r>
  <r>
    <n v="2797"/>
    <x v="0"/>
    <x v="32"/>
    <s v="subtitle"/>
    <s v="n."/>
    <s v="（常用复）字幕"/>
    <d v="2017-01-04T19:37:34"/>
    <d v="2017-01-04T19:37:34"/>
    <d v="2017-01-04T19:37:34"/>
    <m/>
    <d v="2017-01-04T19:53:10"/>
    <d v="2017-01-04T19:37:34"/>
    <s v=""/>
    <m/>
    <m/>
  </r>
  <r>
    <n v="2798"/>
    <x v="0"/>
    <x v="32"/>
    <s v="credit card"/>
    <s v="n. phr."/>
    <s v="信用卡"/>
    <d v="2017-01-04T19:37:40"/>
    <d v="2017-01-04T19:37:40"/>
    <d v="2017-01-04T19:37:40"/>
    <m/>
    <d v="2017-01-04T19:53:19"/>
    <d v="2017-01-04T19:37:40"/>
    <s v=""/>
    <m/>
    <m/>
  </r>
  <r>
    <n v="2799"/>
    <x v="0"/>
    <x v="32"/>
    <s v="designer"/>
    <s v="n."/>
    <s v="设计师"/>
    <d v="2017-01-04T19:37:46"/>
    <d v="2017-01-04T19:37:46"/>
    <d v="2017-01-04T19:37:46"/>
    <m/>
    <d v="2017-01-04T19:53:22"/>
    <d v="2017-01-04T19:37:46"/>
    <s v=""/>
    <m/>
    <m/>
  </r>
  <r>
    <n v="2800"/>
    <x v="0"/>
    <x v="32"/>
    <s v="soap"/>
    <s v="n."/>
    <s v="（俚）肥皂剧"/>
    <d v="2017-01-04T19:37:55"/>
    <d v="2017-01-04T19:37:55"/>
    <d v="2017-01-04T19:37:55"/>
    <m/>
    <d v="2017-01-04T19:53:26"/>
    <d v="2017-01-04T19:37:55"/>
    <s v=""/>
    <m/>
    <m/>
  </r>
  <r>
    <n v="2801"/>
    <x v="0"/>
    <x v="32"/>
    <s v="lock"/>
    <s v="v."/>
    <s v="卡住；挤住"/>
    <d v="2017-01-04T19:50:56"/>
    <d v="2017-01-04T19:50:56"/>
    <d v="2017-01-04T19:50:56"/>
    <m/>
    <d v="2017-01-04T19:53:33"/>
    <d v="2017-01-04T19:50:56"/>
    <s v=""/>
    <m/>
    <m/>
  </r>
  <r>
    <n v="2802"/>
    <x v="0"/>
    <x v="32"/>
    <s v="coin"/>
    <s v="n."/>
    <s v="硬币"/>
    <d v="2017-01-04T19:50:58"/>
    <d v="2017-01-04T19:50:58"/>
    <d v="2017-01-04T19:50:58"/>
    <m/>
    <d v="2017-01-04T19:53:36"/>
    <d v="2017-01-04T19:50:58"/>
    <s v=""/>
    <m/>
    <m/>
  </r>
  <r>
    <n v="2803"/>
    <x v="0"/>
    <x v="32"/>
    <s v="chimney"/>
    <s v="n."/>
    <s v="烟囱"/>
    <d v="2017-01-04T19:51:28"/>
    <d v="2017-01-04T19:51:28"/>
    <d v="2017-01-04T19:51:28"/>
    <m/>
    <d v="2017-01-04T19:53:41"/>
    <d v="2017-01-04T19:51:28"/>
    <s v=""/>
    <m/>
    <m/>
  </r>
  <r>
    <n v="2804"/>
    <x v="0"/>
    <x v="32"/>
    <s v="smash"/>
    <s v="v."/>
    <s v="打碎，粉碎"/>
    <d v="2017-01-04T19:51:30"/>
    <d v="2017-01-04T19:51:30"/>
    <d v="2017-01-04T19:51:30"/>
    <m/>
    <d v="2017-01-04T19:53:44"/>
    <d v="2017-01-04T19:51:30"/>
    <s v=""/>
    <m/>
    <m/>
  </r>
  <r>
    <n v="2805"/>
    <x v="0"/>
    <x v="32"/>
    <s v="employee"/>
    <s v="n."/>
    <s v="雇员"/>
    <d v="2017-01-04T19:51:33"/>
    <d v="2017-01-04T19:51:33"/>
    <d v="2017-01-04T19:51:33"/>
    <m/>
    <d v="2017-01-04T19:53:47"/>
    <d v="2017-01-04T19:51:33"/>
    <s v=""/>
    <m/>
    <m/>
  </r>
  <r>
    <n v="2806"/>
    <x v="0"/>
    <x v="32"/>
    <s v="Portuguese"/>
    <s v="n."/>
    <s v="葡萄牙语；葡萄牙人"/>
    <d v="2017-01-04T19:51:35"/>
    <d v="2017-01-04T19:51:35"/>
    <d v="2017-01-04T19:51:35"/>
    <m/>
    <d v="2017-01-04T19:53:50"/>
    <d v="2017-01-04T19:51:35"/>
    <s v=""/>
    <m/>
    <m/>
  </r>
  <r>
    <n v="2807"/>
    <x v="0"/>
    <x v="33"/>
    <s v="family tree"/>
    <s v="n. phr."/>
    <s v="家谱"/>
    <d v="2017-01-04T20:09:00"/>
    <d v="2017-01-04T20:09:01"/>
    <d v="2017-01-04T20:09:01"/>
    <m/>
    <d v="2017-01-09T20:31:58"/>
    <d v="2017-01-04T20:09:01"/>
    <s v=""/>
    <m/>
    <m/>
  </r>
  <r>
    <n v="2808"/>
    <x v="0"/>
    <x v="33"/>
    <s v="grow up"/>
    <s v="v. phr."/>
    <s v="长大"/>
    <d v="2017-01-04T20:09:03"/>
    <d v="2017-01-04T20:09:03"/>
    <d v="2017-01-04T20:09:03"/>
    <m/>
    <d v="2017-01-09T20:32:01"/>
    <d v="2017-01-04T20:09:03"/>
    <s v=""/>
    <m/>
    <m/>
  </r>
  <r>
    <n v="2809"/>
    <x v="0"/>
    <x v="33"/>
    <s v="in fact"/>
    <s v="phrase"/>
    <s v="事实上"/>
    <d v="2017-01-04T20:09:35"/>
    <d v="2017-01-04T20:09:35"/>
    <d v="2017-01-04T20:09:35"/>
    <m/>
    <d v="2017-01-09T20:32:05"/>
    <d v="2017-01-04T20:09:35"/>
    <s v=""/>
    <m/>
    <m/>
  </r>
  <r>
    <n v="2810"/>
    <x v="0"/>
    <x v="33"/>
    <s v="divorce"/>
    <s v="v."/>
    <s v="离婚"/>
    <d v="2017-01-04T20:09:43"/>
    <d v="2017-01-09T20:34:55"/>
    <d v="2017-01-09T20:34:55"/>
    <m/>
    <d v="2017-01-09T20:39:53"/>
    <d v="2017-01-09T20:34:55"/>
    <s v=""/>
    <m/>
    <m/>
  </r>
  <r>
    <n v="2811"/>
    <x v="0"/>
    <x v="33"/>
    <s v="remarry"/>
    <s v="v."/>
    <s v="再婚"/>
    <d v="2017-01-04T20:09:46"/>
    <d v="2017-01-09T20:34:59"/>
    <d v="2017-01-09T20:34:59"/>
    <m/>
    <d v="2017-01-09T20:39:56"/>
    <d v="2017-01-09T20:34:59"/>
    <s v=""/>
    <m/>
    <m/>
  </r>
  <r>
    <n v="2812"/>
    <x v="0"/>
    <x v="33"/>
    <s v="Scotland"/>
    <s v="n."/>
    <s v="苏格兰"/>
    <d v="2017-01-04T20:09:49"/>
    <d v="2017-01-04T20:09:49"/>
    <d v="2017-01-04T20:09:49"/>
    <m/>
    <d v="2017-01-09T20:32:18"/>
    <d v="2017-01-04T20:09:49"/>
    <s v=""/>
    <m/>
    <m/>
  </r>
  <r>
    <n v="2813"/>
    <x v="0"/>
    <x v="33"/>
    <s v="brother-in-law"/>
    <s v="n."/>
    <s v="姐夫；妹夫"/>
    <d v="2017-01-04T20:09:51"/>
    <d v="2017-01-09T20:36:43"/>
    <d v="2017-01-09T20:36:43"/>
    <m/>
    <d v="2017-01-09T20:40:00"/>
    <d v="2017-01-09T20:36:43"/>
    <s v=""/>
    <m/>
    <m/>
  </r>
  <r>
    <n v="2814"/>
    <x v="0"/>
    <x v="33"/>
    <s v="Stepmother"/>
    <s v="n."/>
    <s v="继母"/>
    <d v="2017-01-04T20:09:53"/>
    <d v="2017-01-09T20:35:34"/>
    <d v="2017-01-09T20:35:34"/>
    <m/>
    <d v="2017-01-09T20:40:09"/>
    <d v="2017-01-09T20:35:34"/>
    <s v=""/>
    <m/>
    <m/>
  </r>
  <r>
    <n v="2815"/>
    <x v="0"/>
    <x v="33"/>
    <s v="niece"/>
    <s v="n."/>
    <s v="侄女；外甥女"/>
    <d v="2017-01-09T20:37:12"/>
    <d v="2017-01-09T20:37:12"/>
    <d v="2017-01-09T20:37:12"/>
    <m/>
    <d v="2017-01-09T20:40:14"/>
    <d v="2017-01-09T20:37:12"/>
    <s v=""/>
    <m/>
    <m/>
  </r>
  <r>
    <n v="2816"/>
    <x v="0"/>
    <x v="33"/>
    <s v="half-sister"/>
    <s v="n."/>
    <s v="同父异母或同母异父的姐妹"/>
    <d v="2017-01-04T20:10:01"/>
    <d v="2017-01-04T20:10:01"/>
    <d v="2017-01-04T20:10:01"/>
    <m/>
    <d v="2017-01-09T20:32:47"/>
    <d v="2017-01-04T20:10:01"/>
    <s v=""/>
    <m/>
    <m/>
  </r>
  <r>
    <n v="2817"/>
    <x v="0"/>
    <x v="33"/>
    <s v="look after"/>
    <s v="v. phr."/>
    <s v="照顾"/>
    <d v="2017-01-08T13:35:40"/>
    <d v="2017-01-08T13:35:40"/>
    <d v="2017-01-08T13:35:40"/>
    <m/>
    <d v="2017-01-09T20:32:52"/>
    <d v="2017-01-08T13:35:40"/>
    <s v=""/>
    <m/>
    <m/>
  </r>
  <r>
    <n v="2818"/>
    <x v="0"/>
    <x v="33"/>
    <s v="sense"/>
    <s v="n."/>
    <s v="感觉；知觉"/>
    <d v="2017-01-08T13:37:23"/>
    <d v="2017-01-08T13:37:23"/>
    <d v="2017-01-08T13:37:23"/>
    <m/>
    <d v="2017-01-09T20:32:58"/>
    <d v="2017-01-08T13:37:23"/>
    <s v=""/>
    <m/>
    <m/>
  </r>
  <r>
    <n v="2819"/>
    <x v="0"/>
    <x v="33"/>
    <s v="humour"/>
    <s v="n."/>
    <s v="幽默"/>
    <d v="2017-01-08T13:37:29"/>
    <d v="2017-01-08T13:37:29"/>
    <d v="2017-01-08T13:37:29"/>
    <m/>
    <d v="2017-01-09T20:33:00"/>
    <d v="2017-01-08T13:37:29"/>
    <s v=""/>
    <m/>
    <m/>
  </r>
  <r>
    <n v="2820"/>
    <x v="0"/>
    <x v="33"/>
    <s v="sense of humour"/>
    <s v="n. phr."/>
    <s v="幽默感"/>
    <d v="2017-01-08T13:37:32"/>
    <d v="2017-01-08T13:37:32"/>
    <d v="2017-01-08T13:37:32"/>
    <m/>
    <d v="2017-01-09T20:33:04"/>
    <d v="2017-01-08T13:37:32"/>
    <s v=""/>
    <m/>
    <m/>
  </r>
  <r>
    <n v="2821"/>
    <x v="0"/>
    <x v="33"/>
    <s v="artistic"/>
    <s v="adj."/>
    <s v="艺术的"/>
    <d v="2017-01-08T13:47:18"/>
    <d v="2017-01-08T13:47:19"/>
    <d v="2017-01-08T13:47:19"/>
    <m/>
    <d v="2017-01-09T20:33:09"/>
    <d v="2017-01-08T13:47:19"/>
    <s v=""/>
    <m/>
    <m/>
  </r>
  <r>
    <n v="2822"/>
    <x v="0"/>
    <x v="33"/>
    <s v="solve"/>
    <s v="v."/>
    <s v="解决"/>
    <d v="2017-01-08T13:47:21"/>
    <d v="2017-01-08T13:47:21"/>
    <d v="2017-01-08T13:47:21"/>
    <m/>
    <d v="2017-01-09T20:40:25"/>
    <d v="2017-01-08T13:47:21"/>
    <s v=""/>
    <m/>
    <m/>
  </r>
  <r>
    <n v="2823"/>
    <x v="0"/>
    <x v="33"/>
    <s v="argument"/>
    <s v="n."/>
    <s v="争论"/>
    <d v="2017-01-08T13:49:49"/>
    <d v="2017-01-09T20:41:18"/>
    <d v="2017-01-09T20:41:18"/>
    <m/>
    <d v="2017-01-09T20:41:24"/>
    <d v="2017-01-09T20:41:18"/>
    <s v=""/>
    <m/>
    <m/>
  </r>
  <r>
    <n v="2824"/>
    <x v="0"/>
    <x v="33"/>
    <s v="leader"/>
    <s v="n."/>
    <s v="领导者"/>
    <d v="2017-01-08T14:08:21"/>
    <d v="2017-01-08T14:08:21"/>
    <d v="2017-01-08T14:08:21"/>
    <m/>
    <d v="2017-01-09T20:40:35"/>
    <d v="2017-01-08T14:08:21"/>
    <s v=""/>
    <m/>
    <m/>
  </r>
  <r>
    <n v="2825"/>
    <x v="0"/>
    <x v="33"/>
    <s v="be afraid of"/>
    <s v="v. phr."/>
    <s v="害怕"/>
    <d v="2017-01-08T14:08:23"/>
    <d v="2017-01-08T14:08:23"/>
    <d v="2017-01-08T14:08:23"/>
    <m/>
    <d v="2017-01-09T20:40:39"/>
    <d v="2017-01-08T14:08:23"/>
    <s v=""/>
    <m/>
    <m/>
  </r>
  <r>
    <n v="2826"/>
    <x v="0"/>
    <x v="33"/>
    <s v="disadvantage"/>
    <s v="n."/>
    <s v="不利条件"/>
    <d v="2017-01-16T14:34:02"/>
    <d v="2017-01-16T14:34:02"/>
    <d v="2017-01-16T14:34:02"/>
    <m/>
    <d v="2017-01-16T15:26:21"/>
    <d v="2017-01-16T14:34:02"/>
    <s v=""/>
    <m/>
    <m/>
  </r>
  <r>
    <n v="2827"/>
    <x v="0"/>
    <x v="33"/>
    <s v="be fed up with"/>
    <s v="v. phr."/>
    <s v="对…厌烦"/>
    <d v="2017-01-16T14:34:07"/>
    <d v="2017-01-16T15:28:12"/>
    <d v="2017-01-16T15:28:12"/>
    <m/>
    <d v="2017-01-16T15:28:18"/>
    <d v="2017-01-16T15:28:12"/>
    <s v=""/>
    <m/>
    <m/>
  </r>
  <r>
    <n v="2828"/>
    <x v="0"/>
    <x v="33"/>
    <s v="continue"/>
    <s v="v."/>
    <s v="继续"/>
    <d v="2017-01-16T14:34:11"/>
    <d v="2017-01-16T14:34:11"/>
    <d v="2017-01-16T14:34:11"/>
    <m/>
    <d v="2017-01-16T15:26:29"/>
    <d v="2017-01-16T14:34:11"/>
    <s v=""/>
    <m/>
    <m/>
  </r>
  <r>
    <n v="2829"/>
    <x v="0"/>
    <x v="33"/>
    <s v="thirsty"/>
    <s v="adj."/>
    <s v="口渴的"/>
    <d v="2017-01-16T14:34:13"/>
    <d v="2017-01-16T14:34:13"/>
    <d v="2017-01-16T14:34:13"/>
    <m/>
    <d v="2017-01-16T15:26:32"/>
    <d v="2017-01-16T14:34:13"/>
    <s v=""/>
    <m/>
    <m/>
  </r>
  <r>
    <n v="2830"/>
    <x v="0"/>
    <x v="33"/>
    <s v="although"/>
    <s v="conj."/>
    <s v="尽管，虽然"/>
    <d v="2017-01-16T14:34:17"/>
    <d v="2017-01-16T15:27:34"/>
    <d v="2017-01-16T15:27:34"/>
    <m/>
    <d v="2017-01-16T15:27:56"/>
    <d v="2017-01-16T15:27:34"/>
    <s v=""/>
    <m/>
    <m/>
  </r>
  <r>
    <n v="2831"/>
    <x v="0"/>
    <x v="33"/>
    <s v="bracket"/>
    <s v="n."/>
    <s v="括号"/>
    <d v="2017-01-16T14:34:19"/>
    <d v="2017-01-16T14:34:19"/>
    <d v="2017-01-16T14:34:19"/>
    <m/>
    <d v="2017-01-16T15:26:50"/>
    <d v="2017-01-16T14:34:19"/>
    <s v=""/>
    <m/>
    <m/>
  </r>
  <r>
    <n v="2832"/>
    <x v="0"/>
    <x v="33"/>
    <s v="attention"/>
    <s v="n."/>
    <s v="注意力；关注"/>
    <d v="2017-01-16T14:34:21"/>
    <d v="2017-01-16T14:34:21"/>
    <d v="2017-01-16T14:34:21"/>
    <m/>
    <d v="2017-01-16T15:26:54"/>
    <d v="2017-01-16T14:34:21"/>
    <s v=""/>
    <m/>
    <m/>
  </r>
  <r>
    <n v="2833"/>
    <x v="0"/>
    <x v="33"/>
    <s v="annoying"/>
    <s v="adj."/>
    <s v="令人讨厌的"/>
    <d v="2017-01-16T14:34:23"/>
    <d v="2017-01-16T14:34:23"/>
    <d v="2017-01-16T14:34:23"/>
    <m/>
    <d v="2017-01-16T15:26:58"/>
    <d v="2017-01-16T14:34:23"/>
    <s v=""/>
    <m/>
    <m/>
  </r>
  <r>
    <n v="2834"/>
    <x v="0"/>
    <x v="33"/>
    <s v="on one’s own"/>
    <s v="phrase"/>
    <s v="独自"/>
    <d v="2017-01-16T14:34:24"/>
    <d v="2017-01-16T14:34:24"/>
    <d v="2017-01-16T14:34:24"/>
    <m/>
    <d v="2017-01-16T15:27:13"/>
    <d v="2017-01-16T14:34:24"/>
    <s v=""/>
    <m/>
    <m/>
  </r>
  <r>
    <n v="2835"/>
    <x v="0"/>
    <x v="33"/>
    <s v="spoil"/>
    <s v="v."/>
    <s v="毁坏，破坏"/>
    <d v="2017-01-16T14:34:26"/>
    <d v="2017-01-16T14:34:26"/>
    <d v="2017-01-16T14:34:26"/>
    <m/>
    <d v="2017-01-16T15:27:16"/>
    <d v="2017-01-16T14:34:26"/>
    <s v=""/>
    <m/>
    <m/>
  </r>
  <r>
    <n v="2836"/>
    <x v="0"/>
    <x v="33"/>
    <s v="as soon as"/>
    <s v="phrase"/>
    <s v="一…就…"/>
    <d v="2017-03-05T14:40:05"/>
    <d v="2017-03-05T14:40:05"/>
    <d v="2017-03-05T14:40:05"/>
    <m/>
    <d v="2017-03-05T15:00:49"/>
    <d v="2017-03-05T14:40:05"/>
    <s v=""/>
    <m/>
    <m/>
  </r>
  <r>
    <n v="2837"/>
    <x v="0"/>
    <x v="33"/>
    <s v="tidy up"/>
    <s v="v. phr."/>
    <s v="收拾；整理"/>
    <d v="2017-03-05T14:40:13"/>
    <d v="2017-03-05T14:40:13"/>
    <d v="2017-03-05T14:40:13"/>
    <m/>
    <d v="2017-03-05T15:00:54"/>
    <d v="2017-03-05T14:40:13"/>
    <s v=""/>
    <m/>
    <m/>
  </r>
  <r>
    <n v="2838"/>
    <x v="0"/>
    <x v="33"/>
    <s v="residence"/>
    <s v="n."/>
    <s v="居住；住处"/>
    <d v="2017-03-05T14:43:25"/>
    <d v="2017-03-05T15:01:44"/>
    <d v="2017-03-05T15:01:44"/>
    <m/>
    <d v="2017-03-05T15:03:06"/>
    <d v="2017-03-05T15:01:44"/>
    <s v=""/>
    <m/>
    <m/>
  </r>
  <r>
    <n v="2839"/>
    <x v="0"/>
    <x v="33"/>
    <s v="ought to"/>
    <s v="v. phr."/>
    <s v="应该"/>
    <d v="2017-03-05T14:43:33"/>
    <d v="2017-03-05T14:43:33"/>
    <d v="2017-03-05T14:43:33"/>
    <m/>
    <d v="2017-03-05T15:01:04"/>
    <d v="2017-03-05T14:43:33"/>
    <s v=""/>
    <m/>
    <m/>
  </r>
  <r>
    <n v="2840"/>
    <x v="0"/>
    <x v="33"/>
    <s v="arrangement"/>
    <s v="n."/>
    <s v="安排"/>
    <d v="2017-03-05T14:45:24"/>
    <d v="2017-03-05T14:45:24"/>
    <d v="2017-03-05T14:45:24"/>
    <m/>
    <d v="2017-03-05T15:01:10"/>
    <d v="2017-03-05T14:45:24"/>
    <s v=""/>
    <m/>
    <m/>
  </r>
  <r>
    <n v="2841"/>
    <x v="0"/>
    <x v="33"/>
    <s v="separate"/>
    <s v="adj."/>
    <s v="各自的"/>
    <d v="2017-03-05T14:53:50"/>
    <d v="2017-03-05T14:53:50"/>
    <d v="2017-03-05T14:53:50"/>
    <m/>
    <d v="2017-03-05T15:01:13"/>
    <d v="2017-03-05T14:53:50"/>
    <s v=""/>
    <m/>
    <m/>
  </r>
  <r>
    <n v="2842"/>
    <x v="0"/>
    <x v="33"/>
    <s v="discover"/>
    <s v="v."/>
    <s v="发现；发觉"/>
    <d v="2017-03-05T14:40:28"/>
    <d v="2017-03-05T14:40:28"/>
    <d v="2017-03-05T14:40:28"/>
    <m/>
    <d v="2017-03-05T15:01:24"/>
    <d v="2017-03-05T14:40:28"/>
    <s v=""/>
    <m/>
    <m/>
  </r>
  <r>
    <n v="2843"/>
    <x v="0"/>
    <x v="33"/>
    <s v="junior"/>
    <s v="adj."/>
    <s v="小（指较年幼者）"/>
    <d v="2017-03-05T14:40:33"/>
    <d v="2017-03-05T14:58:58"/>
    <d v="2017-03-05T14:58:58"/>
    <m/>
    <d v="2017-03-05T15:01:29"/>
    <d v="2017-03-05T14:58:58"/>
    <s v=""/>
    <m/>
    <m/>
  </r>
  <r>
    <n v="2844"/>
    <x v="0"/>
    <x v="33"/>
    <s v="senior"/>
    <s v="adj."/>
    <s v="老（指较年长者）"/>
    <d v="2017-03-05T14:40:35"/>
    <d v="2017-03-05T14:59:06"/>
    <d v="2017-03-05T14:59:06"/>
    <m/>
    <d v="2017-03-05T15:01:31"/>
    <d v="2017-03-05T14:59:06"/>
    <s v=""/>
    <m/>
    <m/>
  </r>
  <r>
    <n v="2845"/>
    <x v="0"/>
    <x v="33"/>
    <s v="assistant"/>
    <s v="adj."/>
    <s v="助理的"/>
    <d v="2017-03-05T14:59:18"/>
    <d v="2017-03-05T14:59:18"/>
    <d v="2017-03-05T14:59:18"/>
    <m/>
    <d v="2017-03-05T15:01:34"/>
    <d v="2017-03-05T14:59:18"/>
    <s v=""/>
    <m/>
    <m/>
  </r>
  <r>
    <n v="2846"/>
    <x v="0"/>
    <x v="34"/>
    <s v="instrument"/>
    <s v="n."/>
    <s v="器具，工具"/>
    <d v="2017-03-08T17:52:10"/>
    <d v="2017-03-08T17:52:10"/>
    <d v="2017-03-08T17:52:10"/>
    <m/>
    <d v="2017-03-08T18:53:47"/>
    <d v="2017-03-08T17:52:10"/>
    <s v=""/>
    <m/>
    <m/>
  </r>
  <r>
    <n v="2847"/>
    <x v="0"/>
    <x v="34"/>
    <s v="musical instrument"/>
    <s v="n. phr."/>
    <s v="乐器"/>
    <d v="2017-03-08T17:52:12"/>
    <d v="2017-03-08T17:52:12"/>
    <d v="2017-03-08T17:52:12"/>
    <m/>
    <d v="2017-03-08T18:53:52"/>
    <d v="2017-03-08T17:52:12"/>
    <s v=""/>
    <m/>
    <m/>
  </r>
  <r>
    <n v="2848"/>
    <x v="0"/>
    <x v="34"/>
    <s v="drum"/>
    <s v="n."/>
    <s v="鼓"/>
    <d v="2017-03-08T17:52:13"/>
    <d v="2017-03-08T17:52:13"/>
    <d v="2017-03-08T17:52:13"/>
    <m/>
    <d v="2017-03-08T18:53:56"/>
    <d v="2017-03-08T17:52:13"/>
    <s v=""/>
    <m/>
    <m/>
  </r>
  <r>
    <n v="2849"/>
    <x v="0"/>
    <x v="34"/>
    <s v="guitar"/>
    <s v="n."/>
    <s v="吉他"/>
    <d v="2017-03-08T17:52:15"/>
    <d v="2017-03-08T17:52:15"/>
    <d v="2017-03-08T17:52:15"/>
    <m/>
    <d v="2017-03-08T18:53:58"/>
    <d v="2017-03-08T17:52:15"/>
    <s v=""/>
    <m/>
    <m/>
  </r>
  <r>
    <n v="2850"/>
    <x v="0"/>
    <x v="34"/>
    <s v="guitarist"/>
    <s v="n."/>
    <s v="吉他手"/>
    <d v="2017-03-08T17:52:18"/>
    <d v="2017-03-08T17:52:18"/>
    <d v="2017-03-08T17:52:18"/>
    <m/>
    <d v="2017-03-08T18:54:01"/>
    <d v="2017-03-08T17:52:18"/>
    <s v=""/>
    <m/>
    <m/>
  </r>
  <r>
    <n v="2851"/>
    <x v="0"/>
    <x v="34"/>
    <s v="piano"/>
    <s v="n."/>
    <s v="钢琴"/>
    <d v="2017-03-08T17:52:19"/>
    <d v="2017-03-08T17:52:19"/>
    <d v="2017-03-08T17:52:19"/>
    <m/>
    <d v="2017-03-08T18:54:03"/>
    <d v="2017-03-08T17:52:19"/>
    <s v=""/>
    <m/>
    <m/>
  </r>
  <r>
    <n v="2852"/>
    <x v="0"/>
    <x v="34"/>
    <s v="judge"/>
    <s v="n."/>
    <s v="裁判"/>
    <d v="2017-03-08T17:52:21"/>
    <d v="2017-03-08T18:11:29"/>
    <d v="2017-03-08T18:11:29"/>
    <m/>
    <d v="2017-03-08T18:54:07"/>
    <d v="2017-03-08T18:11:29"/>
    <s v=""/>
    <m/>
    <m/>
  </r>
  <r>
    <n v="2853"/>
    <x v="0"/>
    <x v="34"/>
    <s v="final"/>
    <s v="n."/>
    <s v="决赛"/>
    <d v="2017-03-08T17:52:24"/>
    <d v="2017-03-08T18:11:33"/>
    <d v="2017-03-08T18:11:33"/>
    <m/>
    <d v="2017-03-08T18:54:12"/>
    <d v="2017-03-08T18:11:33"/>
    <s v=""/>
    <m/>
    <m/>
  </r>
  <r>
    <n v="2854"/>
    <x v="0"/>
    <x v="34"/>
    <s v="Texas"/>
    <s v="n."/>
    <s v="（美国）德克萨斯州"/>
    <d v="2017-03-08T17:52:25"/>
    <d v="2017-03-08T17:52:25"/>
    <d v="2017-03-08T17:52:25"/>
    <m/>
    <d v="2017-03-08T18:54:16"/>
    <d v="2017-03-08T17:52:25"/>
    <s v=""/>
    <m/>
    <m/>
  </r>
  <r>
    <n v="2855"/>
    <x v="0"/>
    <x v="34"/>
    <s v="tune"/>
    <s v="n."/>
    <s v="调子"/>
    <d v="2017-03-08T17:52:28"/>
    <d v="2017-03-08T18:55:24"/>
    <d v="2017-03-08T18:55:24"/>
    <m/>
    <d v="2017-03-08T20:30:14"/>
    <d v="2017-03-08T18:55:24"/>
    <s v=""/>
    <m/>
    <m/>
  </r>
  <r>
    <n v="2856"/>
    <x v="0"/>
    <x v="34"/>
    <s v="in tune"/>
    <s v="phrase"/>
    <s v="调子正确"/>
    <d v="2017-03-08T17:52:30"/>
    <d v="2017-03-08T20:33:32"/>
    <d v="2017-03-08T20:33:32"/>
    <m/>
    <d v="2017-03-08T20:33:41"/>
    <d v="2017-03-08T20:33:32"/>
    <s v=""/>
    <m/>
    <m/>
  </r>
  <r>
    <n v="2857"/>
    <x v="0"/>
    <x v="34"/>
    <s v="professionally"/>
    <s v="adv."/>
    <s v="专业地，职业地"/>
    <d v="2017-03-08T17:52:32"/>
    <d v="2017-03-08T20:32:47"/>
    <d v="2017-03-08T20:32:47"/>
    <m/>
    <d v="2017-03-08T20:33:06"/>
    <d v="2017-03-08T20:32:47"/>
    <s v=""/>
    <m/>
    <m/>
  </r>
  <r>
    <n v="2858"/>
    <x v="0"/>
    <x v="34"/>
    <s v="effort"/>
    <s v="n."/>
    <s v="努力；付出"/>
    <d v="2017-03-08T17:52:34"/>
    <d v="2017-03-08T20:33:34"/>
    <d v="2017-03-08T20:33:34"/>
    <m/>
    <d v="2017-03-08T20:33:45"/>
    <d v="2017-03-08T20:33:34"/>
    <s v=""/>
    <m/>
    <m/>
  </r>
  <r>
    <n v="2859"/>
    <x v="0"/>
    <x v="34"/>
    <s v="avenue"/>
    <s v="n."/>
    <s v="大街"/>
    <d v="2017-03-08T18:52:53"/>
    <d v="2017-03-08T20:32:51"/>
    <d v="2017-03-08T20:32:51"/>
    <m/>
    <d v="2017-03-08T20:33:19"/>
    <d v="2017-03-08T20:32:51"/>
    <s v=""/>
    <m/>
    <m/>
  </r>
  <r>
    <n v="2860"/>
    <x v="0"/>
    <x v="34"/>
    <s v="drummer"/>
    <s v="n."/>
    <s v="鼓手"/>
    <d v="2017-03-08T18:53:35"/>
    <d v="2017-03-08T18:53:35"/>
    <d v="2017-03-08T18:53:35"/>
    <m/>
    <d v="2017-03-08T20:30:17"/>
    <d v="2017-03-08T18:53:35"/>
    <s v=""/>
    <m/>
    <m/>
  </r>
  <r>
    <n v="2861"/>
    <x v="0"/>
    <x v="34"/>
    <s v="practice"/>
    <s v="n."/>
    <s v="练习"/>
    <d v="2017-03-08T18:53:30"/>
    <d v="2017-03-08T20:30:03"/>
    <d v="2017-03-08T20:30:03"/>
    <m/>
    <d v="2017-03-08T20:30:19"/>
    <d v="2017-03-08T20:30:03"/>
    <s v=""/>
    <m/>
    <m/>
  </r>
  <r>
    <n v="2862"/>
    <x v="0"/>
    <x v="34"/>
    <s v="shame"/>
    <s v="n."/>
    <s v="惋惜的事"/>
    <d v="2017-03-08T18:53:27"/>
    <d v="2017-03-08T20:30:01"/>
    <d v="2017-03-08T20:30:01"/>
    <m/>
    <d v="2017-03-08T20:30:22"/>
    <d v="2017-03-08T20:30:01"/>
    <s v=""/>
    <m/>
    <m/>
  </r>
  <r>
    <n v="2863"/>
    <x v="0"/>
    <x v="34"/>
    <s v="keyboard"/>
    <s v="n."/>
    <s v="键盘"/>
    <d v="2017-03-08T18:53:25"/>
    <d v="2017-03-08T18:53:25"/>
    <d v="2017-03-08T18:53:25"/>
    <m/>
    <d v="2017-03-08T20:30:25"/>
    <d v="2017-03-08T18:53:25"/>
    <s v=""/>
    <m/>
    <m/>
  </r>
  <r>
    <n v="2864"/>
    <x v="0"/>
    <x v="34"/>
    <s v="lead guitarist"/>
    <s v="n. phr."/>
    <s v="第一吉他手"/>
    <d v="2017-03-08T18:53:22"/>
    <d v="2017-03-08T18:59:04"/>
    <d v="2017-03-08T18:59:04"/>
    <m/>
    <d v="2017-03-08T20:30:30"/>
    <d v="2017-03-08T18:59:04"/>
    <s v=""/>
    <m/>
    <m/>
  </r>
  <r>
    <n v="2865"/>
    <x v="0"/>
    <x v="34"/>
    <s v="bass guitar"/>
    <s v="n. phr."/>
    <s v="低音电吉他"/>
    <d v="2017-03-08T18:53:20"/>
    <d v="2017-03-08T18:53:20"/>
    <d v="2017-03-08T18:53:20"/>
    <m/>
    <d v="2017-03-08T20:30:33"/>
    <d v="2017-03-08T18:53:20"/>
    <s v=""/>
    <m/>
    <m/>
  </r>
  <r>
    <n v="2866"/>
    <x v="0"/>
    <x v="34"/>
    <s v="main singer"/>
    <s v="n. phr."/>
    <s v="主唱"/>
    <d v="2017-03-08T18:53:16"/>
    <d v="2017-03-08T18:59:09"/>
    <d v="2017-03-08T18:59:09"/>
    <m/>
    <d v="2017-03-08T20:30:37"/>
    <d v="2017-03-08T18:59:09"/>
    <s v=""/>
    <m/>
    <m/>
  </r>
  <r>
    <n v="2867"/>
    <x v="0"/>
    <x v="34"/>
    <s v="announce"/>
    <s v="v."/>
    <s v="宣告"/>
    <d v="2017-03-08T18:53:14"/>
    <d v="2017-03-08T20:29:58"/>
    <d v="2017-03-08T20:29:58"/>
    <m/>
    <d v="2017-03-08T20:30:43"/>
    <d v="2017-03-08T20:29:58"/>
    <s v=""/>
    <m/>
    <m/>
  </r>
  <r>
    <n v="2868"/>
    <x v="0"/>
    <x v="34"/>
    <s v="speech"/>
    <s v="n."/>
    <s v="讲话"/>
    <d v="2017-03-08T18:53:12"/>
    <d v="2017-03-08T20:29:52"/>
    <d v="2017-03-08T20:29:52"/>
    <m/>
    <d v="2017-03-08T20:30:45"/>
    <d v="2017-03-08T20:29:52"/>
    <s v=""/>
    <m/>
    <m/>
  </r>
  <r>
    <n v="2869"/>
    <x v="0"/>
    <x v="34"/>
    <s v="win"/>
    <s v="v."/>
    <s v="获胜"/>
    <d v="2017-03-09T19:59:12"/>
    <d v="2017-03-09T19:59:12"/>
    <d v="2017-03-09T19:59:12"/>
    <m/>
    <d v="2017-03-09T20:46:33"/>
    <d v="2017-03-09T19:59:12"/>
    <s v=""/>
    <m/>
    <m/>
  </r>
  <r>
    <n v="2870"/>
    <x v="0"/>
    <x v="34"/>
    <s v="for ever"/>
    <s v="adv. phr."/>
    <s v="永远"/>
    <d v="2017-03-09T19:59:24"/>
    <d v="2017-03-09T20:41:28"/>
    <d v="2017-03-09T20:41:28"/>
    <m/>
    <d v="2017-03-09T20:46:36"/>
    <d v="2017-03-09T20:41:28"/>
    <s v=""/>
    <m/>
    <m/>
  </r>
  <r>
    <n v="2871"/>
    <x v="0"/>
    <x v="34"/>
    <s v="up and down"/>
    <s v="adv. phr."/>
    <s v="上下地，来回地"/>
    <d v="2017-03-09T19:59:30"/>
    <d v="2017-03-09T19:59:31"/>
    <d v="2017-03-09T19:59:31"/>
    <m/>
    <d v="2017-03-09T20:46:39"/>
    <d v="2017-03-09T19:59:31"/>
    <s v=""/>
    <m/>
    <m/>
  </r>
  <r>
    <n v="2872"/>
    <x v="0"/>
    <x v="34"/>
    <s v="record"/>
    <s v="v."/>
    <s v="录制"/>
    <d v="2017-03-09T19:59:33"/>
    <d v="2017-03-09T20:41:38"/>
    <d v="2017-03-09T20:41:38"/>
    <m/>
    <d v="2017-03-09T20:46:41"/>
    <d v="2017-03-09T20:41:38"/>
    <s v=""/>
    <m/>
    <m/>
  </r>
  <r>
    <n v="2873"/>
    <x v="0"/>
    <x v="34"/>
    <s v="spare"/>
    <s v="adj."/>
    <s v="（指时间）空闲的，未占用的"/>
    <d v="2017-03-09T19:59:35"/>
    <d v="2017-03-09T20:42:50"/>
    <d v="2017-03-09T20:42:50"/>
    <m/>
    <d v="2017-03-09T20:46:55"/>
    <d v="2017-03-09T20:42:50"/>
    <s v=""/>
    <m/>
    <m/>
  </r>
  <r>
    <n v="2874"/>
    <x v="0"/>
    <x v="34"/>
    <s v="ice skate"/>
    <s v="v. phr."/>
    <s v="滑冰"/>
    <d v="2017-03-09T19:59:37"/>
    <d v="2017-03-09T20:48:31"/>
    <d v="2017-03-09T20:48:31"/>
    <m/>
    <d v="2017-03-09T20:48:37"/>
    <d v="2017-03-09T20:48:31"/>
    <s v=""/>
    <m/>
    <m/>
  </r>
  <r>
    <n v="2875"/>
    <x v="0"/>
    <x v="34"/>
    <s v="beard"/>
    <s v="n."/>
    <s v="络腮胡子"/>
    <d v="2017-03-09T19:59:39"/>
    <d v="2017-03-09T20:45:19"/>
    <d v="2017-03-09T20:45:19"/>
    <m/>
    <d v="2017-03-09T20:47:06"/>
    <d v="2017-03-09T20:45:19"/>
    <s v=""/>
    <m/>
    <m/>
  </r>
  <r>
    <n v="2876"/>
    <x v="0"/>
    <x v="34"/>
    <s v="crime"/>
    <s v="n."/>
    <s v="犯罪；罪行"/>
    <d v="2017-03-09T19:59:43"/>
    <d v="2017-03-09T20:45:39"/>
    <d v="2017-03-09T20:45:39"/>
    <m/>
    <d v="2017-03-09T20:47:09"/>
    <d v="2017-03-09T20:45:39"/>
    <s v=""/>
    <m/>
    <m/>
  </r>
  <r>
    <n v="2877"/>
    <x v="0"/>
    <x v="34"/>
    <s v="ghost"/>
    <s v="n."/>
    <s v="幽灵"/>
    <d v="2017-03-09T19:59:46"/>
    <d v="2017-03-09T19:59:46"/>
    <d v="2017-03-09T19:59:46"/>
    <m/>
    <d v="2017-03-09T20:47:13"/>
    <d v="2017-03-09T19:59:46"/>
    <s v=""/>
    <m/>
    <m/>
  </r>
  <r>
    <n v="2878"/>
    <x v="0"/>
    <x v="34"/>
    <s v="envelope"/>
    <s v="n."/>
    <s v="信封"/>
    <d v="2017-03-09T19:59:49"/>
    <d v="2017-03-09T20:45:51"/>
    <d v="2017-03-09T20:45:51"/>
    <m/>
    <d v="2017-03-09T20:47:15"/>
    <d v="2017-03-09T20:45:51"/>
    <s v=""/>
    <m/>
    <m/>
  </r>
  <r>
    <n v="2879"/>
    <x v="0"/>
    <x v="35"/>
    <s v="millionaire"/>
    <s v="n."/>
    <s v="百万富翁"/>
    <d v="2017-03-11T10:57:24"/>
    <d v="2017-03-11T10:57:24"/>
    <d v="2017-03-11T10:57:24"/>
    <m/>
    <d v="2017-03-11T12:01:20"/>
    <d v="2017-03-11T10:57:24"/>
    <s v=""/>
    <m/>
    <m/>
  </r>
  <r>
    <n v="2880"/>
    <x v="0"/>
    <x v="35"/>
    <s v="section"/>
    <s v="n."/>
    <s v="部分；章节"/>
    <d v="2017-03-11T10:57:29"/>
    <d v="2017-03-11T11:32:08"/>
    <d v="2017-03-11T11:32:08"/>
    <m/>
    <d v="2017-03-11T12:01:30"/>
    <d v="2017-03-11T11:32:08"/>
    <s v=""/>
    <m/>
    <m/>
  </r>
  <r>
    <n v="2881"/>
    <x v="0"/>
    <x v="35"/>
    <s v="teen"/>
    <s v="n."/>
    <s v="十几岁的少年"/>
    <d v="2017-03-11T10:57:32"/>
    <d v="2017-03-11T11:51:00"/>
    <d v="2017-03-11T11:51:00"/>
    <m/>
    <d v="2017-03-11T12:01:33"/>
    <d v="2017-03-11T11:51:00"/>
    <s v=""/>
    <m/>
    <m/>
  </r>
  <r>
    <n v="2882"/>
    <x v="0"/>
    <x v="35"/>
    <s v="from time to time"/>
    <s v="phrase"/>
    <s v="经常地"/>
    <d v="2017-03-11T10:57:33"/>
    <d v="2017-03-11T12:02:38"/>
    <d v="2017-03-11T12:02:38"/>
    <m/>
    <d v="2017-03-11T12:08:12"/>
    <d v="2017-03-11T12:02:38"/>
    <s v=""/>
    <m/>
    <m/>
  </r>
  <r>
    <n v="2883"/>
    <x v="0"/>
    <x v="35"/>
    <s v="come up with"/>
    <s v="v. phr."/>
    <s v="产生；想出"/>
    <d v="2017-03-11T10:57:36"/>
    <d v="2017-03-11T11:51:04"/>
    <d v="2017-03-11T11:51:04"/>
    <m/>
    <d v="2017-03-11T12:01:44"/>
    <d v="2017-03-11T11:51:04"/>
    <s v=""/>
    <m/>
    <m/>
  </r>
  <r>
    <n v="2884"/>
    <x v="0"/>
    <x v="35"/>
    <s v="mid-teens"/>
    <s v="n."/>
    <s v="（十六、七岁的）少男少女"/>
    <d v="2017-03-11T10:57:38"/>
    <d v="2017-03-11T11:51:08"/>
    <d v="2017-03-11T11:51:08"/>
    <m/>
    <d v="2017-03-11T12:01:49"/>
    <d v="2017-03-11T11:51:08"/>
    <s v=""/>
    <m/>
    <m/>
  </r>
  <r>
    <n v="2885"/>
    <x v="0"/>
    <x v="35"/>
    <s v="compete"/>
    <s v="v."/>
    <s v="比赛：竞争"/>
    <d v="2017-03-11T10:57:40"/>
    <d v="2017-03-11T12:07:59"/>
    <d v="2017-03-11T12:07:59"/>
    <m/>
    <d v="2017-03-11T12:08:16"/>
    <d v="2017-03-11T12:07:59"/>
    <s v=""/>
    <m/>
    <m/>
  </r>
  <r>
    <n v="2886"/>
    <x v="0"/>
    <x v="35"/>
    <s v="top"/>
    <s v="adj."/>
    <s v="顶级的；最好的"/>
    <d v="2017-03-11T10:57:41"/>
    <d v="2017-03-11T11:51:40"/>
    <d v="2017-03-11T11:51:40"/>
    <m/>
    <d v="2017-03-11T12:02:00"/>
    <d v="2017-03-11T11:51:40"/>
    <s v=""/>
    <m/>
    <m/>
  </r>
  <r>
    <n v="2887"/>
    <x v="0"/>
    <x v="35"/>
    <s v="all over the world"/>
    <s v="n. phr."/>
    <s v="全世界"/>
    <d v="2017-03-11T10:57:43"/>
    <d v="2017-03-11T10:57:43"/>
    <d v="2017-03-11T10:57:43"/>
    <m/>
    <d v="2017-03-11T12:02:04"/>
    <d v="2017-03-11T10:57:43"/>
    <s v=""/>
    <m/>
    <m/>
  </r>
  <r>
    <n v="2888"/>
    <x v="0"/>
    <x v="35"/>
    <s v="dollar"/>
    <s v="n."/>
    <s v="美元"/>
    <d v="2017-03-11T10:57:45"/>
    <d v="2017-03-11T10:57:45"/>
    <d v="2017-03-11T10:57:45"/>
    <m/>
    <d v="2017-03-11T12:02:06"/>
    <d v="2017-03-11T10:57:45"/>
    <s v=""/>
    <m/>
    <m/>
  </r>
  <r>
    <n v="2889"/>
    <x v="0"/>
    <x v="35"/>
    <s v="bra"/>
    <s v="n."/>
    <s v="乳罩"/>
    <d v="2017-03-11T10:57:47"/>
    <d v="2017-03-11T10:57:47"/>
    <d v="2017-03-11T10:57:47"/>
    <m/>
    <d v="2017-03-11T12:02:08"/>
    <d v="2017-03-11T10:57:47"/>
    <s v=""/>
    <m/>
    <m/>
  </r>
  <r>
    <n v="2890"/>
    <x v="0"/>
    <x v="35"/>
    <s v="skill"/>
    <s v="n."/>
    <s v="技术"/>
    <d v="2017-03-11T10:57:49"/>
    <d v="2017-03-11T11:51:43"/>
    <d v="2017-03-11T11:51:43"/>
    <m/>
    <d v="2017-03-11T12:02:11"/>
    <d v="2017-03-11T11:51:43"/>
    <s v=""/>
    <m/>
    <m/>
  </r>
  <r>
    <n v="2891"/>
    <x v="0"/>
    <x v="35"/>
    <s v="sweet"/>
    <s v="adj."/>
    <s v="漂亮可爱的"/>
    <d v="2017-03-11T10:57:50"/>
    <d v="2017-03-11T10:57:50"/>
    <d v="2017-03-11T10:57:50"/>
    <m/>
    <d v="2017-03-11T12:02:14"/>
    <d v="2017-03-11T10:57:50"/>
    <s v=""/>
    <m/>
    <m/>
  </r>
  <r>
    <n v="2892"/>
    <x v="0"/>
    <x v="35"/>
    <s v="luckily"/>
    <s v="adv."/>
    <s v="幸运地"/>
    <d v="2017-03-11T10:57:53"/>
    <d v="2017-03-11T10:57:53"/>
    <d v="2017-03-11T10:57:53"/>
    <m/>
    <d v="2017-03-11T12:02:17"/>
    <d v="2017-03-11T10:57:53"/>
    <s v=""/>
    <m/>
    <m/>
  </r>
  <r>
    <n v="2893"/>
    <x v="0"/>
    <x v="35"/>
    <s v="manage"/>
    <s v="v."/>
    <s v="设法；应付"/>
    <d v="2017-03-11T10:57:55"/>
    <d v="2017-03-11T11:51:45"/>
    <d v="2017-03-11T11:51:45"/>
    <m/>
    <d v="2017-03-11T12:02:26"/>
    <d v="2017-03-11T11:51:45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d v="2016-11-01T16:51:26"/>
    <d v="2016-11-01T21:07:45"/>
    <d v="2016-11-01T21:07:44"/>
    <m/>
    <d v="2016-11-01T21:13:08"/>
    <d v="2016-11-01T21:07:45"/>
    <s v=""/>
    <m/>
    <m/>
  </r>
  <r>
    <n v="3329"/>
    <x v="4"/>
    <x v="45"/>
    <s v="plus"/>
    <s v="prep."/>
    <s v="加"/>
    <d v="2016-11-01T16:51:30"/>
    <d v="2016-11-01T21:07:48"/>
    <d v="2016-11-01T21:07:48"/>
    <m/>
    <d v="2016-11-01T21:13:11"/>
    <d v="2016-11-01T21:07:48"/>
    <s v=""/>
    <m/>
    <m/>
  </r>
  <r>
    <n v="3330"/>
    <x v="4"/>
    <x v="45"/>
    <s v="sum"/>
    <s v="n."/>
    <s v="和"/>
    <d v="2016-11-01T16:51:34"/>
    <d v="2016-11-01T20:34:39"/>
    <d v="2016-11-01T20:34:39"/>
    <m/>
    <d v="2016-11-01T20:50:37"/>
    <d v="2016-11-01T20:34:39"/>
    <s v=""/>
    <m/>
    <m/>
  </r>
  <r>
    <n v="3331"/>
    <x v="4"/>
    <x v="45"/>
    <s v="subtract"/>
    <s v="v."/>
    <s v="减"/>
    <d v="2016-11-01T16:51:36"/>
    <d v="2016-11-01T20:48:39"/>
    <d v="2016-11-01T20:48:39"/>
    <m/>
    <d v="2016-11-01T20:50:40"/>
    <d v="2016-11-01T20:48:39"/>
    <s v=""/>
    <m/>
    <m/>
  </r>
  <r>
    <n v="3332"/>
    <x v="4"/>
    <x v="45"/>
    <s v="minus"/>
    <s v="prep."/>
    <s v="减"/>
    <d v="2016-11-01T16:51:38"/>
    <d v="2016-11-01T20:50:23"/>
    <d v="2016-11-01T20:50:23"/>
    <m/>
    <d v="2016-11-01T20:50:49"/>
    <d v="2016-11-01T20:50:23"/>
    <s v=""/>
    <m/>
    <m/>
  </r>
  <r>
    <n v="3333"/>
    <x v="4"/>
    <x v="45"/>
    <s v="difference"/>
    <s v="n."/>
    <s v="差"/>
    <d v="2016-11-01T16:51:39"/>
    <d v="2016-11-01T16:51:39"/>
    <d v="2016-11-01T16:51:39"/>
    <m/>
    <d v="2016-11-01T17:36:05"/>
    <d v="2016-11-01T16:51:39"/>
    <s v=""/>
    <m/>
    <m/>
  </r>
  <r>
    <n v="3334"/>
    <x v="4"/>
    <x v="45"/>
    <s v="differ"/>
    <s v="v."/>
    <s v="相差"/>
    <d v="2016-11-01T16:51:42"/>
    <d v="2016-11-01T16:51:42"/>
    <d v="2016-11-01T16:51:42"/>
    <m/>
    <d v="2016-11-01T17:36:09"/>
    <d v="2016-11-01T16:51:42"/>
    <s v=""/>
    <m/>
    <m/>
  </r>
  <r>
    <n v="3335"/>
    <x v="4"/>
    <x v="45"/>
    <s v="multiply"/>
    <s v="v."/>
    <s v="乘以"/>
    <d v="2016-11-01T16:51:44"/>
    <d v="2016-11-01T21:07:58"/>
    <d v="2016-11-01T21:07:58"/>
    <m/>
    <d v="2016-11-01T21:13:14"/>
    <d v="2016-11-01T21:07:58"/>
    <s v=""/>
    <m/>
    <m/>
  </r>
  <r>
    <n v="3336"/>
    <x v="4"/>
    <x v="45"/>
    <s v="times"/>
    <s v="prep."/>
    <s v="乘以"/>
    <d v="2016-11-01T16:51:45"/>
    <d v="2016-11-01T21:08:04"/>
    <d v="2016-11-01T21:08:01"/>
    <m/>
    <d v="2016-11-01T21:13:17"/>
    <d v="2016-11-01T21:08:04"/>
    <s v=""/>
    <m/>
    <m/>
  </r>
  <r>
    <n v="3337"/>
    <x v="4"/>
    <x v="45"/>
    <s v="product"/>
    <s v="n."/>
    <s v="积"/>
    <d v="2016-11-01T16:51:47"/>
    <d v="2016-11-01T21:08:17"/>
    <d v="2016-11-01T21:08:16"/>
    <m/>
    <d v="2016-11-01T21:13:20"/>
    <d v="2016-11-01T21:08:17"/>
    <s v=""/>
    <m/>
    <m/>
  </r>
  <r>
    <n v="3338"/>
    <x v="4"/>
    <x v="45"/>
    <s v="divide by"/>
    <s v="v. phr."/>
    <s v="除以"/>
    <d v="2016-11-01T16:51:49"/>
    <d v="2016-11-01T21:08:22"/>
    <d v="2016-11-01T21:08:22"/>
    <m/>
    <d v="2016-11-01T21:13:23"/>
    <d v="2016-11-01T21:08:22"/>
    <s v=""/>
    <m/>
    <m/>
  </r>
  <r>
    <n v="3339"/>
    <x v="4"/>
    <x v="45"/>
    <s v="quotient"/>
    <s v="n."/>
    <s v="商"/>
    <d v="2016-12-11T19:56:15"/>
    <d v="2016-12-11T19:56:15"/>
    <d v="2016-12-11T19:56:15"/>
    <m/>
    <d v="2016-12-11T20:08:03"/>
    <d v="2016-12-11T19:56:15"/>
    <s v=""/>
    <m/>
    <m/>
  </r>
  <r>
    <n v="3340"/>
    <x v="4"/>
    <x v="45"/>
    <s v="natural number"/>
    <s v="n. phr."/>
    <s v="自然数"/>
    <d v="2016-11-01T16:53:23"/>
    <d v="2016-11-01T21:08:47"/>
    <d v="2016-11-01T21:08:47"/>
    <m/>
    <d v="2016-11-01T21:13:30"/>
    <d v="2016-11-01T21:08:47"/>
    <s v=""/>
    <m/>
    <m/>
  </r>
  <r>
    <n v="3341"/>
    <x v="4"/>
    <x v="45"/>
    <s v="integer"/>
    <s v="n."/>
    <s v="整数"/>
    <d v="2016-11-01T16:53:25"/>
    <d v="2016-11-01T21:08:57"/>
    <d v="2016-11-01T21:08:57"/>
    <m/>
    <d v="2016-11-01T21:13:33"/>
    <d v="2016-11-01T21:08:57"/>
    <s v=""/>
    <m/>
    <m/>
  </r>
  <r>
    <n v="3342"/>
    <x v="4"/>
    <x v="45"/>
    <s v="fraction"/>
    <s v="n."/>
    <s v="分数"/>
    <d v="2016-12-11T19:56:19"/>
    <d v="2016-12-11T19:56:19"/>
    <d v="2016-12-11T19:56:19"/>
    <m/>
    <d v="2016-12-11T20:08:07"/>
    <d v="2016-12-11T19:56:19"/>
    <s v=""/>
    <m/>
    <m/>
  </r>
  <r>
    <n v="3343"/>
    <x v="4"/>
    <x v="45"/>
    <s v="numerator"/>
    <s v="n."/>
    <s v="分子"/>
    <d v="2016-12-11T19:56:25"/>
    <d v="2016-12-11T19:56:25"/>
    <d v="2016-12-11T19:56:25"/>
    <m/>
    <d v="2016-12-11T20:08:09"/>
    <d v="2016-12-11T19:56:25"/>
    <s v=""/>
    <m/>
    <m/>
  </r>
  <r>
    <n v="3344"/>
    <x v="4"/>
    <x v="45"/>
    <s v="denominator"/>
    <s v="n."/>
    <s v="分母"/>
    <d v="2016-12-11T19:56:33"/>
    <d v="2016-12-11T19:56:33"/>
    <d v="2016-12-11T19:56:33"/>
    <m/>
    <d v="2016-12-11T20:08:14"/>
    <d v="2016-12-11T19:56:33"/>
    <s v=""/>
    <m/>
    <m/>
  </r>
  <r>
    <n v="3345"/>
    <x v="4"/>
    <x v="45"/>
    <s v="proper fraction"/>
    <s v="n. phr."/>
    <s v="真分数"/>
    <d v="2016-12-11T19:56:42"/>
    <d v="2016-12-11T19:56:42"/>
    <d v="2016-12-11T19:56:42"/>
    <m/>
    <d v="2016-12-11T20:08:27"/>
    <d v="2016-12-11T19:56:42"/>
    <s v=""/>
    <m/>
    <m/>
  </r>
  <r>
    <n v="3346"/>
    <x v="4"/>
    <x v="45"/>
    <s v="complex fraction"/>
    <s v="n. phr."/>
    <s v="带分数"/>
    <d v="2016-11-01T16:53:35"/>
    <d v="2016-11-01T21:16:46"/>
    <d v="2016-11-01T21:16:46"/>
    <m/>
    <d v="2016-11-01T21:29:07"/>
    <d v="2016-11-01T21:16:46"/>
    <s v=""/>
    <m/>
    <m/>
  </r>
  <r>
    <n v="3347"/>
    <x v="4"/>
    <x v="45"/>
    <s v="improper fraction"/>
    <s v="n. phr."/>
    <s v="假分数"/>
    <d v="2016-11-01T16:53:37"/>
    <d v="2016-11-01T21:16:50"/>
    <d v="2016-11-01T21:16:50"/>
    <m/>
    <d v="2016-11-01T21:29:10"/>
    <d v="2016-11-01T21:16:50"/>
    <s v=""/>
    <m/>
    <m/>
  </r>
  <r>
    <n v="3348"/>
    <x v="4"/>
    <x v="45"/>
    <s v="decimal number"/>
    <s v="n. phr."/>
    <s v="小数"/>
    <d v="2016-12-11T19:56:53"/>
    <d v="2016-12-11T19:56:53"/>
    <d v="2016-12-11T19:56:53"/>
    <m/>
    <d v="2016-12-11T20:08:29"/>
    <d v="2016-12-11T19:56:53"/>
    <s v=""/>
    <m/>
    <m/>
  </r>
  <r>
    <n v="3349"/>
    <x v="4"/>
    <x v="45"/>
    <s v="decimal number point"/>
    <s v="n. phr."/>
    <s v="小数点"/>
    <d v="2016-11-01T16:53:41"/>
    <d v="2016-11-01T21:17:08"/>
    <d v="2016-11-01T21:17:08"/>
    <m/>
    <d v="2016-11-01T21:29:15"/>
    <d v="2016-11-01T21:17:08"/>
    <s v=""/>
    <m/>
    <m/>
  </r>
  <r>
    <n v="3350"/>
    <x v="4"/>
    <x v="46"/>
    <s v="rational number"/>
    <s v="n. phr."/>
    <s v="有理数"/>
    <d v="2016-11-02T19:20:19"/>
    <d v="2016-11-02T19:20:19"/>
    <d v="2016-11-02T19:20:19"/>
    <m/>
    <d v="2016-11-02T20:15:02"/>
    <d v="2016-11-02T19:20:19"/>
    <s v=""/>
    <m/>
    <m/>
  </r>
  <r>
    <n v="3351"/>
    <x v="4"/>
    <x v="46"/>
    <s v="irrational number"/>
    <s v="n. phr."/>
    <s v="无理数"/>
    <d v="2016-11-02T19:20:21"/>
    <d v="2016-11-02T19:20:21"/>
    <d v="2016-11-02T19:20:21"/>
    <m/>
    <d v="2016-11-02T20:15:04"/>
    <d v="2016-11-02T19:20:21"/>
    <s v=""/>
    <m/>
    <m/>
  </r>
  <r>
    <n v="3352"/>
    <x v="4"/>
    <x v="46"/>
    <s v="power"/>
    <s v="n."/>
    <s v="乘方"/>
    <d v="2016-11-02T19:41:28"/>
    <d v="2016-11-02T19:41:28"/>
    <d v="2016-11-02T19:41:28"/>
    <m/>
    <d v="2016-11-02T20:15:08"/>
    <d v="2016-11-02T19:41:28"/>
    <s v=""/>
    <m/>
    <m/>
  </r>
  <r>
    <n v="3353"/>
    <x v="4"/>
    <x v="46"/>
    <s v="factorial"/>
    <s v="n."/>
    <s v="阶乘"/>
    <d v="2016-11-02T19:41:30"/>
    <d v="2016-11-02T20:15:49"/>
    <d v="2016-11-02T20:15:49"/>
    <m/>
    <d v="2016-11-02T20:16:04"/>
    <d v="2016-11-02T20:15:49"/>
    <s v=""/>
    <m/>
    <m/>
  </r>
  <r>
    <n v="3354"/>
    <x v="4"/>
    <x v="45"/>
    <s v="percent"/>
    <s v="n."/>
    <s v="百分比"/>
    <d v="2016-11-01T16:53:43"/>
    <d v="2016-11-01T16:53:43"/>
    <d v="2016-11-01T16:53:43"/>
    <m/>
    <d v="2016-11-01T17:36:13"/>
    <d v="2016-11-01T16:53:43"/>
    <s v=""/>
    <m/>
    <m/>
  </r>
  <r>
    <n v="3355"/>
    <x v="4"/>
    <x v="45"/>
    <s v="ratio"/>
    <s v="n."/>
    <s v="比例"/>
    <d v="2016-12-11T20:07:07"/>
    <d v="2016-12-11T20:07:07"/>
    <d v="2016-12-11T20:07:07"/>
    <m/>
    <d v="2016-12-11T20:08:33"/>
    <d v="2016-12-11T20:07:07"/>
    <s v=""/>
    <m/>
    <m/>
  </r>
  <r>
    <n v="3356"/>
    <x v="4"/>
    <x v="45"/>
    <s v="proportion"/>
    <s v="n."/>
    <s v="比例等式"/>
    <d v="2016-12-11T20:07:09"/>
    <d v="2016-12-11T20:07:09"/>
    <d v="2016-12-11T20:07:09"/>
    <m/>
    <d v="2016-12-11T20:08:37"/>
    <d v="2016-12-11T20:07:09"/>
    <s v=""/>
    <m/>
    <m/>
  </r>
  <r>
    <n v="3357"/>
    <x v="4"/>
    <x v="45"/>
    <s v="equation"/>
    <s v="n."/>
    <s v="等式"/>
    <d v="2016-12-11T20:07:20"/>
    <d v="2016-12-11T20:07:20"/>
    <d v="2016-12-11T20:07:21"/>
    <m/>
    <d v="2016-12-11T20:08:39"/>
    <d v="2016-12-11T20:07:21"/>
    <s v=""/>
    <m/>
    <m/>
  </r>
  <r>
    <n v="3358"/>
    <x v="4"/>
    <x v="45"/>
    <s v="round"/>
    <s v="v."/>
    <s v="四舍五入"/>
    <d v="2016-12-11T20:07:23"/>
    <d v="2016-12-11T20:07:23"/>
    <d v="2016-12-11T20:07:23"/>
    <m/>
    <d v="2016-12-11T20:08:42"/>
    <d v="2016-12-11T20:07:23"/>
    <s v=""/>
    <m/>
    <m/>
  </r>
  <r>
    <n v="3359"/>
    <x v="4"/>
    <x v="45"/>
    <s v="average"/>
    <s v="n."/>
    <s v="平均"/>
    <d v="2016-12-11T19:23:58"/>
    <d v="2016-12-11T19:23:58"/>
    <d v="2016-12-11T19:23:58"/>
    <m/>
    <d v="2016-12-11T20:08:47"/>
    <d v="2016-12-11T19:23:58"/>
    <s v=""/>
    <m/>
    <m/>
  </r>
  <r>
    <n v="3360"/>
    <x v="4"/>
    <x v="45"/>
    <s v="arithmetic average"/>
    <s v="n. phr."/>
    <s v="算术平均"/>
    <d v="2016-12-11T20:10:34"/>
    <d v="2016-12-11T20:10:34"/>
    <d v="2016-12-11T20:10:34"/>
    <m/>
    <m/>
    <d v="2016-12-11T20:10:34"/>
    <s v=""/>
    <m/>
    <m/>
  </r>
  <r>
    <n v="3361"/>
    <x v="4"/>
    <x v="46"/>
    <s v="weighed average"/>
    <s v="n. phr."/>
    <s v="加权平均"/>
    <d v="2016-11-02T19:41:31"/>
    <d v="2016-11-02T20:14:52"/>
    <d v="2016-11-02T20:14:52"/>
    <m/>
    <d v="2016-11-02T20:15:14"/>
    <d v="2016-11-02T20:14:52"/>
    <s v=""/>
    <m/>
    <m/>
  </r>
  <r>
    <n v="3362"/>
    <x v="4"/>
    <x v="46"/>
    <s v="geometric average"/>
    <s v="n. phr."/>
    <s v="几何平均"/>
    <d v="2016-11-02T19:41:33"/>
    <d v="2016-11-02T19:41:33"/>
    <d v="2016-11-02T19:41:33"/>
    <m/>
    <d v="2016-11-02T20:15:23"/>
    <d v="2016-11-02T19:41:33"/>
    <s v=""/>
    <m/>
    <m/>
  </r>
  <r>
    <n v="3363"/>
    <x v="4"/>
    <x v="45"/>
    <s v="geometric"/>
    <s v="adj."/>
    <s v="跟乘法有关"/>
    <d v="2016-11-01T16:53:56"/>
    <d v="2016-11-01T21:28:10"/>
    <d v="2016-11-01T21:28:10"/>
    <m/>
    <d v="2016-11-01T21:29:21"/>
    <d v="2016-11-01T21:28:10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d v="2016-12-11T19:26:47"/>
    <d v="2016-12-11T20:09:42"/>
    <d v="2016-12-11T20:09:42"/>
    <m/>
    <d v="2016-12-11T20:09:54"/>
    <d v="2016-12-11T20:09:42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d v="2016-11-01T21:29:28"/>
    <s v=""/>
    <s v=""/>
    <m/>
    <m/>
  </r>
  <r>
    <n v="3368"/>
    <x v="4"/>
    <x v="46"/>
    <s v="Fibonacci Sequence"/>
    <s v="n. phr."/>
    <s v="斐波拉契数列"/>
    <d v="2016-11-02T19:41:34"/>
    <d v="2016-11-02T19:41:34"/>
    <d v="2016-11-02T19:41:34"/>
    <m/>
    <d v="2016-11-02T20:15:27"/>
    <d v="2016-11-02T19:41:34"/>
    <s v=""/>
    <m/>
    <m/>
  </r>
  <r>
    <n v="3369"/>
    <x v="4"/>
    <x v="45"/>
    <s v="length"/>
    <s v="n."/>
    <s v="长度"/>
    <m/>
    <m/>
    <m/>
    <m/>
    <d v="2016-11-01T17:37:03"/>
    <s v=""/>
    <s v=""/>
    <m/>
    <m/>
  </r>
  <r>
    <n v="3370"/>
    <x v="4"/>
    <x v="45"/>
    <s v="yard"/>
    <s v="n."/>
    <s v="英码"/>
    <m/>
    <m/>
    <m/>
    <m/>
    <d v="2016-11-01T21:29:31"/>
    <s v=""/>
    <s v=""/>
    <m/>
    <m/>
  </r>
  <r>
    <n v="3371"/>
    <x v="4"/>
    <x v="45"/>
    <s v="foot"/>
    <s v="n."/>
    <s v="英尺"/>
    <m/>
    <m/>
    <m/>
    <m/>
    <d v="2016-11-01T17:37:24"/>
    <s v=""/>
    <s v=""/>
    <m/>
    <m/>
  </r>
  <r>
    <n v="3372"/>
    <x v="4"/>
    <x v="45"/>
    <s v="inch"/>
    <s v="n."/>
    <s v="英寸"/>
    <m/>
    <m/>
    <m/>
    <m/>
    <d v="2016-11-01T17:37:28"/>
    <s v=""/>
    <s v=""/>
    <m/>
    <m/>
  </r>
  <r>
    <n v="3373"/>
    <x v="4"/>
    <x v="45"/>
    <s v="median"/>
    <s v="n."/>
    <s v="中位数"/>
    <m/>
    <m/>
    <m/>
    <m/>
    <d v="2016-11-01T21:37:03"/>
    <s v=""/>
    <s v=""/>
    <m/>
    <m/>
  </r>
  <r>
    <n v="3374"/>
    <x v="4"/>
    <x v="45"/>
    <s v="pie chart"/>
    <s v="n. phr."/>
    <s v="饼图"/>
    <d v="2016-11-01T16:54:13"/>
    <d v="2016-11-01T21:35:27"/>
    <d v="2016-11-01T21:35:27"/>
    <m/>
    <d v="2016-11-01T21:37:05"/>
    <d v="2016-11-01T21:35:27"/>
    <s v=""/>
    <m/>
    <m/>
  </r>
  <r>
    <n v="3375"/>
    <x v="4"/>
    <x v="45"/>
    <s v="bar chart"/>
    <s v="n. phr."/>
    <s v="柱状图"/>
    <d v="2016-11-01T16:54:14"/>
    <d v="2016-11-01T21:35:29"/>
    <d v="2016-11-01T21:35:29"/>
    <m/>
    <d v="2016-11-01T21:37:09"/>
    <d v="2016-11-01T21:35:29"/>
    <s v=""/>
    <m/>
    <m/>
  </r>
  <r>
    <n v="3376"/>
    <x v="4"/>
    <x v="45"/>
    <s v="line chart"/>
    <s v="n. phr."/>
    <s v="折线图"/>
    <d v="2016-11-01T16:54:16"/>
    <d v="2016-11-01T16:54:16"/>
    <d v="2016-11-01T16:54:16"/>
    <m/>
    <d v="2016-11-01T17:37:56"/>
    <d v="2016-11-01T16:54:16"/>
    <s v=""/>
    <m/>
    <m/>
  </r>
  <r>
    <n v="3377"/>
    <x v="4"/>
    <x v="46"/>
    <s v="scatter chart"/>
    <s v="n. phr."/>
    <s v="散点图"/>
    <d v="2016-11-02T19:44:17"/>
    <d v="2016-11-02T19:44:17"/>
    <d v="2016-11-02T19:44:17"/>
    <m/>
    <d v="2016-11-02T20:15:30"/>
    <d v="2016-11-02T19:44:17"/>
    <s v=""/>
    <m/>
    <m/>
  </r>
  <r>
    <n v="3378"/>
    <x v="4"/>
    <x v="46"/>
    <s v="scatter plot"/>
    <s v="n. phr."/>
    <s v="散点图"/>
    <d v="2016-11-02T20:13:50"/>
    <d v="2016-11-02T20:13:50"/>
    <d v="2016-11-02T20:13:50"/>
    <m/>
    <d v="2016-11-02T20:15:33"/>
    <d v="2016-11-02T20:13:50"/>
    <s v=""/>
    <m/>
    <m/>
  </r>
  <r>
    <n v="3379"/>
    <x v="4"/>
    <x v="46"/>
    <s v="trigonometry"/>
    <s v="n."/>
    <s v="三角函数"/>
    <d v="2016-11-02T20:16:13"/>
    <d v="2016-11-02T20:16:13"/>
    <d v="2016-11-02T20:16:13"/>
    <m/>
    <d v="2016-11-02T20:20:41"/>
    <d v="2016-11-02T20:16:13"/>
    <s v=""/>
    <m/>
    <m/>
  </r>
  <r>
    <n v="3380"/>
    <x v="4"/>
    <x v="45"/>
    <s v="digit"/>
    <s v="n."/>
    <s v="数字，数位"/>
    <m/>
    <m/>
    <m/>
    <m/>
    <d v="2016-11-01T17:38:01"/>
    <s v=""/>
    <s v=""/>
    <m/>
    <m/>
  </r>
  <r>
    <n v="3381"/>
    <x v="4"/>
    <x v="45"/>
    <s v="simple interest rate"/>
    <s v="n. phr."/>
    <s v="单利率"/>
    <m/>
    <m/>
    <m/>
    <m/>
    <d v="2016-11-01T17:35:20"/>
    <s v=""/>
    <s v=""/>
    <m/>
    <m/>
  </r>
  <r>
    <n v="3382"/>
    <x v="4"/>
    <x v="45"/>
    <s v="composite interest rate"/>
    <s v="n. phr."/>
    <s v="复利率"/>
    <m/>
    <m/>
    <m/>
    <m/>
    <d v="2016-11-01T17:35:24"/>
    <s v=""/>
    <s v=""/>
    <m/>
    <m/>
  </r>
  <r>
    <n v="3383"/>
    <x v="4"/>
    <x v="45"/>
    <s v="quadruple"/>
    <s v="adj."/>
    <s v="四倍"/>
    <m/>
    <m/>
    <m/>
    <m/>
    <d v="2016-11-01T21:38:31"/>
    <s v=""/>
    <s v=""/>
    <m/>
    <m/>
  </r>
  <r>
    <n v="3384"/>
    <x v="4"/>
    <x v="45"/>
    <s v="triple"/>
    <s v="adj."/>
    <s v="三倍"/>
    <m/>
    <m/>
    <m/>
    <m/>
    <d v="2016-11-01T21:37:16"/>
    <s v=""/>
    <s v=""/>
    <m/>
    <m/>
  </r>
  <r>
    <n v="3385"/>
    <x v="4"/>
    <x v="45"/>
    <s v="function"/>
    <s v="n."/>
    <s v="方程"/>
    <d v="2016-12-11T19:28:44"/>
    <d v="2016-12-11T19:28:44"/>
    <d v="2016-12-11T19:28:44"/>
    <m/>
    <d v="2016-12-11T20:08:57"/>
    <d v="2016-12-11T19:28:44"/>
    <s v=""/>
    <m/>
    <m/>
  </r>
  <r>
    <n v="3386"/>
    <x v="4"/>
    <x v="45"/>
    <s v="linear function"/>
    <s v="n. phr."/>
    <s v="一次方程"/>
    <m/>
    <m/>
    <m/>
    <m/>
    <d v="2016-11-01T17:35:37"/>
    <s v=""/>
    <s v=""/>
    <m/>
    <m/>
  </r>
  <r>
    <n v="3387"/>
    <x v="4"/>
    <x v="45"/>
    <s v="coordinate system"/>
    <s v="n. phr."/>
    <s v="平面直角坐标系"/>
    <m/>
    <m/>
    <m/>
    <m/>
    <d v="2016-11-01T17:14:27"/>
    <s v=""/>
    <s v=""/>
    <m/>
    <m/>
  </r>
  <r>
    <n v="3388"/>
    <x v="4"/>
    <x v="45"/>
    <s v="axis"/>
    <s v="n."/>
    <s v="坐标轴"/>
    <d v="2016-12-11T19:29:13"/>
    <d v="2016-12-11T19:29:13"/>
    <d v="2016-12-11T19:29:13"/>
    <m/>
    <d v="2016-12-11T20:09:07"/>
    <d v="2016-12-11T19:29:13"/>
    <s v=""/>
    <m/>
    <m/>
  </r>
  <r>
    <n v="3389"/>
    <x v="4"/>
    <x v="45"/>
    <s v="X axis"/>
    <s v="n. phr."/>
    <s v="X轴"/>
    <d v="2016-12-11T19:29:26"/>
    <d v="2016-12-11T19:29:26"/>
    <d v="2016-12-11T19:29:26"/>
    <m/>
    <d v="2016-12-11T20:09:11"/>
    <d v="2016-12-11T19:29:26"/>
    <s v=""/>
    <m/>
    <m/>
  </r>
  <r>
    <n v="3390"/>
    <x v="4"/>
    <x v="45"/>
    <s v="horizontal axis"/>
    <s v="n. phr."/>
    <s v="水平轴，X轴"/>
    <m/>
    <m/>
    <m/>
    <m/>
    <d v="2016-11-01T17:14:39"/>
    <s v=""/>
    <s v=""/>
    <m/>
    <m/>
  </r>
  <r>
    <n v="3391"/>
    <x v="4"/>
    <x v="45"/>
    <s v="Y axis"/>
    <s v="n. phr."/>
    <s v="Y轴"/>
    <d v="2016-12-11T19:29:35"/>
    <d v="2016-11-01T16:57:22"/>
    <d v="2016-12-11T19:29:35"/>
    <m/>
    <d v="2016-12-11T20:09:13"/>
    <d v="2016-12-11T19:29:35"/>
    <s v=""/>
    <m/>
    <m/>
  </r>
  <r>
    <n v="3392"/>
    <x v="4"/>
    <x v="45"/>
    <s v="vertical axis"/>
    <s v="n. phr."/>
    <s v="垂直轴，Y轴"/>
    <m/>
    <m/>
    <m/>
    <m/>
    <d v="2016-11-01T17:14:45"/>
    <s v=""/>
    <s v=""/>
    <m/>
    <m/>
  </r>
  <r>
    <n v="3393"/>
    <x v="4"/>
    <x v="45"/>
    <s v="horizontal"/>
    <s v="adj."/>
    <s v="水平的"/>
    <m/>
    <m/>
    <m/>
    <m/>
    <d v="2016-11-01T21:38:42"/>
    <s v=""/>
    <s v=""/>
    <m/>
    <m/>
  </r>
  <r>
    <n v="3394"/>
    <x v="4"/>
    <x v="45"/>
    <s v="vertical"/>
    <s v="adj."/>
    <s v="垂直的"/>
    <m/>
    <m/>
    <m/>
    <m/>
    <d v="2016-11-01T17:14:54"/>
    <s v=""/>
    <s v=""/>
    <m/>
    <m/>
  </r>
  <r>
    <n v="3395"/>
    <x v="4"/>
    <x v="45"/>
    <s v="plane"/>
    <s v="n."/>
    <s v="平面；坐标平面"/>
    <m/>
    <m/>
    <m/>
    <m/>
    <d v="2016-11-01T21:38:44"/>
    <s v=""/>
    <s v=""/>
    <m/>
    <m/>
  </r>
  <r>
    <n v="3396"/>
    <x v="4"/>
    <x v="46"/>
    <s v="coefficient"/>
    <s v="n."/>
    <s v="系数"/>
    <d v="2016-11-02T20:16:14"/>
    <d v="2016-11-02T20:16:14"/>
    <d v="2016-11-02T20:16:14"/>
    <m/>
    <d v="2016-11-02T20:20:45"/>
    <d v="2016-11-02T20:16:14"/>
    <s v=""/>
    <m/>
    <m/>
  </r>
  <r>
    <n v="3397"/>
    <x v="4"/>
    <x v="46"/>
    <s v="slope"/>
    <s v="n."/>
    <s v="斜率"/>
    <d v="2016-11-02T20:16:16"/>
    <d v="2016-11-02T20:17:20"/>
    <d v="2016-11-02T20:17:20"/>
    <m/>
    <d v="2016-11-02T20:20:47"/>
    <d v="2016-11-02T20:17:20"/>
    <s v=""/>
    <m/>
    <m/>
  </r>
  <r>
    <n v="3398"/>
    <x v="4"/>
    <x v="46"/>
    <s v="intersection"/>
    <s v="n."/>
    <s v="截距"/>
    <d v="2016-11-02T20:16:17"/>
    <d v="2016-11-02T20:20:21"/>
    <d v="2016-11-02T20:20:21"/>
    <m/>
    <d v="2016-11-02T20:20:50"/>
    <d v="2016-11-02T20:20:21"/>
    <s v=""/>
    <m/>
    <m/>
  </r>
  <r>
    <n v="3399"/>
    <x v="4"/>
    <x v="46"/>
    <s v="independent variable"/>
    <s v="n. phr."/>
    <s v="自变量"/>
    <d v="2016-11-02T20:16:19"/>
    <d v="2016-11-02T20:16:19"/>
    <d v="2016-11-02T20:16:19"/>
    <m/>
    <d v="2016-11-02T20:20:54"/>
    <d v="2016-11-02T20:16:19"/>
    <s v=""/>
    <m/>
    <m/>
  </r>
  <r>
    <n v="3400"/>
    <x v="4"/>
    <x v="46"/>
    <s v="dependent variable"/>
    <s v="n. phr."/>
    <s v="因变量"/>
    <d v="2016-11-02T20:16:20"/>
    <d v="2016-11-02T20:16:20"/>
    <d v="2016-11-02T20:16:20"/>
    <m/>
    <d v="2016-11-02T20:20:57"/>
    <d v="2016-11-02T20:16:20"/>
    <s v=""/>
    <m/>
    <m/>
  </r>
  <r>
    <n v="3401"/>
    <x v="4"/>
    <x v="45"/>
    <s v="variable"/>
    <s v="n."/>
    <s v="变量"/>
    <m/>
    <m/>
    <m/>
    <m/>
    <d v="2016-11-01T17:15:03"/>
    <s v=""/>
    <s v=""/>
    <m/>
    <m/>
  </r>
  <r>
    <n v="3402"/>
    <x v="4"/>
    <x v="46"/>
    <s v="domain"/>
    <s v="n."/>
    <s v="定义域（自变量取值范围）"/>
    <d v="2016-11-02T20:16:23"/>
    <d v="2016-11-02T20:20:31"/>
    <d v="2016-11-02T20:20:31"/>
    <m/>
    <d v="2016-11-02T20:21:00"/>
    <d v="2016-11-02T20:20:31"/>
    <s v=""/>
    <m/>
    <m/>
  </r>
  <r>
    <n v="3403"/>
    <x v="4"/>
    <x v="46"/>
    <s v="range"/>
    <s v="n."/>
    <s v="值域（函数值的范围）"/>
    <d v="2016-11-02T20:16:25"/>
    <d v="2016-11-02T20:16:25"/>
    <d v="2016-11-02T20:16:25"/>
    <m/>
    <d v="2016-11-02T20:21:04"/>
    <d v="2016-11-02T20:16:25"/>
    <s v=""/>
    <m/>
    <m/>
  </r>
  <r>
    <n v="3404"/>
    <x v="4"/>
    <x v="46"/>
    <s v="parabola"/>
    <s v="n."/>
    <s v="抛物线"/>
    <d v="2016-11-02T20:16:27"/>
    <d v="2016-11-02T20:16:27"/>
    <d v="2016-11-02T20:16:27"/>
    <m/>
    <d v="2016-11-02T20:21:07"/>
    <d v="2016-11-02T20:16:27"/>
    <s v=""/>
    <m/>
    <m/>
  </r>
  <r>
    <n v="3405"/>
    <x v="4"/>
    <x v="46"/>
    <s v="vector"/>
    <s v="n."/>
    <s v="向量"/>
    <d v="2016-11-02T20:16:29"/>
    <d v="2016-11-02T20:16:29"/>
    <d v="2016-11-02T20:16:29"/>
    <m/>
    <d v="2016-11-02T20:21:10"/>
    <d v="2016-11-02T20:16:29"/>
    <s v=""/>
    <m/>
    <m/>
  </r>
  <r>
    <n v="3406"/>
    <x v="4"/>
    <x v="45"/>
    <s v="factor"/>
    <s v="n."/>
    <s v="因数"/>
    <m/>
    <m/>
    <m/>
    <m/>
    <d v="2016-11-01T21:38:48"/>
    <s v=""/>
    <s v=""/>
    <m/>
    <m/>
  </r>
  <r>
    <n v="3407"/>
    <x v="4"/>
    <x v="45"/>
    <s v="common factor"/>
    <s v="n. phr."/>
    <s v="公因数"/>
    <m/>
    <m/>
    <m/>
    <m/>
    <d v="2016-11-01T17:15:13"/>
    <s v=""/>
    <s v=""/>
    <m/>
    <m/>
  </r>
  <r>
    <n v="3408"/>
    <x v="4"/>
    <x v="45"/>
    <s v="greatest common factor"/>
    <s v="n. phr."/>
    <s v="最大公因数"/>
    <m/>
    <m/>
    <m/>
    <m/>
    <d v="2016-11-01T17:15:16"/>
    <s v=""/>
    <s v=""/>
    <m/>
    <m/>
  </r>
  <r>
    <n v="3409"/>
    <x v="4"/>
    <x v="45"/>
    <s v="multiple"/>
    <s v="n."/>
    <s v="倍数"/>
    <d v="2016-11-01T16:57:39"/>
    <d v="2016-11-01T16:57:39"/>
    <d v="2016-11-01T16:57:39"/>
    <m/>
    <d v="2016-11-01T17:15:20"/>
    <d v="2016-11-01T16:57:39"/>
    <s v=""/>
    <m/>
    <m/>
  </r>
  <r>
    <n v="3410"/>
    <x v="4"/>
    <x v="45"/>
    <s v="common multiple"/>
    <s v="n. phr."/>
    <s v="公倍数"/>
    <d v="2016-12-11T19:31:26"/>
    <d v="2016-12-11T19:31:26"/>
    <d v="2016-12-11T19:31:26"/>
    <m/>
    <d v="2016-12-11T20:09:17"/>
    <d v="2016-12-11T19:31:26"/>
    <s v=""/>
    <m/>
    <m/>
  </r>
  <r>
    <n v="3411"/>
    <x v="4"/>
    <x v="45"/>
    <s v="least common multiple"/>
    <s v="n. phr."/>
    <s v="最小公倍数"/>
    <m/>
    <m/>
    <m/>
    <m/>
    <d v="2016-11-01T17:15:27"/>
    <s v=""/>
    <s v=""/>
    <m/>
    <m/>
  </r>
  <r>
    <n v="3412"/>
    <x v="4"/>
    <x v="45"/>
    <s v="prime"/>
    <s v="n."/>
    <s v="质数"/>
    <m/>
    <m/>
    <m/>
    <m/>
    <d v="2016-11-01T17:15:29"/>
    <s v=""/>
    <s v=""/>
    <m/>
    <m/>
  </r>
  <r>
    <n v="3413"/>
    <x v="4"/>
    <x v="45"/>
    <s v="prime factor"/>
    <s v="n. phr."/>
    <s v="质因数"/>
    <m/>
    <m/>
    <m/>
    <m/>
    <d v="2016-11-01T17:15:32"/>
    <s v=""/>
    <s v=""/>
    <m/>
    <m/>
  </r>
  <r>
    <n v="3414"/>
    <x v="4"/>
    <x v="45"/>
    <s v="composite"/>
    <s v="n."/>
    <s v="合数"/>
    <m/>
    <m/>
    <m/>
    <m/>
    <d v="2016-11-01T17:15:36"/>
    <s v=""/>
    <s v=""/>
    <m/>
    <m/>
  </r>
  <r>
    <n v="3415"/>
    <x v="4"/>
    <x v="45"/>
    <s v="divisible"/>
    <s v="adj."/>
    <s v="可除尽的"/>
    <m/>
    <m/>
    <m/>
    <m/>
    <d v="2016-11-01T17:15:40"/>
    <s v=""/>
    <s v=""/>
    <m/>
    <m/>
  </r>
  <r>
    <n v="3416"/>
    <x v="4"/>
    <x v="45"/>
    <s v="remainder"/>
    <s v="n."/>
    <s v="余数"/>
    <m/>
    <m/>
    <m/>
    <m/>
    <d v="2016-11-01T21:38:54"/>
    <s v=""/>
    <s v=""/>
    <m/>
    <m/>
  </r>
  <r>
    <n v="3417"/>
    <x v="5"/>
    <x v="47"/>
    <s v="lively"/>
    <s v="adj."/>
    <s v="活泼的；轻快的"/>
    <m/>
    <m/>
    <m/>
    <d v="2018-06-20T20:37:05"/>
    <m/>
    <s v=""/>
    <s v=""/>
    <m/>
    <m/>
  </r>
  <r>
    <n v="3418"/>
    <x v="5"/>
    <x v="47"/>
    <s v="modern"/>
    <s v="adj."/>
    <s v="现代的"/>
    <m/>
    <m/>
    <m/>
    <d v="2018-06-20T20:37:09"/>
    <m/>
    <s v=""/>
    <s v=""/>
    <m/>
    <m/>
  </r>
  <r>
    <n v="3419"/>
    <x v="5"/>
    <x v="47"/>
    <s v="noisy"/>
    <s v="adj."/>
    <s v="吵闹的"/>
    <m/>
    <m/>
    <m/>
    <d v="2018-06-20T20:37:19"/>
    <m/>
    <s v=""/>
    <s v=""/>
    <m/>
    <m/>
  </r>
  <r>
    <n v="3420"/>
    <x v="5"/>
    <x v="47"/>
    <s v="pop"/>
    <s v="adj."/>
    <s v="(=popular)流行的；受欢迎的"/>
    <m/>
    <m/>
    <m/>
    <d v="2018-06-20T20:37:27"/>
    <m/>
    <s v=""/>
    <s v=""/>
    <m/>
    <m/>
  </r>
  <r>
    <n v="3421"/>
    <x v="5"/>
    <x v="47"/>
    <s v="rock"/>
    <s v="n."/>
    <s v="摇滚乐"/>
    <m/>
    <m/>
    <m/>
    <d v="2018-06-20T20:37:37"/>
    <m/>
    <s v=""/>
    <s v=""/>
    <m/>
    <m/>
  </r>
  <r>
    <n v="3422"/>
    <x v="5"/>
    <x v="47"/>
    <s v="sound"/>
    <s v="n."/>
    <s v="声音"/>
    <m/>
    <m/>
    <m/>
    <d v="2018-06-20T20:37:43"/>
    <m/>
    <s v=""/>
    <s v=""/>
    <m/>
    <m/>
  </r>
  <r>
    <n v="3423"/>
    <x v="5"/>
    <x v="47"/>
    <s v="violin"/>
    <s v="n."/>
    <s v="小提琴"/>
    <m/>
    <m/>
    <m/>
    <d v="2018-06-20T20:37:50"/>
    <m/>
    <s v=""/>
    <s v=""/>
    <m/>
    <m/>
  </r>
  <r>
    <n v="3424"/>
    <x v="5"/>
    <x v="47"/>
    <s v="Western"/>
    <s v="adj."/>
    <s v="西方的"/>
    <m/>
    <m/>
    <m/>
    <d v="2018-06-20T20:38:01"/>
    <m/>
    <s v=""/>
    <s v=""/>
    <m/>
    <m/>
  </r>
  <r>
    <n v="3425"/>
    <x v="5"/>
    <x v="47"/>
    <s v="hmm"/>
    <s v="int."/>
    <s v="嗯"/>
    <m/>
    <m/>
    <m/>
    <d v="2018-06-20T20:38:03"/>
    <m/>
    <s v=""/>
    <s v=""/>
    <m/>
    <m/>
  </r>
  <r>
    <n v="3426"/>
    <x v="5"/>
    <x v="47"/>
    <s v="by"/>
    <s v="prep."/>
    <s v="由……创作；被；由"/>
    <m/>
    <m/>
    <m/>
    <d v="2018-06-20T20:38:06"/>
    <m/>
    <s v=""/>
    <s v=""/>
    <m/>
    <m/>
  </r>
  <r>
    <n v="3427"/>
    <x v="5"/>
    <x v="47"/>
    <s v="through"/>
    <s v="prep."/>
    <s v="穿过"/>
    <m/>
    <m/>
    <m/>
    <d v="2018-06-20T20:38:13"/>
    <m/>
    <s v=""/>
    <s v=""/>
    <m/>
    <m/>
  </r>
  <r>
    <n v="3428"/>
    <x v="5"/>
    <x v="47"/>
    <s v="both"/>
    <s v="pron."/>
    <s v="两个；两者"/>
    <m/>
    <m/>
    <m/>
    <d v="2018-06-20T20:38:17"/>
    <m/>
    <s v=""/>
    <s v=""/>
    <m/>
    <m/>
  </r>
  <r>
    <n v="3429"/>
    <x v="5"/>
    <x v="47"/>
    <s v="opera"/>
    <s v="n."/>
    <s v="歌剧"/>
    <m/>
    <m/>
    <m/>
    <d v="2018-06-20T20:38:26"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d v="2018-06-20T20:38:39"/>
    <m/>
    <s v=""/>
    <s v=""/>
    <m/>
    <m/>
  </r>
  <r>
    <n v="3432"/>
    <x v="5"/>
    <x v="47"/>
    <s v="believe"/>
    <s v="v."/>
    <s v="相信"/>
    <m/>
    <m/>
    <m/>
    <d v="2018-06-20T20:38:45"/>
    <m/>
    <s v=""/>
    <s v=""/>
    <m/>
    <m/>
  </r>
  <r>
    <n v="3433"/>
    <x v="5"/>
    <x v="47"/>
    <s v="musician"/>
    <s v="n."/>
    <s v="乐手；音乐家"/>
    <m/>
    <m/>
    <m/>
    <d v="2018-06-20T20:30:41"/>
    <m/>
    <s v=""/>
    <s v=""/>
    <m/>
    <m/>
  </r>
  <r>
    <n v="3434"/>
    <x v="5"/>
    <x v="47"/>
    <s v="centre"/>
    <s v="n."/>
    <s v="中心"/>
    <m/>
    <m/>
    <m/>
    <d v="2018-06-20T20:30:45"/>
    <m/>
    <s v=""/>
    <s v=""/>
    <m/>
    <m/>
  </r>
  <r>
    <n v="3435"/>
    <x v="5"/>
    <x v="47"/>
    <s v="European"/>
    <s v="adj."/>
    <s v="欧洲的"/>
    <m/>
    <m/>
    <m/>
    <d v="2018-06-20T20:39:15"/>
    <m/>
    <s v=""/>
    <s v=""/>
    <m/>
    <m/>
  </r>
  <r>
    <n v="3436"/>
    <x v="5"/>
    <x v="47"/>
    <s v="classical"/>
    <s v="adj."/>
    <s v="经典的；古典的"/>
    <m/>
    <m/>
    <m/>
    <d v="2018-06-20T20:39:26"/>
    <m/>
    <s v=""/>
    <s v=""/>
    <m/>
    <m/>
  </r>
  <r>
    <n v="3437"/>
    <x v="5"/>
    <x v="47"/>
    <s v="century"/>
    <s v="n."/>
    <s v="世纪"/>
    <m/>
    <m/>
    <m/>
    <d v="2018-06-20T20:39:32"/>
    <m/>
    <s v=""/>
    <s v=""/>
    <m/>
    <m/>
  </r>
  <r>
    <n v="3438"/>
    <x v="5"/>
    <x v="47"/>
    <s v="composer"/>
    <s v="n."/>
    <s v="作曲家"/>
    <m/>
    <m/>
    <m/>
    <d v="2018-06-20T20:39:40"/>
    <m/>
    <s v=""/>
    <s v=""/>
    <m/>
    <m/>
  </r>
  <r>
    <n v="3439"/>
    <x v="5"/>
    <x v="47"/>
    <s v="elder"/>
    <s v="adj."/>
    <s v="年长的"/>
    <m/>
    <m/>
    <m/>
    <d v="2018-06-20T20:39:44"/>
    <m/>
    <s v=""/>
    <s v=""/>
    <m/>
    <m/>
  </r>
  <r>
    <n v="3440"/>
    <x v="5"/>
    <x v="47"/>
    <s v="waltz"/>
    <s v="n."/>
    <s v="华尔兹舞（曲）"/>
    <m/>
    <m/>
    <m/>
    <d v="2018-06-20T20:39:50"/>
    <m/>
    <s v=""/>
    <s v=""/>
    <m/>
    <m/>
  </r>
  <r>
    <n v="3441"/>
    <x v="5"/>
    <x v="47"/>
    <s v="dance music"/>
    <s v="n. phr."/>
    <s v="舞曲"/>
    <m/>
    <m/>
    <m/>
    <d v="2018-06-20T20:39:57"/>
    <m/>
    <s v=""/>
    <s v=""/>
    <m/>
    <m/>
  </r>
  <r>
    <n v="3442"/>
    <x v="5"/>
    <x v="47"/>
    <s v="another"/>
    <s v="pron."/>
    <s v="又一个；再一个"/>
    <m/>
    <m/>
    <m/>
    <d v="2018-06-20T20:40:01"/>
    <m/>
    <s v=""/>
    <s v=""/>
    <m/>
    <m/>
  </r>
  <r>
    <n v="3443"/>
    <x v="5"/>
    <x v="47"/>
    <s v="piece"/>
    <s v="n."/>
    <s v="（写作、音乐或艺术的）作品"/>
    <m/>
    <m/>
    <m/>
    <d v="2018-06-20T20:40:06"/>
    <m/>
    <s v=""/>
    <s v=""/>
    <m/>
    <m/>
  </r>
  <r>
    <n v="3444"/>
    <x v="5"/>
    <x v="47"/>
    <s v="poor"/>
    <s v="adj."/>
    <s v="贫穷的"/>
    <m/>
    <m/>
    <m/>
    <d v="2018-06-20T20:40:10"/>
    <m/>
    <s v=""/>
    <s v=""/>
    <m/>
    <m/>
  </r>
  <r>
    <n v="3445"/>
    <x v="5"/>
    <x v="47"/>
    <s v="perfect"/>
    <s v="adj."/>
    <s v="完美的"/>
    <m/>
    <m/>
    <m/>
    <d v="2018-06-20T20:40:16"/>
    <m/>
    <s v=""/>
    <s v=""/>
    <m/>
    <m/>
  </r>
  <r>
    <n v="3446"/>
    <x v="5"/>
    <x v="47"/>
    <s v="sad"/>
    <s v="adj."/>
    <s v="令人悲伤的；令人难过的"/>
    <m/>
    <m/>
    <m/>
    <d v="2018-06-20T20:40:18"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d v="2018-06-24T18:45:23"/>
    <d v="2018-06-24T18:45:23"/>
    <d v="2018-06-24T18:45:23"/>
    <d v="2018-06-24T19:19:04"/>
    <m/>
    <d v="2018-06-24T18:45:23"/>
    <s v=""/>
    <m/>
    <m/>
  </r>
  <r>
    <n v="3590"/>
    <x v="5"/>
    <x v="52"/>
    <s v="error"/>
    <s v="n."/>
    <s v="错误"/>
    <d v="2018-06-24T19:00:24"/>
    <d v="2018-06-24T19:00:24"/>
    <d v="2018-06-24T19:00:24"/>
    <d v="2018-06-24T19:19:24"/>
    <m/>
    <d v="2018-06-24T19:00:24"/>
    <s v=""/>
    <m/>
    <m/>
  </r>
  <r>
    <n v="3591"/>
    <x v="5"/>
    <x v="52"/>
    <s v="purse"/>
    <s v="n."/>
    <s v="钱包（尤指女用）"/>
    <d v="2018-06-24T18:45:27"/>
    <d v="2018-06-24T18:45:27"/>
    <d v="2018-06-24T18:45:27"/>
    <d v="2018-06-24T19:19:30"/>
    <m/>
    <d v="2018-06-24T18:45:27"/>
    <s v=""/>
    <m/>
    <m/>
  </r>
  <r>
    <n v="3592"/>
    <x v="5"/>
    <x v="52"/>
    <s v="watch"/>
    <s v="v."/>
    <s v="观看/观察/看护"/>
    <d v="2018-06-24T19:00:12"/>
    <d v="2018-06-24T19:00:12"/>
    <d v="2018-06-24T19:00:12"/>
    <d v="2018-06-24T19:19:35"/>
    <m/>
    <d v="2018-06-24T19:00:12"/>
    <s v=""/>
    <m/>
    <m/>
  </r>
  <r>
    <n v="3593"/>
    <x v="5"/>
    <x v="52"/>
    <s v="loser"/>
    <s v="n."/>
    <s v="失败者"/>
    <d v="2018-06-24T19:41:48"/>
    <d v="2018-06-24T18:46:53"/>
    <d v="2018-06-24T18:46:53"/>
    <d v="2018-06-24T19:42:35"/>
    <m/>
    <d v="2018-06-24T19:41:48"/>
    <s v=""/>
    <m/>
    <m/>
  </r>
  <r>
    <n v="3594"/>
    <x v="5"/>
    <x v="52"/>
    <s v="loss"/>
    <s v="n."/>
    <s v="损失"/>
    <d v="2018-06-24T19:41:50"/>
    <d v="2018-06-24T19:01:43"/>
    <d v="2018-06-24T19:01:43"/>
    <d v="2018-06-24T19:42:39"/>
    <m/>
    <d v="2018-06-24T19:41:50"/>
    <s v=""/>
    <m/>
    <m/>
  </r>
  <r>
    <n v="3595"/>
    <x v="5"/>
    <x v="52"/>
    <s v="carefully"/>
    <s v="adv."/>
    <s v="仔细地"/>
    <d v="2018-06-24T19:42:08"/>
    <d v="2018-06-24T18:46:47"/>
    <d v="2018-06-24T18:46:47"/>
    <d v="2018-06-24T19:42:45"/>
    <m/>
    <d v="2018-06-24T19:42:08"/>
    <s v=""/>
    <m/>
    <m/>
  </r>
  <r>
    <n v="3596"/>
    <x v="5"/>
    <x v="52"/>
    <s v="clip"/>
    <s v="n."/>
    <s v="回形针"/>
    <d v="2018-06-24T19:42:06"/>
    <d v="2018-06-24T18:59:52"/>
    <d v="2018-06-24T18:59:52"/>
    <d v="2018-06-24T19:42:49"/>
    <m/>
    <d v="2018-06-24T19:42:06"/>
    <s v=""/>
    <m/>
    <m/>
  </r>
  <r>
    <n v="3597"/>
    <x v="5"/>
    <x v="52"/>
    <s v="calculator"/>
    <s v="n."/>
    <s v="计算器"/>
    <d v="2018-06-24T19:07:25"/>
    <d v="2018-06-24T19:07:25"/>
    <d v="2018-06-24T19:07:25"/>
    <d v="2018-06-24T19:20:31"/>
    <m/>
    <d v="2018-06-24T19:07:25"/>
    <s v=""/>
    <m/>
    <m/>
  </r>
  <r>
    <n v="3598"/>
    <x v="5"/>
    <x v="52"/>
    <s v="pin"/>
    <s v="n."/>
    <s v="别针"/>
    <d v="2018-06-24T18:46:41"/>
    <d v="2018-06-24T18:46:41"/>
    <d v="2018-06-24T18:46:41"/>
    <d v="2018-06-24T19:20:35"/>
    <m/>
    <d v="2018-06-24T18:46:41"/>
    <s v=""/>
    <m/>
    <m/>
  </r>
  <r>
    <n v="3599"/>
    <x v="5"/>
    <x v="52"/>
    <s v="compasses"/>
    <s v="n."/>
    <s v="圆规"/>
    <d v="2018-06-24T19:02:14"/>
    <d v="2018-06-24T19:02:14"/>
    <d v="2018-06-24T19:02:14"/>
    <d v="2018-06-24T19:20:42"/>
    <m/>
    <d v="2018-06-24T19:02:14"/>
    <s v=""/>
    <m/>
    <m/>
  </r>
  <r>
    <n v="3600"/>
    <x v="5"/>
    <x v="52"/>
    <s v="stapler"/>
    <s v="n."/>
    <s v="订书机"/>
    <d v="2018-06-24T19:42:04"/>
    <d v="2018-06-24T19:07:22"/>
    <d v="2018-06-24T19:07:22"/>
    <d v="2018-06-24T19:42:55"/>
    <m/>
    <d v="2018-06-24T19:42:04"/>
    <s v=""/>
    <m/>
    <m/>
  </r>
  <r>
    <n v="3601"/>
    <x v="5"/>
    <x v="52"/>
    <s v="post-it"/>
    <s v="n."/>
    <s v="便签"/>
    <d v="2018-06-24T19:03:29"/>
    <d v="2018-06-24T19:03:29"/>
    <d v="2018-06-24T19:03:29"/>
    <d v="2018-06-24T19:21:16"/>
    <m/>
    <d v="2018-06-24T19:03:29"/>
    <s v=""/>
    <m/>
    <m/>
  </r>
  <r>
    <n v="3602"/>
    <x v="5"/>
    <x v="52"/>
    <s v="scissors"/>
    <s v="n."/>
    <s v="剪刀"/>
    <d v="2018-06-24T19:03:41"/>
    <d v="2018-06-24T19:03:41"/>
    <d v="2018-06-24T19:03:41"/>
    <d v="2018-06-24T19:21:21"/>
    <m/>
    <d v="2018-06-24T19:03:41"/>
    <s v=""/>
    <m/>
    <m/>
  </r>
  <r>
    <n v="3603"/>
    <x v="5"/>
    <x v="52"/>
    <s v="colored crayons"/>
    <s v="phrase"/>
    <s v="彩色蜡笔"/>
    <d v="2018-06-24T19:06:53"/>
    <d v="2018-06-24T19:06:53"/>
    <d v="2018-06-24T19:06:53"/>
    <d v="2018-06-24T19:21:33"/>
    <m/>
    <d v="2018-06-24T19:06:53"/>
    <s v=""/>
    <m/>
    <m/>
  </r>
  <r>
    <n v="3604"/>
    <x v="5"/>
    <x v="52"/>
    <s v="erase the errors"/>
    <s v="phrase"/>
    <s v="擦除错误"/>
    <d v="2018-06-24T19:04:00"/>
    <d v="2018-06-24T19:04:00"/>
    <d v="2018-06-24T19:04:00"/>
    <d v="2018-06-24T19:21:46"/>
    <m/>
    <d v="2018-06-24T19:04:00"/>
    <s v=""/>
    <m/>
    <m/>
  </r>
  <r>
    <n v="3605"/>
    <x v="5"/>
    <x v="52"/>
    <s v="a pair of gloves"/>
    <s v="phrase"/>
    <s v="一双手套"/>
    <d v="2018-06-24T18:46:29"/>
    <d v="2018-06-24T18:46:29"/>
    <d v="2018-06-24T18:46:29"/>
    <d v="2018-06-24T19:22:04"/>
    <m/>
    <d v="2018-06-24T18:46:29"/>
    <s v=""/>
    <m/>
    <m/>
  </r>
  <r>
    <n v="3606"/>
    <x v="5"/>
    <x v="52"/>
    <s v="watch insects"/>
    <s v="phrase"/>
    <s v="观察昆虫"/>
    <d v="2018-06-24T18:46:27"/>
    <d v="2018-06-24T18:46:27"/>
    <d v="2018-06-24T18:46:27"/>
    <d v="2018-06-24T19:22:19"/>
    <m/>
    <d v="2018-06-24T18:46:27"/>
    <s v=""/>
    <m/>
    <m/>
  </r>
  <r>
    <n v="3607"/>
    <x v="5"/>
    <x v="52"/>
    <s v="some tapes"/>
    <s v="phrase"/>
    <s v="一些磁带"/>
    <d v="2018-06-24T18:58:17"/>
    <d v="2018-06-24T18:58:17"/>
    <d v="2018-06-24T18:58:17"/>
    <d v="2018-06-24T19:22:30"/>
    <m/>
    <d v="2018-06-24T18:58:17"/>
    <s v=""/>
    <m/>
    <m/>
  </r>
  <r>
    <n v="3608"/>
    <x v="5"/>
    <x v="52"/>
    <s v="a tape measure"/>
    <s v="phrase"/>
    <s v="卷尺"/>
    <d v="2018-06-24T19:04:09"/>
    <d v="2018-06-24T19:04:09"/>
    <d v="2018-06-24T19:04:09"/>
    <d v="2018-06-24T19:22:40"/>
    <m/>
    <d v="2018-06-24T19:04:09"/>
    <s v=""/>
    <m/>
    <m/>
  </r>
  <r>
    <n v="3609"/>
    <x v="5"/>
    <x v="52"/>
    <s v="on the phone"/>
    <s v="phrase"/>
    <s v="在打电话"/>
    <d v="2018-06-24T18:58:04"/>
    <d v="2018-06-24T18:58:04"/>
    <d v="2018-06-24T18:58:04"/>
    <d v="2018-06-24T19:22:47"/>
    <m/>
    <d v="2018-06-24T18:58:04"/>
    <s v=""/>
    <m/>
    <m/>
  </r>
  <r>
    <n v="3610"/>
    <x v="5"/>
    <x v="52"/>
    <s v="ask for help by phone"/>
    <s v="phrase"/>
    <s v="通过电话求助"/>
    <d v="2018-06-24T19:04:19"/>
    <d v="2018-06-24T19:04:19"/>
    <d v="2018-06-24T19:04:19"/>
    <d v="2018-06-24T19:23:10"/>
    <m/>
    <d v="2018-06-24T19:04:19"/>
    <s v=""/>
    <m/>
    <m/>
  </r>
  <r>
    <n v="3611"/>
    <x v="5"/>
    <x v="52"/>
    <s v="a pair of ducks"/>
    <s v="phrase"/>
    <s v="一对鸭子"/>
    <d v="2018-06-24T18:46:18"/>
    <d v="2018-06-24T18:46:18"/>
    <d v="2018-06-24T18:46:18"/>
    <d v="2018-06-24T19:23:19"/>
    <m/>
    <d v="2018-06-24T18:46:18"/>
    <s v=""/>
    <m/>
    <m/>
  </r>
  <r>
    <n v="3612"/>
    <x v="5"/>
    <x v="52"/>
    <s v="fifteen kilos of sausages"/>
    <s v="phrase"/>
    <s v="十五千克香肠"/>
    <d v="2018-06-24T19:42:01"/>
    <d v="2018-06-24T18:57:52"/>
    <d v="2018-06-24T18:57:52"/>
    <d v="2018-06-24T19:43:10"/>
    <m/>
    <d v="2018-06-24T19:42:01"/>
    <s v=""/>
    <m/>
    <m/>
  </r>
  <r>
    <n v="3613"/>
    <x v="5"/>
    <x v="52"/>
    <s v="lose money"/>
    <s v="phrase"/>
    <s v="丢钱"/>
    <d v="2018-06-24T18:46:11"/>
    <d v="2018-06-24T18:46:11"/>
    <d v="2018-06-24T18:46:11"/>
    <d v="2018-06-24T19:24:01"/>
    <m/>
    <d v="2018-06-24T18:46:11"/>
    <s v=""/>
    <m/>
    <m/>
  </r>
  <r>
    <n v="3614"/>
    <x v="5"/>
    <x v="52"/>
    <s v="lose the game"/>
    <s v="phrase"/>
    <s v="输掉比赛"/>
    <d v="2018-06-24T19:06:43"/>
    <d v="2018-06-24T19:06:43"/>
    <d v="2018-06-24T19:06:43"/>
    <d v="2018-06-24T19:24:10"/>
    <m/>
    <d v="2018-06-24T19:06:43"/>
    <s v=""/>
    <m/>
    <m/>
  </r>
  <r>
    <n v="3615"/>
    <x v="5"/>
    <x v="52"/>
    <s v="lose face"/>
    <s v="phrase"/>
    <s v="丢脸"/>
    <d v="2018-06-24T18:46:06"/>
    <d v="2018-06-24T18:46:06"/>
    <d v="2018-06-24T18:46:06"/>
    <d v="2018-06-24T19:24:15"/>
    <m/>
    <d v="2018-06-24T18:46:06"/>
    <s v=""/>
    <m/>
    <m/>
  </r>
  <r>
    <n v="3616"/>
    <x v="5"/>
    <x v="52"/>
    <s v="lose heart"/>
    <s v="phrase"/>
    <s v="丧失信心"/>
    <d v="2018-06-24T18:57:16"/>
    <d v="2018-06-24T18:57:16"/>
    <d v="2018-06-24T18:57:16"/>
    <d v="2018-06-24T19:24:20"/>
    <m/>
    <d v="2018-06-24T18:57:16"/>
    <s v=""/>
    <m/>
    <m/>
  </r>
  <r>
    <n v="3617"/>
    <x v="5"/>
    <x v="52"/>
    <s v="lose weight"/>
    <s v="phrase"/>
    <s v="减肥"/>
    <d v="2018-06-24T18:46:02"/>
    <d v="2018-06-24T18:46:02"/>
    <d v="2018-06-24T18:46:02"/>
    <d v="2018-06-24T19:24:25"/>
    <m/>
    <d v="2018-06-24T18:46:02"/>
    <s v=""/>
    <m/>
    <m/>
  </r>
  <r>
    <n v="3618"/>
    <x v="5"/>
    <x v="52"/>
    <s v="get lost"/>
    <s v="phrase"/>
    <s v="迷路的"/>
    <d v="2018-06-24T19:42:00"/>
    <d v="2018-06-24T19:06:34"/>
    <d v="2018-06-24T19:06:34"/>
    <d v="2018-06-24T19:43:16"/>
    <m/>
    <d v="2018-06-24T19:42:00"/>
    <s v=""/>
    <m/>
    <m/>
  </r>
  <r>
    <n v="3619"/>
    <x v="5"/>
    <x v="52"/>
    <s v="find a needle in a haystack"/>
    <s v="phrase"/>
    <s v="大海捞针"/>
    <d v="2018-06-24T19:45:21"/>
    <d v="2018-06-24T19:05:31"/>
    <d v="2018-06-24T19:05:31"/>
    <d v="2018-06-24T19:46:08"/>
    <m/>
    <d v="2018-06-24T19:45:21"/>
    <s v=""/>
    <m/>
    <m/>
  </r>
  <r>
    <n v="3620"/>
    <x v="5"/>
    <x v="52"/>
    <s v="look for"/>
    <s v="phrase"/>
    <s v="寻找"/>
    <d v="2018-06-24T18:45:55"/>
    <d v="2018-06-24T18:45:55"/>
    <d v="2018-06-24T18:45:55"/>
    <d v="2018-06-24T19:25:00"/>
    <m/>
    <d v="2018-06-24T18:45:55"/>
    <s v=""/>
    <m/>
    <m/>
  </r>
  <r>
    <n v="3621"/>
    <x v="5"/>
    <x v="52"/>
    <s v="at last"/>
    <s v="phrase"/>
    <s v="最终/最后"/>
    <d v="2018-06-24T19:41:56"/>
    <d v="2018-06-24T18:45:52"/>
    <d v="2018-06-24T18:45:52"/>
    <d v="2018-06-24T19:44:22"/>
    <m/>
    <d v="2018-06-24T19:41:56"/>
    <s v=""/>
    <m/>
    <m/>
  </r>
  <r>
    <n v="3622"/>
    <x v="5"/>
    <x v="52"/>
    <s v="at first"/>
    <s v="phrase"/>
    <s v="起初、起先"/>
    <d v="2018-06-24T18:45:50"/>
    <d v="2018-06-24T18:45:50"/>
    <d v="2018-06-24T18:45:50"/>
    <d v="2018-06-24T19:25:13"/>
    <m/>
    <d v="2018-06-24T18:45:50"/>
    <s v=""/>
    <m/>
    <m/>
  </r>
  <r>
    <n v="3623"/>
    <x v="5"/>
    <x v="52"/>
    <s v="care about making money"/>
    <s v="phrase"/>
    <s v="对挣钱在意"/>
    <d v="2018-06-24T19:41:54"/>
    <d v="2018-06-24T19:05:42"/>
    <d v="2018-06-24T19:05:42"/>
    <d v="2018-06-24T19:44:36"/>
    <m/>
    <d v="2018-06-24T19:41:54"/>
    <s v=""/>
    <m/>
    <m/>
  </r>
  <r>
    <n v="3624"/>
    <x v="5"/>
    <x v="52"/>
    <s v="work carefully"/>
    <s v="phrase"/>
    <s v="认真工作"/>
    <d v="2018-06-24T18:56:16"/>
    <d v="2018-06-24T18:56:16"/>
    <d v="2018-06-24T18:56:16"/>
    <d v="2018-06-24T19:25:45"/>
    <m/>
    <d v="2018-06-24T18:56:16"/>
    <s v=""/>
    <m/>
    <m/>
  </r>
  <r>
    <n v="3625"/>
    <x v="5"/>
    <x v="52"/>
    <s v="from now on"/>
    <s v="phrase"/>
    <s v="从这时起"/>
    <d v="2018-06-24T18:45:44"/>
    <d v="2018-06-24T18:45:44"/>
    <d v="2018-06-24T18:45:44"/>
    <d v="2018-06-24T19:25:52"/>
    <m/>
    <d v="2018-06-24T18:45:44"/>
    <s v=""/>
    <m/>
    <m/>
  </r>
  <r>
    <n v="3626"/>
    <x v="5"/>
    <x v="52"/>
    <s v="a file holder"/>
    <s v="phrase"/>
    <s v="文件夹/文件架"/>
    <d v="2018-06-24T19:05:52"/>
    <d v="2018-06-24T19:05:52"/>
    <d v="2018-06-24T19:05:52"/>
    <d v="2018-06-24T19:26:11"/>
    <m/>
    <d v="2018-06-24T19:05:52"/>
    <s v=""/>
    <m/>
    <m/>
  </r>
  <r>
    <n v="3627"/>
    <x v="5"/>
    <x v="53"/>
    <s v="taxi/cab"/>
    <s v="n."/>
    <s v="出租车"/>
    <m/>
    <m/>
    <m/>
    <d v="2018-06-24T19:39:24"/>
    <m/>
    <s v=""/>
    <s v=""/>
    <m/>
    <m/>
  </r>
  <r>
    <n v="3628"/>
    <x v="5"/>
    <x v="53"/>
    <s v="leave"/>
    <s v="v."/>
    <s v="休假/离开/留下"/>
    <m/>
    <m/>
    <m/>
    <d v="2018-06-24T19:28:02"/>
    <m/>
    <s v=""/>
    <s v=""/>
    <m/>
    <m/>
  </r>
  <r>
    <n v="3629"/>
    <x v="5"/>
    <x v="53"/>
    <s v="airline"/>
    <s v="n."/>
    <s v="航空公司"/>
    <m/>
    <m/>
    <m/>
    <d v="2018-06-24T19:34:40"/>
    <m/>
    <s v=""/>
    <s v=""/>
    <m/>
    <m/>
  </r>
  <r>
    <n v="3630"/>
    <x v="5"/>
    <x v="53"/>
    <s v="welcome"/>
    <s v="adj."/>
    <s v="受欢迎的"/>
    <m/>
    <m/>
    <m/>
    <d v="2018-06-24T19:34:49"/>
    <m/>
    <s v=""/>
    <s v=""/>
    <m/>
    <m/>
  </r>
  <r>
    <n v="3631"/>
    <x v="5"/>
    <x v="53"/>
    <s v="on the plane"/>
    <s v="phrase"/>
    <s v="在飞机上"/>
    <m/>
    <m/>
    <m/>
    <d v="2018-06-24T19:39:34"/>
    <m/>
    <s v=""/>
    <s v=""/>
    <m/>
    <m/>
  </r>
  <r>
    <n v="3632"/>
    <x v="5"/>
    <x v="53"/>
    <s v="take a taxi/cab"/>
    <s v="phrase"/>
    <s v="打的"/>
    <m/>
    <m/>
    <m/>
    <d v="2018-06-24T19:39:48"/>
    <m/>
    <s v=""/>
    <s v=""/>
    <m/>
    <m/>
  </r>
  <r>
    <n v="3633"/>
    <x v="5"/>
    <x v="53"/>
    <s v="a small wooden boat"/>
    <s v="phrase"/>
    <s v="小木船"/>
    <m/>
    <m/>
    <m/>
    <d v="2018-06-24T19:35:41"/>
    <m/>
    <s v=""/>
    <s v=""/>
    <m/>
    <m/>
  </r>
  <r>
    <n v="3634"/>
    <x v="5"/>
    <x v="53"/>
    <s v="hundreds of people"/>
    <s v="phrase"/>
    <s v="成百上千的人"/>
    <m/>
    <m/>
    <m/>
    <d v="2018-06-24T19:41:17"/>
    <m/>
    <s v=""/>
    <s v=""/>
    <m/>
    <m/>
  </r>
  <r>
    <n v="3635"/>
    <x v="5"/>
    <x v="53"/>
    <s v="thousands of seabirds"/>
    <s v="phrase"/>
    <s v="成千上万的海鸟"/>
    <m/>
    <m/>
    <m/>
    <d v="2018-06-24T19:37:27"/>
    <m/>
    <s v=""/>
    <s v=""/>
    <m/>
    <m/>
  </r>
  <r>
    <n v="3636"/>
    <x v="5"/>
    <x v="53"/>
    <s v="in a hurry"/>
    <s v="phrase"/>
    <s v="匆忙"/>
    <m/>
    <m/>
    <m/>
    <d v="2018-06-24T19:30:35"/>
    <m/>
    <s v=""/>
    <s v=""/>
    <m/>
    <m/>
  </r>
  <r>
    <n v="3637"/>
    <x v="5"/>
    <x v="53"/>
    <s v="leave work"/>
    <s v="phrase"/>
    <s v="下班"/>
    <m/>
    <m/>
    <m/>
    <d v="2018-06-24T19:30:45"/>
    <m/>
    <s v=""/>
    <s v=""/>
    <m/>
    <m/>
  </r>
  <r>
    <n v="3638"/>
    <x v="5"/>
    <x v="53"/>
    <s v="ask for leave"/>
    <s v="phrase"/>
    <s v="请假"/>
    <m/>
    <m/>
    <m/>
    <d v="2018-06-24T19:37:38"/>
    <m/>
    <s v=""/>
    <s v=""/>
    <m/>
    <m/>
  </r>
  <r>
    <n v="3639"/>
    <x v="5"/>
    <x v="53"/>
    <s v="leave all your cares behind"/>
    <s v="phrase"/>
    <s v="抛开一切烦恼"/>
    <m/>
    <m/>
    <m/>
    <d v="2018-06-24T19:31:35"/>
    <m/>
    <s v=""/>
    <s v=""/>
    <m/>
    <m/>
  </r>
  <r>
    <n v="3640"/>
    <x v="5"/>
    <x v="53"/>
    <s v="leave for"/>
    <s v="phrase"/>
    <s v="前往某地"/>
    <m/>
    <m/>
    <m/>
    <d v="2018-06-24T19:40:54"/>
    <m/>
    <s v=""/>
    <s v=""/>
    <m/>
    <m/>
  </r>
  <r>
    <n v="3641"/>
    <x v="5"/>
    <x v="53"/>
    <s v="at the airport"/>
    <s v="phrase"/>
    <s v="在机场"/>
    <m/>
    <m/>
    <m/>
    <d v="2018-06-24T19:32:13"/>
    <m/>
    <s v=""/>
    <s v=""/>
    <m/>
    <m/>
  </r>
  <r>
    <n v="3642"/>
    <x v="5"/>
    <x v="53"/>
    <s v="Beijing International Airport"/>
    <s v="phrase"/>
    <s v="北京国际机场"/>
    <m/>
    <m/>
    <m/>
    <d v="2018-06-24T19:38:27"/>
    <m/>
    <s v=""/>
    <s v=""/>
    <m/>
    <m/>
  </r>
  <r>
    <n v="3643"/>
    <x v="5"/>
    <x v="53"/>
    <s v="a Chinese airline"/>
    <s v="phrase"/>
    <s v="一家中国航空公司"/>
    <m/>
    <m/>
    <m/>
    <d v="2018-06-24T19:38:46"/>
    <m/>
    <s v=""/>
    <s v=""/>
    <m/>
    <m/>
  </r>
  <r>
    <n v="3644"/>
    <x v="5"/>
    <x v="53"/>
    <s v="have a look at"/>
    <s v="phrase"/>
    <s v="看一看"/>
    <m/>
    <m/>
    <m/>
    <d v="2018-06-24T19:41:04"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d v="2018-06-25T21:33:18"/>
    <d v="2018-06-25T21:33:18"/>
    <d v="2018-06-25T21:33:18"/>
    <d v="2018-06-25T21:52:50"/>
    <m/>
    <d v="2018-06-25T21:33:18"/>
    <s v=""/>
    <m/>
    <m/>
  </r>
  <r>
    <n v="3690"/>
    <x v="5"/>
    <x v="56"/>
    <s v="collection"/>
    <s v="n."/>
    <s v="收藏"/>
    <d v="2018-06-25T21:33:29"/>
    <d v="2018-06-25T21:33:29"/>
    <d v="2018-06-25T21:33:29"/>
    <d v="2018-06-25T21:39:05"/>
    <m/>
    <d v="2018-06-25T21:33:29"/>
    <s v=""/>
    <m/>
    <m/>
  </r>
  <r>
    <n v="3691"/>
    <x v="5"/>
    <x v="56"/>
    <s v="cheerful"/>
    <s v="adj."/>
    <s v="欢乐的，令人愉快的"/>
    <d v="2018-06-25T21:33:39"/>
    <d v="2018-06-25T21:33:39"/>
    <d v="2018-06-25T21:33:39"/>
    <d v="2018-06-25T21:39:11"/>
    <m/>
    <d v="2018-06-25T21:33:39"/>
    <s v=""/>
    <m/>
    <m/>
  </r>
  <r>
    <n v="3692"/>
    <x v="5"/>
    <x v="56"/>
    <s v="camp"/>
    <s v="v."/>
    <s v="扎营"/>
    <d v="2018-06-25T21:33:44"/>
    <d v="2018-06-25T21:33:44"/>
    <d v="2018-06-25T21:33:44"/>
    <d v="2018-06-25T21:39:15"/>
    <m/>
    <d v="2018-06-25T21:33:44"/>
    <s v=""/>
    <m/>
    <m/>
  </r>
  <r>
    <n v="3693"/>
    <x v="5"/>
    <x v="56"/>
    <s v="check one's email"/>
    <s v="phrase"/>
    <s v="查邮件"/>
    <d v="2018-06-25T21:33:50"/>
    <d v="2018-06-25T21:33:50"/>
    <d v="2018-06-25T21:33:50"/>
    <d v="2018-06-25T21:39:46"/>
    <m/>
    <d v="2018-06-25T21:33:50"/>
    <s v=""/>
    <m/>
    <m/>
  </r>
  <r>
    <n v="3694"/>
    <x v="5"/>
    <x v="56"/>
    <s v="go over the notes"/>
    <s v="phrase"/>
    <s v="复习笔记"/>
    <d v="2018-06-25T21:33:58"/>
    <d v="2018-06-25T21:33:58"/>
    <d v="2018-06-25T21:33:58"/>
    <d v="2018-06-25T21:39:56"/>
    <m/>
    <d v="2018-06-25T21:33:58"/>
    <s v=""/>
    <m/>
    <m/>
  </r>
  <r>
    <n v="3695"/>
    <x v="5"/>
    <x v="56"/>
    <s v="have a picnic"/>
    <s v="phrase"/>
    <s v="去野餐"/>
    <d v="2018-06-25T21:34:04"/>
    <d v="2018-06-25T21:34:04"/>
    <d v="2018-06-25T21:34:04"/>
    <d v="2018-06-25T21:40:03"/>
    <m/>
    <d v="2018-06-25T21:34:04"/>
    <s v=""/>
    <m/>
    <m/>
  </r>
  <r>
    <n v="3696"/>
    <x v="5"/>
    <x v="56"/>
    <s v="see a movie"/>
    <s v="phrase"/>
    <s v="看电影"/>
    <d v="2018-06-25T21:34:10"/>
    <d v="2018-06-25T21:34:10"/>
    <d v="2018-06-25T21:34:10"/>
    <d v="2018-06-25T21:40:10"/>
    <m/>
    <d v="2018-06-25T21:34:10"/>
    <s v=""/>
    <m/>
    <m/>
  </r>
  <r>
    <n v="3697"/>
    <x v="5"/>
    <x v="56"/>
    <s v="have piano lessons"/>
    <s v="phrase"/>
    <s v="上钢琴课"/>
    <d v="2018-06-25T21:34:15"/>
    <d v="2018-06-25T21:34:15"/>
    <d v="2018-06-25T21:34:15"/>
    <d v="2018-06-25T21:40:20"/>
    <m/>
    <d v="2018-06-25T21:34:15"/>
    <s v=""/>
    <m/>
    <m/>
  </r>
  <r>
    <n v="3698"/>
    <x v="5"/>
    <x v="56"/>
    <s v="help with housework"/>
    <s v="phrase"/>
    <s v="帮忙做家务"/>
    <d v="2018-06-25T21:34:21"/>
    <d v="2018-06-25T21:34:21"/>
    <d v="2018-06-25T21:34:21"/>
    <d v="2018-06-25T21:40:43"/>
    <m/>
    <d v="2018-06-25T21:34:21"/>
    <s v=""/>
    <m/>
    <m/>
  </r>
  <r>
    <n v="3699"/>
    <x v="5"/>
    <x v="56"/>
    <s v="stay at home"/>
    <s v="phrase"/>
    <s v="待在家"/>
    <d v="2018-06-26T22:05:01"/>
    <d v="2018-06-25T21:34:28"/>
    <d v="2018-06-25T21:34:28"/>
    <d v="2018-06-26T22:10:31"/>
    <m/>
    <d v="2018-06-26T22:05:01"/>
    <s v=""/>
    <m/>
    <m/>
  </r>
  <r>
    <n v="3700"/>
    <x v="5"/>
    <x v="56"/>
    <s v="look forward to"/>
    <s v="phrase"/>
    <s v="期待"/>
    <d v="2018-06-25T21:34:33"/>
    <d v="2018-06-25T21:34:33"/>
    <d v="2018-06-25T21:34:33"/>
    <d v="2018-06-25T21:41:07"/>
    <m/>
    <d v="2018-06-25T21:34:33"/>
    <s v=""/>
    <m/>
    <m/>
  </r>
  <r>
    <n v="3701"/>
    <x v="5"/>
    <x v="56"/>
    <s v="wear the team shirt"/>
    <s v="phrase"/>
    <s v="身穿队服"/>
    <d v="2018-06-26T22:04:53"/>
    <d v="2018-06-25T21:34:40"/>
    <d v="2018-06-25T21:34:40"/>
    <d v="2018-06-26T22:10:40"/>
    <m/>
    <d v="2018-06-26T22:04:53"/>
    <s v=""/>
    <m/>
    <m/>
  </r>
  <r>
    <n v="3702"/>
    <x v="5"/>
    <x v="56"/>
    <s v="cheer the players"/>
    <s v="phrase"/>
    <s v="为队员加油"/>
    <d v="2018-06-25T21:37:53"/>
    <d v="2018-06-25T21:37:53"/>
    <d v="2018-06-25T21:37:53"/>
    <d v="2018-06-25T21:41:34"/>
    <m/>
    <d v="2018-06-25T21:37:53"/>
    <s v=""/>
    <m/>
    <m/>
  </r>
  <r>
    <n v="3703"/>
    <x v="5"/>
    <x v="56"/>
    <s v="on the morning of 1st May"/>
    <s v="phrase"/>
    <s v="在五月一号的早晨"/>
    <d v="2018-06-25T21:37:51"/>
    <d v="2018-06-25T21:37:51"/>
    <d v="2018-06-25T21:37:51"/>
    <d v="2018-06-25T21:41:51"/>
    <m/>
    <d v="2018-06-25T21:37:51"/>
    <s v=""/>
    <m/>
    <m/>
  </r>
  <r>
    <n v="3704"/>
    <x v="5"/>
    <x v="56"/>
    <s v="take a walk"/>
    <s v="phrase"/>
    <s v="散步"/>
    <d v="2018-06-25T21:35:12"/>
    <d v="2018-06-25T21:35:12"/>
    <d v="2018-06-25T21:35:13"/>
    <d v="2018-06-25T21:42:00"/>
    <m/>
    <d v="2018-06-25T21:35:13"/>
    <s v=""/>
    <m/>
    <m/>
  </r>
  <r>
    <n v="3705"/>
    <x v="5"/>
    <x v="56"/>
    <s v="collect litter"/>
    <s v="phrase"/>
    <s v="捡垃圾"/>
    <d v="2018-06-25T21:37:49"/>
    <d v="2018-06-25T21:37:49"/>
    <d v="2018-06-25T21:37:49"/>
    <d v="2018-06-25T21:42:09"/>
    <m/>
    <d v="2018-06-25T21:37:49"/>
    <s v=""/>
    <m/>
    <m/>
  </r>
  <r>
    <n v="3706"/>
    <x v="5"/>
    <x v="56"/>
    <s v="spend the summer holiday"/>
    <s v="phrase"/>
    <s v="度过暑假"/>
    <d v="2018-06-26T22:18:34"/>
    <d v="2018-06-25T21:35:23"/>
    <d v="2018-06-25T21:35:23"/>
    <d v="2018-06-26T22:19:32"/>
    <m/>
    <d v="2018-06-26T22:18:34"/>
    <s v=""/>
    <m/>
    <m/>
  </r>
  <r>
    <n v="3707"/>
    <x v="5"/>
    <x v="56"/>
    <s v="go sightseeing"/>
    <s v="phrase"/>
    <s v="去观光，去看风景"/>
    <d v="2018-06-25T21:35:34"/>
    <d v="2018-06-25T21:35:34"/>
    <d v="2018-06-25T21:35:34"/>
    <d v="2018-06-25T21:42:43"/>
    <m/>
    <d v="2018-06-25T21:35:34"/>
    <s v=""/>
    <m/>
    <m/>
  </r>
  <r>
    <n v="3708"/>
    <x v="5"/>
    <x v="56"/>
    <s v="a paper fan"/>
    <s v="phrase"/>
    <s v="一把纸扇"/>
    <d v="2018-06-26T22:04:47"/>
    <d v="2018-06-25T21:35:42"/>
    <d v="2018-06-25T21:35:42"/>
    <d v="2018-06-26T22:10:58"/>
    <m/>
    <d v="2018-06-26T22:04:47"/>
    <s v=""/>
    <m/>
    <m/>
  </r>
  <r>
    <n v="3709"/>
    <x v="5"/>
    <x v="56"/>
    <s v="walk on one's hands"/>
    <s v="phrase"/>
    <s v="倒立"/>
    <d v="2018-06-25T21:37:42"/>
    <d v="2018-06-25T21:37:42"/>
    <d v="2018-06-25T21:37:42"/>
    <d v="2018-06-25T21:43:08"/>
    <m/>
    <d v="2018-06-25T21:37:42"/>
    <s v=""/>
    <m/>
    <m/>
  </r>
  <r>
    <n v="3710"/>
    <x v="5"/>
    <x v="56"/>
    <s v="walk on one's knees"/>
    <s v="phrase"/>
    <s v="跪着"/>
    <d v="2018-06-25T21:37:39"/>
    <d v="2018-06-25T21:37:39"/>
    <d v="2018-06-25T21:37:39"/>
    <d v="2018-06-25T21:43:21"/>
    <m/>
    <d v="2018-06-25T21:37:39"/>
    <s v=""/>
    <m/>
    <m/>
  </r>
  <r>
    <n v="3711"/>
    <x v="5"/>
    <x v="56"/>
    <s v="collect the stamps"/>
    <s v="phrase"/>
    <s v="集邮"/>
    <d v="2018-06-25T21:36:27"/>
    <d v="2018-06-25T21:36:27"/>
    <d v="2018-06-25T21:36:27"/>
    <d v="2018-06-25T21:43:32"/>
    <m/>
    <d v="2018-06-25T21:36:27"/>
    <s v=""/>
    <m/>
    <m/>
  </r>
  <r>
    <n v="3712"/>
    <x v="5"/>
    <x v="56"/>
    <s v="make silly faces"/>
    <s v="phrase"/>
    <s v="做鬼脸"/>
    <d v="2018-06-26T22:04:39"/>
    <d v="2018-06-25T21:37:35"/>
    <d v="2018-06-25T21:37:35"/>
    <d v="2018-06-26T22:11:06"/>
    <m/>
    <d v="2018-06-26T22:04:39"/>
    <s v=""/>
    <m/>
    <m/>
  </r>
  <r>
    <n v="3713"/>
    <x v="5"/>
    <x v="56"/>
    <s v="a world of fantasy"/>
    <s v="phrase"/>
    <s v="奇幻的世界"/>
    <d v="2018-06-25T21:36:38"/>
    <d v="2018-06-25T21:36:38"/>
    <d v="2018-06-25T21:36:38"/>
    <d v="2018-06-25T21:43:57"/>
    <m/>
    <d v="2018-06-25T21:36:38"/>
    <s v=""/>
    <m/>
    <m/>
  </r>
  <r>
    <n v="3714"/>
    <x v="5"/>
    <x v="56"/>
    <s v="take the second place"/>
    <s v="phrase"/>
    <s v="得到第二名"/>
    <d v="2018-06-26T22:18:38"/>
    <d v="2018-06-25T21:37:36"/>
    <d v="2018-06-25T21:37:36"/>
    <d v="2018-06-26T22:19:44"/>
    <m/>
    <d v="2018-06-26T22:18:38"/>
    <s v=""/>
    <m/>
    <m/>
  </r>
  <r>
    <n v="3715"/>
    <x v="5"/>
    <x v="56"/>
    <s v="win the match"/>
    <s v="phrase"/>
    <s v="赢得比赛"/>
    <d v="2018-06-25T21:36:50"/>
    <d v="2018-06-25T21:36:50"/>
    <d v="2018-06-25T21:36:50"/>
    <d v="2018-06-25T21:44:51"/>
    <m/>
    <d v="2018-06-25T21:36:50"/>
    <s v=""/>
    <m/>
    <m/>
  </r>
  <r>
    <n v="3716"/>
    <x v="5"/>
    <x v="57"/>
    <s v="land"/>
    <s v="v."/>
    <s v="着地、落地"/>
    <d v="2018-06-25T22:03:19"/>
    <d v="2018-06-25T22:03:19"/>
    <d v="2018-06-25T22:03:19"/>
    <d v="2018-06-25T22:07:19"/>
    <m/>
    <d v="2018-06-25T22:03:19"/>
    <s v=""/>
    <m/>
    <m/>
  </r>
  <r>
    <n v="3717"/>
    <x v="5"/>
    <x v="57"/>
    <s v="ocean"/>
    <s v="n."/>
    <s v="海洋、洋"/>
    <d v="2018-06-25T22:03:25"/>
    <d v="2018-06-25T22:03:25"/>
    <d v="2018-06-25T22:03:25"/>
    <d v="2018-06-25T22:07:24"/>
    <m/>
    <d v="2018-06-25T22:03:25"/>
    <s v=""/>
    <m/>
    <m/>
  </r>
  <r>
    <n v="3718"/>
    <x v="5"/>
    <x v="57"/>
    <s v="space"/>
    <s v="n."/>
    <s v="空间（不可数）"/>
    <d v="2018-06-25T22:03:29"/>
    <d v="2018-06-25T22:03:29"/>
    <d v="2018-06-25T22:03:29"/>
    <d v="2018-06-25T22:07:28"/>
    <m/>
    <d v="2018-06-25T22:03:29"/>
    <s v=""/>
    <m/>
    <m/>
  </r>
  <r>
    <n v="3719"/>
    <x v="5"/>
    <x v="57"/>
    <s v="probably/perhaps/possibly"/>
    <s v="adv."/>
    <s v="可能"/>
    <d v="2018-06-25T22:06:42"/>
    <d v="2018-06-25T22:06:42"/>
    <d v="2018-06-25T22:06:42"/>
    <d v="2018-06-25T22:08:05"/>
    <m/>
    <d v="2018-06-25T22:06:42"/>
    <s v=""/>
    <m/>
    <m/>
  </r>
  <r>
    <n v="3720"/>
    <x v="5"/>
    <x v="57"/>
    <s v="change"/>
    <s v="n."/>
    <s v="变化/零钱"/>
    <d v="2018-06-25T22:03:49"/>
    <d v="2018-06-25T22:03:49"/>
    <d v="2018-06-25T22:03:49"/>
    <d v="2018-06-25T22:08:12"/>
    <m/>
    <d v="2018-06-25T22:03:49"/>
    <s v=""/>
    <m/>
    <m/>
  </r>
  <r>
    <n v="3721"/>
    <x v="5"/>
    <x v="57"/>
    <s v="ruler"/>
    <s v="n."/>
    <s v="统治者"/>
    <d v="2018-06-25T22:03:54"/>
    <d v="2018-06-25T22:03:54"/>
    <d v="2018-06-25T22:03:54"/>
    <d v="2018-06-25T22:08:16"/>
    <m/>
    <d v="2018-06-25T22:03:54"/>
    <s v=""/>
    <m/>
    <m/>
  </r>
  <r>
    <n v="3722"/>
    <x v="5"/>
    <x v="57"/>
    <s v="several pieces of chalk"/>
    <s v="phrase"/>
    <s v="几支粉笔"/>
    <d v="2018-06-25T22:06:44"/>
    <d v="2018-06-25T22:06:44"/>
    <d v="2018-06-25T22:06:44"/>
    <d v="2018-06-25T22:08:30"/>
    <m/>
    <d v="2018-06-25T22:06:44"/>
    <s v=""/>
    <m/>
    <m/>
  </r>
  <r>
    <n v="3723"/>
    <x v="5"/>
    <x v="57"/>
    <s v="the blue sea"/>
    <s v="phrase"/>
    <s v="蓝色的海"/>
    <d v="2018-06-26T22:06:04"/>
    <d v="2018-06-25T22:04:11"/>
    <d v="2018-06-25T22:04:11"/>
    <d v="2018-06-26T22:07:49"/>
    <m/>
    <d v="2018-06-26T22:06:04"/>
    <s v=""/>
    <m/>
    <m/>
  </r>
  <r>
    <n v="3724"/>
    <x v="5"/>
    <x v="57"/>
    <s v="a winding river"/>
    <s v="phrase"/>
    <s v="蜿蜒的河流"/>
    <d v="2018-06-25T22:06:36"/>
    <d v="2018-06-25T22:06:36"/>
    <d v="2018-06-25T22:06:36"/>
    <d v="2018-06-25T22:09:14"/>
    <m/>
    <d v="2018-06-25T22:06:36"/>
    <s v=""/>
    <m/>
    <m/>
  </r>
  <r>
    <n v="3725"/>
    <x v="5"/>
    <x v="57"/>
    <s v="a mountain stream"/>
    <s v="phrase"/>
    <s v="山间溪流"/>
    <d v="2018-06-25T22:06:30"/>
    <d v="2018-06-25T22:06:30"/>
    <d v="2018-06-25T22:06:30"/>
    <d v="2018-06-25T22:09:27"/>
    <m/>
    <d v="2018-06-25T22:06:30"/>
    <s v=""/>
    <m/>
    <m/>
  </r>
  <r>
    <n v="3726"/>
    <x v="5"/>
    <x v="57"/>
    <s v="an icy lake"/>
    <s v="phrase"/>
    <s v="冰湖"/>
    <d v="2018-06-25T22:04:29"/>
    <d v="2018-06-25T22:04:29"/>
    <d v="2018-06-25T22:04:29"/>
    <d v="2018-06-25T22:09:33"/>
    <m/>
    <d v="2018-06-25T22:04:29"/>
    <s v=""/>
    <m/>
    <m/>
  </r>
  <r>
    <n v="3727"/>
    <x v="5"/>
    <x v="57"/>
    <s v="the Pacific Ocean"/>
    <s v="phrase"/>
    <s v="太平洋"/>
    <d v="2018-06-25T22:04:36"/>
    <d v="2018-06-25T22:04:36"/>
    <d v="2018-06-25T22:04:36"/>
    <d v="2018-06-25T22:10:02"/>
    <m/>
    <d v="2018-06-25T22:04:36"/>
    <s v=""/>
    <m/>
    <m/>
  </r>
  <r>
    <n v="3728"/>
    <x v="5"/>
    <x v="57"/>
    <s v="travel over land"/>
    <s v="phrase"/>
    <s v="陆地旅行"/>
    <d v="2018-06-26T22:06:08"/>
    <d v="2018-06-25T22:04:41"/>
    <d v="2018-06-25T22:04:41"/>
    <d v="2018-06-26T22:08:01"/>
    <m/>
    <d v="2018-06-26T22:06:08"/>
    <s v=""/>
    <m/>
    <m/>
  </r>
  <r>
    <n v="3729"/>
    <x v="5"/>
    <x v="57"/>
    <s v="land on some leaves"/>
    <s v="phrase"/>
    <s v="落在一些树叶上"/>
    <d v="2018-06-26T22:06:10"/>
    <d v="2018-06-25T22:06:23"/>
    <d v="2018-06-25T22:06:23"/>
    <d v="2018-06-26T22:08:12"/>
    <m/>
    <d v="2018-06-26T22:06:10"/>
    <s v=""/>
    <m/>
    <m/>
  </r>
  <r>
    <n v="3730"/>
    <x v="5"/>
    <x v="57"/>
    <s v="in space"/>
    <s v="phrase"/>
    <s v="在太空中"/>
    <d v="2018-06-26T22:06:13"/>
    <d v="2018-06-25T22:04:53"/>
    <d v="2018-06-25T22:04:53"/>
    <d v="2018-06-26T22:08:16"/>
    <m/>
    <d v="2018-06-26T22:06:13"/>
    <s v=""/>
    <m/>
    <m/>
  </r>
  <r>
    <n v="3731"/>
    <x v="5"/>
    <x v="57"/>
    <s v="make space for green land"/>
    <s v="phrase"/>
    <s v="为绿地让出空间"/>
    <d v="2018-06-26T22:18:43"/>
    <d v="2018-06-25T22:06:19"/>
    <d v="2018-06-25T22:06:19"/>
    <d v="2018-06-26T22:20:41"/>
    <m/>
    <d v="2018-06-26T22:18:43"/>
    <s v=""/>
    <m/>
    <m/>
  </r>
  <r>
    <n v="3732"/>
    <x v="5"/>
    <x v="57"/>
    <s v="climate change"/>
    <s v="phrase"/>
    <s v="气候变化"/>
    <d v="2018-06-25T22:06:00"/>
    <d v="2018-06-25T22:06:00"/>
    <d v="2018-06-25T22:06:00"/>
    <d v="2018-06-25T22:10:48"/>
    <m/>
    <d v="2018-06-25T22:06:00"/>
    <s v=""/>
    <m/>
    <m/>
  </r>
  <r>
    <n v="3733"/>
    <x v="5"/>
    <x v="57"/>
    <s v="a painting by Van Gogh"/>
    <s v="phrase"/>
    <s v="梵高的画"/>
    <d v="2018-06-26T22:06:24"/>
    <d v="2018-06-25T22:05:12"/>
    <d v="2018-06-25T22:05:12"/>
    <d v="2018-06-26T22:09:07"/>
    <m/>
    <d v="2018-06-26T22:06:24"/>
    <s v=""/>
    <m/>
    <m/>
  </r>
  <r>
    <n v="3734"/>
    <x v="5"/>
    <x v="57"/>
    <s v="walk by the sea"/>
    <s v="phrase"/>
    <s v="在海边散步"/>
    <d v="2018-06-25T22:05:19"/>
    <d v="2018-06-25T22:05:19"/>
    <d v="2018-06-25T22:05:19"/>
    <d v="2018-06-25T22:11:21"/>
    <m/>
    <d v="2018-06-25T22:05:19"/>
    <s v=""/>
    <m/>
    <m/>
  </r>
  <r>
    <n v="3735"/>
    <x v="5"/>
    <x v="57"/>
    <s v="make a model robot"/>
    <s v="phrase"/>
    <s v="制作机器人模型"/>
    <d v="2018-06-26T22:18:47"/>
    <d v="2018-06-25T22:05:53"/>
    <d v="2018-06-25T22:05:53"/>
    <d v="2018-06-26T22:20:50"/>
    <m/>
    <d v="2018-06-26T22:18:47"/>
    <s v=""/>
    <m/>
    <m/>
  </r>
  <r>
    <n v="3736"/>
    <x v="5"/>
    <x v="57"/>
    <s v="long for"/>
    <s v="phrase"/>
    <s v="渴望"/>
    <d v="2018-06-26T22:06:30"/>
    <d v="2018-06-25T22:05:54"/>
    <d v="2018-06-25T22:05:54"/>
    <d v="2018-06-26T22:09:28"/>
    <m/>
    <d v="2018-06-26T22:06:30"/>
    <s v=""/>
    <m/>
    <m/>
  </r>
  <r>
    <n v="3737"/>
    <x v="5"/>
    <x v="57"/>
    <s v="rain heavily"/>
    <s v="phrase"/>
    <s v="下大雨"/>
    <d v="2018-06-25T22:05:30"/>
    <d v="2018-06-25T22:05:30"/>
    <d v="2018-06-25T22:05:30"/>
    <d v="2018-06-25T22:11:53"/>
    <m/>
    <d v="2018-06-25T22:05:30"/>
    <s v=""/>
    <m/>
    <m/>
  </r>
  <r>
    <n v="3738"/>
    <x v="5"/>
    <x v="58"/>
    <s v="by internet"/>
    <s v="phrase"/>
    <s v="通过上网"/>
    <d v="2018-06-26T22:05:10"/>
    <d v="2018-06-25T21:48:59"/>
    <d v="2018-06-25T21:48:59"/>
    <d v="2018-06-26T22:12:36"/>
    <m/>
    <d v="2018-06-26T22:05:10"/>
    <s v=""/>
    <m/>
    <m/>
  </r>
  <r>
    <n v="3739"/>
    <x v="5"/>
    <x v="58"/>
    <s v="students' level"/>
    <s v="phrase"/>
    <s v="学生的水平"/>
    <d v="2018-06-25T21:51:25"/>
    <d v="2018-06-25T21:51:25"/>
    <d v="2018-06-25T21:51:25"/>
    <d v="2018-06-25T21:55:28"/>
    <m/>
    <d v="2018-06-25T21:51:25"/>
    <s v=""/>
    <m/>
    <m/>
  </r>
  <r>
    <n v="3740"/>
    <x v="5"/>
    <x v="58"/>
    <s v="a heavy wind"/>
    <s v="phrase"/>
    <s v="一阵大风"/>
    <d v="2018-06-25T21:48:51"/>
    <d v="2018-06-25T21:48:51"/>
    <d v="2018-06-25T21:48:51"/>
    <d v="2018-06-25T21:55:37"/>
    <m/>
    <d v="2018-06-25T21:48:51"/>
    <s v=""/>
    <m/>
    <m/>
  </r>
  <r>
    <n v="3741"/>
    <x v="5"/>
    <x v="58"/>
    <s v="be able to"/>
    <s v="phrase"/>
    <s v="能够"/>
    <d v="2018-06-25T21:48:44"/>
    <d v="2018-06-25T21:48:44"/>
    <d v="2018-06-25T21:48:44"/>
    <d v="2018-06-25T21:55:43"/>
    <m/>
    <d v="2018-06-25T21:48:44"/>
    <s v=""/>
    <m/>
    <m/>
  </r>
  <r>
    <n v="3742"/>
    <x v="5"/>
    <x v="58"/>
    <s v="not … any more"/>
    <s v="phrase"/>
    <s v="不再…"/>
    <d v="2018-06-26T22:05:12"/>
    <d v="2018-06-25T21:51:29"/>
    <d v="2018-06-25T21:51:29"/>
    <d v="2018-06-26T22:12:46"/>
    <m/>
    <d v="2018-06-26T22:05:12"/>
    <s v=""/>
    <m/>
    <m/>
  </r>
  <r>
    <n v="3743"/>
    <x v="5"/>
    <x v="58"/>
    <s v="free time"/>
    <s v="phrase"/>
    <s v="空闲时间"/>
    <d v="2018-06-25T21:48:32"/>
    <d v="2018-06-25T21:48:32"/>
    <d v="2018-06-25T21:48:32"/>
    <d v="2018-06-25T21:56:05"/>
    <m/>
    <d v="2018-06-25T21:48:32"/>
    <s v=""/>
    <m/>
    <m/>
  </r>
  <r>
    <n v="3744"/>
    <x v="5"/>
    <x v="58"/>
    <s v="a long holiday"/>
    <s v="phrase"/>
    <s v="长假"/>
    <d v="2018-06-26T22:15:51"/>
    <d v="2018-06-25T21:48:25"/>
    <d v="2018-06-25T21:48:25"/>
    <d v="2018-06-26T22:16:16"/>
    <m/>
    <d v="2018-06-26T22:15:51"/>
    <s v=""/>
    <m/>
    <m/>
  </r>
  <r>
    <n v="3745"/>
    <x v="5"/>
    <x v="58"/>
    <s v="light/heavy rain"/>
    <s v="phrase"/>
    <s v="小/大雨"/>
    <d v="2018-06-25T21:48:19"/>
    <d v="2018-06-25T21:48:19"/>
    <d v="2018-06-25T21:48:19"/>
    <d v="2018-06-25T21:56:26"/>
    <m/>
    <d v="2018-06-25T21:48:19"/>
    <s v=""/>
    <m/>
    <m/>
  </r>
  <r>
    <n v="3746"/>
    <x v="5"/>
    <x v="58"/>
    <s v="heavy traffic"/>
    <s v="phrase"/>
    <s v="繁忙的交通"/>
    <d v="2018-06-25T21:51:34"/>
    <d v="2018-06-25T21:51:34"/>
    <d v="2018-06-25T21:51:34"/>
    <d v="2018-06-25T21:56:35"/>
    <m/>
    <d v="2018-06-25T21:51:34"/>
    <s v=""/>
    <m/>
    <m/>
  </r>
  <r>
    <n v="3747"/>
    <x v="5"/>
    <x v="58"/>
    <s v="into space"/>
    <s v="phrase"/>
    <s v="进入太空"/>
    <d v="2018-06-25T21:48:07"/>
    <d v="2018-06-25T21:48:07"/>
    <d v="2018-06-25T21:48:07"/>
    <d v="2018-06-25T21:56:42"/>
    <m/>
    <d v="2018-06-25T21:48:07"/>
    <s v=""/>
    <m/>
    <m/>
  </r>
  <r>
    <n v="3748"/>
    <x v="5"/>
    <x v="58"/>
    <s v="in the air"/>
    <s v="phrase"/>
    <s v="在天空中"/>
    <d v="2018-06-25T21:51:38"/>
    <d v="2018-06-25T21:51:38"/>
    <d v="2018-06-25T21:51:38"/>
    <d v="2018-06-25T21:56:47"/>
    <m/>
    <d v="2018-06-25T21:51:38"/>
    <s v=""/>
    <m/>
    <m/>
  </r>
  <r>
    <n v="3749"/>
    <x v="5"/>
    <x v="58"/>
    <s v="traffic jams"/>
    <s v="phrase"/>
    <s v="交通堵塞"/>
    <d v="2018-06-26T22:05:15"/>
    <d v="2018-06-25T21:47:57"/>
    <d v="2018-06-25T21:47:57"/>
    <d v="2018-06-26T22:13:01"/>
    <m/>
    <d v="2018-06-26T22:05:15"/>
    <s v=""/>
    <m/>
    <m/>
  </r>
  <r>
    <n v="3750"/>
    <x v="5"/>
    <x v="58"/>
    <s v="working hours"/>
    <s v="phrase"/>
    <s v="工作时间"/>
    <d v="2018-06-25T21:51:44"/>
    <d v="2018-06-25T21:51:44"/>
    <d v="2018-06-25T21:51:44"/>
    <d v="2018-06-25T21:57:02"/>
    <m/>
    <d v="2018-06-25T21:51:44"/>
    <s v=""/>
    <m/>
    <m/>
  </r>
  <r>
    <n v="3751"/>
    <x v="5"/>
    <x v="58"/>
    <s v="sea level"/>
    <s v="phrase"/>
    <s v="海平面"/>
    <d v="2018-06-25T21:47:46"/>
    <d v="2018-06-25T21:47:46"/>
    <d v="2018-06-25T21:47:46"/>
    <d v="2018-06-25T21:57:10"/>
    <m/>
    <d v="2018-06-25T21:47:46"/>
    <s v=""/>
    <m/>
    <m/>
  </r>
  <r>
    <n v="3752"/>
    <x v="5"/>
    <x v="58"/>
    <s v="as well"/>
    <s v="phrase"/>
    <s v="也，同样"/>
    <d v="2018-06-25T21:47:41"/>
    <d v="2018-06-25T21:47:41"/>
    <d v="2018-06-25T21:47:41"/>
    <d v="2018-06-25T21:57:16"/>
    <m/>
    <d v="2018-06-25T21:47:41"/>
    <s v=""/>
    <m/>
    <m/>
  </r>
  <r>
    <n v="3753"/>
    <x v="5"/>
    <x v="58"/>
    <s v="in the future"/>
    <s v="phrase"/>
    <s v="未来"/>
    <d v="2018-06-25T21:47:36"/>
    <d v="2018-06-25T21:47:36"/>
    <d v="2018-06-25T21:47:36"/>
    <d v="2018-06-25T21:57:23"/>
    <m/>
    <d v="2018-06-25T21:47:36"/>
    <s v=""/>
    <m/>
    <m/>
  </r>
  <r>
    <n v="3754"/>
    <x v="5"/>
    <x v="58"/>
    <s v="on farms"/>
    <s v="phrase"/>
    <s v="在农场"/>
    <d v="2018-06-25T21:51:47"/>
    <d v="2018-06-25T21:51:47"/>
    <d v="2018-06-25T21:51:47"/>
    <d v="2018-06-25T21:57:27"/>
    <m/>
    <d v="2018-06-25T21:51:47"/>
    <s v=""/>
    <m/>
    <m/>
  </r>
  <r>
    <n v="3755"/>
    <x v="5"/>
    <x v="58"/>
    <s v="send emails"/>
    <s v="phrase"/>
    <s v="发邮件"/>
    <d v="2018-06-25T21:47:28"/>
    <d v="2018-06-25T21:47:28"/>
    <d v="2018-06-25T21:47:28"/>
    <d v="2018-06-25T21:57:34"/>
    <m/>
    <d v="2018-06-25T21:47:28"/>
    <s v=""/>
    <m/>
    <m/>
  </r>
  <r>
    <n v="3756"/>
    <x v="5"/>
    <x v="58"/>
    <s v="play with …"/>
    <s v="phrase"/>
    <s v="和…一起玩儿"/>
    <d v="2018-06-25T21:47:22"/>
    <d v="2018-06-25T21:47:22"/>
    <d v="2018-06-25T21:47:22"/>
    <d v="2018-06-28T12:58:21"/>
    <m/>
    <d v="2018-06-25T21:47:22"/>
    <s v=""/>
    <m/>
    <m/>
  </r>
  <r>
    <n v="3757"/>
    <x v="5"/>
    <x v="58"/>
    <s v="light and easy work"/>
    <s v="phrase"/>
    <s v="轻松容易的工作"/>
    <d v="2018-06-25T21:51:51"/>
    <d v="2018-06-25T21:51:51"/>
    <d v="2018-06-25T21:51:51"/>
    <d v="2018-06-25T21:58:56"/>
    <m/>
    <d v="2018-06-25T21:51:51"/>
    <s v=""/>
    <m/>
    <m/>
  </r>
  <r>
    <n v="3758"/>
    <x v="5"/>
    <x v="58"/>
    <s v="not only … but also"/>
    <s v="phrase"/>
    <s v="不仅…而且…"/>
    <d v="2018-06-25T21:47:09"/>
    <d v="2018-06-25T21:47:09"/>
    <d v="2018-06-25T21:47:09"/>
    <d v="2018-06-25T21:59:13"/>
    <m/>
    <d v="2018-06-25T21:47:09"/>
    <s v=""/>
    <m/>
    <m/>
  </r>
  <r>
    <n v="3759"/>
    <x v="5"/>
    <x v="58"/>
    <s v="do the heavy and difficult jobs"/>
    <s v="phrase"/>
    <s v="承担繁重、艰辛的工作"/>
    <d v="2018-06-25T21:51:57"/>
    <d v="2018-06-25T21:51:57"/>
    <d v="2018-06-25T21:51:57"/>
    <d v="2018-06-25T21:59:43"/>
    <m/>
    <d v="2018-06-25T21:51:57"/>
    <s v=""/>
    <m/>
    <m/>
  </r>
  <r>
    <n v="3760"/>
    <x v="5"/>
    <x v="58"/>
    <s v="get information on the Internet"/>
    <s v="phrase"/>
    <s v="在网上获得信息"/>
    <d v="2018-06-26T22:15:55"/>
    <d v="2018-06-25T21:46:57"/>
    <d v="2018-06-25T21:46:58"/>
    <d v="2018-06-26T22:17:37"/>
    <m/>
    <d v="2018-06-26T22:15:55"/>
    <s v=""/>
    <m/>
    <m/>
  </r>
  <r>
    <n v="3761"/>
    <x v="5"/>
    <x v="58"/>
    <s v="come true"/>
    <s v="phrase"/>
    <s v="实现"/>
    <d v="2018-06-25T21:46:46"/>
    <d v="2018-06-25T21:46:46"/>
    <d v="2018-06-25T21:46:46"/>
    <d v="2018-06-25T22:00:44"/>
    <m/>
    <d v="2018-06-25T21:46:46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achievement"/>
    <s v="n."/>
    <s v="完成，成就，成绩"/>
    <d v="2018-07-03T13:11:40"/>
    <d v="2018-07-04T16:41:02"/>
    <d v="2018-07-04T16:41:02"/>
    <m/>
    <d v="2018-07-04T18:02:43"/>
    <d v="2018-07-04T16:41:02"/>
    <s v=""/>
    <m/>
    <m/>
  </r>
  <r>
    <n v="3938"/>
    <x v="6"/>
    <x v="64"/>
    <s v="affect"/>
    <s v="v."/>
    <s v="影响，感动"/>
    <d v="2018-07-03T13:12:47"/>
    <d v="2018-07-04T16:44:24"/>
    <d v="2018-07-04T16:44:24"/>
    <m/>
    <d v="2018-07-04T18:02:46"/>
    <d v="2018-07-04T16:44:24"/>
    <s v=""/>
    <m/>
    <m/>
  </r>
  <r>
    <n v="3939"/>
    <x v="6"/>
    <x v="64"/>
    <s v="agreement"/>
    <s v="n."/>
    <s v="协定，协议，同意"/>
    <d v="2018-07-03T13:13:11"/>
    <d v="2018-07-04T16:47:19"/>
    <d v="2018-07-04T16:47:19"/>
    <m/>
    <d v="2018-07-04T18:02:49"/>
    <d v="2018-07-04T16:47:19"/>
    <s v=""/>
    <m/>
    <m/>
  </r>
  <r>
    <n v="3940"/>
    <x v="6"/>
    <x v="64"/>
    <s v="aim"/>
    <s v="n."/>
    <s v="目标，目的"/>
    <d v="2018-07-03T13:28:34"/>
    <d v="2018-07-04T18:29:16"/>
    <d v="2018-07-04T18:29:16"/>
    <m/>
    <d v="2018-07-04T18:29:26"/>
    <d v="2018-07-04T18:29:16"/>
    <s v=""/>
    <m/>
    <m/>
  </r>
  <r>
    <n v="3941"/>
    <x v="6"/>
    <x v="64"/>
    <s v="allow"/>
    <s v="v."/>
    <s v="允许，准许"/>
    <d v="2018-07-03T13:28:19"/>
    <d v="2018-07-04T18:29:18"/>
    <d v="2018-07-04T18:29:18"/>
    <m/>
    <d v="2018-07-04T18:29:29"/>
    <d v="2018-07-04T18:29:18"/>
    <s v=""/>
    <m/>
    <m/>
  </r>
  <r>
    <n v="3942"/>
    <x v="6"/>
    <x v="64"/>
    <s v="ambulance"/>
    <s v="n."/>
    <s v="救护车，野战医院"/>
    <d v="2018-07-03T13:36:04"/>
    <d v="2018-07-03T13:36:04"/>
    <d v="2018-07-03T13:36:04"/>
    <m/>
    <d v="2018-07-04T18:21:00"/>
    <d v="2018-07-03T13:36:04"/>
    <s v=""/>
    <m/>
    <m/>
  </r>
  <r>
    <n v="3943"/>
    <x v="6"/>
    <x v="64"/>
    <s v="amount"/>
    <s v="n."/>
    <s v="总数，数量，总和"/>
    <d v="2018-07-04T10:29:22"/>
    <d v="2018-07-04T10:29:22"/>
    <d v="2018-07-04T10:29:22"/>
    <m/>
    <d v="2018-07-04T18:27:41"/>
    <d v="2018-07-04T10:29:22"/>
    <s v=""/>
    <m/>
    <m/>
  </r>
  <r>
    <n v="3944"/>
    <x v="6"/>
    <x v="64"/>
    <s v="application"/>
    <s v="n."/>
    <s v="请求，申请，施用"/>
    <d v="2018-07-04T10:34:07"/>
    <d v="2018-07-04T17:59:14"/>
    <d v="2018-07-04T17:59:14"/>
    <m/>
    <d v="2018-07-04T18:27:44"/>
    <d v="2018-07-04T17:59:14"/>
    <s v=""/>
    <m/>
    <m/>
  </r>
  <r>
    <n v="3945"/>
    <x v="6"/>
    <x v="64"/>
    <s v="aquarium"/>
    <s v="n."/>
    <s v="水族馆"/>
    <d v="2018-07-04T10:34:18"/>
    <d v="2018-07-04T10:34:18"/>
    <d v="2018-07-04T10:34:18"/>
    <m/>
    <d v="2018-07-04T18:27:47"/>
    <d v="2018-07-04T10:34:18"/>
    <s v=""/>
    <m/>
    <m/>
  </r>
  <r>
    <n v="3946"/>
    <x v="6"/>
    <x v="64"/>
    <s v="assume"/>
    <s v="v."/>
    <s v="假定，承担，呈现"/>
    <d v="2018-07-04T10:52:15"/>
    <d v="2018-07-04T10:52:15"/>
    <d v="2018-07-04T10:52:15"/>
    <m/>
    <d v="2018-07-04T18:27:51"/>
    <d v="2018-07-04T10:52:15"/>
    <s v=""/>
    <m/>
    <m/>
  </r>
  <r>
    <n v="3947"/>
    <x v="6"/>
    <x v="64"/>
    <s v="astronaut"/>
    <s v="n."/>
    <s v="宇航员"/>
    <d v="2018-07-03T13:39:01"/>
    <d v="2018-07-03T13:39:01"/>
    <d v="2018-07-03T13:39:01"/>
    <m/>
    <d v="2018-07-04T18:27:54"/>
    <d v="2018-07-03T13:39:01"/>
    <s v=""/>
    <m/>
    <m/>
  </r>
  <r>
    <n v="3948"/>
    <x v="6"/>
    <x v="64"/>
    <s v="athletic"/>
    <s v="adj."/>
    <s v="运动的；竞技的"/>
    <d v="2018-07-04T10:35:51"/>
    <d v="2018-07-04T10:35:51"/>
    <d v="2018-07-04T10:35:51"/>
    <m/>
    <d v="2018-07-04T18:27:58"/>
    <d v="2018-07-04T10:35:51"/>
    <s v=""/>
    <m/>
    <m/>
  </r>
  <r>
    <n v="3949"/>
    <x v="6"/>
    <x v="64"/>
    <s v="battery"/>
    <s v="n."/>
    <s v="电池"/>
    <d v="2018-07-04T10:38:31"/>
    <d v="2018-07-04T10:38:31"/>
    <d v="2018-07-04T10:38:31"/>
    <m/>
    <d v="2018-07-04T18:28:00"/>
    <d v="2018-07-04T10:38:31"/>
    <s v=""/>
    <m/>
    <m/>
  </r>
  <r>
    <n v="3950"/>
    <x v="6"/>
    <x v="64"/>
    <s v="battle"/>
    <s v="n."/>
    <s v="战役，斗争"/>
    <d v="2018-07-04T10:40:37"/>
    <d v="2018-07-04T17:59:17"/>
    <d v="2018-07-04T17:59:17"/>
    <m/>
    <d v="2018-07-04T18:28:03"/>
    <d v="2018-07-04T17:59:17"/>
    <s v=""/>
    <m/>
    <m/>
  </r>
  <r>
    <n v="3951"/>
    <x v="6"/>
    <x v="64"/>
    <s v="battle"/>
    <s v="v."/>
    <s v="作战"/>
    <d v="2018-07-04T10:40:41"/>
    <d v="2018-07-04T10:40:41"/>
    <d v="2018-07-04T10:40:41"/>
    <m/>
    <d v="2018-07-04T18:28:06"/>
    <d v="2018-07-04T10:40:41"/>
    <s v=""/>
    <m/>
    <m/>
  </r>
  <r>
    <n v="3952"/>
    <x v="6"/>
    <x v="64"/>
    <s v="blame"/>
    <s v="v."/>
    <s v="责备，把…归咎于"/>
    <d v="2018-07-04T10:40:47"/>
    <d v="2018-07-04T10:40:47"/>
    <d v="2018-07-04T10:40:47"/>
    <m/>
    <d v="2018-07-04T18:28:09"/>
    <d v="2018-07-04T10:40:47"/>
    <s v=""/>
    <m/>
    <m/>
  </r>
  <r>
    <n v="3953"/>
    <x v="6"/>
    <x v="64"/>
    <s v="calculation"/>
    <s v="n."/>
    <s v="计算"/>
    <d v="2018-07-03T13:41:35"/>
    <d v="2018-07-03T13:41:35"/>
    <d v="2018-07-03T13:41:35"/>
    <m/>
    <d v="2018-07-04T18:28:13"/>
    <d v="2018-07-03T13:41:35"/>
    <s v=""/>
    <m/>
    <m/>
  </r>
  <r>
    <n v="3954"/>
    <x v="6"/>
    <x v="64"/>
    <s v="cancer"/>
    <s v="n."/>
    <s v="癌，癌症"/>
    <d v="2018-07-03T13:41:55"/>
    <d v="2018-07-03T13:41:55"/>
    <d v="2018-07-03T13:41:55"/>
    <m/>
    <d v="2018-07-04T18:28:16"/>
    <d v="2018-07-03T13:41:55"/>
    <s v=""/>
    <m/>
    <m/>
  </r>
  <r>
    <n v="3955"/>
    <x v="6"/>
    <x v="64"/>
    <s v="captive"/>
    <s v="adj."/>
    <s v="俘虏的，捕获的"/>
    <d v="2018-07-04T10:52:11"/>
    <d v="2018-07-04T17:59:46"/>
    <d v="2018-07-04T17:59:46"/>
    <m/>
    <d v="2018-07-04T18:28:20"/>
    <d v="2018-07-04T17:59:46"/>
    <s v=""/>
    <m/>
    <m/>
  </r>
  <r>
    <n v="3956"/>
    <x v="6"/>
    <x v="64"/>
    <s v="caged"/>
    <s v="adj."/>
    <s v="俘虏的，捕获的"/>
    <d v="2018-07-04T10:52:09"/>
    <d v="2018-07-04T10:52:09"/>
    <d v="2018-07-04T10:52:09"/>
    <m/>
    <d v="2018-07-04T18:28:23"/>
    <d v="2018-07-04T10:52:09"/>
    <s v=""/>
    <m/>
    <m/>
  </r>
  <r>
    <n v="3957"/>
    <x v="6"/>
    <x v="64"/>
    <s v="captivity"/>
    <s v="n."/>
    <s v="囚禁，被关"/>
    <d v="2018-07-04T10:52:06"/>
    <d v="2018-07-04T18:05:35"/>
    <d v="2018-07-04T18:05:35"/>
    <m/>
    <d v="2018-07-04T18:28:28"/>
    <d v="2018-07-04T18:05:35"/>
    <s v=""/>
    <m/>
    <m/>
  </r>
  <r>
    <n v="3958"/>
    <x v="6"/>
    <x v="64"/>
    <s v="cause"/>
    <s v="n."/>
    <s v="原因，理由"/>
    <d v="2018-07-03T13:43:15"/>
    <d v="2018-07-03T13:43:15"/>
    <d v="2018-07-03T13:43:15"/>
    <m/>
    <d v="2018-07-04T18:28:31"/>
    <d v="2018-07-03T13:43:15"/>
    <s v=""/>
    <m/>
    <m/>
  </r>
  <r>
    <n v="3959"/>
    <x v="6"/>
    <x v="64"/>
    <s v="leading"/>
    <s v="adj."/>
    <s v="最主要的，第一的"/>
    <d v="2018-07-04T10:50:02"/>
    <d v="2018-07-04T10:50:02"/>
    <d v="2018-07-04T10:50:02"/>
    <m/>
    <d v="2018-07-04T18:28:34"/>
    <d v="2018-07-04T10:50:02"/>
    <s v=""/>
    <m/>
    <m/>
  </r>
  <r>
    <n v="3960"/>
    <x v="6"/>
    <x v="64"/>
    <s v="lens"/>
    <s v="n."/>
    <s v="镜头"/>
    <d v="2018-07-04T10:49:51"/>
    <d v="2018-07-04T10:49:51"/>
    <d v="2018-07-04T10:49:51"/>
    <m/>
    <d v="2018-07-04T18:28:37"/>
    <d v="2018-07-04T10:49:51"/>
    <s v=""/>
    <m/>
    <m/>
  </r>
  <r>
    <n v="3961"/>
    <x v="6"/>
    <x v="64"/>
    <s v="lower"/>
    <s v="v."/>
    <s v="低下"/>
    <d v="2018-07-03T13:43:36"/>
    <d v="2018-07-04T18:00:15"/>
    <d v="2018-07-04T18:00:15"/>
    <m/>
    <d v="2018-07-04T18:28:40"/>
    <d v="2018-07-04T18:00:15"/>
    <s v=""/>
    <m/>
    <m/>
  </r>
  <r>
    <n v="3962"/>
    <x v="6"/>
    <x v="64"/>
    <s v="major"/>
    <s v="adj."/>
    <s v="主要的，多数的"/>
    <d v="2018-07-04T10:49:43"/>
    <d v="2018-07-04T10:49:43"/>
    <d v="2018-07-04T10:49:43"/>
    <m/>
    <d v="2018-07-04T18:28:48"/>
    <d v="2018-07-04T10:49:43"/>
    <s v=""/>
    <m/>
    <m/>
  </r>
  <r>
    <n v="3963"/>
    <x v="6"/>
    <x v="64"/>
    <s v="major"/>
    <s v="n."/>
    <s v="专业"/>
    <d v="2018-07-04T10:49:40"/>
    <d v="2018-07-04T10:49:40"/>
    <d v="2018-07-04T10:49:41"/>
    <m/>
    <d v="2018-07-04T18:28:52"/>
    <d v="2018-07-04T10:49:41"/>
    <s v=""/>
    <m/>
    <m/>
  </r>
  <r>
    <n v="3964"/>
    <x v="6"/>
    <x v="64"/>
    <s v="middle-aged"/>
    <s v="adj."/>
    <s v="中年的"/>
    <d v="2018-07-03T13:43:50"/>
    <d v="2018-07-03T13:43:50"/>
    <d v="2018-07-03T13:43:50"/>
    <m/>
    <d v="2018-07-04T18:28:55"/>
    <d v="2018-07-03T13:43:50"/>
    <s v=""/>
    <m/>
    <m/>
  </r>
  <r>
    <n v="3965"/>
    <x v="6"/>
    <x v="64"/>
    <s v="mockingbird"/>
    <s v="n."/>
    <s v="模仿鸟"/>
    <d v="2018-07-03T13:43:58"/>
    <d v="2018-07-03T13:43:58"/>
    <d v="2018-07-03T13:43:58"/>
    <m/>
    <d v="2018-07-04T18:28:58"/>
    <d v="2018-07-03T13:43:58"/>
    <s v=""/>
    <m/>
    <m/>
  </r>
  <r>
    <n v="3966"/>
    <x v="6"/>
    <x v="64"/>
    <s v="native"/>
    <s v="adj."/>
    <s v="本土的，本国的"/>
    <d v="2018-07-04T10:49:37"/>
    <d v="2018-07-04T10:49:37"/>
    <d v="2018-07-04T10:49:37"/>
    <m/>
    <d v="2018-07-04T18:29:02"/>
    <d v="2018-07-04T10:49:37"/>
    <s v=""/>
    <m/>
    <m/>
  </r>
  <r>
    <n v="3967"/>
    <x v="6"/>
    <x v="65"/>
    <s v="native"/>
    <s v="n."/>
    <s v="本地人"/>
    <d v="2018-07-04T18:32:01"/>
    <d v="2018-07-04T18:32:01"/>
    <d v="2018-07-04T18:32:01"/>
    <m/>
    <d v="2018-07-04T20:08:58"/>
    <d v="2018-07-04T18:32:01"/>
    <s v=""/>
    <m/>
    <m/>
  </r>
  <r>
    <n v="3968"/>
    <x v="6"/>
    <x v="65"/>
    <s v="nervousness"/>
    <s v="adj."/>
    <s v="神经过敏；紧张"/>
    <d v="2018-07-04T18:32:12"/>
    <d v="2018-07-04T20:27:37"/>
    <d v="2018-07-04T20:27:37"/>
    <m/>
    <d v="2018-07-04T20:27:45"/>
    <d v="2018-07-04T20:27:37"/>
    <s v=""/>
    <m/>
    <m/>
  </r>
  <r>
    <n v="3969"/>
    <x v="6"/>
    <x v="65"/>
    <s v="nomads"/>
    <s v="n."/>
    <s v="游牧部落"/>
    <d v="2018-07-04T18:39:59"/>
    <d v="2018-07-04T18:39:59"/>
    <d v="2018-07-04T18:39:59"/>
    <m/>
    <d v="2018-07-04T20:09:08"/>
    <d v="2018-07-04T18:39:59"/>
    <s v=""/>
    <m/>
    <m/>
  </r>
  <r>
    <n v="3970"/>
    <x v="6"/>
    <x v="65"/>
    <s v="nutritious"/>
    <s v="adj."/>
    <s v="有营养的"/>
    <d v="2018-07-04T18:42:31"/>
    <d v="2018-07-04T18:42:31"/>
    <d v="2018-07-04T18:42:31"/>
    <m/>
    <d v="2018-07-04T20:09:11"/>
    <d v="2018-07-04T18:42:31"/>
    <s v=""/>
    <m/>
    <m/>
  </r>
  <r>
    <n v="3971"/>
    <x v="6"/>
    <x v="65"/>
    <s v="obstacle"/>
    <s v="n."/>
    <s v="障碍"/>
    <d v="2018-07-04T18:42:37"/>
    <d v="2018-07-04T20:16:16"/>
    <d v="2018-07-04T20:16:16"/>
    <m/>
    <d v="2018-07-04T20:26:51"/>
    <d v="2018-07-04T20:16:16"/>
    <s v=""/>
    <m/>
    <m/>
  </r>
  <r>
    <n v="3972"/>
    <x v="6"/>
    <x v="65"/>
    <s v="operation"/>
    <s v="n."/>
    <s v="操作；经营；手术"/>
    <d v="2018-07-04T18:47:26"/>
    <d v="2018-07-04T18:47:26"/>
    <d v="2018-07-04T18:47:26"/>
    <m/>
    <d v="2018-07-04T20:09:22"/>
    <d v="2018-07-04T18:47:26"/>
    <s v=""/>
    <m/>
    <m/>
  </r>
  <r>
    <n v="3973"/>
    <x v="6"/>
    <x v="65"/>
    <s v="orbit"/>
    <s v="n."/>
    <s v="运行轨道"/>
    <d v="2018-07-04T18:51:12"/>
    <d v="2018-07-04T18:51:12"/>
    <d v="2018-07-04T18:51:12"/>
    <m/>
    <d v="2018-07-04T20:09:26"/>
    <d v="2018-07-04T18:51:12"/>
    <s v=""/>
    <m/>
    <m/>
  </r>
  <r>
    <n v="3974"/>
    <x v="6"/>
    <x v="65"/>
    <s v="orbit"/>
    <s v="v."/>
    <s v="绕行"/>
    <d v="2018-07-04T18:51:54"/>
    <d v="2018-07-04T18:51:54"/>
    <d v="2018-07-04T18:51:54"/>
    <m/>
    <d v="2018-07-04T20:09:29"/>
    <d v="2018-07-04T18:51:54"/>
    <s v=""/>
    <m/>
    <m/>
  </r>
  <r>
    <n v="3975"/>
    <x v="6"/>
    <x v="65"/>
    <s v="ornithologist"/>
    <s v="n."/>
    <s v="鸟类学者"/>
    <d v="2018-07-04T18:53:16"/>
    <d v="2018-07-04T18:53:16"/>
    <d v="2018-07-04T18:53:16"/>
    <m/>
    <d v="2018-07-04T20:09:32"/>
    <d v="2018-07-04T18:53:16"/>
    <s v=""/>
    <m/>
    <m/>
  </r>
  <r>
    <n v="3976"/>
    <x v="6"/>
    <x v="65"/>
    <s v="outgoing"/>
    <s v="adj."/>
    <s v="友善的，即将离去的"/>
    <d v="2018-07-04T18:55:17"/>
    <d v="2018-07-04T18:55:17"/>
    <d v="2018-07-04T18:55:17"/>
    <m/>
    <d v="2018-07-04T20:09:36"/>
    <d v="2018-07-04T18:55:17"/>
    <s v=""/>
    <m/>
    <m/>
  </r>
  <r>
    <n v="3977"/>
    <x v="6"/>
    <x v="65"/>
    <s v="overacted"/>
    <s v="adj."/>
    <s v="行为夸张的"/>
    <d v="2018-07-04T18:55:35"/>
    <d v="2018-07-04T18:55:35"/>
    <d v="2018-07-04T18:55:35"/>
    <m/>
    <d v="2018-07-04T20:09:44"/>
    <d v="2018-07-04T18:55:35"/>
    <s v=""/>
    <m/>
    <m/>
  </r>
  <r>
    <n v="3978"/>
    <x v="6"/>
    <x v="65"/>
    <s v="partnership"/>
    <s v="n."/>
    <s v="合作伙伴关系"/>
    <d v="2018-07-04T18:36:11"/>
    <d v="2018-07-04T18:36:11"/>
    <d v="2018-07-04T18:36:11"/>
    <m/>
    <d v="2018-07-04T20:09:47"/>
    <d v="2018-07-04T18:36:11"/>
    <s v=""/>
    <m/>
    <m/>
  </r>
  <r>
    <n v="3979"/>
    <x v="6"/>
    <x v="65"/>
    <s v="chain"/>
    <s v="n."/>
    <s v="链，链条，项圈"/>
    <d v="2018-07-04T18:36:03"/>
    <d v="2018-07-04T18:36:03"/>
    <d v="2018-07-04T18:36:03"/>
    <m/>
    <d v="2018-07-04T20:09:50"/>
    <d v="2018-07-04T18:36:03"/>
    <s v=""/>
    <m/>
    <m/>
  </r>
  <r>
    <n v="3980"/>
    <x v="6"/>
    <x v="65"/>
    <s v="chest"/>
    <s v="n."/>
    <s v="胸腔，胸膛，箱子"/>
    <d v="2018-07-04T19:52:36"/>
    <d v="2018-07-04T19:52:36"/>
    <d v="2018-07-04T19:52:36"/>
    <m/>
    <d v="2018-07-04T20:09:54"/>
    <d v="2018-07-04T19:52:36"/>
    <s v=""/>
    <m/>
    <m/>
  </r>
  <r>
    <n v="3981"/>
    <x v="6"/>
    <x v="65"/>
    <s v="claim"/>
    <s v="v."/>
    <s v="认领"/>
    <d v="2018-07-04T20:07:38"/>
    <d v="2018-07-04T20:16:19"/>
    <d v="2018-07-04T20:16:19"/>
    <m/>
    <d v="2018-07-04T20:27:05"/>
    <d v="2018-07-04T20:16:19"/>
    <s v=""/>
    <m/>
    <m/>
  </r>
  <r>
    <n v="3982"/>
    <x v="6"/>
    <x v="65"/>
    <s v="command"/>
    <s v="v."/>
    <s v="命令，指挥，控制"/>
    <d v="2018-07-04T20:05:28"/>
    <d v="2018-07-04T20:16:21"/>
    <d v="2018-07-04T20:16:21"/>
    <m/>
    <d v="2018-07-04T20:27:09"/>
    <d v="2018-07-04T20:16:21"/>
    <s v=""/>
    <m/>
    <m/>
  </r>
  <r>
    <n v="3983"/>
    <x v="6"/>
    <x v="65"/>
    <s v="compare"/>
    <s v="v."/>
    <s v="比较，对照"/>
    <d v="2018-07-04T18:35:47"/>
    <d v="2018-07-04T18:35:47"/>
    <d v="2018-07-04T18:35:47"/>
    <m/>
    <d v="2018-07-04T20:10:14"/>
    <d v="2018-07-04T18:35:47"/>
    <s v=""/>
    <m/>
    <m/>
  </r>
  <r>
    <n v="3984"/>
    <x v="6"/>
    <x v="65"/>
    <s v="complaint"/>
    <s v="n."/>
    <s v="抱怨，控告"/>
    <d v="2018-07-04T18:35:43"/>
    <d v="2018-07-04T20:16:23"/>
    <d v="2018-07-04T20:16:23"/>
    <m/>
    <d v="2018-07-04T20:27:12"/>
    <d v="2018-07-04T20:16:23"/>
    <s v=""/>
    <m/>
    <m/>
  </r>
  <r>
    <n v="3985"/>
    <x v="6"/>
    <x v="65"/>
    <s v="counter"/>
    <s v="n."/>
    <s v="柜台，计数器"/>
    <d v="2018-07-04T20:05:25"/>
    <d v="2018-07-04T20:05:25"/>
    <d v="2018-07-04T20:05:25"/>
    <m/>
    <d v="2018-07-04T20:10:20"/>
    <d v="2018-07-04T20:05:25"/>
    <s v=""/>
    <m/>
    <m/>
  </r>
  <r>
    <n v="3986"/>
    <x v="6"/>
    <x v="65"/>
    <s v="countless"/>
    <s v="adj."/>
    <s v="无数的"/>
    <d v="2018-07-04T18:35:34"/>
    <d v="2018-07-04T18:35:34"/>
    <d v="2018-07-04T18:35:34"/>
    <m/>
    <d v="2018-07-04T20:10:25"/>
    <d v="2018-07-04T18:35:34"/>
    <s v=""/>
    <m/>
    <m/>
  </r>
  <r>
    <n v="3987"/>
    <x v="6"/>
    <x v="65"/>
    <s v="cube-shaped"/>
    <s v="adj."/>
    <s v="立方体形状的"/>
    <d v="2018-07-04T18:35:30"/>
    <d v="2018-07-04T18:35:30"/>
    <d v="2018-07-04T18:35:30"/>
    <m/>
    <d v="2018-07-04T20:10:28"/>
    <d v="2018-07-04T18:35:30"/>
    <s v=""/>
    <m/>
    <m/>
  </r>
  <r>
    <n v="3988"/>
    <x v="6"/>
    <x v="65"/>
    <s v="dairy"/>
    <s v="n."/>
    <s v="牛奶场，乳制品"/>
    <d v="2018-07-04T20:07:28"/>
    <d v="2018-07-04T20:07:29"/>
    <d v="2018-07-04T20:07:29"/>
    <m/>
    <d v="2018-07-04T20:10:31"/>
    <d v="2018-07-04T20:07:29"/>
    <s v=""/>
    <m/>
    <m/>
  </r>
  <r>
    <n v="3989"/>
    <x v="6"/>
    <x v="65"/>
    <s v="deaf"/>
    <s v="adj."/>
    <s v="聋的"/>
    <d v="2018-07-04T18:35:22"/>
    <d v="2018-07-04T18:35:22"/>
    <d v="2018-07-04T18:35:22"/>
    <m/>
    <d v="2018-07-04T20:10:33"/>
    <d v="2018-07-04T18:35:22"/>
    <s v=""/>
    <m/>
    <m/>
  </r>
  <r>
    <n v="3990"/>
    <x v="6"/>
    <x v="65"/>
    <s v="direction"/>
    <s v="n."/>
    <s v="方向，指导"/>
    <d v="2018-07-04T20:05:14"/>
    <d v="2018-07-04T20:16:25"/>
    <d v="2018-07-04T20:16:25"/>
    <m/>
    <d v="2018-07-04T20:27:14"/>
    <d v="2018-07-04T20:16:25"/>
    <s v=""/>
    <m/>
    <m/>
  </r>
  <r>
    <n v="3991"/>
    <x v="6"/>
    <x v="65"/>
    <s v="directly"/>
    <s v="adv."/>
    <s v="直接地，立即"/>
    <d v="2018-07-04T20:07:34"/>
    <d v="2018-07-04T20:16:29"/>
    <d v="2018-07-04T20:16:29"/>
    <m/>
    <d v="2018-07-04T20:27:17"/>
    <d v="2018-07-04T20:16:29"/>
    <s v=""/>
    <m/>
    <m/>
  </r>
  <r>
    <n v="3992"/>
    <x v="6"/>
    <x v="65"/>
    <s v="physically"/>
    <s v="adv."/>
    <s v="体格上，身体上"/>
    <d v="2018-07-04T19:55:33"/>
    <d v="2018-07-04T20:16:51"/>
    <d v="2018-07-04T20:16:51"/>
    <m/>
    <d v="2018-07-04T20:27:21"/>
    <d v="2018-07-04T20:16:51"/>
    <s v=""/>
    <m/>
    <m/>
  </r>
  <r>
    <n v="3993"/>
    <x v="6"/>
    <x v="65"/>
    <s v="pollute"/>
    <s v="v."/>
    <s v="污染"/>
    <d v="2018-07-04T18:32:46"/>
    <d v="2018-07-04T20:16:54"/>
    <d v="2018-07-04T20:16:54"/>
    <m/>
    <d v="2018-07-04T20:27:24"/>
    <d v="2018-07-04T20:16:54"/>
    <s v=""/>
    <m/>
    <m/>
  </r>
  <r>
    <n v="3994"/>
    <x v="6"/>
    <x v="65"/>
    <s v="powder"/>
    <s v="n."/>
    <s v="粉末；火药"/>
    <d v="2018-07-04T19:54:55"/>
    <d v="2018-07-04T19:54:55"/>
    <d v="2018-07-04T19:54:55"/>
    <m/>
    <d v="2018-07-04T20:11:06"/>
    <d v="2018-07-04T19:54:55"/>
    <s v=""/>
    <m/>
    <m/>
  </r>
  <r>
    <n v="3995"/>
    <x v="6"/>
    <x v="65"/>
    <s v="pressure"/>
    <s v="v."/>
    <s v="向…施加压力"/>
    <d v="2018-07-04T18:32:38"/>
    <d v="2018-07-04T18:32:38"/>
    <d v="2018-07-04T18:32:38"/>
    <m/>
    <d v="2018-07-04T20:11:14"/>
    <d v="2018-07-04T18:32:38"/>
    <s v=""/>
    <m/>
    <m/>
  </r>
  <r>
    <n v="3996"/>
    <x v="6"/>
    <x v="65"/>
    <s v="pressure"/>
    <s v="n."/>
    <s v="压力"/>
    <d v="2018-07-04T18:32:34"/>
    <d v="2018-07-04T18:32:34"/>
    <d v="2018-07-04T18:32:34"/>
    <m/>
    <d v="2018-07-04T20:11:17"/>
    <d v="2018-07-04T18:32:34"/>
    <s v=""/>
    <m/>
    <m/>
  </r>
  <r>
    <n v="3997"/>
    <x v="6"/>
    <x v="66"/>
    <s v="private"/>
    <s v="adj."/>
    <s v="私人的，秘密的"/>
    <m/>
    <m/>
    <m/>
    <m/>
    <m/>
    <s v=""/>
    <s v=""/>
    <m/>
    <m/>
  </r>
  <r>
    <n v="3998"/>
    <x v="6"/>
    <x v="66"/>
    <s v="producer"/>
    <s v="n."/>
    <s v="生产者"/>
    <m/>
    <m/>
    <m/>
    <m/>
    <m/>
    <s v=""/>
    <s v=""/>
    <m/>
    <m/>
  </r>
  <r>
    <n v="3999"/>
    <x v="6"/>
    <x v="66"/>
    <s v="production"/>
    <s v="n."/>
    <s v="产品；产量"/>
    <m/>
    <m/>
    <m/>
    <m/>
    <m/>
    <s v=""/>
    <s v=""/>
    <m/>
    <m/>
  </r>
  <r>
    <n v="4000"/>
    <x v="6"/>
    <x v="66"/>
    <s v="prompt"/>
    <s v="n."/>
    <s v="提示"/>
    <m/>
    <m/>
    <m/>
    <m/>
    <m/>
    <s v=""/>
    <s v=""/>
    <m/>
    <m/>
  </r>
  <r>
    <n v="4001"/>
    <x v="6"/>
    <x v="66"/>
    <s v="prove"/>
    <s v="v."/>
    <s v="证明，结果是"/>
    <m/>
    <m/>
    <m/>
    <m/>
    <m/>
    <s v=""/>
    <s v=""/>
    <m/>
    <m/>
  </r>
  <r>
    <n v="4002"/>
    <x v="6"/>
    <x v="66"/>
    <s v="psychologist"/>
    <s v="n."/>
    <s v="心理学家"/>
    <m/>
    <m/>
    <m/>
    <m/>
    <m/>
    <s v=""/>
    <s v=""/>
    <m/>
    <m/>
  </r>
  <r>
    <n v="4003"/>
    <x v="6"/>
    <x v="66"/>
    <s v="punish"/>
    <s v="v."/>
    <s v="惩罚"/>
    <m/>
    <m/>
    <m/>
    <m/>
    <m/>
    <s v=""/>
    <s v=""/>
    <m/>
    <m/>
  </r>
  <r>
    <n v="4004"/>
    <x v="6"/>
    <x v="66"/>
    <s v="purpose"/>
    <s v="n."/>
    <s v="目的，意图"/>
    <m/>
    <m/>
    <m/>
    <m/>
    <m/>
    <s v=""/>
    <s v=""/>
    <m/>
    <m/>
  </r>
  <r>
    <n v="4005"/>
    <x v="6"/>
    <x v="66"/>
    <s v="rate"/>
    <s v="n."/>
    <s v="比率；速度；价格"/>
    <m/>
    <m/>
    <m/>
    <m/>
    <m/>
    <s v=""/>
    <s v=""/>
    <m/>
    <m/>
  </r>
  <r>
    <n v="4006"/>
    <x v="6"/>
    <x v="66"/>
    <s v="rate"/>
    <s v="v."/>
    <s v="评价，估价"/>
    <m/>
    <m/>
    <m/>
    <m/>
    <m/>
    <s v=""/>
    <s v=""/>
    <m/>
    <m/>
  </r>
  <r>
    <n v="4007"/>
    <x v="6"/>
    <x v="66"/>
    <s v="raw"/>
    <s v="adj."/>
    <s v="生的；未加工的"/>
    <m/>
    <m/>
    <m/>
    <m/>
    <m/>
    <s v=""/>
    <s v=""/>
    <m/>
    <m/>
  </r>
  <r>
    <n v="4008"/>
    <x v="6"/>
    <x v="66"/>
    <s v="reference"/>
    <s v="n."/>
    <s v="证明人"/>
    <m/>
    <m/>
    <m/>
    <m/>
    <m/>
    <s v=""/>
    <s v=""/>
    <m/>
    <m/>
  </r>
  <r>
    <n v="4009"/>
    <x v="6"/>
    <x v="66"/>
    <s v="regular"/>
    <s v="adj."/>
    <s v="规则的，常规的"/>
    <m/>
    <m/>
    <m/>
    <m/>
    <m/>
    <s v=""/>
    <s v=""/>
    <m/>
    <m/>
  </r>
  <r>
    <n v="4010"/>
    <x v="6"/>
    <x v="66"/>
    <s v="relatively"/>
    <s v="adv."/>
    <s v="比较地，相对地"/>
    <m/>
    <m/>
    <m/>
    <m/>
    <m/>
    <s v=""/>
    <s v=""/>
    <m/>
    <m/>
  </r>
  <r>
    <n v="4011"/>
    <x v="6"/>
    <x v="66"/>
    <s v="relaxation"/>
    <s v="n."/>
    <s v="松弛；松懈"/>
    <m/>
    <m/>
    <m/>
    <m/>
    <m/>
    <s v=""/>
    <s v=""/>
    <m/>
    <m/>
  </r>
  <r>
    <n v="4012"/>
    <x v="6"/>
    <x v="66"/>
    <s v="requirement"/>
    <s v="n."/>
    <s v="需要，要求"/>
    <m/>
    <m/>
    <m/>
    <m/>
    <m/>
    <s v=""/>
    <s v=""/>
    <m/>
    <m/>
  </r>
  <r>
    <n v="4013"/>
    <x v="6"/>
    <x v="66"/>
    <s v="disastrous"/>
    <s v="adj."/>
    <s v="灾难性的，悲惨的"/>
    <m/>
    <m/>
    <m/>
    <m/>
    <m/>
    <s v=""/>
    <s v=""/>
    <m/>
    <m/>
  </r>
  <r>
    <n v="4014"/>
    <x v="6"/>
    <x v="66"/>
    <s v="disorder"/>
    <s v="n."/>
    <s v="混乱，骚乱"/>
    <m/>
    <m/>
    <m/>
    <m/>
    <m/>
    <s v=""/>
    <s v=""/>
    <m/>
    <m/>
  </r>
  <r>
    <n v="4015"/>
    <x v="6"/>
    <x v="66"/>
    <s v="distract"/>
    <s v="v."/>
    <s v="分散注意力"/>
    <m/>
    <m/>
    <m/>
    <m/>
    <m/>
    <s v=""/>
    <s v=""/>
    <m/>
    <m/>
  </r>
  <r>
    <n v="4016"/>
    <x v="6"/>
    <x v="66"/>
    <s v="documentary"/>
    <s v="adj."/>
    <s v="有文件的；有证件的"/>
    <m/>
    <m/>
    <m/>
    <m/>
    <m/>
    <s v=""/>
    <s v=""/>
    <m/>
    <m/>
  </r>
  <r>
    <n v="4017"/>
    <x v="6"/>
    <x v="66"/>
    <s v="earth-orbiting"/>
    <s v="adj."/>
    <s v="围绕地球轨道的"/>
    <m/>
    <m/>
    <m/>
    <m/>
    <m/>
    <s v=""/>
    <s v=""/>
    <m/>
    <m/>
  </r>
  <r>
    <n v="4018"/>
    <x v="6"/>
    <x v="66"/>
    <s v="effect"/>
    <s v="n."/>
    <s v="效果，效力"/>
    <m/>
    <m/>
    <m/>
    <m/>
    <m/>
    <s v=""/>
    <s v=""/>
    <m/>
    <m/>
  </r>
  <r>
    <n v="4019"/>
    <x v="6"/>
    <x v="66"/>
    <s v="emotionally"/>
    <s v="adv."/>
    <s v="在情绪上"/>
    <m/>
    <m/>
    <m/>
    <m/>
    <m/>
    <s v=""/>
    <s v=""/>
    <m/>
    <m/>
  </r>
  <r>
    <n v="4020"/>
    <x v="6"/>
    <x v="66"/>
    <s v="encourage"/>
    <s v="v."/>
    <s v="鼓励，支持，助长"/>
    <m/>
    <m/>
    <m/>
    <m/>
    <m/>
    <s v=""/>
    <s v=""/>
    <m/>
    <m/>
  </r>
  <r>
    <n v="4021"/>
    <x v="6"/>
    <x v="66"/>
    <s v="enhance"/>
    <s v="v."/>
    <s v="提高，增加，夸张"/>
    <m/>
    <m/>
    <m/>
    <m/>
    <m/>
    <s v=""/>
    <s v=""/>
    <m/>
    <m/>
  </r>
  <r>
    <n v="4022"/>
    <x v="6"/>
    <x v="66"/>
    <s v="expect"/>
    <s v="v."/>
    <s v="预料，预期，等待"/>
    <m/>
    <m/>
    <m/>
    <m/>
    <m/>
    <s v=""/>
    <s v=""/>
    <m/>
    <m/>
  </r>
  <r>
    <n v="4023"/>
    <x v="6"/>
    <x v="66"/>
    <s v="experienced"/>
    <s v="adj."/>
    <s v="经验丰富的"/>
    <m/>
    <m/>
    <m/>
    <m/>
    <m/>
    <s v=""/>
    <s v=""/>
    <m/>
    <m/>
  </r>
  <r>
    <n v="4024"/>
    <x v="6"/>
    <x v="66"/>
    <s v="experiment"/>
    <s v="n."/>
    <s v="实验，试验"/>
    <m/>
    <m/>
    <m/>
    <m/>
    <m/>
    <s v=""/>
    <s v=""/>
    <m/>
    <m/>
  </r>
  <r>
    <n v="4025"/>
    <x v="6"/>
    <x v="66"/>
    <s v="expert"/>
    <s v="n."/>
    <s v="专家"/>
    <m/>
    <m/>
    <m/>
    <m/>
    <m/>
    <s v=""/>
    <s v=""/>
    <m/>
    <m/>
  </r>
  <r>
    <n v="4026"/>
    <x v="6"/>
    <x v="66"/>
    <s v="explanation"/>
    <s v="n."/>
    <s v="解释，说明，辩解"/>
    <m/>
    <m/>
    <m/>
    <m/>
    <m/>
    <s v=""/>
    <s v=""/>
    <m/>
    <m/>
  </r>
  <r>
    <n v="4027"/>
    <x v="6"/>
    <x v="67"/>
    <s v="exploration"/>
    <s v="n."/>
    <s v="探索"/>
    <m/>
    <m/>
    <m/>
    <m/>
    <m/>
    <s v=""/>
    <s v=""/>
    <m/>
    <m/>
  </r>
  <r>
    <n v="4028"/>
    <x v="6"/>
    <x v="67"/>
    <s v="explorer"/>
    <s v="n."/>
    <s v="探测者"/>
    <m/>
    <m/>
    <m/>
    <m/>
    <m/>
    <s v=""/>
    <s v=""/>
    <m/>
    <m/>
  </r>
  <r>
    <n v="4029"/>
    <x v="6"/>
    <x v="67"/>
    <s v="expression"/>
    <s v="n."/>
    <s v="词句，表达，表情"/>
    <m/>
    <m/>
    <m/>
    <m/>
    <m/>
    <s v=""/>
    <s v=""/>
    <m/>
    <m/>
  </r>
  <r>
    <n v="4030"/>
    <x v="6"/>
    <x v="67"/>
    <s v="extremely"/>
    <s v="adv."/>
    <s v="极其，非常"/>
    <m/>
    <m/>
    <m/>
    <m/>
    <m/>
    <s v=""/>
    <s v=""/>
    <m/>
    <m/>
  </r>
  <r>
    <n v="4031"/>
    <x v="6"/>
    <x v="67"/>
    <s v="flutter"/>
    <s v="v."/>
    <s v="扑腾"/>
    <m/>
    <m/>
    <m/>
    <m/>
    <m/>
    <s v=""/>
    <s v=""/>
    <m/>
    <m/>
  </r>
  <r>
    <n v="4032"/>
    <x v="6"/>
    <x v="67"/>
    <s v="respond"/>
    <s v="v."/>
    <s v="回应，反应"/>
    <m/>
    <m/>
    <m/>
    <m/>
    <m/>
    <s v=""/>
    <s v=""/>
    <m/>
    <m/>
  </r>
  <r>
    <n v="4033"/>
    <x v="6"/>
    <x v="67"/>
    <s v="reward"/>
    <s v="n."/>
    <s v="报答；报酬；酬金"/>
    <m/>
    <m/>
    <m/>
    <m/>
    <m/>
    <s v=""/>
    <s v=""/>
    <m/>
    <m/>
  </r>
  <r>
    <n v="4034"/>
    <x v="6"/>
    <x v="67"/>
    <s v="reward"/>
    <s v="v."/>
    <s v="报答"/>
    <m/>
    <m/>
    <m/>
    <m/>
    <m/>
    <s v=""/>
    <s v=""/>
    <m/>
    <m/>
  </r>
  <r>
    <n v="4035"/>
    <x v="6"/>
    <x v="67"/>
    <s v="roasted"/>
    <s v="adj."/>
    <s v="烤好的"/>
    <m/>
    <m/>
    <m/>
    <m/>
    <m/>
    <s v=""/>
    <s v=""/>
    <m/>
    <m/>
  </r>
  <r>
    <n v="4036"/>
    <x v="6"/>
    <x v="67"/>
    <s v="satellite"/>
    <s v="n."/>
    <s v="卫星"/>
    <m/>
    <m/>
    <m/>
    <m/>
    <m/>
    <s v=""/>
    <s v=""/>
    <m/>
    <m/>
  </r>
  <r>
    <n v="4037"/>
    <x v="6"/>
    <x v="67"/>
    <s v="satisfy"/>
    <s v="v."/>
    <s v="满足，使满意"/>
    <m/>
    <m/>
    <m/>
    <m/>
    <m/>
    <s v=""/>
    <s v=""/>
    <m/>
    <m/>
  </r>
  <r>
    <n v="4038"/>
    <x v="6"/>
    <x v="67"/>
    <s v="scientific"/>
    <s v="adj."/>
    <s v="科学的"/>
    <m/>
    <m/>
    <m/>
    <m/>
    <m/>
    <s v=""/>
    <s v=""/>
    <m/>
    <m/>
  </r>
  <r>
    <n v="4039"/>
    <x v="6"/>
    <x v="67"/>
    <s v="self-centered"/>
    <s v="adj."/>
    <s v="自我中心的，自我本位的，利己主义的"/>
    <m/>
    <m/>
    <m/>
    <m/>
    <m/>
    <s v=""/>
    <s v=""/>
    <m/>
    <m/>
  </r>
  <r>
    <n v="4040"/>
    <x v="6"/>
    <x v="67"/>
    <s v="self-pitying"/>
    <s v="adj."/>
    <s v="顾影自怜的"/>
    <m/>
    <m/>
    <m/>
    <m/>
    <m/>
    <s v=""/>
    <s v=""/>
    <m/>
    <m/>
  </r>
  <r>
    <n v="4041"/>
    <x v="6"/>
    <x v="67"/>
    <s v="separation"/>
    <s v="n."/>
    <s v="分离，分开"/>
    <m/>
    <m/>
    <m/>
    <m/>
    <m/>
    <s v=""/>
    <s v=""/>
    <m/>
    <m/>
  </r>
  <r>
    <n v="4042"/>
    <x v="6"/>
    <x v="67"/>
    <s v="signal"/>
    <s v="n."/>
    <s v="信号"/>
    <m/>
    <m/>
    <m/>
    <m/>
    <m/>
    <s v=""/>
    <s v=""/>
    <m/>
    <m/>
  </r>
  <r>
    <n v="4043"/>
    <x v="6"/>
    <x v="67"/>
    <s v="sledge"/>
    <s v="n."/>
    <s v="雪橇"/>
    <m/>
    <m/>
    <m/>
    <m/>
    <m/>
    <s v=""/>
    <s v=""/>
    <m/>
    <m/>
  </r>
  <r>
    <n v="4044"/>
    <x v="6"/>
    <x v="67"/>
    <s v="sponsor"/>
    <s v="n."/>
    <s v="发起者，赞助人"/>
    <m/>
    <m/>
    <m/>
    <m/>
    <m/>
    <s v=""/>
    <s v=""/>
    <m/>
    <m/>
  </r>
  <r>
    <n v="4045"/>
    <x v="6"/>
    <x v="67"/>
    <s v="sponsor"/>
    <s v="v."/>
    <s v="发起，赞助"/>
    <m/>
    <m/>
    <m/>
    <m/>
    <m/>
    <s v=""/>
    <s v=""/>
    <m/>
    <m/>
  </r>
  <r>
    <n v="4046"/>
    <x v="6"/>
    <x v="67"/>
    <s v="start-up"/>
    <s v="n."/>
    <s v="启动，（刚刚起步的）小公司"/>
    <m/>
    <m/>
    <m/>
    <m/>
    <m/>
    <s v=""/>
    <s v=""/>
    <m/>
    <m/>
  </r>
  <r>
    <n v="4047"/>
    <x v="6"/>
    <x v="67"/>
    <s v="strategy"/>
    <s v="n."/>
    <s v="策略"/>
    <m/>
    <m/>
    <m/>
    <m/>
    <m/>
    <s v=""/>
    <s v=""/>
    <m/>
    <m/>
  </r>
  <r>
    <n v="4048"/>
    <x v="6"/>
    <x v="67"/>
    <s v="structure"/>
    <s v="n."/>
    <s v="结构；建筑物"/>
    <m/>
    <m/>
    <m/>
    <m/>
    <m/>
    <s v=""/>
    <s v=""/>
    <m/>
    <m/>
  </r>
  <r>
    <n v="4049"/>
    <x v="6"/>
    <x v="67"/>
    <s v="structure"/>
    <s v="v."/>
    <s v="建造"/>
    <m/>
    <m/>
    <m/>
    <m/>
    <m/>
    <s v=""/>
    <s v=""/>
    <m/>
    <m/>
  </r>
  <r>
    <n v="4050"/>
    <x v="6"/>
    <x v="67"/>
    <s v="gadget"/>
    <s v="n."/>
    <s v="小器具，小配件"/>
    <m/>
    <m/>
    <m/>
    <m/>
    <m/>
    <s v=""/>
    <s v=""/>
    <m/>
    <m/>
  </r>
  <r>
    <n v="4051"/>
    <x v="6"/>
    <x v="67"/>
    <s v="gradually"/>
    <s v="adv."/>
    <s v="逐渐地，逐步地"/>
    <m/>
    <m/>
    <m/>
    <m/>
    <m/>
    <s v=""/>
    <s v=""/>
    <m/>
    <m/>
  </r>
  <r>
    <n v="4052"/>
    <x v="6"/>
    <x v="67"/>
    <s v="grain"/>
    <s v="n."/>
    <s v="谷物，谷粒，颗粒"/>
    <m/>
    <m/>
    <m/>
    <m/>
    <m/>
    <s v=""/>
    <s v=""/>
    <m/>
    <m/>
  </r>
  <r>
    <n v="4053"/>
    <x v="6"/>
    <x v="67"/>
    <s v="handout"/>
    <s v="n."/>
    <s v="分发"/>
    <m/>
    <m/>
    <m/>
    <m/>
    <m/>
    <s v=""/>
    <s v=""/>
    <m/>
    <m/>
  </r>
  <r>
    <n v="4054"/>
    <x v="6"/>
    <x v="67"/>
    <s v="headphone"/>
    <s v="n."/>
    <s v="耳机"/>
    <m/>
    <m/>
    <m/>
    <m/>
    <m/>
    <s v=""/>
    <s v=""/>
    <m/>
    <m/>
  </r>
  <r>
    <n v="4055"/>
    <x v="6"/>
    <x v="67"/>
    <s v="height"/>
    <s v="n."/>
    <s v="高度"/>
    <m/>
    <m/>
    <m/>
    <m/>
    <m/>
    <s v=""/>
    <s v=""/>
    <m/>
    <m/>
  </r>
  <r>
    <n v="4056"/>
    <x v="6"/>
    <x v="67"/>
    <s v="high-fat"/>
    <s v="adj."/>
    <s v="高脂肪的"/>
    <m/>
    <m/>
    <m/>
    <m/>
    <m/>
    <s v=""/>
    <s v=""/>
    <m/>
    <m/>
  </r>
  <r>
    <n v="4057"/>
    <x v="6"/>
    <x v="68"/>
    <s v="human-powered"/>
    <s v="adj."/>
    <s v="人力的"/>
    <m/>
    <m/>
    <m/>
    <m/>
    <m/>
    <s v=""/>
    <s v=""/>
    <m/>
    <m/>
  </r>
  <r>
    <n v="4058"/>
    <x v="6"/>
    <x v="68"/>
    <s v="ice-covered"/>
    <s v="adj."/>
    <s v="冰封的；冰覆盖的"/>
    <m/>
    <m/>
    <m/>
    <m/>
    <m/>
    <s v=""/>
    <s v=""/>
    <m/>
    <m/>
  </r>
  <r>
    <n v="4059"/>
    <x v="6"/>
    <x v="68"/>
    <s v="improve"/>
    <s v="v."/>
    <s v="改善，提高"/>
    <m/>
    <m/>
    <m/>
    <m/>
    <m/>
    <s v=""/>
    <s v=""/>
    <m/>
    <m/>
  </r>
  <r>
    <n v="4060"/>
    <x v="6"/>
    <x v="68"/>
    <s v="inexpensive"/>
    <s v="adj."/>
    <s v="廉价的"/>
    <m/>
    <m/>
    <m/>
    <m/>
    <m/>
    <s v=""/>
    <s v=""/>
    <m/>
    <m/>
  </r>
  <r>
    <n v="4061"/>
    <x v="6"/>
    <x v="68"/>
    <s v="injury"/>
    <s v="n."/>
    <s v="损害，伤害，受伤处"/>
    <m/>
    <m/>
    <m/>
    <m/>
    <m/>
    <s v=""/>
    <s v=""/>
    <m/>
    <m/>
  </r>
  <r>
    <n v="4062"/>
    <x v="6"/>
    <x v="68"/>
    <s v="instruction"/>
    <s v="n."/>
    <s v="命令，教学，教训"/>
    <m/>
    <m/>
    <m/>
    <m/>
    <m/>
    <s v=""/>
    <s v=""/>
    <m/>
    <m/>
  </r>
  <r>
    <n v="4063"/>
    <x v="6"/>
    <x v="68"/>
    <s v="intellectual"/>
    <s v="n."/>
    <s v="知识分子"/>
    <m/>
    <m/>
    <m/>
    <m/>
    <m/>
    <s v=""/>
    <s v=""/>
    <m/>
    <m/>
  </r>
  <r>
    <n v="4064"/>
    <x v="6"/>
    <x v="68"/>
    <s v="intellectual"/>
    <s v="adj."/>
    <s v="智力的"/>
    <m/>
    <m/>
    <m/>
    <m/>
    <m/>
    <s v=""/>
    <s v=""/>
    <m/>
    <m/>
  </r>
  <r>
    <n v="4065"/>
    <x v="6"/>
    <x v="68"/>
    <s v="introverted"/>
    <s v="adj."/>
    <s v="（性格）内向的"/>
    <m/>
    <m/>
    <m/>
    <m/>
    <m/>
    <s v=""/>
    <s v=""/>
    <m/>
    <m/>
  </r>
  <r>
    <n v="4066"/>
    <x v="6"/>
    <x v="68"/>
    <s v="invite"/>
    <s v="v."/>
    <s v="吸引"/>
    <m/>
    <m/>
    <m/>
    <m/>
    <m/>
    <s v=""/>
    <s v=""/>
    <m/>
    <m/>
  </r>
  <r>
    <n v="4067"/>
    <x v="6"/>
    <x v="68"/>
    <s v="item"/>
    <s v="n."/>
    <s v="提干，条款"/>
    <m/>
    <m/>
    <m/>
    <m/>
    <m/>
    <s v=""/>
    <s v=""/>
    <m/>
    <m/>
  </r>
  <r>
    <n v="4068"/>
    <x v="6"/>
    <x v="68"/>
    <s v="suffer"/>
    <s v="v."/>
    <s v="遭受…痛苦"/>
    <m/>
    <m/>
    <m/>
    <m/>
    <m/>
    <s v=""/>
    <s v=""/>
    <m/>
    <m/>
  </r>
  <r>
    <n v="4069"/>
    <x v="6"/>
    <x v="68"/>
    <s v="system"/>
    <s v="n."/>
    <s v="系统；制度"/>
    <m/>
    <m/>
    <m/>
    <m/>
    <m/>
    <s v=""/>
    <s v=""/>
    <m/>
    <m/>
  </r>
  <r>
    <n v="4070"/>
    <x v="6"/>
    <x v="68"/>
    <s v="talent"/>
    <s v="n."/>
    <s v="天才，才能"/>
    <m/>
    <m/>
    <m/>
    <m/>
    <m/>
    <s v=""/>
    <s v=""/>
    <m/>
    <m/>
  </r>
  <r>
    <n v="4071"/>
    <x v="6"/>
    <x v="68"/>
    <s v="telegram"/>
    <s v="n."/>
    <s v="电报"/>
    <m/>
    <m/>
    <m/>
    <m/>
    <m/>
    <s v=""/>
    <s v=""/>
    <m/>
    <m/>
  </r>
  <r>
    <n v="4072"/>
    <x v="6"/>
    <x v="68"/>
    <s v="theory"/>
    <s v="n."/>
    <s v="理论，学说"/>
    <m/>
    <m/>
    <m/>
    <m/>
    <m/>
    <s v=""/>
    <s v=""/>
    <m/>
    <m/>
  </r>
  <r>
    <n v="4073"/>
    <x v="6"/>
    <x v="68"/>
    <s v="thumb"/>
    <s v="n."/>
    <s v="大拇指"/>
    <m/>
    <m/>
    <m/>
    <m/>
    <m/>
    <s v=""/>
    <s v=""/>
    <m/>
    <m/>
  </r>
  <r>
    <n v="4074"/>
    <x v="6"/>
    <x v="68"/>
    <s v="tremble"/>
    <s v="v."/>
    <s v="发抖，哆嗦"/>
    <m/>
    <m/>
    <m/>
    <m/>
    <m/>
    <s v=""/>
    <s v=""/>
    <m/>
    <m/>
  </r>
  <r>
    <n v="4075"/>
    <x v="6"/>
    <x v="68"/>
    <s v="troop"/>
    <s v="n."/>
    <s v="军队"/>
    <m/>
    <m/>
    <m/>
    <m/>
    <m/>
    <s v=""/>
    <s v=""/>
    <m/>
    <m/>
  </r>
  <r>
    <n v="4076"/>
    <x v="6"/>
    <x v="68"/>
    <s v="underlined"/>
    <s v="adj."/>
    <s v="划线的，（重点强调的）"/>
    <m/>
    <m/>
    <m/>
    <m/>
    <m/>
    <s v=""/>
    <s v=""/>
    <m/>
    <m/>
  </r>
  <r>
    <n v="4077"/>
    <x v="6"/>
    <x v="68"/>
    <s v="unexpected"/>
    <s v="adj."/>
    <s v="意外的"/>
    <m/>
    <m/>
    <m/>
    <m/>
    <m/>
    <s v=""/>
    <s v=""/>
    <m/>
    <m/>
  </r>
  <r>
    <n v="4078"/>
    <x v="6"/>
    <x v="68"/>
    <s v="universal"/>
    <s v="adj."/>
    <s v="宇宙的；普遍的"/>
    <m/>
    <m/>
    <m/>
    <m/>
    <m/>
    <s v=""/>
    <s v=""/>
    <m/>
    <m/>
  </r>
  <r>
    <n v="4079"/>
    <x v="6"/>
    <x v="68"/>
    <s v="unlit"/>
    <s v="adj."/>
    <s v="未点燃的"/>
    <m/>
    <m/>
    <m/>
    <m/>
    <m/>
    <s v=""/>
    <s v=""/>
    <m/>
    <m/>
  </r>
  <r>
    <n v="4080"/>
    <x v="6"/>
    <x v="68"/>
    <s v="vacuum"/>
    <s v="n."/>
    <s v="真空"/>
    <m/>
    <m/>
    <m/>
    <m/>
    <m/>
    <s v=""/>
    <s v=""/>
    <m/>
    <m/>
  </r>
  <r>
    <n v="4081"/>
    <x v="6"/>
    <x v="68"/>
    <s v="value"/>
    <s v="n."/>
    <s v="价值，价格"/>
    <m/>
    <m/>
    <m/>
    <m/>
    <m/>
    <s v=""/>
    <s v=""/>
    <m/>
    <m/>
  </r>
  <r>
    <n v="4082"/>
    <x v="6"/>
    <x v="68"/>
    <s v="value"/>
    <s v="v."/>
    <s v="评价"/>
    <m/>
    <m/>
    <m/>
    <m/>
    <m/>
    <s v=""/>
    <s v=""/>
    <m/>
    <m/>
  </r>
  <r>
    <n v="4083"/>
    <x v="6"/>
    <x v="68"/>
    <s v="vehicle"/>
    <s v="n."/>
    <s v="车辆"/>
    <m/>
    <m/>
    <m/>
    <m/>
    <m/>
    <s v=""/>
    <s v=""/>
    <m/>
    <m/>
  </r>
  <r>
    <n v="4084"/>
    <x v="6"/>
    <x v="68"/>
    <s v="videophone"/>
    <s v="n."/>
    <s v="电视电话"/>
    <m/>
    <m/>
    <m/>
    <m/>
    <m/>
    <s v=""/>
    <s v=""/>
    <m/>
    <m/>
  </r>
  <r>
    <n v="4085"/>
    <x v="6"/>
    <x v="68"/>
    <s v="webcams"/>
    <s v="n."/>
    <s v="网络摄像机"/>
    <m/>
    <m/>
    <m/>
    <m/>
    <m/>
    <s v=""/>
    <s v=""/>
    <m/>
    <m/>
  </r>
  <r>
    <n v="4086"/>
    <x v="6"/>
    <x v="68"/>
    <s v="well-being"/>
    <s v="adj."/>
    <s v="安宁，福利"/>
    <m/>
    <m/>
    <m/>
    <m/>
    <m/>
    <s v=""/>
    <s v=""/>
    <m/>
    <m/>
  </r>
  <r>
    <n v="4087"/>
    <x v="6"/>
    <x v="68"/>
    <s v="wizardry"/>
    <s v="n."/>
    <s v="巫术"/>
    <m/>
    <m/>
    <m/>
    <m/>
    <m/>
    <s v=""/>
    <s v=""/>
    <m/>
    <m/>
  </r>
  <r>
    <n v="4088"/>
    <x v="6"/>
    <x v="68"/>
    <s v="worldwide"/>
    <s v="adj."/>
    <s v="全世界的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0" firstHeaderRow="0" firstDataRow="1" firstDataCol="1"/>
  <pivotFields count="15">
    <pivotField dataField="1" showAll="0"/>
    <pivotField axis="axisRow" showAll="0" sortType="ascending">
      <items count="8">
        <item h="1" x="0"/>
        <item h="1" sd="0" x="3"/>
        <item h="1" x="2"/>
        <item h="1" x="1"/>
        <item x="6"/>
        <item h="1" x="4"/>
        <item h="1" x="5"/>
        <item t="default"/>
      </items>
    </pivotField>
    <pivotField axis="axisRow" showAll="0" sortType="ascending">
      <items count="80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64"/>
        <item x="65"/>
        <item x="66"/>
        <item x="67"/>
        <item x="68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69"/>
        <item m="1" x="70"/>
        <item m="1" x="73"/>
        <item m="1" x="74"/>
        <item m="1" x="71"/>
        <item m="1" x="72"/>
        <item m="1" x="77"/>
        <item m="1" x="75"/>
        <item m="1" x="76"/>
        <item m="1" x="78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7">
    <i>
      <x v="4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2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88" totalsRowShown="0">
  <autoFilter ref="A1:O4088">
    <filterColumn colId="1">
      <filters>
        <filter val="完形填空词汇七下"/>
      </filters>
    </filterColumn>
    <filterColumn colId="2">
      <filters>
        <filter val="Group2"/>
      </filters>
    </filterColumn>
    <filterColumn colId="10">
      <filters blank="1"/>
    </filterColumn>
    <filterColumn colId="11">
      <customFilters>
        <customFilter operator="notEqual" val=" "/>
      </customFilters>
    </filterColumn>
  </autoFilter>
  <sortState ref="A3968:O3968">
    <sortCondition ref="A1:A4088"/>
  </sortState>
  <tableColumns count="15">
    <tableColumn id="7" name="ID"/>
    <tableColumn id="1" name="单词出处"/>
    <tableColumn id="2" name="章节"/>
    <tableColumn id="3" name="单词" dataDxfId="9"/>
    <tableColumn id="4" name="词性"/>
    <tableColumn id="5" name="中文"/>
    <tableColumn id="6" name="学英" dataDxfId="8"/>
    <tableColumn id="10" name="学中" dataDxfId="7"/>
    <tableColumn id="9" name="学词" dataDxfId="6"/>
    <tableColumn id="8" name="考英" dataDxfId="5"/>
    <tableColumn id="11" name="考中" dataDxfId="4"/>
    <tableColumn id="14" name="学过" dataDxfId="3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2">
      <calculatedColumnFormula>IF(AND(单词表[[#This Row],[考英]]&lt;&gt;"",单词表[[#This Row],[考中]]&lt;&gt;""),MAX(单词表[[#This Row],[考英]:[考中]]),"")</calculatedColumnFormula>
    </tableColumn>
    <tableColumn id="13" name="备注" dataDxfId="1"/>
    <tableColumn id="12" name="错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Q1:S8" totalsRowShown="0">
  <autoFilter ref="Q1:S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tabSelected="1" zoomScaleNormal="100" workbookViewId="0">
      <selection activeCell="B16" sqref="B16"/>
    </sheetView>
  </sheetViews>
  <sheetFormatPr defaultRowHeight="13.5" x14ac:dyDescent="0.15"/>
  <cols>
    <col min="1" max="1" width="20.625" customWidth="1"/>
    <col min="2" max="2" width="11.25" customWidth="1"/>
    <col min="3" max="7" width="16.5" customWidth="1"/>
    <col min="8" max="8" width="9.125" customWidth="1"/>
    <col min="9" max="9" width="22" customWidth="1"/>
    <col min="10" max="1933" width="9.125" customWidth="1"/>
  </cols>
  <sheetData>
    <row r="1" spans="1:9" ht="14.25" customHeight="1" x14ac:dyDescent="0.15"/>
    <row r="2" spans="1:9" x14ac:dyDescent="0.15">
      <c r="B2" t="s">
        <v>2226</v>
      </c>
      <c r="C2" s="8" t="s">
        <v>1036</v>
      </c>
      <c r="D2" s="8" t="s">
        <v>1037</v>
      </c>
      <c r="E2" s="8" t="s">
        <v>1038</v>
      </c>
      <c r="F2" s="8" t="s">
        <v>1039</v>
      </c>
      <c r="G2" s="8" t="s">
        <v>1040</v>
      </c>
    </row>
    <row r="3" spans="1:9" x14ac:dyDescent="0.15">
      <c r="A3" s="31" t="s">
        <v>5667</v>
      </c>
      <c r="B3" s="8" t="s">
        <v>1023</v>
      </c>
      <c r="C3" s="8" t="s">
        <v>1031</v>
      </c>
      <c r="D3" s="8" t="s">
        <v>1032</v>
      </c>
      <c r="E3" s="8" t="s">
        <v>1033</v>
      </c>
      <c r="F3" s="8" t="s">
        <v>266</v>
      </c>
      <c r="G3" s="8" t="s">
        <v>267</v>
      </c>
    </row>
    <row r="4" spans="1:9" x14ac:dyDescent="0.15">
      <c r="A4" s="7" t="s">
        <v>7363</v>
      </c>
      <c r="B4" s="73">
        <v>152</v>
      </c>
      <c r="C4" s="73">
        <v>60</v>
      </c>
      <c r="D4" s="73">
        <v>60</v>
      </c>
      <c r="E4" s="73">
        <v>60</v>
      </c>
      <c r="F4" s="73"/>
      <c r="G4" s="73">
        <v>60</v>
      </c>
      <c r="H4" s="32"/>
    </row>
    <row r="5" spans="1:9" x14ac:dyDescent="0.15">
      <c r="A5" s="85" t="s">
        <v>7365</v>
      </c>
      <c r="B5" s="73">
        <v>30</v>
      </c>
      <c r="C5" s="73">
        <v>30</v>
      </c>
      <c r="D5" s="73">
        <v>30</v>
      </c>
      <c r="E5" s="73">
        <v>30</v>
      </c>
      <c r="F5" s="73"/>
      <c r="G5" s="73">
        <v>30</v>
      </c>
      <c r="H5" s="32"/>
    </row>
    <row r="6" spans="1:9" ht="11.25" customHeight="1" x14ac:dyDescent="0.15">
      <c r="A6" s="85" t="s">
        <v>7366</v>
      </c>
      <c r="B6" s="73">
        <v>30</v>
      </c>
      <c r="C6" s="73">
        <v>30</v>
      </c>
      <c r="D6" s="73">
        <v>30</v>
      </c>
      <c r="E6" s="73">
        <v>30</v>
      </c>
      <c r="F6" s="73"/>
      <c r="G6" s="73">
        <v>30</v>
      </c>
      <c r="H6" s="32"/>
      <c r="I6" s="1" t="s">
        <v>443</v>
      </c>
    </row>
    <row r="7" spans="1:9" ht="11.25" customHeight="1" x14ac:dyDescent="0.15">
      <c r="A7" s="85" t="s">
        <v>7360</v>
      </c>
      <c r="B7" s="73">
        <v>30</v>
      </c>
      <c r="C7" s="73"/>
      <c r="D7" s="73"/>
      <c r="E7" s="73"/>
      <c r="F7" s="73"/>
      <c r="G7" s="73"/>
      <c r="H7" s="32"/>
    </row>
    <row r="8" spans="1:9" ht="12.75" customHeight="1" x14ac:dyDescent="0.15">
      <c r="A8" s="85" t="s">
        <v>7361</v>
      </c>
      <c r="B8" s="73">
        <v>30</v>
      </c>
      <c r="C8" s="73"/>
      <c r="D8" s="73"/>
      <c r="E8" s="73"/>
      <c r="F8" s="73"/>
      <c r="G8" s="73"/>
      <c r="H8" s="32"/>
      <c r="I8" s="1" t="s">
        <v>442</v>
      </c>
    </row>
    <row r="9" spans="1:9" x14ac:dyDescent="0.15">
      <c r="A9" s="85" t="s">
        <v>7362</v>
      </c>
      <c r="B9" s="73">
        <v>32</v>
      </c>
      <c r="C9" s="73"/>
      <c r="D9" s="73"/>
      <c r="E9" s="73"/>
      <c r="F9" s="73"/>
      <c r="G9" s="73"/>
      <c r="H9" s="32"/>
    </row>
    <row r="10" spans="1:9" x14ac:dyDescent="0.15">
      <c r="A10" s="7" t="s">
        <v>5668</v>
      </c>
      <c r="B10" s="73">
        <v>152</v>
      </c>
      <c r="C10" s="73">
        <v>60</v>
      </c>
      <c r="D10" s="73">
        <v>60</v>
      </c>
      <c r="E10" s="73">
        <v>60</v>
      </c>
      <c r="F10" s="73"/>
      <c r="G10" s="73">
        <v>60</v>
      </c>
      <c r="H10" s="32"/>
      <c r="I10" s="1" t="s">
        <v>444</v>
      </c>
    </row>
    <row r="11" spans="1:9" x14ac:dyDescent="0.15">
      <c r="H11" s="32"/>
    </row>
    <row r="12" spans="1:9" x14ac:dyDescent="0.15">
      <c r="H12" s="32"/>
      <c r="I12" s="1" t="s">
        <v>1269</v>
      </c>
    </row>
    <row r="13" spans="1:9" x14ac:dyDescent="0.15">
      <c r="H13" s="32"/>
    </row>
    <row r="14" spans="1:9" x14ac:dyDescent="0.15">
      <c r="H14" s="32"/>
    </row>
    <row r="15" spans="1:9" x14ac:dyDescent="0.15">
      <c r="H15" s="32"/>
    </row>
    <row r="16" spans="1:9" x14ac:dyDescent="0.15">
      <c r="H16" s="32"/>
    </row>
    <row r="17" spans="8:8" x14ac:dyDescent="0.15">
      <c r="H17" s="32"/>
    </row>
    <row r="18" spans="8:8" x14ac:dyDescent="0.15">
      <c r="H18" s="32"/>
    </row>
    <row r="19" spans="8:8" x14ac:dyDescent="0.15">
      <c r="H19" s="32"/>
    </row>
    <row r="20" spans="8:8" x14ac:dyDescent="0.15">
      <c r="H20" s="32"/>
    </row>
    <row r="21" spans="8:8" x14ac:dyDescent="0.15">
      <c r="H21" s="32"/>
    </row>
    <row r="22" spans="8:8" x14ac:dyDescent="0.15">
      <c r="H22" s="32"/>
    </row>
    <row r="23" spans="8:8" x14ac:dyDescent="0.15">
      <c r="H23" s="32"/>
    </row>
    <row r="24" spans="8:8" x14ac:dyDescent="0.15">
      <c r="H24" s="32"/>
    </row>
  </sheetData>
  <phoneticPr fontId="1" type="noConversion"/>
  <conditionalFormatting pivot="1" sqref="C4:G10">
    <cfRule type="expression" dxfId="13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025"/>
  <sheetViews>
    <sheetView showGridLines="0" zoomScale="90" zoomScaleNormal="90" workbookViewId="0">
      <pane ySplit="14" topLeftCell="A15" activePane="bottomLeft" state="frozen"/>
      <selection pane="bottomLeft" activeCell="F22" sqref="F22"/>
    </sheetView>
  </sheetViews>
  <sheetFormatPr defaultColWidth="9.625" defaultRowHeight="14.25" x14ac:dyDescent="0.15"/>
  <cols>
    <col min="1" max="4" width="1.5" style="9" customWidth="1"/>
    <col min="5" max="5" width="13.25" style="17" customWidth="1"/>
    <col min="6" max="6" width="13.25" style="14" customWidth="1"/>
    <col min="7" max="9" width="13.25" style="9" customWidth="1"/>
    <col min="10" max="10" width="5.25" style="9" customWidth="1"/>
    <col min="11" max="11" width="78.625" style="9" customWidth="1"/>
    <col min="12" max="12" width="3" style="9" customWidth="1"/>
    <col min="13" max="13" width="11.625" style="9" customWidth="1"/>
    <col min="14" max="16384" width="9.625" style="9"/>
  </cols>
  <sheetData>
    <row r="1" spans="5:24" ht="6" customHeight="1" x14ac:dyDescent="0.15"/>
    <row r="2" spans="5:24" ht="15" customHeight="1" x14ac:dyDescent="0.15">
      <c r="E2" s="4" t="s">
        <v>40</v>
      </c>
      <c r="F2" s="11" t="s">
        <v>7363</v>
      </c>
      <c r="G2" s="8">
        <f>COUNTIF(单词表[单词出处],EGAM_BOOK)</f>
        <v>152</v>
      </c>
      <c r="H2" s="4"/>
      <c r="I2" s="7"/>
    </row>
    <row r="3" spans="5:24" ht="15" customHeight="1" x14ac:dyDescent="0.15">
      <c r="E3" s="4" t="s">
        <v>111</v>
      </c>
      <c r="F3" s="91" t="s">
        <v>7365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30</v>
      </c>
      <c r="H3" s="4" t="s">
        <v>1035</v>
      </c>
      <c r="I3" s="34" t="s">
        <v>1034</v>
      </c>
    </row>
    <row r="4" spans="5:24" ht="15" customHeight="1" x14ac:dyDescent="0.15">
      <c r="E4" s="4" t="s">
        <v>119</v>
      </c>
      <c r="F4" s="11">
        <v>1</v>
      </c>
      <c r="G4" t="s">
        <v>120</v>
      </c>
      <c r="H4" s="16" t="s">
        <v>125</v>
      </c>
      <c r="I4" s="35" t="s">
        <v>6005</v>
      </c>
    </row>
    <row r="5" spans="5:24" ht="15" customHeight="1" x14ac:dyDescent="0.15">
      <c r="E5" s="4" t="s">
        <v>121</v>
      </c>
      <c r="F5" s="11">
        <v>30</v>
      </c>
      <c r="G5" t="s">
        <v>122</v>
      </c>
      <c r="H5" s="88">
        <v>43284.279444444444</v>
      </c>
      <c r="I5" s="15">
        <v>0</v>
      </c>
    </row>
    <row r="6" spans="5:24" ht="15" customHeight="1" x14ac:dyDescent="0.15">
      <c r="E6" s="4" t="s">
        <v>123</v>
      </c>
      <c r="F6" s="8">
        <v>1</v>
      </c>
      <c r="G6" t="s">
        <v>122</v>
      </c>
      <c r="H6" s="5">
        <v>3937</v>
      </c>
      <c r="I6" s="5">
        <v>1</v>
      </c>
    </row>
    <row r="7" spans="5:24" ht="71.45" customHeight="1" x14ac:dyDescent="0.15">
      <c r="E7" s="87"/>
      <c r="F7" s="87"/>
      <c r="G7" s="87"/>
      <c r="H7" s="87"/>
      <c r="I7" s="87"/>
      <c r="K7" s="36" t="s">
        <v>114</v>
      </c>
    </row>
    <row r="8" spans="5:24" ht="71.45" customHeight="1" x14ac:dyDescent="0.15">
      <c r="E8" s="87"/>
      <c r="F8" s="87"/>
      <c r="G8" s="87" t="s">
        <v>7367</v>
      </c>
      <c r="H8" s="87" t="s">
        <v>7368</v>
      </c>
      <c r="I8" s="87" t="s">
        <v>6502</v>
      </c>
      <c r="K8" s="42" t="s">
        <v>7373</v>
      </c>
    </row>
    <row r="9" spans="5:24" ht="71.45" customHeight="1" x14ac:dyDescent="0.15">
      <c r="E9" s="87" t="s">
        <v>7370</v>
      </c>
      <c r="F9" s="87" t="s">
        <v>7027</v>
      </c>
      <c r="G9" s="87" t="s">
        <v>6501</v>
      </c>
      <c r="H9" s="87" t="s">
        <v>7372</v>
      </c>
      <c r="I9" s="87" t="s">
        <v>6501</v>
      </c>
      <c r="K9" s="12" t="s">
        <v>7374</v>
      </c>
    </row>
    <row r="10" spans="5:24" ht="71.45" customHeight="1" thickBot="1" x14ac:dyDescent="0.2">
      <c r="E10" s="87"/>
      <c r="F10" s="87"/>
      <c r="G10" s="87" t="s">
        <v>6501</v>
      </c>
      <c r="H10" s="87"/>
      <c r="I10" s="87" t="s">
        <v>7369</v>
      </c>
      <c r="K10" s="13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15">
      <c r="E11" s="87"/>
      <c r="F11" s="87"/>
      <c r="G11" s="87" t="s">
        <v>7371</v>
      </c>
      <c r="H11" s="87"/>
      <c r="I11" s="87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15">
      <c r="E13" s="8">
        <f>SUM(E14:E653)</f>
        <v>0</v>
      </c>
      <c r="F13" s="8">
        <f>COUNTIF(F14:F653,"&lt;&gt;")-1</f>
        <v>0</v>
      </c>
    </row>
    <row r="14" spans="5:24" s="74" customFormat="1" ht="18.75" x14ac:dyDescent="0.25">
      <c r="E14" s="75" t="s">
        <v>118</v>
      </c>
      <c r="F14" s="76" t="s">
        <v>143</v>
      </c>
      <c r="H14" s="75" t="s">
        <v>1266</v>
      </c>
      <c r="I14" s="75" t="s">
        <v>1267</v>
      </c>
      <c r="J14" s="74" t="s">
        <v>3284</v>
      </c>
    </row>
    <row r="15" spans="5:24" s="74" customFormat="1" ht="18.75" x14ac:dyDescent="0.25">
      <c r="E15" s="75"/>
      <c r="F15" s="76"/>
      <c r="H15" s="75"/>
      <c r="I15" s="75"/>
    </row>
    <row r="16" spans="5:24" s="74" customFormat="1" ht="18.75" x14ac:dyDescent="0.25">
      <c r="E16" s="75"/>
      <c r="F16" s="76"/>
      <c r="H16" s="75"/>
      <c r="I16" s="75"/>
    </row>
    <row r="17" spans="5:9" s="74" customFormat="1" ht="18.75" x14ac:dyDescent="0.25">
      <c r="E17" s="75"/>
      <c r="F17" s="76"/>
      <c r="H17" s="75"/>
      <c r="I17" s="75"/>
    </row>
    <row r="18" spans="5:9" s="74" customFormat="1" ht="18.75" x14ac:dyDescent="0.25">
      <c r="E18" s="75"/>
      <c r="F18" s="76"/>
      <c r="H18" s="75"/>
      <c r="I18" s="75"/>
    </row>
    <row r="19" spans="5:9" s="74" customFormat="1" ht="18.75" x14ac:dyDescent="0.25">
      <c r="E19" s="75"/>
      <c r="F19" s="76"/>
      <c r="H19" s="75"/>
      <c r="I19" s="75"/>
    </row>
    <row r="20" spans="5:9" s="74" customFormat="1" ht="18.75" x14ac:dyDescent="0.25">
      <c r="E20" s="75"/>
      <c r="F20" s="76"/>
      <c r="H20" s="75"/>
      <c r="I20" s="75"/>
    </row>
    <row r="21" spans="5:9" s="74" customFormat="1" ht="18.75" x14ac:dyDescent="0.25">
      <c r="E21" s="75"/>
      <c r="F21" s="76"/>
      <c r="H21" s="75"/>
      <c r="I21" s="75"/>
    </row>
    <row r="22" spans="5:9" s="74" customFormat="1" ht="18.75" x14ac:dyDescent="0.25">
      <c r="E22" s="75"/>
      <c r="F22" s="76"/>
      <c r="H22" s="75"/>
      <c r="I22" s="75"/>
    </row>
    <row r="23" spans="5:9" s="74" customFormat="1" ht="18.75" x14ac:dyDescent="0.25">
      <c r="E23" s="75"/>
      <c r="F23" s="76"/>
      <c r="H23" s="75"/>
      <c r="I23" s="75"/>
    </row>
    <row r="24" spans="5:9" s="74" customFormat="1" ht="18.75" x14ac:dyDescent="0.25">
      <c r="E24" s="75"/>
      <c r="F24" s="76"/>
      <c r="H24" s="75"/>
      <c r="I24" s="75"/>
    </row>
    <row r="25" spans="5:9" s="74" customFormat="1" ht="18.75" x14ac:dyDescent="0.25">
      <c r="E25" s="75"/>
      <c r="F25" s="76"/>
      <c r="H25" s="75"/>
      <c r="I25" s="75"/>
    </row>
    <row r="26" spans="5:9" s="74" customFormat="1" ht="18.75" x14ac:dyDescent="0.25">
      <c r="E26" s="75"/>
      <c r="F26" s="76"/>
      <c r="H26" s="75"/>
      <c r="I26" s="75"/>
    </row>
    <row r="27" spans="5:9" s="74" customFormat="1" ht="18.75" x14ac:dyDescent="0.25">
      <c r="E27" s="75"/>
      <c r="F27" s="76"/>
      <c r="H27" s="75"/>
      <c r="I27" s="75"/>
    </row>
    <row r="28" spans="5:9" s="74" customFormat="1" ht="18.75" x14ac:dyDescent="0.25">
      <c r="E28" s="75"/>
      <c r="F28" s="76"/>
      <c r="H28" s="75"/>
      <c r="I28" s="75"/>
    </row>
    <row r="29" spans="5:9" s="74" customFormat="1" ht="18.75" x14ac:dyDescent="0.25">
      <c r="E29" s="75"/>
      <c r="F29" s="76"/>
      <c r="H29" s="75"/>
      <c r="I29" s="75"/>
    </row>
    <row r="30" spans="5:9" s="74" customFormat="1" ht="18.75" x14ac:dyDescent="0.25">
      <c r="E30" s="75"/>
      <c r="F30" s="76"/>
      <c r="H30" s="75"/>
      <c r="I30" s="75"/>
    </row>
    <row r="31" spans="5:9" s="74" customFormat="1" ht="18.75" x14ac:dyDescent="0.25">
      <c r="E31" s="75"/>
      <c r="F31" s="76"/>
      <c r="H31" s="75"/>
      <c r="I31" s="75"/>
    </row>
    <row r="32" spans="5:9" s="74" customFormat="1" ht="18.75" x14ac:dyDescent="0.25">
      <c r="E32" s="75"/>
      <c r="F32" s="76"/>
      <c r="H32" s="75"/>
      <c r="I32" s="75"/>
    </row>
    <row r="33" spans="5:9" s="74" customFormat="1" ht="18.75" x14ac:dyDescent="0.25">
      <c r="E33" s="75"/>
      <c r="F33" s="76"/>
      <c r="H33" s="75"/>
      <c r="I33" s="75"/>
    </row>
    <row r="34" spans="5:9" s="74" customFormat="1" ht="18.75" x14ac:dyDescent="0.25">
      <c r="E34" s="75"/>
      <c r="F34" s="76"/>
      <c r="H34" s="75"/>
      <c r="I34" s="75"/>
    </row>
    <row r="35" spans="5:9" s="74" customFormat="1" ht="18.75" x14ac:dyDescent="0.25">
      <c r="E35" s="75"/>
      <c r="F35" s="76"/>
      <c r="H35" s="75"/>
      <c r="I35" s="75"/>
    </row>
    <row r="36" spans="5:9" s="74" customFormat="1" ht="18.75" x14ac:dyDescent="0.25">
      <c r="E36" s="75"/>
      <c r="F36" s="76"/>
      <c r="H36" s="75"/>
      <c r="I36" s="75"/>
    </row>
    <row r="37" spans="5:9" s="74" customFormat="1" ht="18.75" x14ac:dyDescent="0.25">
      <c r="E37" s="75"/>
      <c r="F37" s="76"/>
      <c r="H37" s="75"/>
      <c r="I37" s="75"/>
    </row>
    <row r="38" spans="5:9" s="74" customFormat="1" ht="18.75" x14ac:dyDescent="0.25">
      <c r="E38" s="75"/>
      <c r="F38" s="76"/>
      <c r="H38" s="75"/>
      <c r="I38" s="75"/>
    </row>
    <row r="39" spans="5:9" s="74" customFormat="1" ht="18.75" x14ac:dyDescent="0.25">
      <c r="E39" s="75"/>
      <c r="F39" s="76"/>
      <c r="H39" s="75"/>
      <c r="I39" s="75"/>
    </row>
    <row r="40" spans="5:9" s="74" customFormat="1" ht="18.75" x14ac:dyDescent="0.25">
      <c r="E40" s="75"/>
      <c r="F40" s="76"/>
      <c r="H40" s="75"/>
      <c r="I40" s="75"/>
    </row>
    <row r="41" spans="5:9" s="74" customFormat="1" ht="18.75" x14ac:dyDescent="0.25">
      <c r="E41" s="75"/>
      <c r="F41" s="76"/>
      <c r="H41" s="75"/>
      <c r="I41" s="75"/>
    </row>
    <row r="42" spans="5:9" s="74" customFormat="1" ht="18.75" x14ac:dyDescent="0.25">
      <c r="E42" s="75"/>
      <c r="F42" s="76"/>
      <c r="H42" s="75"/>
      <c r="I42" s="75"/>
    </row>
    <row r="43" spans="5:9" s="74" customFormat="1" ht="18.75" x14ac:dyDescent="0.25">
      <c r="E43" s="75"/>
      <c r="F43" s="76"/>
      <c r="H43" s="75"/>
      <c r="I43" s="75"/>
    </row>
    <row r="44" spans="5:9" s="74" customFormat="1" ht="18.75" x14ac:dyDescent="0.25">
      <c r="E44" s="75"/>
      <c r="F44" s="76"/>
      <c r="H44" s="75"/>
      <c r="I44" s="75"/>
    </row>
    <row r="45" spans="5:9" s="74" customFormat="1" ht="18.75" x14ac:dyDescent="0.25">
      <c r="E45" s="75"/>
      <c r="F45" s="76"/>
      <c r="H45" s="75"/>
      <c r="I45" s="75"/>
    </row>
    <row r="46" spans="5:9" s="74" customFormat="1" ht="18.75" x14ac:dyDescent="0.25">
      <c r="E46" s="75"/>
      <c r="F46" s="76"/>
      <c r="H46" s="75"/>
      <c r="I46" s="75"/>
    </row>
    <row r="47" spans="5:9" s="74" customFormat="1" ht="18.75" x14ac:dyDescent="0.25">
      <c r="E47" s="75"/>
      <c r="F47" s="76"/>
      <c r="H47" s="75"/>
      <c r="I47" s="75"/>
    </row>
    <row r="48" spans="5:9" s="74" customFormat="1" ht="18.75" x14ac:dyDescent="0.25">
      <c r="E48" s="75"/>
      <c r="F48" s="76"/>
      <c r="H48" s="75"/>
      <c r="I48" s="75"/>
    </row>
    <row r="49" spans="5:9" s="74" customFormat="1" ht="18.75" x14ac:dyDescent="0.25">
      <c r="E49" s="75"/>
      <c r="F49" s="76"/>
      <c r="H49" s="75"/>
      <c r="I49" s="75"/>
    </row>
    <row r="50" spans="5:9" s="74" customFormat="1" ht="18.75" x14ac:dyDescent="0.25">
      <c r="E50" s="75"/>
      <c r="F50" s="76"/>
      <c r="H50" s="75"/>
      <c r="I50" s="75"/>
    </row>
    <row r="51" spans="5:9" s="74" customFormat="1" ht="18.75" x14ac:dyDescent="0.25">
      <c r="E51" s="75"/>
      <c r="F51" s="76"/>
      <c r="H51" s="75"/>
      <c r="I51" s="75"/>
    </row>
    <row r="52" spans="5:9" s="74" customFormat="1" ht="18.75" x14ac:dyDescent="0.25">
      <c r="E52" s="75"/>
      <c r="F52" s="76"/>
      <c r="H52" s="75"/>
      <c r="I52" s="75"/>
    </row>
    <row r="53" spans="5:9" s="74" customFormat="1" ht="18.75" x14ac:dyDescent="0.25">
      <c r="E53" s="75"/>
      <c r="F53" s="76"/>
      <c r="H53" s="75"/>
      <c r="I53" s="75"/>
    </row>
    <row r="54" spans="5:9" s="74" customFormat="1" ht="18.75" x14ac:dyDescent="0.25">
      <c r="E54" s="75"/>
      <c r="F54" s="76"/>
      <c r="H54" s="75"/>
      <c r="I54" s="75"/>
    </row>
    <row r="55" spans="5:9" s="74" customFormat="1" ht="18.75" x14ac:dyDescent="0.25">
      <c r="E55" s="75"/>
      <c r="F55" s="76"/>
      <c r="H55" s="75"/>
      <c r="I55" s="75"/>
    </row>
    <row r="56" spans="5:9" s="74" customFormat="1" ht="18.75" x14ac:dyDescent="0.25">
      <c r="E56" s="75"/>
      <c r="F56" s="76"/>
      <c r="H56" s="75"/>
      <c r="I56" s="75"/>
    </row>
    <row r="57" spans="5:9" s="74" customFormat="1" ht="18.75" x14ac:dyDescent="0.25">
      <c r="E57" s="75"/>
      <c r="F57" s="76"/>
      <c r="H57" s="75"/>
      <c r="I57" s="75"/>
    </row>
    <row r="58" spans="5:9" s="74" customFormat="1" ht="18.75" x14ac:dyDescent="0.25">
      <c r="E58" s="75"/>
      <c r="F58" s="76"/>
      <c r="H58" s="75"/>
      <c r="I58" s="75"/>
    </row>
    <row r="59" spans="5:9" s="74" customFormat="1" ht="18.75" x14ac:dyDescent="0.25">
      <c r="E59" s="75"/>
      <c r="F59" s="76"/>
      <c r="H59" s="75"/>
      <c r="I59" s="75"/>
    </row>
    <row r="60" spans="5:9" s="74" customFormat="1" ht="18.75" x14ac:dyDescent="0.25">
      <c r="E60" s="75"/>
      <c r="F60" s="76"/>
      <c r="H60" s="75"/>
      <c r="I60" s="75"/>
    </row>
    <row r="61" spans="5:9" s="74" customFormat="1" ht="18.75" x14ac:dyDescent="0.25">
      <c r="E61" s="75"/>
      <c r="F61" s="76"/>
      <c r="H61" s="75"/>
      <c r="I61" s="75"/>
    </row>
    <row r="62" spans="5:9" s="74" customFormat="1" ht="18.75" x14ac:dyDescent="0.25">
      <c r="E62" s="75"/>
      <c r="F62" s="76"/>
      <c r="H62" s="75"/>
      <c r="I62" s="75"/>
    </row>
    <row r="63" spans="5:9" s="74" customFormat="1" ht="18.75" x14ac:dyDescent="0.25">
      <c r="E63" s="75"/>
      <c r="F63" s="76"/>
      <c r="H63" s="75"/>
      <c r="I63" s="75"/>
    </row>
    <row r="64" spans="5:9" s="74" customFormat="1" ht="18.75" x14ac:dyDescent="0.25">
      <c r="E64" s="75"/>
      <c r="F64" s="76"/>
      <c r="H64" s="75"/>
      <c r="I64" s="75"/>
    </row>
    <row r="65" spans="5:9" s="74" customFormat="1" ht="18.75" x14ac:dyDescent="0.25">
      <c r="E65" s="75"/>
      <c r="F65" s="76"/>
      <c r="H65" s="75"/>
      <c r="I65" s="75"/>
    </row>
    <row r="66" spans="5:9" s="74" customFormat="1" ht="18.75" x14ac:dyDescent="0.25">
      <c r="E66" s="75"/>
      <c r="F66" s="76"/>
      <c r="H66" s="75"/>
      <c r="I66" s="75"/>
    </row>
    <row r="67" spans="5:9" s="74" customFormat="1" ht="18.75" x14ac:dyDescent="0.25">
      <c r="E67" s="75"/>
      <c r="F67" s="76"/>
      <c r="H67" s="75"/>
      <c r="I67" s="75"/>
    </row>
    <row r="68" spans="5:9" s="74" customFormat="1" ht="18.75" x14ac:dyDescent="0.25">
      <c r="E68" s="75"/>
      <c r="F68" s="76"/>
      <c r="H68" s="75"/>
      <c r="I68" s="75"/>
    </row>
    <row r="69" spans="5:9" s="74" customFormat="1" ht="18.75" x14ac:dyDescent="0.25">
      <c r="E69" s="75"/>
      <c r="F69" s="76"/>
      <c r="H69" s="75"/>
      <c r="I69" s="75"/>
    </row>
    <row r="70" spans="5:9" s="74" customFormat="1" ht="18.75" x14ac:dyDescent="0.25">
      <c r="E70" s="75"/>
      <c r="F70" s="76"/>
      <c r="H70" s="75"/>
      <c r="I70" s="75"/>
    </row>
    <row r="71" spans="5:9" s="74" customFormat="1" ht="18.75" x14ac:dyDescent="0.25">
      <c r="E71" s="75"/>
      <c r="F71" s="76"/>
      <c r="H71" s="75"/>
      <c r="I71" s="75"/>
    </row>
    <row r="72" spans="5:9" s="74" customFormat="1" ht="18.75" x14ac:dyDescent="0.25">
      <c r="E72" s="75"/>
      <c r="F72" s="76"/>
      <c r="H72" s="75"/>
      <c r="I72" s="75"/>
    </row>
    <row r="73" spans="5:9" s="74" customFormat="1" ht="18.75" x14ac:dyDescent="0.25">
      <c r="E73" s="75"/>
      <c r="F73" s="76"/>
      <c r="H73" s="75"/>
      <c r="I73" s="75"/>
    </row>
    <row r="74" spans="5:9" s="74" customFormat="1" ht="18.75" x14ac:dyDescent="0.25">
      <c r="E74" s="75"/>
      <c r="F74" s="76"/>
      <c r="H74" s="75"/>
      <c r="I74" s="75"/>
    </row>
    <row r="75" spans="5:9" s="74" customFormat="1" ht="18.75" x14ac:dyDescent="0.25">
      <c r="E75" s="75"/>
      <c r="F75" s="76"/>
      <c r="H75" s="75"/>
      <c r="I75" s="75"/>
    </row>
    <row r="76" spans="5:9" s="74" customFormat="1" ht="18.75" x14ac:dyDescent="0.25">
      <c r="E76" s="75"/>
      <c r="F76" s="76"/>
      <c r="H76" s="75"/>
      <c r="I76" s="75"/>
    </row>
    <row r="77" spans="5:9" s="74" customFormat="1" ht="18.75" x14ac:dyDescent="0.25">
      <c r="E77" s="75"/>
      <c r="F77" s="76"/>
      <c r="H77" s="75"/>
      <c r="I77" s="75"/>
    </row>
    <row r="78" spans="5:9" s="74" customFormat="1" ht="18.75" x14ac:dyDescent="0.25">
      <c r="E78" s="75"/>
      <c r="F78" s="76"/>
      <c r="H78" s="75"/>
      <c r="I78" s="75"/>
    </row>
    <row r="79" spans="5:9" s="74" customFormat="1" ht="18.75" x14ac:dyDescent="0.25">
      <c r="E79" s="75"/>
      <c r="F79" s="76"/>
      <c r="H79" s="75"/>
      <c r="I79" s="75"/>
    </row>
    <row r="80" spans="5:9" s="74" customFormat="1" ht="18.75" x14ac:dyDescent="0.25">
      <c r="E80" s="75"/>
      <c r="F80" s="76"/>
      <c r="H80" s="75"/>
      <c r="I80" s="75"/>
    </row>
    <row r="81" spans="5:9" s="74" customFormat="1" ht="18.75" x14ac:dyDescent="0.25">
      <c r="E81" s="75"/>
      <c r="F81" s="76"/>
      <c r="H81" s="75"/>
      <c r="I81" s="75"/>
    </row>
    <row r="82" spans="5:9" s="74" customFormat="1" ht="18.75" x14ac:dyDescent="0.25">
      <c r="E82" s="75"/>
      <c r="F82" s="76"/>
      <c r="H82" s="75"/>
      <c r="I82" s="75"/>
    </row>
    <row r="83" spans="5:9" s="74" customFormat="1" ht="18.75" x14ac:dyDescent="0.25">
      <c r="E83" s="75"/>
      <c r="F83" s="76"/>
      <c r="H83" s="75"/>
      <c r="I83" s="75"/>
    </row>
    <row r="84" spans="5:9" s="74" customFormat="1" ht="18.75" x14ac:dyDescent="0.25">
      <c r="E84" s="75"/>
      <c r="F84" s="76"/>
      <c r="H84" s="75"/>
      <c r="I84" s="75"/>
    </row>
    <row r="85" spans="5:9" s="74" customFormat="1" ht="18.75" x14ac:dyDescent="0.25">
      <c r="E85" s="75"/>
      <c r="F85" s="76"/>
      <c r="H85" s="75"/>
      <c r="I85" s="75"/>
    </row>
    <row r="86" spans="5:9" s="74" customFormat="1" ht="18.75" x14ac:dyDescent="0.25">
      <c r="E86" s="75"/>
      <c r="F86" s="76"/>
      <c r="H86" s="75"/>
      <c r="I86" s="75"/>
    </row>
    <row r="87" spans="5:9" s="74" customFormat="1" ht="18.75" x14ac:dyDescent="0.25">
      <c r="E87" s="75"/>
      <c r="F87" s="76"/>
      <c r="H87" s="75"/>
      <c r="I87" s="75"/>
    </row>
    <row r="88" spans="5:9" s="74" customFormat="1" ht="18.75" x14ac:dyDescent="0.25">
      <c r="E88" s="75"/>
      <c r="F88" s="76"/>
      <c r="H88" s="75"/>
      <c r="I88" s="75"/>
    </row>
    <row r="89" spans="5:9" s="74" customFormat="1" ht="18.75" x14ac:dyDescent="0.25">
      <c r="E89" s="75"/>
      <c r="F89" s="76"/>
      <c r="H89" s="75"/>
      <c r="I89" s="75"/>
    </row>
    <row r="90" spans="5:9" s="74" customFormat="1" ht="18.75" x14ac:dyDescent="0.25">
      <c r="E90" s="75"/>
      <c r="F90" s="76"/>
      <c r="H90" s="75"/>
      <c r="I90" s="75"/>
    </row>
    <row r="91" spans="5:9" s="74" customFormat="1" ht="18.75" x14ac:dyDescent="0.25">
      <c r="E91" s="75"/>
      <c r="F91" s="76"/>
      <c r="H91" s="75"/>
      <c r="I91" s="75"/>
    </row>
    <row r="92" spans="5:9" s="74" customFormat="1" ht="18.75" x14ac:dyDescent="0.25">
      <c r="E92" s="75"/>
      <c r="F92" s="76"/>
      <c r="H92" s="75"/>
      <c r="I92" s="75"/>
    </row>
    <row r="93" spans="5:9" s="74" customFormat="1" ht="18.75" x14ac:dyDescent="0.25">
      <c r="E93" s="75"/>
      <c r="F93" s="76"/>
      <c r="H93" s="75"/>
      <c r="I93" s="75"/>
    </row>
    <row r="94" spans="5:9" s="74" customFormat="1" ht="18.75" x14ac:dyDescent="0.25">
      <c r="E94" s="75"/>
      <c r="F94" s="76"/>
      <c r="H94" s="75"/>
      <c r="I94" s="75"/>
    </row>
    <row r="95" spans="5:9" s="74" customFormat="1" ht="18.75" x14ac:dyDescent="0.25">
      <c r="E95" s="75"/>
      <c r="F95" s="76"/>
      <c r="H95" s="75"/>
      <c r="I95" s="75"/>
    </row>
    <row r="96" spans="5:9" s="74" customFormat="1" ht="18.75" x14ac:dyDescent="0.25">
      <c r="E96" s="75"/>
      <c r="F96" s="76"/>
      <c r="H96" s="75"/>
      <c r="I96" s="75"/>
    </row>
    <row r="97" spans="5:9" s="74" customFormat="1" ht="18.75" x14ac:dyDescent="0.25">
      <c r="E97" s="75"/>
      <c r="F97" s="76"/>
      <c r="H97" s="75"/>
      <c r="I97" s="75"/>
    </row>
    <row r="98" spans="5:9" s="74" customFormat="1" ht="18.75" x14ac:dyDescent="0.25">
      <c r="E98" s="75"/>
      <c r="F98" s="76"/>
      <c r="H98" s="75"/>
      <c r="I98" s="75"/>
    </row>
    <row r="99" spans="5:9" s="74" customFormat="1" ht="18.75" x14ac:dyDescent="0.25">
      <c r="E99" s="75"/>
      <c r="F99" s="76"/>
      <c r="H99" s="75"/>
      <c r="I99" s="75"/>
    </row>
    <row r="100" spans="5:9" s="74" customFormat="1" ht="18.75" x14ac:dyDescent="0.25">
      <c r="E100" s="75"/>
      <c r="F100" s="76"/>
      <c r="H100" s="75"/>
      <c r="I100" s="75"/>
    </row>
    <row r="101" spans="5:9" s="74" customFormat="1" ht="18.75" x14ac:dyDescent="0.25">
      <c r="E101" s="75"/>
      <c r="F101" s="76"/>
      <c r="H101" s="75"/>
      <c r="I101" s="75"/>
    </row>
    <row r="102" spans="5:9" s="74" customFormat="1" ht="18.75" x14ac:dyDescent="0.25">
      <c r="E102" s="75"/>
      <c r="F102" s="76"/>
      <c r="H102" s="75"/>
      <c r="I102" s="75"/>
    </row>
    <row r="103" spans="5:9" s="74" customFormat="1" ht="18.75" x14ac:dyDescent="0.25">
      <c r="E103" s="75"/>
      <c r="F103" s="76"/>
      <c r="H103" s="75"/>
      <c r="I103" s="75"/>
    </row>
    <row r="104" spans="5:9" s="74" customFormat="1" ht="18.75" x14ac:dyDescent="0.25">
      <c r="E104" s="75"/>
      <c r="F104" s="76"/>
      <c r="H104" s="75"/>
      <c r="I104" s="75"/>
    </row>
    <row r="105" spans="5:9" s="74" customFormat="1" ht="18.75" x14ac:dyDescent="0.25">
      <c r="E105" s="75"/>
      <c r="F105" s="76"/>
      <c r="H105" s="75"/>
      <c r="I105" s="75"/>
    </row>
    <row r="106" spans="5:9" s="74" customFormat="1" ht="18.75" x14ac:dyDescent="0.25">
      <c r="E106" s="75"/>
      <c r="F106" s="76"/>
      <c r="H106" s="75"/>
      <c r="I106" s="75"/>
    </row>
    <row r="107" spans="5:9" s="74" customFormat="1" ht="18.75" x14ac:dyDescent="0.25">
      <c r="E107" s="75"/>
      <c r="F107" s="76"/>
      <c r="H107" s="75"/>
      <c r="I107" s="75"/>
    </row>
    <row r="108" spans="5:9" s="74" customFormat="1" ht="18.75" x14ac:dyDescent="0.25">
      <c r="E108" s="75"/>
      <c r="F108" s="76"/>
      <c r="H108" s="75"/>
      <c r="I108" s="75"/>
    </row>
    <row r="109" spans="5:9" s="74" customFormat="1" ht="18.75" x14ac:dyDescent="0.25">
      <c r="E109" s="75"/>
      <c r="F109" s="76"/>
      <c r="H109" s="75"/>
      <c r="I109" s="75"/>
    </row>
    <row r="110" spans="5:9" s="74" customFormat="1" ht="18.75" x14ac:dyDescent="0.25">
      <c r="E110" s="75"/>
      <c r="F110" s="76"/>
      <c r="H110" s="75"/>
      <c r="I110" s="75"/>
    </row>
    <row r="111" spans="5:9" s="74" customFormat="1" ht="18.75" x14ac:dyDescent="0.25">
      <c r="E111" s="75"/>
      <c r="F111" s="76"/>
      <c r="H111" s="75"/>
      <c r="I111" s="75"/>
    </row>
    <row r="112" spans="5:9" s="74" customFormat="1" ht="18.75" x14ac:dyDescent="0.25">
      <c r="E112" s="75"/>
      <c r="F112" s="76"/>
      <c r="H112" s="75"/>
      <c r="I112" s="75"/>
    </row>
    <row r="113" spans="5:9" s="74" customFormat="1" ht="18.75" x14ac:dyDescent="0.25">
      <c r="E113" s="75"/>
      <c r="F113" s="76"/>
      <c r="H113" s="75"/>
      <c r="I113" s="75"/>
    </row>
    <row r="114" spans="5:9" s="74" customFormat="1" ht="18.75" x14ac:dyDescent="0.25">
      <c r="E114" s="75"/>
      <c r="F114" s="76"/>
      <c r="H114" s="75"/>
      <c r="I114" s="75"/>
    </row>
    <row r="115" spans="5:9" s="74" customFormat="1" ht="18.75" x14ac:dyDescent="0.25">
      <c r="E115" s="75"/>
      <c r="F115" s="76"/>
      <c r="H115" s="75"/>
      <c r="I115" s="75"/>
    </row>
    <row r="116" spans="5:9" s="74" customFormat="1" ht="18.75" x14ac:dyDescent="0.25">
      <c r="E116" s="75"/>
      <c r="F116" s="76"/>
      <c r="H116" s="75"/>
      <c r="I116" s="75"/>
    </row>
    <row r="117" spans="5:9" s="74" customFormat="1" ht="18.75" x14ac:dyDescent="0.25">
      <c r="E117" s="75"/>
      <c r="F117" s="76"/>
      <c r="H117" s="75"/>
      <c r="I117" s="75"/>
    </row>
    <row r="118" spans="5:9" s="74" customFormat="1" ht="18.75" x14ac:dyDescent="0.25">
      <c r="E118" s="75"/>
      <c r="F118" s="76"/>
      <c r="H118" s="75"/>
      <c r="I118" s="75"/>
    </row>
    <row r="119" spans="5:9" s="74" customFormat="1" ht="18.75" x14ac:dyDescent="0.25">
      <c r="E119" s="75"/>
      <c r="F119" s="76"/>
      <c r="H119" s="75"/>
      <c r="I119" s="75"/>
    </row>
    <row r="120" spans="5:9" s="74" customFormat="1" ht="18.75" x14ac:dyDescent="0.25">
      <c r="E120" s="75"/>
      <c r="F120" s="76"/>
      <c r="H120" s="75"/>
      <c r="I120" s="75"/>
    </row>
    <row r="121" spans="5:9" s="74" customFormat="1" ht="18.75" x14ac:dyDescent="0.25">
      <c r="E121" s="75"/>
      <c r="F121" s="76"/>
      <c r="H121" s="75"/>
      <c r="I121" s="75"/>
    </row>
    <row r="122" spans="5:9" s="74" customFormat="1" ht="18.75" x14ac:dyDescent="0.25">
      <c r="E122" s="75"/>
      <c r="F122" s="76"/>
      <c r="H122" s="75"/>
      <c r="I122" s="75"/>
    </row>
    <row r="123" spans="5:9" s="74" customFormat="1" ht="18.75" x14ac:dyDescent="0.25">
      <c r="E123" s="75"/>
      <c r="F123" s="76"/>
      <c r="H123" s="75"/>
      <c r="I123" s="75"/>
    </row>
    <row r="124" spans="5:9" s="74" customFormat="1" ht="18.75" x14ac:dyDescent="0.25">
      <c r="E124" s="75"/>
      <c r="F124" s="76"/>
      <c r="H124" s="75"/>
      <c r="I124" s="75"/>
    </row>
    <row r="125" spans="5:9" s="74" customFormat="1" ht="18.75" x14ac:dyDescent="0.25">
      <c r="E125" s="75"/>
      <c r="F125" s="76"/>
      <c r="H125" s="75"/>
      <c r="I125" s="75"/>
    </row>
    <row r="126" spans="5:9" s="74" customFormat="1" ht="18.75" x14ac:dyDescent="0.25">
      <c r="E126" s="75"/>
      <c r="F126" s="76"/>
      <c r="H126" s="75"/>
      <c r="I126" s="75"/>
    </row>
    <row r="127" spans="5:9" s="74" customFormat="1" ht="18.75" x14ac:dyDescent="0.25">
      <c r="E127" s="75"/>
      <c r="F127" s="76"/>
      <c r="H127" s="75"/>
      <c r="I127" s="75"/>
    </row>
    <row r="128" spans="5:9" s="74" customFormat="1" ht="18.75" x14ac:dyDescent="0.25">
      <c r="E128" s="75"/>
      <c r="F128" s="76"/>
      <c r="H128" s="75"/>
      <c r="I128" s="75"/>
    </row>
    <row r="129" spans="5:9" s="74" customFormat="1" ht="18.75" x14ac:dyDescent="0.25">
      <c r="E129" s="75"/>
      <c r="F129" s="76"/>
      <c r="H129" s="75"/>
      <c r="I129" s="75"/>
    </row>
    <row r="130" spans="5:9" s="74" customFormat="1" ht="18.75" x14ac:dyDescent="0.25">
      <c r="E130" s="75"/>
      <c r="F130" s="76"/>
      <c r="H130" s="75"/>
      <c r="I130" s="75"/>
    </row>
    <row r="131" spans="5:9" s="74" customFormat="1" ht="18.75" x14ac:dyDescent="0.25">
      <c r="E131" s="75"/>
      <c r="F131" s="76"/>
      <c r="H131" s="75"/>
      <c r="I131" s="75"/>
    </row>
    <row r="132" spans="5:9" s="74" customFormat="1" ht="18.75" x14ac:dyDescent="0.25">
      <c r="E132" s="75"/>
      <c r="F132" s="76"/>
      <c r="H132" s="75"/>
      <c r="I132" s="75"/>
    </row>
    <row r="133" spans="5:9" s="74" customFormat="1" ht="18.75" x14ac:dyDescent="0.25">
      <c r="E133" s="75"/>
      <c r="F133" s="76"/>
      <c r="H133" s="75"/>
      <c r="I133" s="75"/>
    </row>
    <row r="134" spans="5:9" s="74" customFormat="1" ht="18.75" x14ac:dyDescent="0.25">
      <c r="E134" s="75"/>
      <c r="F134" s="76"/>
      <c r="H134" s="75"/>
      <c r="I134" s="75"/>
    </row>
    <row r="135" spans="5:9" s="74" customFormat="1" ht="18.75" x14ac:dyDescent="0.25">
      <c r="E135" s="75"/>
      <c r="F135" s="76"/>
      <c r="H135" s="75"/>
      <c r="I135" s="75"/>
    </row>
    <row r="136" spans="5:9" s="74" customFormat="1" ht="18.75" x14ac:dyDescent="0.25">
      <c r="E136" s="75"/>
      <c r="F136" s="76"/>
      <c r="H136" s="75"/>
      <c r="I136" s="75"/>
    </row>
    <row r="137" spans="5:9" s="74" customFormat="1" ht="18.75" x14ac:dyDescent="0.25">
      <c r="E137" s="75"/>
      <c r="F137" s="76"/>
      <c r="H137" s="75"/>
      <c r="I137" s="75"/>
    </row>
    <row r="138" spans="5:9" s="74" customFormat="1" ht="18.75" x14ac:dyDescent="0.25">
      <c r="E138" s="75"/>
      <c r="F138" s="76"/>
      <c r="H138" s="75"/>
      <c r="I138" s="75"/>
    </row>
    <row r="139" spans="5:9" s="74" customFormat="1" ht="18.75" x14ac:dyDescent="0.25">
      <c r="E139" s="75"/>
      <c r="F139" s="76"/>
      <c r="H139" s="75"/>
      <c r="I139" s="75"/>
    </row>
    <row r="140" spans="5:9" s="74" customFormat="1" ht="18.75" x14ac:dyDescent="0.25">
      <c r="E140" s="75"/>
      <c r="F140" s="76"/>
      <c r="H140" s="75"/>
      <c r="I140" s="75"/>
    </row>
    <row r="141" spans="5:9" s="74" customFormat="1" ht="18.75" x14ac:dyDescent="0.25">
      <c r="E141" s="75"/>
      <c r="F141" s="76"/>
      <c r="H141" s="75"/>
      <c r="I141" s="75"/>
    </row>
    <row r="142" spans="5:9" s="74" customFormat="1" ht="18.75" x14ac:dyDescent="0.25">
      <c r="E142" s="75"/>
      <c r="F142" s="76"/>
      <c r="H142" s="75"/>
      <c r="I142" s="75"/>
    </row>
    <row r="143" spans="5:9" s="74" customFormat="1" ht="18.75" x14ac:dyDescent="0.25">
      <c r="E143" s="75"/>
      <c r="F143" s="76"/>
      <c r="H143" s="75"/>
      <c r="I143" s="75"/>
    </row>
    <row r="144" spans="5:9" s="74" customFormat="1" ht="18.75" x14ac:dyDescent="0.25">
      <c r="E144" s="75"/>
      <c r="F144" s="76"/>
      <c r="H144" s="75"/>
      <c r="I144" s="75"/>
    </row>
    <row r="145" spans="5:9" s="74" customFormat="1" ht="18.75" x14ac:dyDescent="0.25">
      <c r="E145" s="75"/>
      <c r="F145" s="76"/>
      <c r="H145" s="75"/>
      <c r="I145" s="75"/>
    </row>
    <row r="146" spans="5:9" s="74" customFormat="1" ht="18.75" x14ac:dyDescent="0.25">
      <c r="E146" s="75"/>
      <c r="F146" s="76"/>
      <c r="H146" s="75"/>
      <c r="I146" s="75"/>
    </row>
    <row r="147" spans="5:9" s="74" customFormat="1" ht="18.75" x14ac:dyDescent="0.25">
      <c r="E147" s="75"/>
      <c r="F147" s="76"/>
      <c r="H147" s="75"/>
      <c r="I147" s="75"/>
    </row>
    <row r="148" spans="5:9" s="74" customFormat="1" ht="18.75" x14ac:dyDescent="0.25">
      <c r="E148" s="75"/>
      <c r="F148" s="76"/>
      <c r="H148" s="75"/>
      <c r="I148" s="75"/>
    </row>
    <row r="149" spans="5:9" s="74" customFormat="1" ht="18.75" x14ac:dyDescent="0.25">
      <c r="E149" s="75"/>
      <c r="F149" s="76"/>
      <c r="H149" s="75"/>
      <c r="I149" s="75"/>
    </row>
    <row r="150" spans="5:9" s="74" customFormat="1" ht="18.75" x14ac:dyDescent="0.25">
      <c r="E150" s="75"/>
      <c r="F150" s="76"/>
      <c r="H150" s="75"/>
      <c r="I150" s="75"/>
    </row>
    <row r="151" spans="5:9" s="74" customFormat="1" ht="18.75" x14ac:dyDescent="0.25">
      <c r="E151" s="75"/>
      <c r="F151" s="76"/>
      <c r="H151" s="75"/>
      <c r="I151" s="75"/>
    </row>
    <row r="152" spans="5:9" s="74" customFormat="1" ht="18.75" x14ac:dyDescent="0.25">
      <c r="E152" s="75"/>
      <c r="F152" s="76"/>
      <c r="H152" s="75"/>
      <c r="I152" s="75"/>
    </row>
    <row r="153" spans="5:9" s="74" customFormat="1" ht="18.75" x14ac:dyDescent="0.25">
      <c r="E153" s="75"/>
      <c r="F153" s="76"/>
      <c r="H153" s="75"/>
      <c r="I153" s="75"/>
    </row>
    <row r="154" spans="5:9" s="74" customFormat="1" ht="18.75" x14ac:dyDescent="0.25">
      <c r="E154" s="75"/>
      <c r="F154" s="76"/>
      <c r="H154" s="75"/>
      <c r="I154" s="75"/>
    </row>
    <row r="155" spans="5:9" s="74" customFormat="1" ht="18.75" x14ac:dyDescent="0.25">
      <c r="E155" s="75"/>
      <c r="F155" s="76"/>
      <c r="H155" s="75"/>
      <c r="I155" s="75"/>
    </row>
    <row r="156" spans="5:9" s="74" customFormat="1" ht="18.75" x14ac:dyDescent="0.25">
      <c r="E156" s="75"/>
      <c r="F156" s="76"/>
      <c r="H156" s="75"/>
      <c r="I156" s="75"/>
    </row>
    <row r="157" spans="5:9" s="74" customFormat="1" ht="18.75" x14ac:dyDescent="0.25">
      <c r="E157" s="75"/>
      <c r="F157" s="76"/>
      <c r="H157" s="75"/>
      <c r="I157" s="75"/>
    </row>
    <row r="158" spans="5:9" s="74" customFormat="1" ht="18.75" x14ac:dyDescent="0.25">
      <c r="E158" s="75"/>
      <c r="F158" s="76"/>
      <c r="H158" s="75"/>
      <c r="I158" s="75"/>
    </row>
    <row r="159" spans="5:9" s="74" customFormat="1" ht="18.75" x14ac:dyDescent="0.25">
      <c r="E159" s="75"/>
      <c r="F159" s="76"/>
      <c r="H159" s="75"/>
      <c r="I159" s="75"/>
    </row>
    <row r="160" spans="5:9" s="74" customFormat="1" ht="18.75" x14ac:dyDescent="0.25">
      <c r="E160" s="75"/>
      <c r="F160" s="76"/>
      <c r="H160" s="75"/>
      <c r="I160" s="75"/>
    </row>
    <row r="161" spans="5:9" s="74" customFormat="1" ht="18.75" x14ac:dyDescent="0.25">
      <c r="E161" s="75"/>
      <c r="F161" s="76"/>
      <c r="H161" s="75"/>
      <c r="I161" s="75"/>
    </row>
    <row r="162" spans="5:9" s="74" customFormat="1" ht="18.75" x14ac:dyDescent="0.25">
      <c r="E162" s="75"/>
      <c r="F162" s="76"/>
      <c r="H162" s="75"/>
      <c r="I162" s="75"/>
    </row>
    <row r="163" spans="5:9" s="74" customFormat="1" ht="18.75" x14ac:dyDescent="0.25">
      <c r="E163" s="75"/>
      <c r="F163" s="76"/>
      <c r="H163" s="75"/>
      <c r="I163" s="75"/>
    </row>
    <row r="164" spans="5:9" s="74" customFormat="1" ht="18.75" x14ac:dyDescent="0.25">
      <c r="E164" s="75"/>
      <c r="F164" s="76"/>
      <c r="H164" s="75"/>
      <c r="I164" s="75"/>
    </row>
    <row r="165" spans="5:9" s="74" customFormat="1" ht="18.75" x14ac:dyDescent="0.25">
      <c r="E165" s="75"/>
      <c r="F165" s="76"/>
      <c r="H165" s="75"/>
      <c r="I165" s="75"/>
    </row>
    <row r="166" spans="5:9" s="74" customFormat="1" ht="18.75" x14ac:dyDescent="0.25">
      <c r="E166" s="75"/>
      <c r="F166" s="76"/>
      <c r="H166" s="75"/>
      <c r="I166" s="75"/>
    </row>
    <row r="167" spans="5:9" s="74" customFormat="1" ht="18.75" x14ac:dyDescent="0.25">
      <c r="E167" s="75"/>
      <c r="F167" s="76"/>
      <c r="H167" s="75"/>
      <c r="I167" s="75"/>
    </row>
    <row r="168" spans="5:9" s="74" customFormat="1" ht="18.75" x14ac:dyDescent="0.25">
      <c r="E168" s="75"/>
      <c r="F168" s="76"/>
      <c r="H168" s="75"/>
      <c r="I168" s="75"/>
    </row>
    <row r="169" spans="5:9" s="74" customFormat="1" ht="18.75" x14ac:dyDescent="0.25">
      <c r="E169" s="75"/>
      <c r="F169" s="76"/>
      <c r="H169" s="75"/>
      <c r="I169" s="75"/>
    </row>
    <row r="170" spans="5:9" s="74" customFormat="1" ht="18.75" x14ac:dyDescent="0.25">
      <c r="E170" s="75"/>
      <c r="F170" s="76"/>
      <c r="H170" s="75"/>
      <c r="I170" s="75"/>
    </row>
    <row r="171" spans="5:9" s="74" customFormat="1" ht="18.75" x14ac:dyDescent="0.25">
      <c r="E171" s="75"/>
      <c r="F171" s="76"/>
      <c r="H171" s="75"/>
      <c r="I171" s="75"/>
    </row>
    <row r="172" spans="5:9" s="74" customFormat="1" ht="18.75" x14ac:dyDescent="0.25">
      <c r="E172" s="75"/>
      <c r="F172" s="76"/>
      <c r="H172" s="75"/>
      <c r="I172" s="75"/>
    </row>
    <row r="173" spans="5:9" s="74" customFormat="1" ht="18.75" x14ac:dyDescent="0.25">
      <c r="E173" s="75"/>
      <c r="F173" s="76"/>
      <c r="H173" s="75"/>
      <c r="I173" s="75"/>
    </row>
    <row r="174" spans="5:9" s="74" customFormat="1" ht="18.75" x14ac:dyDescent="0.25">
      <c r="E174" s="75"/>
      <c r="F174" s="76"/>
      <c r="H174" s="75"/>
      <c r="I174" s="75"/>
    </row>
    <row r="175" spans="5:9" s="74" customFormat="1" ht="18.75" x14ac:dyDescent="0.25">
      <c r="E175" s="75"/>
      <c r="F175" s="76"/>
      <c r="H175" s="75"/>
      <c r="I175" s="75"/>
    </row>
    <row r="176" spans="5:9" s="74" customFormat="1" ht="18.75" x14ac:dyDescent="0.25">
      <c r="E176" s="75"/>
      <c r="F176" s="76"/>
      <c r="H176" s="75"/>
      <c r="I176" s="75"/>
    </row>
    <row r="177" spans="5:9" s="74" customFormat="1" ht="18.75" x14ac:dyDescent="0.25">
      <c r="E177" s="75"/>
      <c r="F177" s="76"/>
      <c r="H177" s="75"/>
      <c r="I177" s="75"/>
    </row>
    <row r="178" spans="5:9" s="74" customFormat="1" ht="18.75" x14ac:dyDescent="0.25">
      <c r="E178" s="75"/>
      <c r="F178" s="76"/>
      <c r="H178" s="75"/>
      <c r="I178" s="75"/>
    </row>
    <row r="179" spans="5:9" s="74" customFormat="1" ht="18.75" x14ac:dyDescent="0.25">
      <c r="E179" s="75"/>
      <c r="F179" s="76"/>
      <c r="H179" s="75"/>
      <c r="I179" s="75"/>
    </row>
    <row r="180" spans="5:9" s="74" customFormat="1" ht="18.75" x14ac:dyDescent="0.25">
      <c r="E180" s="75"/>
      <c r="F180" s="76"/>
      <c r="H180" s="75"/>
      <c r="I180" s="75"/>
    </row>
    <row r="181" spans="5:9" s="74" customFormat="1" ht="18.75" x14ac:dyDescent="0.25">
      <c r="E181" s="75"/>
      <c r="F181" s="76"/>
      <c r="H181" s="75"/>
      <c r="I181" s="75"/>
    </row>
    <row r="182" spans="5:9" s="74" customFormat="1" ht="18.75" x14ac:dyDescent="0.25">
      <c r="E182" s="75"/>
      <c r="F182" s="76"/>
      <c r="H182" s="75"/>
      <c r="I182" s="75"/>
    </row>
    <row r="183" spans="5:9" s="74" customFormat="1" ht="18.75" x14ac:dyDescent="0.25">
      <c r="E183" s="75"/>
      <c r="F183" s="76"/>
      <c r="H183" s="75"/>
      <c r="I183" s="75"/>
    </row>
    <row r="184" spans="5:9" s="74" customFormat="1" ht="18.75" x14ac:dyDescent="0.25">
      <c r="E184" s="75"/>
      <c r="F184" s="76"/>
      <c r="H184" s="75"/>
      <c r="I184" s="75"/>
    </row>
    <row r="185" spans="5:9" s="74" customFormat="1" ht="18.75" x14ac:dyDescent="0.25">
      <c r="E185" s="75"/>
      <c r="F185" s="76"/>
      <c r="H185" s="75"/>
      <c r="I185" s="75"/>
    </row>
    <row r="186" spans="5:9" s="74" customFormat="1" ht="18.75" x14ac:dyDescent="0.25">
      <c r="E186" s="75"/>
      <c r="F186" s="76"/>
      <c r="H186" s="75"/>
      <c r="I186" s="75"/>
    </row>
    <row r="187" spans="5:9" s="74" customFormat="1" ht="18.75" x14ac:dyDescent="0.25">
      <c r="E187" s="75"/>
      <c r="F187" s="76"/>
      <c r="H187" s="75"/>
      <c r="I187" s="75"/>
    </row>
    <row r="188" spans="5:9" s="74" customFormat="1" ht="18.75" x14ac:dyDescent="0.25">
      <c r="E188" s="75"/>
      <c r="F188" s="76"/>
      <c r="H188" s="75"/>
      <c r="I188" s="75"/>
    </row>
    <row r="189" spans="5:9" s="74" customFormat="1" ht="18.75" x14ac:dyDescent="0.25">
      <c r="E189" s="75"/>
      <c r="F189" s="76"/>
      <c r="H189" s="75"/>
      <c r="I189" s="75"/>
    </row>
    <row r="190" spans="5:9" s="74" customFormat="1" ht="18.75" x14ac:dyDescent="0.25">
      <c r="E190" s="75"/>
      <c r="F190" s="76"/>
      <c r="H190" s="75"/>
      <c r="I190" s="75"/>
    </row>
    <row r="191" spans="5:9" s="74" customFormat="1" ht="18.75" x14ac:dyDescent="0.25">
      <c r="E191" s="75"/>
      <c r="F191" s="76"/>
      <c r="H191" s="75"/>
      <c r="I191" s="75"/>
    </row>
    <row r="192" spans="5:9" s="74" customFormat="1" ht="18.75" x14ac:dyDescent="0.25">
      <c r="E192" s="75"/>
      <c r="F192" s="76"/>
      <c r="H192" s="75"/>
      <c r="I192" s="75"/>
    </row>
    <row r="193" spans="5:9" s="74" customFormat="1" ht="18.75" x14ac:dyDescent="0.25">
      <c r="E193" s="75"/>
      <c r="F193" s="76"/>
      <c r="H193" s="75"/>
      <c r="I193" s="75"/>
    </row>
    <row r="194" spans="5:9" s="74" customFormat="1" ht="18.75" x14ac:dyDescent="0.25">
      <c r="E194" s="75"/>
      <c r="F194" s="76"/>
      <c r="H194" s="75"/>
      <c r="I194" s="75"/>
    </row>
    <row r="195" spans="5:9" s="74" customFormat="1" ht="18.75" x14ac:dyDescent="0.25">
      <c r="E195" s="75"/>
      <c r="F195" s="76"/>
      <c r="H195" s="75"/>
      <c r="I195" s="75"/>
    </row>
    <row r="196" spans="5:9" s="74" customFormat="1" ht="18.75" x14ac:dyDescent="0.25">
      <c r="E196" s="75"/>
      <c r="F196" s="76"/>
      <c r="H196" s="75"/>
      <c r="I196" s="75"/>
    </row>
    <row r="197" spans="5:9" s="74" customFormat="1" ht="18.75" x14ac:dyDescent="0.25">
      <c r="E197" s="75"/>
      <c r="F197" s="76"/>
      <c r="H197" s="75"/>
      <c r="I197" s="75"/>
    </row>
    <row r="198" spans="5:9" s="74" customFormat="1" ht="18.75" x14ac:dyDescent="0.25">
      <c r="E198" s="75"/>
      <c r="F198" s="76"/>
      <c r="H198" s="75"/>
      <c r="I198" s="75"/>
    </row>
    <row r="199" spans="5:9" s="74" customFormat="1" ht="18.75" x14ac:dyDescent="0.25">
      <c r="E199" s="75"/>
      <c r="F199" s="76"/>
      <c r="H199" s="75"/>
      <c r="I199" s="75"/>
    </row>
    <row r="200" spans="5:9" s="74" customFormat="1" ht="18.75" x14ac:dyDescent="0.25">
      <c r="E200" s="75"/>
      <c r="F200" s="76"/>
      <c r="H200" s="75"/>
      <c r="I200" s="75"/>
    </row>
    <row r="201" spans="5:9" s="74" customFormat="1" ht="18.75" x14ac:dyDescent="0.25">
      <c r="E201" s="75"/>
      <c r="F201" s="76"/>
      <c r="H201" s="75"/>
      <c r="I201" s="75"/>
    </row>
    <row r="202" spans="5:9" s="74" customFormat="1" ht="18.75" x14ac:dyDescent="0.25">
      <c r="E202" s="75"/>
      <c r="F202" s="76"/>
      <c r="H202" s="75"/>
      <c r="I202" s="75"/>
    </row>
    <row r="203" spans="5:9" s="74" customFormat="1" ht="18.75" x14ac:dyDescent="0.25">
      <c r="E203" s="75"/>
      <c r="F203" s="76"/>
      <c r="H203" s="75"/>
      <c r="I203" s="75"/>
    </row>
    <row r="204" spans="5:9" s="74" customFormat="1" ht="18.75" x14ac:dyDescent="0.25">
      <c r="E204" s="75"/>
      <c r="F204" s="76"/>
      <c r="H204" s="75"/>
      <c r="I204" s="75"/>
    </row>
    <row r="205" spans="5:9" s="74" customFormat="1" ht="18.75" x14ac:dyDescent="0.25">
      <c r="E205" s="75"/>
      <c r="F205" s="76"/>
      <c r="H205" s="75"/>
      <c r="I205" s="75"/>
    </row>
    <row r="206" spans="5:9" s="74" customFormat="1" ht="18.75" x14ac:dyDescent="0.25">
      <c r="E206" s="75"/>
      <c r="F206" s="76"/>
      <c r="H206" s="75"/>
      <c r="I206" s="75"/>
    </row>
    <row r="207" spans="5:9" s="74" customFormat="1" ht="18.75" x14ac:dyDescent="0.25">
      <c r="E207" s="75"/>
      <c r="F207" s="76"/>
      <c r="H207" s="75"/>
      <c r="I207" s="75"/>
    </row>
    <row r="208" spans="5:9" s="74" customFormat="1" ht="18.75" x14ac:dyDescent="0.25">
      <c r="E208" s="75"/>
      <c r="F208" s="76"/>
      <c r="H208" s="75"/>
      <c r="I208" s="75"/>
    </row>
    <row r="209" spans="5:9" s="74" customFormat="1" ht="18.75" x14ac:dyDescent="0.25">
      <c r="E209" s="75"/>
      <c r="F209" s="76"/>
      <c r="H209" s="75"/>
      <c r="I209" s="75"/>
    </row>
    <row r="210" spans="5:9" s="74" customFormat="1" ht="18.75" x14ac:dyDescent="0.25">
      <c r="E210" s="75"/>
      <c r="F210" s="76"/>
      <c r="H210" s="75"/>
      <c r="I210" s="75"/>
    </row>
    <row r="211" spans="5:9" s="74" customFormat="1" ht="18.75" x14ac:dyDescent="0.25">
      <c r="E211" s="75"/>
      <c r="F211" s="76"/>
      <c r="H211" s="75"/>
      <c r="I211" s="75"/>
    </row>
    <row r="212" spans="5:9" s="74" customFormat="1" ht="18.75" x14ac:dyDescent="0.25">
      <c r="E212" s="75"/>
      <c r="F212" s="76"/>
      <c r="H212" s="75"/>
      <c r="I212" s="75"/>
    </row>
    <row r="213" spans="5:9" s="74" customFormat="1" ht="18.75" x14ac:dyDescent="0.25">
      <c r="E213" s="75"/>
      <c r="F213" s="76"/>
      <c r="H213" s="75"/>
      <c r="I213" s="75"/>
    </row>
    <row r="214" spans="5:9" s="74" customFormat="1" ht="18.75" x14ac:dyDescent="0.25">
      <c r="E214" s="75"/>
      <c r="F214" s="76"/>
      <c r="H214" s="75"/>
      <c r="I214" s="75"/>
    </row>
    <row r="215" spans="5:9" s="74" customFormat="1" ht="18.75" x14ac:dyDescent="0.25">
      <c r="E215" s="75"/>
      <c r="F215" s="76"/>
      <c r="H215" s="75"/>
      <c r="I215" s="75"/>
    </row>
    <row r="216" spans="5:9" s="74" customFormat="1" ht="18.75" x14ac:dyDescent="0.25">
      <c r="E216" s="75"/>
      <c r="F216" s="76"/>
      <c r="H216" s="75"/>
      <c r="I216" s="75"/>
    </row>
    <row r="217" spans="5:9" s="74" customFormat="1" ht="18.75" x14ac:dyDescent="0.25">
      <c r="E217" s="75"/>
      <c r="F217" s="76"/>
      <c r="H217" s="75"/>
      <c r="I217" s="75"/>
    </row>
    <row r="218" spans="5:9" s="74" customFormat="1" ht="18.75" x14ac:dyDescent="0.25">
      <c r="E218" s="75"/>
      <c r="F218" s="76"/>
      <c r="H218" s="75"/>
      <c r="I218" s="75"/>
    </row>
    <row r="219" spans="5:9" s="74" customFormat="1" ht="18.75" x14ac:dyDescent="0.25">
      <c r="E219" s="75"/>
      <c r="F219" s="76"/>
      <c r="H219" s="75"/>
      <c r="I219" s="75"/>
    </row>
    <row r="220" spans="5:9" s="74" customFormat="1" ht="18.75" x14ac:dyDescent="0.25">
      <c r="E220" s="75"/>
      <c r="F220" s="76"/>
      <c r="H220" s="75"/>
      <c r="I220" s="75"/>
    </row>
    <row r="221" spans="5:9" s="74" customFormat="1" ht="18.75" x14ac:dyDescent="0.25">
      <c r="E221" s="75"/>
      <c r="F221" s="76"/>
      <c r="H221" s="75"/>
      <c r="I221" s="75"/>
    </row>
    <row r="222" spans="5:9" s="74" customFormat="1" ht="18.75" x14ac:dyDescent="0.25">
      <c r="E222" s="75"/>
      <c r="F222" s="76"/>
      <c r="H222" s="75"/>
      <c r="I222" s="75"/>
    </row>
    <row r="223" spans="5:9" s="74" customFormat="1" ht="18.75" x14ac:dyDescent="0.25">
      <c r="E223" s="75"/>
      <c r="F223" s="76"/>
      <c r="H223" s="75"/>
      <c r="I223" s="75"/>
    </row>
    <row r="224" spans="5:9" s="74" customFormat="1" ht="18.75" x14ac:dyDescent="0.25">
      <c r="E224" s="75"/>
      <c r="F224" s="76"/>
      <c r="H224" s="75"/>
      <c r="I224" s="75"/>
    </row>
    <row r="225" spans="5:9" s="74" customFormat="1" ht="18.75" x14ac:dyDescent="0.25">
      <c r="E225" s="75"/>
      <c r="F225" s="76"/>
      <c r="H225" s="75"/>
      <c r="I225" s="75"/>
    </row>
    <row r="226" spans="5:9" s="74" customFormat="1" ht="18.75" x14ac:dyDescent="0.25">
      <c r="E226" s="75"/>
      <c r="F226" s="76"/>
      <c r="H226" s="75"/>
      <c r="I226" s="75"/>
    </row>
    <row r="227" spans="5:9" s="74" customFormat="1" ht="18.75" x14ac:dyDescent="0.25">
      <c r="E227" s="75"/>
      <c r="F227" s="76"/>
      <c r="H227" s="75"/>
      <c r="I227" s="75"/>
    </row>
    <row r="228" spans="5:9" s="74" customFormat="1" ht="18.75" x14ac:dyDescent="0.25">
      <c r="E228" s="75"/>
      <c r="F228" s="76"/>
      <c r="H228" s="75"/>
      <c r="I228" s="75"/>
    </row>
    <row r="229" spans="5:9" s="74" customFormat="1" ht="18.75" x14ac:dyDescent="0.25">
      <c r="E229" s="75"/>
      <c r="F229" s="76"/>
      <c r="H229" s="75"/>
      <c r="I229" s="75"/>
    </row>
    <row r="230" spans="5:9" s="74" customFormat="1" ht="18.75" x14ac:dyDescent="0.25">
      <c r="E230" s="75"/>
      <c r="F230" s="76"/>
      <c r="H230" s="75"/>
      <c r="I230" s="75"/>
    </row>
    <row r="231" spans="5:9" s="74" customFormat="1" ht="18.75" x14ac:dyDescent="0.25">
      <c r="E231" s="75"/>
      <c r="F231" s="76"/>
      <c r="H231" s="75"/>
      <c r="I231" s="75"/>
    </row>
    <row r="232" spans="5:9" s="74" customFormat="1" ht="18.75" x14ac:dyDescent="0.25">
      <c r="E232" s="75"/>
      <c r="F232" s="76"/>
      <c r="H232" s="75"/>
      <c r="I232" s="75"/>
    </row>
    <row r="233" spans="5:9" s="74" customFormat="1" ht="18.75" x14ac:dyDescent="0.25">
      <c r="E233" s="75"/>
      <c r="F233" s="76"/>
      <c r="H233" s="75"/>
      <c r="I233" s="75"/>
    </row>
    <row r="234" spans="5:9" s="74" customFormat="1" ht="18.75" x14ac:dyDescent="0.25">
      <c r="E234" s="75"/>
      <c r="F234" s="76"/>
      <c r="H234" s="75"/>
      <c r="I234" s="75"/>
    </row>
    <row r="235" spans="5:9" s="74" customFormat="1" ht="18.75" x14ac:dyDescent="0.25">
      <c r="E235" s="75"/>
      <c r="F235" s="76"/>
      <c r="H235" s="75"/>
      <c r="I235" s="75"/>
    </row>
    <row r="236" spans="5:9" s="74" customFormat="1" ht="18.75" x14ac:dyDescent="0.25">
      <c r="E236" s="75"/>
      <c r="F236" s="76"/>
      <c r="H236" s="75"/>
      <c r="I236" s="75"/>
    </row>
    <row r="237" spans="5:9" s="74" customFormat="1" ht="18.75" x14ac:dyDescent="0.25">
      <c r="E237" s="75"/>
      <c r="F237" s="76"/>
      <c r="H237" s="75"/>
      <c r="I237" s="75"/>
    </row>
    <row r="238" spans="5:9" s="74" customFormat="1" ht="18.75" x14ac:dyDescent="0.25">
      <c r="E238" s="75"/>
      <c r="F238" s="76"/>
      <c r="H238" s="75"/>
      <c r="I238" s="75"/>
    </row>
    <row r="239" spans="5:9" s="74" customFormat="1" ht="18.75" x14ac:dyDescent="0.25">
      <c r="E239" s="75"/>
      <c r="F239" s="76"/>
      <c r="H239" s="75"/>
      <c r="I239" s="75"/>
    </row>
    <row r="240" spans="5:9" s="74" customFormat="1" ht="18.75" x14ac:dyDescent="0.25">
      <c r="E240" s="75"/>
      <c r="F240" s="76"/>
      <c r="H240" s="75"/>
      <c r="I240" s="75"/>
    </row>
    <row r="241" spans="5:9" s="74" customFormat="1" ht="18.75" x14ac:dyDescent="0.25">
      <c r="E241" s="75"/>
      <c r="F241" s="76"/>
      <c r="H241" s="75"/>
      <c r="I241" s="75"/>
    </row>
    <row r="242" spans="5:9" s="74" customFormat="1" ht="18.75" x14ac:dyDescent="0.25">
      <c r="E242" s="75"/>
      <c r="F242" s="76"/>
      <c r="H242" s="75"/>
      <c r="I242" s="75"/>
    </row>
    <row r="243" spans="5:9" s="74" customFormat="1" ht="18.75" x14ac:dyDescent="0.25">
      <c r="E243" s="75"/>
      <c r="F243" s="76"/>
      <c r="H243" s="75"/>
      <c r="I243" s="75"/>
    </row>
    <row r="244" spans="5:9" s="74" customFormat="1" ht="18.75" x14ac:dyDescent="0.25">
      <c r="E244" s="75"/>
      <c r="F244" s="76"/>
      <c r="H244" s="75"/>
      <c r="I244" s="75"/>
    </row>
    <row r="245" spans="5:9" s="74" customFormat="1" ht="18.75" x14ac:dyDescent="0.25">
      <c r="E245" s="75"/>
      <c r="F245" s="76"/>
      <c r="H245" s="75"/>
      <c r="I245" s="75"/>
    </row>
    <row r="246" spans="5:9" s="74" customFormat="1" ht="18.75" x14ac:dyDescent="0.25">
      <c r="E246" s="75"/>
      <c r="F246" s="76"/>
      <c r="H246" s="75"/>
      <c r="I246" s="75"/>
    </row>
    <row r="247" spans="5:9" s="74" customFormat="1" ht="18.75" x14ac:dyDescent="0.25">
      <c r="E247" s="75"/>
      <c r="F247" s="76"/>
      <c r="H247" s="75"/>
      <c r="I247" s="75"/>
    </row>
    <row r="248" spans="5:9" s="74" customFormat="1" ht="18.75" x14ac:dyDescent="0.25">
      <c r="E248" s="75"/>
      <c r="F248" s="76"/>
      <c r="H248" s="75"/>
      <c r="I248" s="75"/>
    </row>
    <row r="249" spans="5:9" s="74" customFormat="1" ht="18.75" x14ac:dyDescent="0.25">
      <c r="E249" s="75"/>
      <c r="F249" s="76"/>
      <c r="H249" s="75"/>
      <c r="I249" s="75"/>
    </row>
    <row r="250" spans="5:9" s="74" customFormat="1" ht="18.75" x14ac:dyDescent="0.25">
      <c r="E250" s="75"/>
      <c r="F250" s="76"/>
      <c r="H250" s="75"/>
      <c r="I250" s="75"/>
    </row>
    <row r="251" spans="5:9" s="74" customFormat="1" ht="18.75" x14ac:dyDescent="0.25">
      <c r="E251" s="75"/>
      <c r="F251" s="76"/>
      <c r="H251" s="75"/>
      <c r="I251" s="75"/>
    </row>
    <row r="252" spans="5:9" s="74" customFormat="1" ht="18.75" x14ac:dyDescent="0.25">
      <c r="E252" s="75"/>
      <c r="F252" s="76"/>
      <c r="H252" s="75"/>
      <c r="I252" s="75"/>
    </row>
    <row r="253" spans="5:9" s="74" customFormat="1" ht="18.75" x14ac:dyDescent="0.25">
      <c r="E253" s="75"/>
      <c r="F253" s="76"/>
      <c r="H253" s="75"/>
      <c r="I253" s="75"/>
    </row>
    <row r="254" spans="5:9" s="74" customFormat="1" ht="18.75" x14ac:dyDescent="0.25">
      <c r="E254" s="75"/>
      <c r="F254" s="76"/>
      <c r="H254" s="75"/>
      <c r="I254" s="75"/>
    </row>
    <row r="255" spans="5:9" s="74" customFormat="1" ht="18.75" x14ac:dyDescent="0.25">
      <c r="E255" s="75"/>
      <c r="F255" s="76"/>
    </row>
    <row r="256" spans="5:9" s="74" customFormat="1" ht="18.75" x14ac:dyDescent="0.25">
      <c r="E256" s="75"/>
      <c r="F256" s="76"/>
    </row>
    <row r="257" spans="5:6" s="74" customFormat="1" ht="18.75" x14ac:dyDescent="0.25">
      <c r="E257" s="75"/>
      <c r="F257" s="76"/>
    </row>
    <row r="258" spans="5:6" s="74" customFormat="1" ht="18.75" x14ac:dyDescent="0.25">
      <c r="E258" s="75"/>
      <c r="F258" s="76"/>
    </row>
    <row r="259" spans="5:6" s="74" customFormat="1" ht="18.75" x14ac:dyDescent="0.25">
      <c r="E259" s="75"/>
      <c r="F259" s="76"/>
    </row>
    <row r="260" spans="5:6" s="74" customFormat="1" ht="18.75" x14ac:dyDescent="0.25">
      <c r="E260" s="75"/>
      <c r="F260" s="76"/>
    </row>
    <row r="261" spans="5:6" s="74" customFormat="1" ht="18.75" x14ac:dyDescent="0.25">
      <c r="E261" s="75"/>
      <c r="F261" s="76"/>
    </row>
    <row r="262" spans="5:6" s="74" customFormat="1" ht="18.75" x14ac:dyDescent="0.25">
      <c r="E262" s="75"/>
      <c r="F262" s="76"/>
    </row>
    <row r="263" spans="5:6" s="74" customFormat="1" ht="18.75" x14ac:dyDescent="0.25">
      <c r="E263" s="75"/>
      <c r="F263" s="76"/>
    </row>
    <row r="264" spans="5:6" s="74" customFormat="1" ht="18.75" x14ac:dyDescent="0.25">
      <c r="E264" s="75"/>
      <c r="F264" s="76"/>
    </row>
    <row r="265" spans="5:6" s="74" customFormat="1" ht="18.75" x14ac:dyDescent="0.25">
      <c r="E265" s="75"/>
      <c r="F265" s="76"/>
    </row>
    <row r="266" spans="5:6" s="74" customFormat="1" ht="18.75" x14ac:dyDescent="0.25">
      <c r="E266" s="75"/>
      <c r="F266" s="76"/>
    </row>
    <row r="267" spans="5:6" s="74" customFormat="1" ht="18.75" x14ac:dyDescent="0.25">
      <c r="E267" s="75"/>
      <c r="F267" s="76"/>
    </row>
    <row r="268" spans="5:6" s="74" customFormat="1" ht="18.75" x14ac:dyDescent="0.25">
      <c r="E268" s="75"/>
      <c r="F268" s="76"/>
    </row>
    <row r="269" spans="5:6" s="74" customFormat="1" ht="18.75" x14ac:dyDescent="0.25">
      <c r="E269" s="75"/>
      <c r="F269" s="76"/>
    </row>
    <row r="270" spans="5:6" s="74" customFormat="1" ht="18.75" x14ac:dyDescent="0.25">
      <c r="E270" s="75"/>
      <c r="F270" s="76"/>
    </row>
    <row r="271" spans="5:6" s="74" customFormat="1" ht="18.75" x14ac:dyDescent="0.25">
      <c r="E271" s="75"/>
      <c r="F271" s="76"/>
    </row>
    <row r="272" spans="5:6" s="74" customFormat="1" ht="18.75" x14ac:dyDescent="0.25">
      <c r="E272" s="75"/>
      <c r="F272" s="76"/>
    </row>
    <row r="273" spans="5:6" s="74" customFormat="1" ht="18.75" x14ac:dyDescent="0.25">
      <c r="E273" s="75"/>
      <c r="F273" s="76"/>
    </row>
    <row r="274" spans="5:6" s="74" customFormat="1" ht="18.75" x14ac:dyDescent="0.25">
      <c r="E274" s="75"/>
      <c r="F274" s="76"/>
    </row>
    <row r="275" spans="5:6" s="74" customFormat="1" ht="18.75" x14ac:dyDescent="0.25">
      <c r="E275" s="75"/>
      <c r="F275" s="76"/>
    </row>
    <row r="276" spans="5:6" s="74" customFormat="1" ht="18.75" x14ac:dyDescent="0.25">
      <c r="E276" s="75"/>
      <c r="F276" s="76"/>
    </row>
    <row r="277" spans="5:6" s="74" customFormat="1" ht="18.75" x14ac:dyDescent="0.25">
      <c r="E277" s="75"/>
      <c r="F277" s="76"/>
    </row>
    <row r="278" spans="5:6" s="74" customFormat="1" ht="18.75" x14ac:dyDescent="0.25">
      <c r="E278" s="75"/>
      <c r="F278" s="76"/>
    </row>
    <row r="279" spans="5:6" s="74" customFormat="1" ht="18.75" x14ac:dyDescent="0.25">
      <c r="E279" s="75"/>
      <c r="F279" s="76"/>
    </row>
    <row r="280" spans="5:6" s="74" customFormat="1" ht="18.75" x14ac:dyDescent="0.25">
      <c r="E280" s="75"/>
      <c r="F280" s="76"/>
    </row>
    <row r="281" spans="5:6" s="74" customFormat="1" ht="18.75" x14ac:dyDescent="0.25">
      <c r="E281" s="75"/>
      <c r="F281" s="76"/>
    </row>
    <row r="282" spans="5:6" s="74" customFormat="1" ht="18.75" x14ac:dyDescent="0.25">
      <c r="E282" s="75"/>
      <c r="F282" s="76"/>
    </row>
    <row r="283" spans="5:6" s="74" customFormat="1" ht="18.75" x14ac:dyDescent="0.25">
      <c r="E283" s="75"/>
      <c r="F283" s="76"/>
    </row>
    <row r="284" spans="5:6" s="74" customFormat="1" ht="18.75" x14ac:dyDescent="0.25">
      <c r="E284" s="75"/>
      <c r="F284" s="76"/>
    </row>
    <row r="285" spans="5:6" s="74" customFormat="1" ht="18.75" x14ac:dyDescent="0.25">
      <c r="E285" s="75"/>
      <c r="F285" s="76"/>
    </row>
    <row r="286" spans="5:6" s="74" customFormat="1" ht="18.75" x14ac:dyDescent="0.25">
      <c r="E286" s="75"/>
      <c r="F286" s="76"/>
    </row>
    <row r="287" spans="5:6" s="74" customFormat="1" ht="18.75" x14ac:dyDescent="0.25">
      <c r="E287" s="75"/>
      <c r="F287" s="76"/>
    </row>
    <row r="288" spans="5:6" s="74" customFormat="1" ht="18.75" x14ac:dyDescent="0.25">
      <c r="E288" s="75"/>
      <c r="F288" s="76"/>
    </row>
    <row r="289" spans="5:6" s="74" customFormat="1" ht="18.75" x14ac:dyDescent="0.25">
      <c r="E289" s="75"/>
      <c r="F289" s="76"/>
    </row>
    <row r="290" spans="5:6" s="74" customFormat="1" ht="18.75" x14ac:dyDescent="0.25">
      <c r="E290" s="75"/>
      <c r="F290" s="76"/>
    </row>
    <row r="291" spans="5:6" s="74" customFormat="1" ht="18.75" x14ac:dyDescent="0.25">
      <c r="E291" s="75"/>
      <c r="F291" s="76"/>
    </row>
    <row r="292" spans="5:6" s="74" customFormat="1" ht="18.75" x14ac:dyDescent="0.25">
      <c r="E292" s="75"/>
      <c r="F292" s="76"/>
    </row>
    <row r="293" spans="5:6" s="74" customFormat="1" ht="18.75" x14ac:dyDescent="0.25">
      <c r="E293" s="75"/>
      <c r="F293" s="76"/>
    </row>
    <row r="294" spans="5:6" s="74" customFormat="1" ht="18.75" x14ac:dyDescent="0.25">
      <c r="E294" s="75"/>
      <c r="F294" s="76"/>
    </row>
    <row r="295" spans="5:6" s="74" customFormat="1" ht="18.75" x14ac:dyDescent="0.25">
      <c r="E295" s="75"/>
      <c r="F295" s="76"/>
    </row>
    <row r="296" spans="5:6" s="74" customFormat="1" ht="18.75" x14ac:dyDescent="0.25">
      <c r="E296" s="75"/>
      <c r="F296" s="76"/>
    </row>
    <row r="297" spans="5:6" s="74" customFormat="1" ht="18.75" x14ac:dyDescent="0.25">
      <c r="E297" s="75"/>
      <c r="F297" s="76"/>
    </row>
    <row r="298" spans="5:6" x14ac:dyDescent="0.15">
      <c r="F298" s="7"/>
    </row>
    <row r="299" spans="5:6" x14ac:dyDescent="0.15">
      <c r="F299" s="7"/>
    </row>
    <row r="300" spans="5:6" x14ac:dyDescent="0.15">
      <c r="F300" s="7"/>
    </row>
    <row r="301" spans="5:6" x14ac:dyDescent="0.15">
      <c r="F301" s="7"/>
    </row>
    <row r="302" spans="5:6" x14ac:dyDescent="0.15">
      <c r="F302" s="7"/>
    </row>
    <row r="303" spans="5:6" x14ac:dyDescent="0.15">
      <c r="F303" s="7"/>
    </row>
    <row r="304" spans="5:6" x14ac:dyDescent="0.15">
      <c r="F304" s="7"/>
    </row>
    <row r="305" spans="6:6" x14ac:dyDescent="0.15">
      <c r="F305" s="7"/>
    </row>
    <row r="306" spans="6:6" x14ac:dyDescent="0.15">
      <c r="F306" s="7"/>
    </row>
    <row r="307" spans="6:6" x14ac:dyDescent="0.15">
      <c r="F307" s="7"/>
    </row>
    <row r="308" spans="6:6" x14ac:dyDescent="0.15">
      <c r="F308" s="7"/>
    </row>
    <row r="309" spans="6:6" x14ac:dyDescent="0.15">
      <c r="F309" s="7"/>
    </row>
    <row r="310" spans="6:6" x14ac:dyDescent="0.15">
      <c r="F310" s="7"/>
    </row>
    <row r="311" spans="6:6" x14ac:dyDescent="0.15">
      <c r="F311" s="7"/>
    </row>
    <row r="312" spans="6:6" x14ac:dyDescent="0.15">
      <c r="F312" s="7"/>
    </row>
    <row r="313" spans="6:6" x14ac:dyDescent="0.15">
      <c r="F313" s="7"/>
    </row>
    <row r="314" spans="6:6" x14ac:dyDescent="0.15">
      <c r="F314" s="7"/>
    </row>
    <row r="315" spans="6:6" x14ac:dyDescent="0.15">
      <c r="F315" s="7"/>
    </row>
    <row r="316" spans="6:6" x14ac:dyDescent="0.15">
      <c r="F316" s="7"/>
    </row>
    <row r="317" spans="6:6" x14ac:dyDescent="0.15">
      <c r="F317" s="7"/>
    </row>
    <row r="318" spans="6:6" x14ac:dyDescent="0.15">
      <c r="F318" s="7"/>
    </row>
    <row r="319" spans="6:6" x14ac:dyDescent="0.15">
      <c r="F319" s="7"/>
    </row>
    <row r="320" spans="6:6" x14ac:dyDescent="0.15">
      <c r="F320" s="7"/>
    </row>
    <row r="321" spans="6:6" x14ac:dyDescent="0.15">
      <c r="F321" s="7"/>
    </row>
    <row r="322" spans="6:6" x14ac:dyDescent="0.15">
      <c r="F322" s="7"/>
    </row>
    <row r="323" spans="6:6" x14ac:dyDescent="0.15">
      <c r="F323" s="7"/>
    </row>
    <row r="324" spans="6:6" x14ac:dyDescent="0.15">
      <c r="F324" s="7"/>
    </row>
    <row r="325" spans="6:6" x14ac:dyDescent="0.15">
      <c r="F325" s="7"/>
    </row>
    <row r="326" spans="6:6" x14ac:dyDescent="0.15">
      <c r="F326" s="7"/>
    </row>
    <row r="327" spans="6:6" x14ac:dyDescent="0.15">
      <c r="F327" s="7"/>
    </row>
    <row r="328" spans="6:6" x14ac:dyDescent="0.15">
      <c r="F328" s="7"/>
    </row>
    <row r="329" spans="6:6" x14ac:dyDescent="0.15">
      <c r="F329" s="7"/>
    </row>
    <row r="330" spans="6:6" x14ac:dyDescent="0.15">
      <c r="F330" s="7"/>
    </row>
    <row r="331" spans="6:6" x14ac:dyDescent="0.15">
      <c r="F331" s="7"/>
    </row>
    <row r="332" spans="6:6" x14ac:dyDescent="0.15">
      <c r="F332" s="7"/>
    </row>
    <row r="333" spans="6:6" x14ac:dyDescent="0.15">
      <c r="F333" s="7"/>
    </row>
    <row r="334" spans="6:6" x14ac:dyDescent="0.15">
      <c r="F334" s="7"/>
    </row>
    <row r="335" spans="6:6" x14ac:dyDescent="0.15">
      <c r="F335" s="7"/>
    </row>
    <row r="336" spans="6:6" x14ac:dyDescent="0.15">
      <c r="F336" s="7"/>
    </row>
    <row r="337" spans="6:6" x14ac:dyDescent="0.15">
      <c r="F337" s="7"/>
    </row>
    <row r="338" spans="6:6" x14ac:dyDescent="0.15">
      <c r="F338" s="7"/>
    </row>
    <row r="339" spans="6:6" x14ac:dyDescent="0.15">
      <c r="F339" s="7"/>
    </row>
    <row r="340" spans="6:6" x14ac:dyDescent="0.15">
      <c r="F340" s="7"/>
    </row>
    <row r="341" spans="6:6" x14ac:dyDescent="0.15">
      <c r="F341" s="7"/>
    </row>
    <row r="342" spans="6:6" x14ac:dyDescent="0.15">
      <c r="F342" s="7"/>
    </row>
    <row r="343" spans="6:6" x14ac:dyDescent="0.15">
      <c r="F343" s="7"/>
    </row>
    <row r="344" spans="6:6" x14ac:dyDescent="0.15">
      <c r="F344" s="7"/>
    </row>
    <row r="345" spans="6:6" x14ac:dyDescent="0.15">
      <c r="F345" s="7"/>
    </row>
    <row r="346" spans="6:6" x14ac:dyDescent="0.15">
      <c r="F346" s="7"/>
    </row>
    <row r="347" spans="6:6" x14ac:dyDescent="0.15">
      <c r="F347" s="7"/>
    </row>
    <row r="348" spans="6:6" x14ac:dyDescent="0.15">
      <c r="F348" s="7"/>
    </row>
    <row r="349" spans="6:6" x14ac:dyDescent="0.15">
      <c r="F349" s="7"/>
    </row>
    <row r="350" spans="6:6" x14ac:dyDescent="0.15">
      <c r="F350" s="7"/>
    </row>
    <row r="351" spans="6:6" x14ac:dyDescent="0.15">
      <c r="F351" s="7"/>
    </row>
    <row r="352" spans="6:6" x14ac:dyDescent="0.15">
      <c r="F352" s="7"/>
    </row>
    <row r="353" spans="6:6" x14ac:dyDescent="0.15">
      <c r="F353" s="7"/>
    </row>
    <row r="354" spans="6:6" x14ac:dyDescent="0.15">
      <c r="F354" s="7"/>
    </row>
    <row r="355" spans="6:6" x14ac:dyDescent="0.15">
      <c r="F355" s="7"/>
    </row>
    <row r="356" spans="6:6" x14ac:dyDescent="0.15">
      <c r="F356" s="7"/>
    </row>
    <row r="357" spans="6:6" x14ac:dyDescent="0.15">
      <c r="F357" s="7"/>
    </row>
    <row r="358" spans="6:6" x14ac:dyDescent="0.15">
      <c r="F358" s="7"/>
    </row>
    <row r="359" spans="6:6" x14ac:dyDescent="0.15">
      <c r="F359" s="7"/>
    </row>
    <row r="360" spans="6:6" x14ac:dyDescent="0.15">
      <c r="F360" s="7"/>
    </row>
    <row r="361" spans="6:6" x14ac:dyDescent="0.15">
      <c r="F361" s="7"/>
    </row>
    <row r="362" spans="6:6" x14ac:dyDescent="0.15">
      <c r="F362" s="7"/>
    </row>
    <row r="363" spans="6:6" x14ac:dyDescent="0.15">
      <c r="F363" s="7"/>
    </row>
    <row r="364" spans="6:6" x14ac:dyDescent="0.15">
      <c r="F364" s="7"/>
    </row>
    <row r="365" spans="6:6" x14ac:dyDescent="0.15">
      <c r="F365" s="7"/>
    </row>
    <row r="366" spans="6:6" x14ac:dyDescent="0.15">
      <c r="F366" s="7"/>
    </row>
    <row r="367" spans="6:6" x14ac:dyDescent="0.15">
      <c r="F367" s="7"/>
    </row>
    <row r="368" spans="6:6" x14ac:dyDescent="0.15">
      <c r="F368" s="7"/>
    </row>
    <row r="369" spans="6:6" x14ac:dyDescent="0.15">
      <c r="F369" s="7"/>
    </row>
    <row r="370" spans="6:6" x14ac:dyDescent="0.15">
      <c r="F370" s="7"/>
    </row>
    <row r="371" spans="6:6" x14ac:dyDescent="0.15">
      <c r="F371" s="7"/>
    </row>
    <row r="372" spans="6:6" x14ac:dyDescent="0.15">
      <c r="F372" s="7"/>
    </row>
    <row r="373" spans="6:6" x14ac:dyDescent="0.15">
      <c r="F373" s="7"/>
    </row>
    <row r="374" spans="6:6" x14ac:dyDescent="0.15">
      <c r="F374" s="7"/>
    </row>
    <row r="375" spans="6:6" x14ac:dyDescent="0.15">
      <c r="F375" s="7"/>
    </row>
    <row r="376" spans="6:6" x14ac:dyDescent="0.15">
      <c r="F376" s="7"/>
    </row>
    <row r="377" spans="6:6" x14ac:dyDescent="0.15">
      <c r="F377" s="7"/>
    </row>
    <row r="378" spans="6:6" x14ac:dyDescent="0.15">
      <c r="F378" s="7"/>
    </row>
    <row r="379" spans="6:6" x14ac:dyDescent="0.15">
      <c r="F379" s="7"/>
    </row>
    <row r="380" spans="6:6" x14ac:dyDescent="0.15">
      <c r="F380" s="7"/>
    </row>
    <row r="381" spans="6:6" x14ac:dyDescent="0.15">
      <c r="F381" s="7"/>
    </row>
    <row r="382" spans="6:6" x14ac:dyDescent="0.15">
      <c r="F382" s="7"/>
    </row>
    <row r="383" spans="6:6" x14ac:dyDescent="0.15">
      <c r="F383" s="7"/>
    </row>
    <row r="384" spans="6:6" x14ac:dyDescent="0.15">
      <c r="F384" s="7"/>
    </row>
    <row r="385" spans="6:6" x14ac:dyDescent="0.15">
      <c r="F385" s="7"/>
    </row>
    <row r="386" spans="6:6" x14ac:dyDescent="0.15">
      <c r="F386" s="7"/>
    </row>
    <row r="387" spans="6:6" x14ac:dyDescent="0.15">
      <c r="F387" s="7"/>
    </row>
    <row r="388" spans="6:6" x14ac:dyDescent="0.15">
      <c r="F388" s="7"/>
    </row>
    <row r="389" spans="6:6" x14ac:dyDescent="0.15">
      <c r="F389" s="7"/>
    </row>
    <row r="390" spans="6:6" x14ac:dyDescent="0.15">
      <c r="F390" s="7"/>
    </row>
    <row r="391" spans="6:6" x14ac:dyDescent="0.15">
      <c r="F391" s="7"/>
    </row>
    <row r="392" spans="6:6" x14ac:dyDescent="0.15">
      <c r="F392" s="7"/>
    </row>
    <row r="393" spans="6:6" x14ac:dyDescent="0.15">
      <c r="F393" s="7"/>
    </row>
    <row r="394" spans="6:6" x14ac:dyDescent="0.15">
      <c r="F394" s="7"/>
    </row>
    <row r="395" spans="6:6" x14ac:dyDescent="0.15">
      <c r="F395" s="7"/>
    </row>
    <row r="396" spans="6:6" x14ac:dyDescent="0.15">
      <c r="F396" s="7"/>
    </row>
    <row r="397" spans="6:6" x14ac:dyDescent="0.15">
      <c r="F397" s="7"/>
    </row>
    <row r="398" spans="6:6" x14ac:dyDescent="0.15">
      <c r="F398" s="7"/>
    </row>
    <row r="399" spans="6:6" x14ac:dyDescent="0.15">
      <c r="F399" s="7"/>
    </row>
    <row r="400" spans="6:6" x14ac:dyDescent="0.15">
      <c r="F400" s="7"/>
    </row>
    <row r="401" spans="6:6" x14ac:dyDescent="0.15">
      <c r="F401" s="7"/>
    </row>
    <row r="402" spans="6:6" x14ac:dyDescent="0.15">
      <c r="F402" s="7"/>
    </row>
    <row r="403" spans="6:6" x14ac:dyDescent="0.15">
      <c r="F403" s="7"/>
    </row>
    <row r="404" spans="6:6" x14ac:dyDescent="0.15">
      <c r="F404" s="7"/>
    </row>
    <row r="405" spans="6:6" x14ac:dyDescent="0.15">
      <c r="F405" s="7"/>
    </row>
    <row r="406" spans="6:6" x14ac:dyDescent="0.15">
      <c r="F406" s="7"/>
    </row>
    <row r="407" spans="6:6" x14ac:dyDescent="0.15">
      <c r="F407" s="7"/>
    </row>
    <row r="408" spans="6:6" x14ac:dyDescent="0.15">
      <c r="F408" s="7"/>
    </row>
    <row r="409" spans="6:6" x14ac:dyDescent="0.15">
      <c r="F409" s="7"/>
    </row>
    <row r="410" spans="6:6" x14ac:dyDescent="0.15">
      <c r="F410" s="7"/>
    </row>
    <row r="411" spans="6:6" x14ac:dyDescent="0.15">
      <c r="F411" s="7"/>
    </row>
    <row r="412" spans="6:6" x14ac:dyDescent="0.15">
      <c r="F412" s="7"/>
    </row>
    <row r="413" spans="6:6" x14ac:dyDescent="0.15">
      <c r="F413" s="7"/>
    </row>
    <row r="414" spans="6:6" x14ac:dyDescent="0.15">
      <c r="F414" s="7"/>
    </row>
    <row r="415" spans="6:6" x14ac:dyDescent="0.15">
      <c r="F415" s="7"/>
    </row>
    <row r="416" spans="6:6" x14ac:dyDescent="0.15">
      <c r="F416" s="7"/>
    </row>
    <row r="417" spans="6:6" x14ac:dyDescent="0.15">
      <c r="F417" s="7"/>
    </row>
    <row r="418" spans="6:6" x14ac:dyDescent="0.15">
      <c r="F418" s="7"/>
    </row>
    <row r="419" spans="6:6" x14ac:dyDescent="0.15">
      <c r="F419" s="7"/>
    </row>
    <row r="420" spans="6:6" x14ac:dyDescent="0.15">
      <c r="F420" s="7"/>
    </row>
    <row r="421" spans="6:6" x14ac:dyDescent="0.15">
      <c r="F421" s="7"/>
    </row>
    <row r="422" spans="6:6" x14ac:dyDescent="0.15">
      <c r="F422" s="7"/>
    </row>
    <row r="423" spans="6:6" x14ac:dyDescent="0.15">
      <c r="F423" s="7"/>
    </row>
    <row r="424" spans="6:6" x14ac:dyDescent="0.15">
      <c r="F424" s="7"/>
    </row>
    <row r="425" spans="6:6" x14ac:dyDescent="0.15">
      <c r="F425" s="7"/>
    </row>
    <row r="426" spans="6:6" x14ac:dyDescent="0.15">
      <c r="F426" s="7"/>
    </row>
    <row r="427" spans="6:6" x14ac:dyDescent="0.15">
      <c r="F427" s="7"/>
    </row>
    <row r="428" spans="6:6" x14ac:dyDescent="0.15">
      <c r="F428" s="7"/>
    </row>
    <row r="429" spans="6:6" x14ac:dyDescent="0.15">
      <c r="F429" s="7"/>
    </row>
    <row r="430" spans="6:6" x14ac:dyDescent="0.15">
      <c r="F430" s="7"/>
    </row>
    <row r="431" spans="6:6" x14ac:dyDescent="0.15">
      <c r="F431" s="7"/>
    </row>
    <row r="432" spans="6:6" x14ac:dyDescent="0.15">
      <c r="F432" s="7"/>
    </row>
    <row r="433" spans="6:6" x14ac:dyDescent="0.15">
      <c r="F433" s="7"/>
    </row>
    <row r="434" spans="6:6" x14ac:dyDescent="0.15">
      <c r="F434" s="7"/>
    </row>
    <row r="435" spans="6:6" x14ac:dyDescent="0.15">
      <c r="F435" s="7"/>
    </row>
    <row r="436" spans="6:6" x14ac:dyDescent="0.15">
      <c r="F436" s="7"/>
    </row>
    <row r="437" spans="6:6" x14ac:dyDescent="0.15">
      <c r="F437" s="7"/>
    </row>
    <row r="438" spans="6:6" x14ac:dyDescent="0.15">
      <c r="F438" s="7"/>
    </row>
    <row r="439" spans="6:6" x14ac:dyDescent="0.15">
      <c r="F439" s="7"/>
    </row>
    <row r="440" spans="6:6" x14ac:dyDescent="0.15">
      <c r="F440" s="7"/>
    </row>
    <row r="441" spans="6:6" x14ac:dyDescent="0.15">
      <c r="F441" s="7"/>
    </row>
    <row r="442" spans="6:6" x14ac:dyDescent="0.15">
      <c r="F442" s="7"/>
    </row>
    <row r="443" spans="6:6" x14ac:dyDescent="0.15">
      <c r="F443" s="7"/>
    </row>
    <row r="444" spans="6:6" x14ac:dyDescent="0.15">
      <c r="F444" s="7"/>
    </row>
    <row r="445" spans="6:6" x14ac:dyDescent="0.15">
      <c r="F445" s="7"/>
    </row>
    <row r="446" spans="6:6" x14ac:dyDescent="0.15">
      <c r="F446" s="7"/>
    </row>
    <row r="447" spans="6:6" x14ac:dyDescent="0.15">
      <c r="F447" s="7"/>
    </row>
    <row r="448" spans="6:6" x14ac:dyDescent="0.15">
      <c r="F448" s="7"/>
    </row>
    <row r="449" spans="6:6" x14ac:dyDescent="0.15">
      <c r="F449" s="7"/>
    </row>
    <row r="450" spans="6:6" x14ac:dyDescent="0.15">
      <c r="F450" s="7"/>
    </row>
    <row r="451" spans="6:6" x14ac:dyDescent="0.15">
      <c r="F451" s="7"/>
    </row>
    <row r="452" spans="6:6" x14ac:dyDescent="0.15">
      <c r="F452" s="7"/>
    </row>
    <row r="453" spans="6:6" x14ac:dyDescent="0.15">
      <c r="F453" s="7"/>
    </row>
    <row r="454" spans="6:6" x14ac:dyDescent="0.15">
      <c r="F454" s="7"/>
    </row>
    <row r="455" spans="6:6" x14ac:dyDescent="0.15">
      <c r="F455" s="7"/>
    </row>
    <row r="456" spans="6:6" x14ac:dyDescent="0.15">
      <c r="F456" s="7"/>
    </row>
    <row r="457" spans="6:6" x14ac:dyDescent="0.15">
      <c r="F457" s="7"/>
    </row>
    <row r="458" spans="6:6" x14ac:dyDescent="0.15">
      <c r="F458" s="7"/>
    </row>
    <row r="459" spans="6:6" x14ac:dyDescent="0.15">
      <c r="F459" s="7"/>
    </row>
    <row r="460" spans="6:6" x14ac:dyDescent="0.15">
      <c r="F460" s="7"/>
    </row>
    <row r="461" spans="6:6" x14ac:dyDescent="0.15">
      <c r="F461" s="7"/>
    </row>
    <row r="462" spans="6:6" x14ac:dyDescent="0.15">
      <c r="F462" s="7"/>
    </row>
    <row r="463" spans="6:6" x14ac:dyDescent="0.15">
      <c r="F463" s="7"/>
    </row>
    <row r="464" spans="6:6" x14ac:dyDescent="0.15">
      <c r="F464" s="7"/>
    </row>
    <row r="465" spans="6:6" x14ac:dyDescent="0.15">
      <c r="F465" s="7"/>
    </row>
    <row r="466" spans="6:6" x14ac:dyDescent="0.15">
      <c r="F466" s="7"/>
    </row>
    <row r="467" spans="6:6" x14ac:dyDescent="0.15">
      <c r="F467" s="7"/>
    </row>
    <row r="468" spans="6:6" x14ac:dyDescent="0.15">
      <c r="F468" s="7"/>
    </row>
    <row r="469" spans="6:6" x14ac:dyDescent="0.15">
      <c r="F469" s="7"/>
    </row>
    <row r="470" spans="6:6" x14ac:dyDescent="0.15">
      <c r="F470" s="7"/>
    </row>
    <row r="471" spans="6:6" x14ac:dyDescent="0.15">
      <c r="F471" s="7"/>
    </row>
    <row r="472" spans="6:6" x14ac:dyDescent="0.15">
      <c r="F472" s="7"/>
    </row>
    <row r="473" spans="6:6" x14ac:dyDescent="0.15">
      <c r="F473" s="7"/>
    </row>
    <row r="474" spans="6:6" x14ac:dyDescent="0.15">
      <c r="F474" s="7"/>
    </row>
    <row r="475" spans="6:6" x14ac:dyDescent="0.15">
      <c r="F475" s="7"/>
    </row>
    <row r="476" spans="6:6" x14ac:dyDescent="0.15">
      <c r="F476" s="7"/>
    </row>
    <row r="477" spans="6:6" x14ac:dyDescent="0.15">
      <c r="F477" s="7"/>
    </row>
    <row r="478" spans="6:6" x14ac:dyDescent="0.15">
      <c r="F478" s="7"/>
    </row>
    <row r="479" spans="6:6" x14ac:dyDescent="0.15">
      <c r="F479" s="7"/>
    </row>
    <row r="480" spans="6:6" x14ac:dyDescent="0.15">
      <c r="F480" s="7"/>
    </row>
    <row r="481" spans="6:6" x14ac:dyDescent="0.15">
      <c r="F481" s="7"/>
    </row>
    <row r="482" spans="6:6" x14ac:dyDescent="0.15">
      <c r="F482" s="7"/>
    </row>
    <row r="483" spans="6:6" x14ac:dyDescent="0.15">
      <c r="F483" s="7"/>
    </row>
    <row r="484" spans="6:6" x14ac:dyDescent="0.15">
      <c r="F484" s="7"/>
    </row>
    <row r="485" spans="6:6" x14ac:dyDescent="0.15">
      <c r="F485" s="7"/>
    </row>
    <row r="486" spans="6:6" x14ac:dyDescent="0.15">
      <c r="F486" s="7"/>
    </row>
    <row r="487" spans="6:6" x14ac:dyDescent="0.15">
      <c r="F487" s="7"/>
    </row>
    <row r="488" spans="6:6" x14ac:dyDescent="0.15">
      <c r="F488" s="7"/>
    </row>
    <row r="489" spans="6:6" x14ac:dyDescent="0.15">
      <c r="F489" s="7"/>
    </row>
    <row r="490" spans="6:6" x14ac:dyDescent="0.15">
      <c r="F490" s="7"/>
    </row>
    <row r="491" spans="6:6" x14ac:dyDescent="0.15">
      <c r="F491" s="7"/>
    </row>
    <row r="492" spans="6:6" x14ac:dyDescent="0.15">
      <c r="F492" s="7"/>
    </row>
    <row r="493" spans="6:6" x14ac:dyDescent="0.15">
      <c r="F493" s="7"/>
    </row>
    <row r="494" spans="6:6" x14ac:dyDescent="0.15">
      <c r="F494" s="7"/>
    </row>
    <row r="495" spans="6:6" x14ac:dyDescent="0.15">
      <c r="F495" s="7"/>
    </row>
    <row r="496" spans="6:6" x14ac:dyDescent="0.15">
      <c r="F496" s="7"/>
    </row>
    <row r="497" spans="6:6" x14ac:dyDescent="0.15">
      <c r="F497" s="7"/>
    </row>
    <row r="498" spans="6:6" x14ac:dyDescent="0.15">
      <c r="F498" s="7"/>
    </row>
    <row r="499" spans="6:6" x14ac:dyDescent="0.15">
      <c r="F499" s="7"/>
    </row>
    <row r="500" spans="6:6" x14ac:dyDescent="0.15">
      <c r="F500" s="7"/>
    </row>
    <row r="501" spans="6:6" x14ac:dyDescent="0.15">
      <c r="F501" s="7"/>
    </row>
    <row r="502" spans="6:6" x14ac:dyDescent="0.15">
      <c r="F502" s="7"/>
    </row>
    <row r="503" spans="6:6" x14ac:dyDescent="0.15">
      <c r="F503" s="7"/>
    </row>
    <row r="504" spans="6:6" x14ac:dyDescent="0.15">
      <c r="F504" s="7"/>
    </row>
    <row r="505" spans="6:6" x14ac:dyDescent="0.15">
      <c r="F505" s="7"/>
    </row>
    <row r="506" spans="6:6" x14ac:dyDescent="0.15">
      <c r="F506" s="7"/>
    </row>
    <row r="507" spans="6:6" x14ac:dyDescent="0.15">
      <c r="F507" s="7"/>
    </row>
    <row r="508" spans="6:6" x14ac:dyDescent="0.15">
      <c r="F508" s="7"/>
    </row>
    <row r="509" spans="6:6" x14ac:dyDescent="0.15">
      <c r="F509" s="7"/>
    </row>
    <row r="510" spans="6:6" x14ac:dyDescent="0.15">
      <c r="F510" s="7"/>
    </row>
    <row r="511" spans="6:6" x14ac:dyDescent="0.15">
      <c r="F511" s="7"/>
    </row>
    <row r="512" spans="6:6" x14ac:dyDescent="0.15">
      <c r="F512" s="7"/>
    </row>
    <row r="513" spans="6:6" x14ac:dyDescent="0.15">
      <c r="F513" s="7"/>
    </row>
    <row r="514" spans="6:6" x14ac:dyDescent="0.15">
      <c r="F514" s="7"/>
    </row>
    <row r="515" spans="6:6" x14ac:dyDescent="0.15">
      <c r="F515" s="7"/>
    </row>
    <row r="516" spans="6:6" x14ac:dyDescent="0.15">
      <c r="F516" s="7"/>
    </row>
    <row r="517" spans="6:6" x14ac:dyDescent="0.15">
      <c r="F517" s="7"/>
    </row>
    <row r="518" spans="6:6" x14ac:dyDescent="0.15">
      <c r="F518" s="7"/>
    </row>
    <row r="519" spans="6:6" x14ac:dyDescent="0.15">
      <c r="F519" s="7"/>
    </row>
    <row r="520" spans="6:6" x14ac:dyDescent="0.15">
      <c r="F520" s="7"/>
    </row>
    <row r="521" spans="6:6" x14ac:dyDescent="0.15">
      <c r="F521" s="7"/>
    </row>
    <row r="522" spans="6:6" x14ac:dyDescent="0.15">
      <c r="F522" s="7"/>
    </row>
    <row r="523" spans="6:6" x14ac:dyDescent="0.15">
      <c r="F523" s="7"/>
    </row>
    <row r="524" spans="6:6" x14ac:dyDescent="0.15">
      <c r="F524" s="7"/>
    </row>
    <row r="525" spans="6:6" x14ac:dyDescent="0.15">
      <c r="F525" s="7"/>
    </row>
    <row r="526" spans="6:6" x14ac:dyDescent="0.15">
      <c r="F526" s="7"/>
    </row>
    <row r="527" spans="6:6" x14ac:dyDescent="0.15">
      <c r="F527" s="7"/>
    </row>
    <row r="528" spans="6:6" x14ac:dyDescent="0.15">
      <c r="F528" s="7"/>
    </row>
    <row r="529" spans="6:6" x14ac:dyDescent="0.15">
      <c r="F529" s="7"/>
    </row>
    <row r="530" spans="6:6" x14ac:dyDescent="0.15">
      <c r="F530" s="7"/>
    </row>
    <row r="531" spans="6:6" x14ac:dyDescent="0.15">
      <c r="F531" s="7"/>
    </row>
    <row r="532" spans="6:6" x14ac:dyDescent="0.15">
      <c r="F532" s="7"/>
    </row>
    <row r="533" spans="6:6" x14ac:dyDescent="0.15">
      <c r="F533" s="7"/>
    </row>
    <row r="534" spans="6:6" x14ac:dyDescent="0.15">
      <c r="F534" s="7"/>
    </row>
    <row r="535" spans="6:6" x14ac:dyDescent="0.15">
      <c r="F535" s="7"/>
    </row>
    <row r="536" spans="6:6" x14ac:dyDescent="0.15">
      <c r="F536" s="7"/>
    </row>
    <row r="537" spans="6:6" x14ac:dyDescent="0.15">
      <c r="F537" s="7"/>
    </row>
    <row r="538" spans="6:6" x14ac:dyDescent="0.15">
      <c r="F538" s="7"/>
    </row>
    <row r="539" spans="6:6" x14ac:dyDescent="0.15">
      <c r="F539" s="7"/>
    </row>
    <row r="540" spans="6:6" x14ac:dyDescent="0.15">
      <c r="F540" s="7"/>
    </row>
    <row r="541" spans="6:6" x14ac:dyDescent="0.15">
      <c r="F541" s="7"/>
    </row>
    <row r="542" spans="6:6" x14ac:dyDescent="0.15">
      <c r="F542" s="7"/>
    </row>
    <row r="543" spans="6:6" x14ac:dyDescent="0.15">
      <c r="F543" s="7"/>
    </row>
    <row r="544" spans="6:6" x14ac:dyDescent="0.15">
      <c r="F544" s="7"/>
    </row>
    <row r="545" spans="6:6" x14ac:dyDescent="0.15">
      <c r="F545" s="7"/>
    </row>
    <row r="546" spans="6:6" x14ac:dyDescent="0.15">
      <c r="F546" s="7"/>
    </row>
    <row r="547" spans="6:6" x14ac:dyDescent="0.15">
      <c r="F547" s="7"/>
    </row>
    <row r="548" spans="6:6" x14ac:dyDescent="0.15">
      <c r="F548" s="7"/>
    </row>
    <row r="549" spans="6:6" x14ac:dyDescent="0.15">
      <c r="F549" s="7"/>
    </row>
    <row r="550" spans="6:6" x14ac:dyDescent="0.15">
      <c r="F550" s="7"/>
    </row>
    <row r="551" spans="6:6" x14ac:dyDescent="0.15">
      <c r="F551" s="7"/>
    </row>
    <row r="552" spans="6:6" x14ac:dyDescent="0.15">
      <c r="F552" s="7"/>
    </row>
    <row r="553" spans="6:6" x14ac:dyDescent="0.15">
      <c r="F553" s="7"/>
    </row>
    <row r="554" spans="6:6" x14ac:dyDescent="0.15">
      <c r="F554" s="7"/>
    </row>
    <row r="555" spans="6:6" x14ac:dyDescent="0.15">
      <c r="F555" s="7"/>
    </row>
    <row r="556" spans="6:6" x14ac:dyDescent="0.15">
      <c r="F556" s="7"/>
    </row>
    <row r="557" spans="6:6" x14ac:dyDescent="0.15">
      <c r="F557" s="7"/>
    </row>
    <row r="558" spans="6:6" x14ac:dyDescent="0.15">
      <c r="F558" s="7"/>
    </row>
    <row r="559" spans="6:6" x14ac:dyDescent="0.15">
      <c r="F559" s="7"/>
    </row>
    <row r="560" spans="6:6" x14ac:dyDescent="0.15">
      <c r="F560" s="7"/>
    </row>
    <row r="561" spans="6:6" x14ac:dyDescent="0.15">
      <c r="F561" s="7"/>
    </row>
    <row r="562" spans="6:6" x14ac:dyDescent="0.15">
      <c r="F562" s="7"/>
    </row>
    <row r="563" spans="6:6" x14ac:dyDescent="0.15">
      <c r="F563" s="7"/>
    </row>
    <row r="564" spans="6:6" x14ac:dyDescent="0.15">
      <c r="F564" s="7"/>
    </row>
    <row r="565" spans="6:6" x14ac:dyDescent="0.15">
      <c r="F565" s="7"/>
    </row>
    <row r="566" spans="6:6" x14ac:dyDescent="0.15">
      <c r="F566" s="7"/>
    </row>
    <row r="567" spans="6:6" x14ac:dyDescent="0.15">
      <c r="F567" s="7"/>
    </row>
    <row r="568" spans="6:6" x14ac:dyDescent="0.15">
      <c r="F568" s="7"/>
    </row>
    <row r="569" spans="6:6" x14ac:dyDescent="0.15">
      <c r="F569" s="7"/>
    </row>
    <row r="570" spans="6:6" x14ac:dyDescent="0.15">
      <c r="F570" s="7"/>
    </row>
    <row r="571" spans="6:6" x14ac:dyDescent="0.15">
      <c r="F571" s="7"/>
    </row>
    <row r="572" spans="6:6" x14ac:dyDescent="0.15">
      <c r="F572" s="7"/>
    </row>
    <row r="573" spans="6:6" x14ac:dyDescent="0.15">
      <c r="F573" s="7"/>
    </row>
    <row r="574" spans="6:6" x14ac:dyDescent="0.15">
      <c r="F574" s="7"/>
    </row>
    <row r="575" spans="6:6" x14ac:dyDescent="0.15">
      <c r="F575" s="7"/>
    </row>
    <row r="576" spans="6:6" x14ac:dyDescent="0.15">
      <c r="F576" s="7"/>
    </row>
    <row r="577" spans="6:6" x14ac:dyDescent="0.15">
      <c r="F577" s="7"/>
    </row>
    <row r="578" spans="6:6" x14ac:dyDescent="0.15">
      <c r="F578" s="7"/>
    </row>
    <row r="579" spans="6:6" x14ac:dyDescent="0.15">
      <c r="F579" s="7"/>
    </row>
    <row r="580" spans="6:6" x14ac:dyDescent="0.15">
      <c r="F580" s="7"/>
    </row>
    <row r="581" spans="6:6" x14ac:dyDescent="0.15">
      <c r="F581" s="7"/>
    </row>
    <row r="582" spans="6:6" x14ac:dyDescent="0.15">
      <c r="F582" s="7"/>
    </row>
    <row r="583" spans="6:6" x14ac:dyDescent="0.15">
      <c r="F583" s="7"/>
    </row>
    <row r="584" spans="6:6" x14ac:dyDescent="0.15">
      <c r="F584" s="7"/>
    </row>
    <row r="585" spans="6:6" x14ac:dyDescent="0.15">
      <c r="F585" s="7"/>
    </row>
    <row r="586" spans="6:6" x14ac:dyDescent="0.15">
      <c r="F586" s="7"/>
    </row>
    <row r="587" spans="6:6" x14ac:dyDescent="0.15">
      <c r="F587" s="7"/>
    </row>
    <row r="588" spans="6:6" x14ac:dyDescent="0.15">
      <c r="F588" s="7"/>
    </row>
    <row r="589" spans="6:6" x14ac:dyDescent="0.15">
      <c r="F589" s="7"/>
    </row>
    <row r="590" spans="6:6" x14ac:dyDescent="0.15">
      <c r="F590" s="7"/>
    </row>
    <row r="591" spans="6:6" x14ac:dyDescent="0.15">
      <c r="F591" s="7"/>
    </row>
    <row r="592" spans="6:6" x14ac:dyDescent="0.15">
      <c r="F592" s="7"/>
    </row>
    <row r="593" spans="6:6" x14ac:dyDescent="0.15">
      <c r="F593" s="7"/>
    </row>
    <row r="594" spans="6:6" x14ac:dyDescent="0.15">
      <c r="F594" s="7"/>
    </row>
    <row r="595" spans="6:6" x14ac:dyDescent="0.15">
      <c r="F595" s="7"/>
    </row>
    <row r="596" spans="6:6" x14ac:dyDescent="0.15">
      <c r="F596" s="7"/>
    </row>
    <row r="597" spans="6:6" x14ac:dyDescent="0.15">
      <c r="F597" s="7"/>
    </row>
    <row r="598" spans="6:6" x14ac:dyDescent="0.15">
      <c r="F598" s="7"/>
    </row>
    <row r="599" spans="6:6" x14ac:dyDescent="0.15">
      <c r="F599" s="7"/>
    </row>
    <row r="600" spans="6:6" x14ac:dyDescent="0.15">
      <c r="F600" s="7"/>
    </row>
    <row r="601" spans="6:6" x14ac:dyDescent="0.15">
      <c r="F601" s="7"/>
    </row>
    <row r="602" spans="6:6" x14ac:dyDescent="0.15">
      <c r="F602" s="7"/>
    </row>
    <row r="603" spans="6:6" x14ac:dyDescent="0.15">
      <c r="F603" s="7"/>
    </row>
    <row r="604" spans="6:6" x14ac:dyDescent="0.15">
      <c r="F604" s="7"/>
    </row>
    <row r="605" spans="6:6" x14ac:dyDescent="0.15">
      <c r="F605" s="7"/>
    </row>
    <row r="606" spans="6:6" x14ac:dyDescent="0.15">
      <c r="F606" s="7"/>
    </row>
    <row r="607" spans="6:6" x14ac:dyDescent="0.15">
      <c r="F607" s="7"/>
    </row>
    <row r="608" spans="6:6" x14ac:dyDescent="0.15">
      <c r="F608" s="7"/>
    </row>
    <row r="609" spans="6:6" x14ac:dyDescent="0.15">
      <c r="F609" s="7"/>
    </row>
    <row r="610" spans="6:6" x14ac:dyDescent="0.15">
      <c r="F610" s="7"/>
    </row>
    <row r="611" spans="6:6" x14ac:dyDescent="0.15">
      <c r="F611" s="7"/>
    </row>
    <row r="612" spans="6:6" x14ac:dyDescent="0.15">
      <c r="F612" s="7"/>
    </row>
    <row r="613" spans="6:6" x14ac:dyDescent="0.15">
      <c r="F613" s="7"/>
    </row>
    <row r="614" spans="6:6" x14ac:dyDescent="0.15">
      <c r="F614" s="7"/>
    </row>
    <row r="615" spans="6:6" x14ac:dyDescent="0.15">
      <c r="F615" s="7"/>
    </row>
    <row r="616" spans="6:6" x14ac:dyDescent="0.15">
      <c r="F616" s="7"/>
    </row>
    <row r="617" spans="6:6" x14ac:dyDescent="0.15">
      <c r="F617" s="7"/>
    </row>
    <row r="618" spans="6:6" x14ac:dyDescent="0.15">
      <c r="F618" s="7"/>
    </row>
    <row r="619" spans="6:6" x14ac:dyDescent="0.15">
      <c r="F619" s="7"/>
    </row>
    <row r="620" spans="6:6" x14ac:dyDescent="0.15">
      <c r="F620" s="7"/>
    </row>
    <row r="621" spans="6:6" x14ac:dyDescent="0.15">
      <c r="F621" s="7"/>
    </row>
    <row r="622" spans="6:6" x14ac:dyDescent="0.15">
      <c r="F622" s="7"/>
    </row>
    <row r="623" spans="6:6" x14ac:dyDescent="0.15">
      <c r="F623" s="7"/>
    </row>
    <row r="624" spans="6:6" x14ac:dyDescent="0.15">
      <c r="F624" s="7"/>
    </row>
    <row r="625" spans="6:6" x14ac:dyDescent="0.15">
      <c r="F625" s="7"/>
    </row>
    <row r="626" spans="6:6" x14ac:dyDescent="0.15">
      <c r="F626" s="7"/>
    </row>
    <row r="627" spans="6:6" x14ac:dyDescent="0.15">
      <c r="F627" s="7"/>
    </row>
    <row r="628" spans="6:6" x14ac:dyDescent="0.15">
      <c r="F628" s="7"/>
    </row>
    <row r="629" spans="6:6" x14ac:dyDescent="0.15">
      <c r="F629" s="7"/>
    </row>
    <row r="630" spans="6:6" x14ac:dyDescent="0.15">
      <c r="F630" s="7"/>
    </row>
    <row r="631" spans="6:6" x14ac:dyDescent="0.15">
      <c r="F631" s="7"/>
    </row>
    <row r="632" spans="6:6" x14ac:dyDescent="0.15">
      <c r="F632" s="7"/>
    </row>
    <row r="633" spans="6:6" x14ac:dyDescent="0.15">
      <c r="F633" s="7"/>
    </row>
    <row r="634" spans="6:6" x14ac:dyDescent="0.15">
      <c r="F634" s="7"/>
    </row>
    <row r="635" spans="6:6" x14ac:dyDescent="0.15">
      <c r="F635" s="7"/>
    </row>
    <row r="636" spans="6:6" x14ac:dyDescent="0.15">
      <c r="F636" s="7"/>
    </row>
    <row r="637" spans="6:6" x14ac:dyDescent="0.15">
      <c r="F637" s="7"/>
    </row>
    <row r="638" spans="6:6" x14ac:dyDescent="0.15">
      <c r="F638" s="7"/>
    </row>
    <row r="639" spans="6:6" x14ac:dyDescent="0.15">
      <c r="F639" s="7"/>
    </row>
    <row r="640" spans="6:6" x14ac:dyDescent="0.15">
      <c r="F640" s="7"/>
    </row>
    <row r="641" spans="6:6" x14ac:dyDescent="0.15">
      <c r="F641" s="7"/>
    </row>
    <row r="642" spans="6:6" x14ac:dyDescent="0.15">
      <c r="F642" s="7"/>
    </row>
    <row r="643" spans="6:6" x14ac:dyDescent="0.15">
      <c r="F643" s="7"/>
    </row>
    <row r="644" spans="6:6" x14ac:dyDescent="0.15">
      <c r="F644" s="7"/>
    </row>
    <row r="645" spans="6:6" x14ac:dyDescent="0.15">
      <c r="F645" s="7"/>
    </row>
    <row r="646" spans="6:6" x14ac:dyDescent="0.15">
      <c r="F646" s="7"/>
    </row>
    <row r="647" spans="6:6" x14ac:dyDescent="0.15">
      <c r="F647" s="7"/>
    </row>
    <row r="648" spans="6:6" x14ac:dyDescent="0.15">
      <c r="F648" s="7"/>
    </row>
    <row r="649" spans="6:6" x14ac:dyDescent="0.15">
      <c r="F649" s="7"/>
    </row>
    <row r="650" spans="6:6" x14ac:dyDescent="0.15">
      <c r="F650" s="7"/>
    </row>
    <row r="651" spans="6:6" x14ac:dyDescent="0.15">
      <c r="F651" s="7"/>
    </row>
    <row r="652" spans="6:6" x14ac:dyDescent="0.15">
      <c r="F652" s="7"/>
    </row>
    <row r="653" spans="6:6" x14ac:dyDescent="0.15">
      <c r="F653" s="7"/>
    </row>
    <row r="654" spans="6:6" x14ac:dyDescent="0.15">
      <c r="F654" s="7"/>
    </row>
    <row r="655" spans="6:6" x14ac:dyDescent="0.15">
      <c r="F655" s="7"/>
    </row>
    <row r="656" spans="6:6" x14ac:dyDescent="0.15">
      <c r="F656" s="7"/>
    </row>
    <row r="657" spans="6:6" x14ac:dyDescent="0.15">
      <c r="F657" s="7"/>
    </row>
    <row r="658" spans="6:6" x14ac:dyDescent="0.15">
      <c r="F658" s="7"/>
    </row>
    <row r="659" spans="6:6" x14ac:dyDescent="0.15">
      <c r="F659" s="7"/>
    </row>
    <row r="660" spans="6:6" x14ac:dyDescent="0.15">
      <c r="F660" s="7"/>
    </row>
    <row r="661" spans="6:6" x14ac:dyDescent="0.15">
      <c r="F661" s="7"/>
    </row>
    <row r="662" spans="6:6" x14ac:dyDescent="0.15">
      <c r="F662" s="7"/>
    </row>
    <row r="663" spans="6:6" x14ac:dyDescent="0.15">
      <c r="F663" s="7"/>
    </row>
    <row r="664" spans="6:6" x14ac:dyDescent="0.15">
      <c r="F664" s="7"/>
    </row>
    <row r="665" spans="6:6" x14ac:dyDescent="0.15">
      <c r="F665" s="7"/>
    </row>
    <row r="666" spans="6:6" x14ac:dyDescent="0.15">
      <c r="F666" s="7"/>
    </row>
    <row r="667" spans="6:6" x14ac:dyDescent="0.15">
      <c r="F667" s="7"/>
    </row>
    <row r="668" spans="6:6" x14ac:dyDescent="0.15">
      <c r="F668" s="7"/>
    </row>
    <row r="669" spans="6:6" x14ac:dyDescent="0.15">
      <c r="F669" s="7"/>
    </row>
    <row r="670" spans="6:6" x14ac:dyDescent="0.15">
      <c r="F670" s="7"/>
    </row>
    <row r="671" spans="6:6" x14ac:dyDescent="0.15">
      <c r="F671" s="7"/>
    </row>
    <row r="672" spans="6:6" x14ac:dyDescent="0.15">
      <c r="F672" s="7"/>
    </row>
    <row r="673" spans="6:6" x14ac:dyDescent="0.15">
      <c r="F673" s="7"/>
    </row>
    <row r="674" spans="6:6" x14ac:dyDescent="0.15">
      <c r="F674" s="7"/>
    </row>
    <row r="675" spans="6:6" x14ac:dyDescent="0.15">
      <c r="F675" s="7"/>
    </row>
    <row r="676" spans="6:6" x14ac:dyDescent="0.15">
      <c r="F676" s="7"/>
    </row>
    <row r="677" spans="6:6" x14ac:dyDescent="0.15">
      <c r="F677" s="7"/>
    </row>
    <row r="678" spans="6:6" x14ac:dyDescent="0.15">
      <c r="F678" s="7"/>
    </row>
    <row r="679" spans="6:6" x14ac:dyDescent="0.15">
      <c r="F679" s="7"/>
    </row>
    <row r="680" spans="6:6" x14ac:dyDescent="0.15">
      <c r="F680" s="7"/>
    </row>
    <row r="681" spans="6:6" x14ac:dyDescent="0.15">
      <c r="F681" s="7"/>
    </row>
    <row r="682" spans="6:6" x14ac:dyDescent="0.15">
      <c r="F682" s="7"/>
    </row>
    <row r="683" spans="6:6" x14ac:dyDescent="0.15">
      <c r="F683" s="7"/>
    </row>
    <row r="684" spans="6:6" x14ac:dyDescent="0.15">
      <c r="F684" s="7"/>
    </row>
    <row r="685" spans="6:6" x14ac:dyDescent="0.15">
      <c r="F685" s="7"/>
    </row>
    <row r="686" spans="6:6" x14ac:dyDescent="0.15">
      <c r="F686" s="7"/>
    </row>
    <row r="687" spans="6:6" x14ac:dyDescent="0.15">
      <c r="F687" s="7"/>
    </row>
    <row r="688" spans="6:6" x14ac:dyDescent="0.15">
      <c r="F688" s="7"/>
    </row>
    <row r="689" spans="6:6" x14ac:dyDescent="0.15">
      <c r="F689" s="7"/>
    </row>
    <row r="690" spans="6:6" x14ac:dyDescent="0.15">
      <c r="F690" s="7"/>
    </row>
    <row r="691" spans="6:6" x14ac:dyDescent="0.15">
      <c r="F691" s="7"/>
    </row>
    <row r="692" spans="6:6" x14ac:dyDescent="0.15">
      <c r="F692" s="7"/>
    </row>
    <row r="693" spans="6:6" x14ac:dyDescent="0.15">
      <c r="F693" s="7"/>
    </row>
    <row r="694" spans="6:6" x14ac:dyDescent="0.15">
      <c r="F694" s="7"/>
    </row>
    <row r="695" spans="6:6" x14ac:dyDescent="0.15">
      <c r="F695" s="7"/>
    </row>
    <row r="696" spans="6:6" x14ac:dyDescent="0.15">
      <c r="F696" s="7"/>
    </row>
    <row r="697" spans="6:6" x14ac:dyDescent="0.15">
      <c r="F697" s="7"/>
    </row>
    <row r="698" spans="6:6" x14ac:dyDescent="0.15">
      <c r="F698" s="7"/>
    </row>
    <row r="699" spans="6:6" x14ac:dyDescent="0.15">
      <c r="F699" s="7"/>
    </row>
    <row r="700" spans="6:6" x14ac:dyDescent="0.15">
      <c r="F700" s="7"/>
    </row>
    <row r="701" spans="6:6" x14ac:dyDescent="0.15">
      <c r="F701" s="7"/>
    </row>
    <row r="702" spans="6:6" x14ac:dyDescent="0.15">
      <c r="F702" s="7"/>
    </row>
    <row r="703" spans="6:6" x14ac:dyDescent="0.15">
      <c r="F703" s="7"/>
    </row>
    <row r="704" spans="6:6" x14ac:dyDescent="0.15">
      <c r="F704" s="7"/>
    </row>
    <row r="705" spans="6:6" x14ac:dyDescent="0.15">
      <c r="F705" s="7"/>
    </row>
    <row r="706" spans="6:6" x14ac:dyDescent="0.15">
      <c r="F706" s="7"/>
    </row>
    <row r="707" spans="6:6" x14ac:dyDescent="0.15">
      <c r="F707" s="7"/>
    </row>
    <row r="708" spans="6:6" x14ac:dyDescent="0.15">
      <c r="F708" s="7"/>
    </row>
    <row r="709" spans="6:6" x14ac:dyDescent="0.15">
      <c r="F709" s="7"/>
    </row>
    <row r="710" spans="6:6" x14ac:dyDescent="0.15">
      <c r="F710" s="7"/>
    </row>
    <row r="711" spans="6:6" x14ac:dyDescent="0.15">
      <c r="F711" s="7"/>
    </row>
    <row r="712" spans="6:6" x14ac:dyDescent="0.15">
      <c r="F712" s="7"/>
    </row>
    <row r="713" spans="6:6" x14ac:dyDescent="0.15">
      <c r="F713" s="7"/>
    </row>
    <row r="714" spans="6:6" x14ac:dyDescent="0.15">
      <c r="F714" s="7"/>
    </row>
    <row r="715" spans="6:6" x14ac:dyDescent="0.15">
      <c r="F715" s="7"/>
    </row>
    <row r="716" spans="6:6" x14ac:dyDescent="0.15">
      <c r="F716" s="7"/>
    </row>
    <row r="717" spans="6:6" x14ac:dyDescent="0.15">
      <c r="F717" s="7"/>
    </row>
    <row r="718" spans="6:6" x14ac:dyDescent="0.15">
      <c r="F718" s="7"/>
    </row>
    <row r="719" spans="6:6" x14ac:dyDescent="0.15">
      <c r="F719" s="7"/>
    </row>
    <row r="720" spans="6:6" x14ac:dyDescent="0.15">
      <c r="F720" s="7"/>
    </row>
    <row r="721" spans="6:6" x14ac:dyDescent="0.15">
      <c r="F721" s="7"/>
    </row>
    <row r="722" spans="6:6" x14ac:dyDescent="0.15">
      <c r="F722" s="7"/>
    </row>
    <row r="723" spans="6:6" x14ac:dyDescent="0.15">
      <c r="F723" s="7"/>
    </row>
    <row r="724" spans="6:6" x14ac:dyDescent="0.15">
      <c r="F724" s="7"/>
    </row>
    <row r="725" spans="6:6" x14ac:dyDescent="0.15">
      <c r="F725" s="7"/>
    </row>
    <row r="726" spans="6:6" x14ac:dyDescent="0.15">
      <c r="F726" s="7"/>
    </row>
    <row r="727" spans="6:6" x14ac:dyDescent="0.15">
      <c r="F727" s="7"/>
    </row>
    <row r="728" spans="6:6" x14ac:dyDescent="0.15">
      <c r="F728" s="7"/>
    </row>
    <row r="729" spans="6:6" x14ac:dyDescent="0.15">
      <c r="F729" s="7"/>
    </row>
    <row r="730" spans="6:6" x14ac:dyDescent="0.15">
      <c r="F730" s="7"/>
    </row>
    <row r="731" spans="6:6" x14ac:dyDescent="0.15">
      <c r="F731" s="7"/>
    </row>
    <row r="732" spans="6:6" x14ac:dyDescent="0.15">
      <c r="F732" s="7"/>
    </row>
    <row r="733" spans="6:6" x14ac:dyDescent="0.15">
      <c r="F733" s="7"/>
    </row>
    <row r="734" spans="6:6" x14ac:dyDescent="0.15">
      <c r="F734" s="7"/>
    </row>
    <row r="735" spans="6:6" x14ac:dyDescent="0.15">
      <c r="F735" s="7"/>
    </row>
    <row r="736" spans="6:6" x14ac:dyDescent="0.15">
      <c r="F736" s="7"/>
    </row>
    <row r="737" spans="6:6" x14ac:dyDescent="0.15">
      <c r="F737" s="7"/>
    </row>
    <row r="738" spans="6:6" x14ac:dyDescent="0.15">
      <c r="F738" s="7"/>
    </row>
    <row r="739" spans="6:6" x14ac:dyDescent="0.15">
      <c r="F739" s="7"/>
    </row>
    <row r="740" spans="6:6" x14ac:dyDescent="0.15">
      <c r="F740" s="7"/>
    </row>
    <row r="741" spans="6:6" x14ac:dyDescent="0.15">
      <c r="F741" s="7"/>
    </row>
    <row r="742" spans="6:6" x14ac:dyDescent="0.15">
      <c r="F742" s="7"/>
    </row>
    <row r="743" spans="6:6" x14ac:dyDescent="0.15">
      <c r="F743" s="7"/>
    </row>
    <row r="744" spans="6:6" x14ac:dyDescent="0.15">
      <c r="F744" s="7"/>
    </row>
    <row r="745" spans="6:6" x14ac:dyDescent="0.15">
      <c r="F745" s="7"/>
    </row>
    <row r="746" spans="6:6" x14ac:dyDescent="0.15">
      <c r="F746" s="7"/>
    </row>
    <row r="747" spans="6:6" x14ac:dyDescent="0.15">
      <c r="F747" s="7"/>
    </row>
    <row r="748" spans="6:6" x14ac:dyDescent="0.15">
      <c r="F748" s="7"/>
    </row>
    <row r="749" spans="6:6" x14ac:dyDescent="0.15">
      <c r="F749" s="7"/>
    </row>
    <row r="750" spans="6:6" x14ac:dyDescent="0.15">
      <c r="F750" s="7"/>
    </row>
    <row r="751" spans="6:6" x14ac:dyDescent="0.15">
      <c r="F751" s="7"/>
    </row>
    <row r="752" spans="6:6" x14ac:dyDescent="0.15">
      <c r="F752" s="7"/>
    </row>
    <row r="753" spans="6:6" x14ac:dyDescent="0.15">
      <c r="F753" s="7"/>
    </row>
    <row r="754" spans="6:6" x14ac:dyDescent="0.15">
      <c r="F754" s="7"/>
    </row>
    <row r="755" spans="6:6" x14ac:dyDescent="0.15">
      <c r="F755" s="7"/>
    </row>
    <row r="756" spans="6:6" x14ac:dyDescent="0.15">
      <c r="F756" s="7"/>
    </row>
    <row r="757" spans="6:6" x14ac:dyDescent="0.15">
      <c r="F757" s="7"/>
    </row>
    <row r="758" spans="6:6" x14ac:dyDescent="0.15">
      <c r="F758" s="7"/>
    </row>
    <row r="759" spans="6:6" x14ac:dyDescent="0.15">
      <c r="F759" s="7"/>
    </row>
    <row r="760" spans="6:6" x14ac:dyDescent="0.15">
      <c r="F760" s="7"/>
    </row>
    <row r="761" spans="6:6" x14ac:dyDescent="0.15">
      <c r="F761" s="7"/>
    </row>
    <row r="762" spans="6:6" x14ac:dyDescent="0.15">
      <c r="F762" s="7"/>
    </row>
    <row r="763" spans="6:6" x14ac:dyDescent="0.15">
      <c r="F763" s="7"/>
    </row>
    <row r="764" spans="6:6" x14ac:dyDescent="0.15">
      <c r="F764" s="7"/>
    </row>
    <row r="765" spans="6:6" x14ac:dyDescent="0.15">
      <c r="F765" s="7"/>
    </row>
    <row r="766" spans="6:6" x14ac:dyDescent="0.15">
      <c r="F766" s="7"/>
    </row>
    <row r="767" spans="6:6" x14ac:dyDescent="0.15">
      <c r="F767" s="7"/>
    </row>
    <row r="768" spans="6:6" x14ac:dyDescent="0.15">
      <c r="F768" s="7"/>
    </row>
    <row r="769" spans="6:6" x14ac:dyDescent="0.15">
      <c r="F769" s="7"/>
    </row>
    <row r="770" spans="6:6" x14ac:dyDescent="0.15">
      <c r="F770" s="7"/>
    </row>
    <row r="771" spans="6:6" x14ac:dyDescent="0.15">
      <c r="F771" s="7"/>
    </row>
    <row r="772" spans="6:6" x14ac:dyDescent="0.15">
      <c r="F772" s="7"/>
    </row>
    <row r="773" spans="6:6" x14ac:dyDescent="0.15">
      <c r="F773" s="7"/>
    </row>
    <row r="774" spans="6:6" x14ac:dyDescent="0.15">
      <c r="F774" s="7"/>
    </row>
    <row r="775" spans="6:6" x14ac:dyDescent="0.15">
      <c r="F775" s="7"/>
    </row>
    <row r="776" spans="6:6" x14ac:dyDescent="0.15">
      <c r="F776" s="7"/>
    </row>
    <row r="777" spans="6:6" x14ac:dyDescent="0.15">
      <c r="F777" s="7"/>
    </row>
    <row r="778" spans="6:6" x14ac:dyDescent="0.15">
      <c r="F778" s="7"/>
    </row>
    <row r="779" spans="6:6" x14ac:dyDescent="0.15">
      <c r="F779" s="7"/>
    </row>
    <row r="780" spans="6:6" x14ac:dyDescent="0.15">
      <c r="F780" s="7"/>
    </row>
    <row r="781" spans="6:6" x14ac:dyDescent="0.15">
      <c r="F781" s="7"/>
    </row>
    <row r="782" spans="6:6" x14ac:dyDescent="0.15">
      <c r="F782" s="7"/>
    </row>
    <row r="783" spans="6:6" x14ac:dyDescent="0.15">
      <c r="F783" s="7"/>
    </row>
    <row r="784" spans="6:6" x14ac:dyDescent="0.15">
      <c r="F784" s="7"/>
    </row>
    <row r="785" spans="6:6" x14ac:dyDescent="0.15">
      <c r="F785" s="7"/>
    </row>
    <row r="786" spans="6:6" x14ac:dyDescent="0.15">
      <c r="F786" s="7"/>
    </row>
    <row r="787" spans="6:6" x14ac:dyDescent="0.15">
      <c r="F787" s="7"/>
    </row>
    <row r="788" spans="6:6" x14ac:dyDescent="0.15">
      <c r="F788" s="7"/>
    </row>
    <row r="789" spans="6:6" x14ac:dyDescent="0.15">
      <c r="F789" s="7"/>
    </row>
    <row r="790" spans="6:6" x14ac:dyDescent="0.15">
      <c r="F790" s="7"/>
    </row>
    <row r="791" spans="6:6" x14ac:dyDescent="0.15">
      <c r="F791" s="7"/>
    </row>
    <row r="792" spans="6:6" x14ac:dyDescent="0.15">
      <c r="F792" s="7"/>
    </row>
    <row r="793" spans="6:6" x14ac:dyDescent="0.15">
      <c r="F793" s="7"/>
    </row>
    <row r="794" spans="6:6" x14ac:dyDescent="0.15">
      <c r="F794" s="7"/>
    </row>
    <row r="795" spans="6:6" x14ac:dyDescent="0.15">
      <c r="F795" s="7"/>
    </row>
    <row r="796" spans="6:6" x14ac:dyDescent="0.15">
      <c r="F796" s="7"/>
    </row>
    <row r="797" spans="6:6" x14ac:dyDescent="0.15">
      <c r="F797" s="7"/>
    </row>
    <row r="798" spans="6:6" x14ac:dyDescent="0.15">
      <c r="F798" s="7"/>
    </row>
    <row r="799" spans="6:6" x14ac:dyDescent="0.15">
      <c r="F799" s="7"/>
    </row>
    <row r="800" spans="6:6" x14ac:dyDescent="0.15">
      <c r="F800" s="7"/>
    </row>
    <row r="801" spans="6:6" x14ac:dyDescent="0.15">
      <c r="F801" s="7"/>
    </row>
    <row r="802" spans="6:6" x14ac:dyDescent="0.15">
      <c r="F802" s="7"/>
    </row>
    <row r="803" spans="6:6" x14ac:dyDescent="0.15">
      <c r="F803" s="7"/>
    </row>
    <row r="804" spans="6:6" x14ac:dyDescent="0.15">
      <c r="F804" s="7"/>
    </row>
    <row r="805" spans="6:6" x14ac:dyDescent="0.15">
      <c r="F805" s="7"/>
    </row>
    <row r="806" spans="6:6" x14ac:dyDescent="0.15">
      <c r="F806" s="7"/>
    </row>
    <row r="807" spans="6:6" x14ac:dyDescent="0.15">
      <c r="F807" s="7"/>
    </row>
    <row r="808" spans="6:6" x14ac:dyDescent="0.15">
      <c r="F808" s="7"/>
    </row>
    <row r="809" spans="6:6" x14ac:dyDescent="0.15">
      <c r="F809" s="7"/>
    </row>
    <row r="810" spans="6:6" x14ac:dyDescent="0.15">
      <c r="F810" s="7"/>
    </row>
    <row r="811" spans="6:6" x14ac:dyDescent="0.15">
      <c r="F811" s="7"/>
    </row>
    <row r="812" spans="6:6" x14ac:dyDescent="0.15">
      <c r="F812" s="7"/>
    </row>
    <row r="813" spans="6:6" x14ac:dyDescent="0.15">
      <c r="F813" s="7"/>
    </row>
    <row r="814" spans="6:6" x14ac:dyDescent="0.15">
      <c r="F814" s="7"/>
    </row>
    <row r="815" spans="6:6" x14ac:dyDescent="0.15">
      <c r="F815" s="7"/>
    </row>
    <row r="816" spans="6:6" x14ac:dyDescent="0.15">
      <c r="F816" s="7"/>
    </row>
    <row r="817" spans="6:6" x14ac:dyDescent="0.15">
      <c r="F817" s="7"/>
    </row>
    <row r="818" spans="6:6" x14ac:dyDescent="0.15">
      <c r="F818" s="7"/>
    </row>
    <row r="819" spans="6:6" x14ac:dyDescent="0.15">
      <c r="F819" s="7"/>
    </row>
    <row r="820" spans="6:6" x14ac:dyDescent="0.15">
      <c r="F820" s="7"/>
    </row>
    <row r="821" spans="6:6" x14ac:dyDescent="0.15">
      <c r="F821" s="7"/>
    </row>
    <row r="822" spans="6:6" x14ac:dyDescent="0.15">
      <c r="F822" s="7"/>
    </row>
    <row r="823" spans="6:6" x14ac:dyDescent="0.15">
      <c r="F823" s="7"/>
    </row>
    <row r="824" spans="6:6" x14ac:dyDescent="0.15">
      <c r="F824" s="7"/>
    </row>
    <row r="825" spans="6:6" x14ac:dyDescent="0.15">
      <c r="F825" s="7"/>
    </row>
    <row r="826" spans="6:6" x14ac:dyDescent="0.15">
      <c r="F826" s="7"/>
    </row>
    <row r="827" spans="6:6" x14ac:dyDescent="0.15">
      <c r="F827" s="7"/>
    </row>
    <row r="828" spans="6:6" x14ac:dyDescent="0.15">
      <c r="F828" s="7"/>
    </row>
    <row r="829" spans="6:6" x14ac:dyDescent="0.15">
      <c r="F829" s="7"/>
    </row>
    <row r="830" spans="6:6" x14ac:dyDescent="0.15">
      <c r="F830" s="7"/>
    </row>
    <row r="831" spans="6:6" x14ac:dyDescent="0.15">
      <c r="F831" s="7"/>
    </row>
    <row r="832" spans="6:6" x14ac:dyDescent="0.15">
      <c r="F832" s="7"/>
    </row>
    <row r="833" spans="6:6" x14ac:dyDescent="0.15">
      <c r="F833" s="7"/>
    </row>
    <row r="834" spans="6:6" x14ac:dyDescent="0.15">
      <c r="F834" s="7"/>
    </row>
    <row r="835" spans="6:6" x14ac:dyDescent="0.15">
      <c r="F835" s="7"/>
    </row>
    <row r="836" spans="6:6" x14ac:dyDescent="0.15">
      <c r="F836" s="7"/>
    </row>
    <row r="837" spans="6:6" x14ac:dyDescent="0.15">
      <c r="F837" s="7"/>
    </row>
    <row r="838" spans="6:6" x14ac:dyDescent="0.15">
      <c r="F838" s="7"/>
    </row>
    <row r="839" spans="6:6" x14ac:dyDescent="0.15">
      <c r="F839" s="7"/>
    </row>
    <row r="840" spans="6:6" x14ac:dyDescent="0.15">
      <c r="F840" s="7"/>
    </row>
    <row r="841" spans="6:6" x14ac:dyDescent="0.15">
      <c r="F841" s="7"/>
    </row>
    <row r="842" spans="6:6" x14ac:dyDescent="0.15">
      <c r="F842" s="7"/>
    </row>
    <row r="843" spans="6:6" x14ac:dyDescent="0.15">
      <c r="F843" s="7"/>
    </row>
    <row r="844" spans="6:6" x14ac:dyDescent="0.15">
      <c r="F844" s="7"/>
    </row>
    <row r="845" spans="6:6" x14ac:dyDescent="0.15">
      <c r="F845" s="7"/>
    </row>
    <row r="846" spans="6:6" x14ac:dyDescent="0.15">
      <c r="F846" s="7"/>
    </row>
    <row r="847" spans="6:6" x14ac:dyDescent="0.15">
      <c r="F847" s="7"/>
    </row>
    <row r="848" spans="6:6" x14ac:dyDescent="0.15">
      <c r="F848" s="7"/>
    </row>
    <row r="849" spans="6:6" x14ac:dyDescent="0.15">
      <c r="F849" s="7"/>
    </row>
    <row r="850" spans="6:6" x14ac:dyDescent="0.15">
      <c r="F850" s="7"/>
    </row>
    <row r="851" spans="6:6" x14ac:dyDescent="0.15">
      <c r="F851" s="7"/>
    </row>
    <row r="852" spans="6:6" x14ac:dyDescent="0.15">
      <c r="F852" s="7"/>
    </row>
    <row r="853" spans="6:6" x14ac:dyDescent="0.15">
      <c r="F853" s="7"/>
    </row>
    <row r="854" spans="6:6" x14ac:dyDescent="0.15">
      <c r="F854" s="7"/>
    </row>
    <row r="855" spans="6:6" x14ac:dyDescent="0.15">
      <c r="F855" s="7"/>
    </row>
    <row r="856" spans="6:6" x14ac:dyDescent="0.15">
      <c r="F856" s="7"/>
    </row>
    <row r="857" spans="6:6" x14ac:dyDescent="0.15">
      <c r="F857" s="7"/>
    </row>
    <row r="858" spans="6:6" x14ac:dyDescent="0.15">
      <c r="F858" s="7"/>
    </row>
    <row r="859" spans="6:6" x14ac:dyDescent="0.15">
      <c r="F859" s="7"/>
    </row>
    <row r="860" spans="6:6" x14ac:dyDescent="0.15">
      <c r="F860" s="7"/>
    </row>
    <row r="861" spans="6:6" x14ac:dyDescent="0.15">
      <c r="F861" s="7"/>
    </row>
    <row r="862" spans="6:6" x14ac:dyDescent="0.15">
      <c r="F862" s="7"/>
    </row>
    <row r="863" spans="6:6" x14ac:dyDescent="0.15">
      <c r="F863" s="7"/>
    </row>
    <row r="864" spans="6:6" x14ac:dyDescent="0.15">
      <c r="F864" s="7"/>
    </row>
    <row r="865" spans="6:6" x14ac:dyDescent="0.15">
      <c r="F865" s="7"/>
    </row>
    <row r="866" spans="6:6" x14ac:dyDescent="0.15">
      <c r="F866" s="7"/>
    </row>
    <row r="867" spans="6:6" x14ac:dyDescent="0.15">
      <c r="F867" s="7"/>
    </row>
    <row r="868" spans="6:6" x14ac:dyDescent="0.15">
      <c r="F868" s="7"/>
    </row>
    <row r="869" spans="6:6" x14ac:dyDescent="0.15">
      <c r="F869" s="7"/>
    </row>
    <row r="870" spans="6:6" x14ac:dyDescent="0.15">
      <c r="F870" s="7"/>
    </row>
    <row r="871" spans="6:6" x14ac:dyDescent="0.15">
      <c r="F871" s="7"/>
    </row>
    <row r="872" spans="6:6" x14ac:dyDescent="0.15">
      <c r="F872" s="7"/>
    </row>
    <row r="873" spans="6:6" x14ac:dyDescent="0.15">
      <c r="F873" s="7"/>
    </row>
    <row r="874" spans="6:6" x14ac:dyDescent="0.15">
      <c r="F874" s="7"/>
    </row>
    <row r="875" spans="6:6" x14ac:dyDescent="0.15">
      <c r="F875" s="7"/>
    </row>
    <row r="876" spans="6:6" x14ac:dyDescent="0.15">
      <c r="F876" s="7"/>
    </row>
    <row r="877" spans="6:6" x14ac:dyDescent="0.15">
      <c r="F877" s="7"/>
    </row>
    <row r="878" spans="6:6" x14ac:dyDescent="0.15">
      <c r="F878" s="7"/>
    </row>
    <row r="879" spans="6:6" x14ac:dyDescent="0.15">
      <c r="F879" s="7"/>
    </row>
    <row r="880" spans="6:6" x14ac:dyDescent="0.15">
      <c r="F880" s="7"/>
    </row>
    <row r="881" spans="6:6" x14ac:dyDescent="0.15">
      <c r="F881" s="7"/>
    </row>
    <row r="882" spans="6:6" x14ac:dyDescent="0.15">
      <c r="F882" s="7"/>
    </row>
    <row r="883" spans="6:6" x14ac:dyDescent="0.15">
      <c r="F883" s="7"/>
    </row>
    <row r="884" spans="6:6" x14ac:dyDescent="0.15">
      <c r="F884" s="7"/>
    </row>
    <row r="885" spans="6:6" x14ac:dyDescent="0.15">
      <c r="F885" s="7"/>
    </row>
    <row r="886" spans="6:6" x14ac:dyDescent="0.15">
      <c r="F886" s="7"/>
    </row>
    <row r="887" spans="6:6" x14ac:dyDescent="0.15">
      <c r="F887" s="7"/>
    </row>
    <row r="888" spans="6:6" x14ac:dyDescent="0.15">
      <c r="F888" s="7"/>
    </row>
    <row r="889" spans="6:6" x14ac:dyDescent="0.15">
      <c r="F889" s="7"/>
    </row>
    <row r="890" spans="6:6" x14ac:dyDescent="0.15">
      <c r="F890" s="7"/>
    </row>
    <row r="891" spans="6:6" x14ac:dyDescent="0.15">
      <c r="F891" s="7"/>
    </row>
    <row r="892" spans="6:6" x14ac:dyDescent="0.15">
      <c r="F892" s="7"/>
    </row>
    <row r="893" spans="6:6" x14ac:dyDescent="0.15">
      <c r="F893" s="7"/>
    </row>
    <row r="894" spans="6:6" x14ac:dyDescent="0.15">
      <c r="F894" s="7"/>
    </row>
    <row r="895" spans="6:6" x14ac:dyDescent="0.15">
      <c r="F895" s="7"/>
    </row>
    <row r="896" spans="6:6" x14ac:dyDescent="0.15">
      <c r="F896" s="7"/>
    </row>
    <row r="897" spans="6:6" x14ac:dyDescent="0.15">
      <c r="F897" s="7"/>
    </row>
    <row r="898" spans="6:6" x14ac:dyDescent="0.15">
      <c r="F898" s="7"/>
    </row>
    <row r="899" spans="6:6" x14ac:dyDescent="0.15">
      <c r="F899" s="7"/>
    </row>
    <row r="900" spans="6:6" x14ac:dyDescent="0.15">
      <c r="F900" s="7"/>
    </row>
    <row r="901" spans="6:6" x14ac:dyDescent="0.15">
      <c r="F901" s="7"/>
    </row>
    <row r="902" spans="6:6" x14ac:dyDescent="0.15">
      <c r="F902" s="7"/>
    </row>
    <row r="903" spans="6:6" x14ac:dyDescent="0.15">
      <c r="F903" s="7"/>
    </row>
    <row r="904" spans="6:6" x14ac:dyDescent="0.15">
      <c r="F904" s="7"/>
    </row>
    <row r="905" spans="6:6" x14ac:dyDescent="0.15">
      <c r="F905" s="7"/>
    </row>
    <row r="906" spans="6:6" x14ac:dyDescent="0.15">
      <c r="F906" s="7"/>
    </row>
    <row r="907" spans="6:6" x14ac:dyDescent="0.15">
      <c r="F907" s="7"/>
    </row>
    <row r="908" spans="6:6" x14ac:dyDescent="0.15">
      <c r="F908" s="7"/>
    </row>
    <row r="909" spans="6:6" x14ac:dyDescent="0.15">
      <c r="F909" s="7"/>
    </row>
    <row r="910" spans="6:6" x14ac:dyDescent="0.15">
      <c r="F910" s="7"/>
    </row>
    <row r="911" spans="6:6" x14ac:dyDescent="0.15">
      <c r="F911" s="7"/>
    </row>
    <row r="912" spans="6:6" x14ac:dyDescent="0.15">
      <c r="F912" s="7"/>
    </row>
    <row r="913" spans="6:6" x14ac:dyDescent="0.15">
      <c r="F913" s="7"/>
    </row>
    <row r="914" spans="6:6" x14ac:dyDescent="0.15">
      <c r="F914" s="7"/>
    </row>
    <row r="915" spans="6:6" x14ac:dyDescent="0.15">
      <c r="F915" s="7"/>
    </row>
    <row r="916" spans="6:6" x14ac:dyDescent="0.15">
      <c r="F916" s="7"/>
    </row>
    <row r="917" spans="6:6" x14ac:dyDescent="0.15">
      <c r="F917" s="7"/>
    </row>
    <row r="918" spans="6:6" x14ac:dyDescent="0.15">
      <c r="F918" s="7"/>
    </row>
    <row r="919" spans="6:6" x14ac:dyDescent="0.15">
      <c r="F919" s="7"/>
    </row>
    <row r="920" spans="6:6" x14ac:dyDescent="0.15">
      <c r="F920" s="7"/>
    </row>
    <row r="921" spans="6:6" x14ac:dyDescent="0.15">
      <c r="F921" s="7"/>
    </row>
    <row r="922" spans="6:6" x14ac:dyDescent="0.15">
      <c r="F922" s="7"/>
    </row>
    <row r="923" spans="6:6" x14ac:dyDescent="0.15">
      <c r="F923" s="7"/>
    </row>
    <row r="924" spans="6:6" x14ac:dyDescent="0.15">
      <c r="F924" s="7"/>
    </row>
    <row r="925" spans="6:6" x14ac:dyDescent="0.15">
      <c r="F925" s="7"/>
    </row>
    <row r="926" spans="6:6" x14ac:dyDescent="0.15">
      <c r="F926" s="7"/>
    </row>
    <row r="927" spans="6:6" x14ac:dyDescent="0.15">
      <c r="F927" s="7"/>
    </row>
    <row r="928" spans="6:6" x14ac:dyDescent="0.15">
      <c r="F928" s="7"/>
    </row>
    <row r="929" spans="6:6" x14ac:dyDescent="0.15">
      <c r="F929" s="7"/>
    </row>
    <row r="930" spans="6:6" x14ac:dyDescent="0.15">
      <c r="F930" s="7"/>
    </row>
    <row r="931" spans="6:6" x14ac:dyDescent="0.15">
      <c r="F931" s="7"/>
    </row>
    <row r="932" spans="6:6" x14ac:dyDescent="0.15">
      <c r="F932" s="7"/>
    </row>
    <row r="933" spans="6:6" x14ac:dyDescent="0.15">
      <c r="F933" s="7"/>
    </row>
    <row r="934" spans="6:6" x14ac:dyDescent="0.15">
      <c r="F934" s="7"/>
    </row>
    <row r="935" spans="6:6" x14ac:dyDescent="0.15">
      <c r="F935" s="7"/>
    </row>
    <row r="936" spans="6:6" x14ac:dyDescent="0.15">
      <c r="F936" s="7"/>
    </row>
    <row r="937" spans="6:6" x14ac:dyDescent="0.15">
      <c r="F937" s="7"/>
    </row>
    <row r="938" spans="6:6" x14ac:dyDescent="0.15">
      <c r="F938" s="7"/>
    </row>
    <row r="939" spans="6:6" x14ac:dyDescent="0.15">
      <c r="F939" s="7"/>
    </row>
    <row r="940" spans="6:6" x14ac:dyDescent="0.15">
      <c r="F940" s="7"/>
    </row>
    <row r="941" spans="6:6" x14ac:dyDescent="0.15">
      <c r="F941" s="7"/>
    </row>
    <row r="942" spans="6:6" x14ac:dyDescent="0.15">
      <c r="F942" s="7"/>
    </row>
    <row r="943" spans="6:6" x14ac:dyDescent="0.15">
      <c r="F943" s="7"/>
    </row>
    <row r="944" spans="6:6" x14ac:dyDescent="0.15">
      <c r="F944" s="7"/>
    </row>
    <row r="945" spans="6:6" x14ac:dyDescent="0.15">
      <c r="F945" s="7"/>
    </row>
    <row r="946" spans="6:6" x14ac:dyDescent="0.15">
      <c r="F946" s="7"/>
    </row>
    <row r="947" spans="6:6" x14ac:dyDescent="0.15">
      <c r="F947" s="7"/>
    </row>
    <row r="948" spans="6:6" x14ac:dyDescent="0.15">
      <c r="F948" s="7"/>
    </row>
    <row r="949" spans="6:6" x14ac:dyDescent="0.15">
      <c r="F949" s="7"/>
    </row>
    <row r="950" spans="6:6" x14ac:dyDescent="0.15">
      <c r="F950" s="7"/>
    </row>
    <row r="951" spans="6:6" x14ac:dyDescent="0.15">
      <c r="F951" s="7"/>
    </row>
    <row r="952" spans="6:6" x14ac:dyDescent="0.15">
      <c r="F952" s="7"/>
    </row>
    <row r="953" spans="6:6" x14ac:dyDescent="0.15">
      <c r="F953" s="7"/>
    </row>
    <row r="954" spans="6:6" x14ac:dyDescent="0.15">
      <c r="F954" s="7"/>
    </row>
    <row r="955" spans="6:6" x14ac:dyDescent="0.15">
      <c r="F955" s="7"/>
    </row>
    <row r="956" spans="6:6" x14ac:dyDescent="0.15">
      <c r="F956" s="7"/>
    </row>
    <row r="957" spans="6:6" x14ac:dyDescent="0.15">
      <c r="F957" s="7"/>
    </row>
    <row r="958" spans="6:6" x14ac:dyDescent="0.15">
      <c r="F958" s="7"/>
    </row>
    <row r="959" spans="6:6" x14ac:dyDescent="0.15">
      <c r="F959" s="7"/>
    </row>
    <row r="960" spans="6:6" x14ac:dyDescent="0.15">
      <c r="F960" s="7"/>
    </row>
    <row r="961" spans="6:6" x14ac:dyDescent="0.15">
      <c r="F961" s="7"/>
    </row>
    <row r="962" spans="6:6" x14ac:dyDescent="0.15">
      <c r="F962" s="7"/>
    </row>
    <row r="963" spans="6:6" x14ac:dyDescent="0.15">
      <c r="F963" s="7"/>
    </row>
    <row r="964" spans="6:6" x14ac:dyDescent="0.15">
      <c r="F964" s="7"/>
    </row>
    <row r="965" spans="6:6" x14ac:dyDescent="0.15">
      <c r="F965" s="7"/>
    </row>
    <row r="966" spans="6:6" x14ac:dyDescent="0.15">
      <c r="F966" s="7"/>
    </row>
    <row r="967" spans="6:6" x14ac:dyDescent="0.15">
      <c r="F967" s="7"/>
    </row>
    <row r="968" spans="6:6" x14ac:dyDescent="0.15">
      <c r="F968" s="7"/>
    </row>
    <row r="969" spans="6:6" x14ac:dyDescent="0.15">
      <c r="F969" s="7"/>
    </row>
    <row r="970" spans="6:6" x14ac:dyDescent="0.15">
      <c r="F970" s="7"/>
    </row>
    <row r="971" spans="6:6" x14ac:dyDescent="0.15">
      <c r="F971" s="7"/>
    </row>
    <row r="972" spans="6:6" x14ac:dyDescent="0.15">
      <c r="F972" s="7"/>
    </row>
    <row r="973" spans="6:6" x14ac:dyDescent="0.15">
      <c r="F973" s="7"/>
    </row>
    <row r="974" spans="6:6" x14ac:dyDescent="0.15">
      <c r="F974" s="7"/>
    </row>
    <row r="975" spans="6:6" x14ac:dyDescent="0.15">
      <c r="F975" s="7"/>
    </row>
    <row r="976" spans="6:6" x14ac:dyDescent="0.15">
      <c r="F976" s="7"/>
    </row>
    <row r="977" spans="6:6" x14ac:dyDescent="0.15">
      <c r="F977" s="7"/>
    </row>
    <row r="978" spans="6:6" x14ac:dyDescent="0.15">
      <c r="F978" s="7"/>
    </row>
    <row r="979" spans="6:6" x14ac:dyDescent="0.15">
      <c r="F979" s="7"/>
    </row>
    <row r="980" spans="6:6" x14ac:dyDescent="0.15">
      <c r="F980" s="7"/>
    </row>
    <row r="981" spans="6:6" x14ac:dyDescent="0.15">
      <c r="F981" s="7"/>
    </row>
    <row r="982" spans="6:6" x14ac:dyDescent="0.15">
      <c r="F982" s="7"/>
    </row>
    <row r="983" spans="6:6" x14ac:dyDescent="0.15">
      <c r="F983" s="7"/>
    </row>
    <row r="984" spans="6:6" x14ac:dyDescent="0.15">
      <c r="F984" s="7"/>
    </row>
    <row r="985" spans="6:6" x14ac:dyDescent="0.15">
      <c r="F985" s="7"/>
    </row>
    <row r="986" spans="6:6" x14ac:dyDescent="0.15">
      <c r="F986" s="7"/>
    </row>
    <row r="987" spans="6:6" x14ac:dyDescent="0.15">
      <c r="F987" s="7"/>
    </row>
    <row r="988" spans="6:6" x14ac:dyDescent="0.15">
      <c r="F988" s="7"/>
    </row>
    <row r="989" spans="6:6" x14ac:dyDescent="0.15">
      <c r="F989" s="7"/>
    </row>
    <row r="990" spans="6:6" x14ac:dyDescent="0.15">
      <c r="F990" s="7"/>
    </row>
    <row r="991" spans="6:6" x14ac:dyDescent="0.15">
      <c r="F991" s="7"/>
    </row>
    <row r="992" spans="6:6" x14ac:dyDescent="0.15">
      <c r="F992" s="7"/>
    </row>
    <row r="993" spans="6:6" x14ac:dyDescent="0.15">
      <c r="F993" s="7"/>
    </row>
    <row r="994" spans="6:6" x14ac:dyDescent="0.15">
      <c r="F994" s="7"/>
    </row>
    <row r="995" spans="6:6" x14ac:dyDescent="0.15">
      <c r="F995" s="7"/>
    </row>
    <row r="996" spans="6:6" x14ac:dyDescent="0.15">
      <c r="F996" s="7"/>
    </row>
    <row r="997" spans="6:6" x14ac:dyDescent="0.15">
      <c r="F997" s="7"/>
    </row>
    <row r="998" spans="6:6" x14ac:dyDescent="0.15">
      <c r="F998" s="7"/>
    </row>
    <row r="999" spans="6:6" x14ac:dyDescent="0.15">
      <c r="F999" s="7"/>
    </row>
    <row r="1000" spans="6:6" x14ac:dyDescent="0.15">
      <c r="F1000" s="7"/>
    </row>
    <row r="1001" spans="6:6" x14ac:dyDescent="0.15">
      <c r="F1001" s="7"/>
    </row>
    <row r="1002" spans="6:6" x14ac:dyDescent="0.15">
      <c r="F1002" s="7"/>
    </row>
    <row r="1003" spans="6:6" x14ac:dyDescent="0.15">
      <c r="F1003" s="7"/>
    </row>
    <row r="1004" spans="6:6" x14ac:dyDescent="0.15">
      <c r="F1004" s="7"/>
    </row>
    <row r="1005" spans="6:6" x14ac:dyDescent="0.15">
      <c r="F1005" s="7"/>
    </row>
    <row r="1006" spans="6:6" x14ac:dyDescent="0.15">
      <c r="F1006" s="7"/>
    </row>
    <row r="1007" spans="6:6" x14ac:dyDescent="0.15">
      <c r="F1007" s="7"/>
    </row>
    <row r="1008" spans="6:6" x14ac:dyDescent="0.15">
      <c r="F1008" s="7"/>
    </row>
    <row r="1009" spans="6:6" x14ac:dyDescent="0.15">
      <c r="F1009" s="7"/>
    </row>
    <row r="1010" spans="6:6" x14ac:dyDescent="0.15">
      <c r="F1010" s="7"/>
    </row>
    <row r="1011" spans="6:6" x14ac:dyDescent="0.15">
      <c r="F1011" s="7"/>
    </row>
    <row r="1012" spans="6:6" x14ac:dyDescent="0.15">
      <c r="F1012" s="7"/>
    </row>
    <row r="1013" spans="6:6" x14ac:dyDescent="0.15">
      <c r="F1013" s="7"/>
    </row>
    <row r="1014" spans="6:6" x14ac:dyDescent="0.15">
      <c r="F1014" s="7"/>
    </row>
    <row r="1015" spans="6:6" x14ac:dyDescent="0.15">
      <c r="F1015" s="7"/>
    </row>
    <row r="1016" spans="6:6" x14ac:dyDescent="0.15">
      <c r="F1016" s="7"/>
    </row>
    <row r="1017" spans="6:6" x14ac:dyDescent="0.15">
      <c r="F1017" s="7"/>
    </row>
    <row r="1018" spans="6:6" x14ac:dyDescent="0.15">
      <c r="F1018" s="7"/>
    </row>
    <row r="1019" spans="6:6" x14ac:dyDescent="0.15">
      <c r="F1019" s="7"/>
    </row>
    <row r="1020" spans="6:6" x14ac:dyDescent="0.15">
      <c r="F1020" s="7"/>
    </row>
    <row r="1021" spans="6:6" x14ac:dyDescent="0.15">
      <c r="F1021" s="7"/>
    </row>
    <row r="1022" spans="6:6" x14ac:dyDescent="0.15">
      <c r="F1022" s="7"/>
    </row>
    <row r="1023" spans="6:6" x14ac:dyDescent="0.15">
      <c r="F1023" s="7"/>
    </row>
    <row r="1024" spans="6:6" x14ac:dyDescent="0.15">
      <c r="F1024" s="7"/>
    </row>
    <row r="1025" spans="6:6" x14ac:dyDescent="0.15">
      <c r="F1025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15"/>
  <cols>
    <col min="1" max="1" width="29.875" style="29" customWidth="1"/>
    <col min="2" max="2" width="32.5" style="29" customWidth="1"/>
    <col min="3" max="3" width="11.375" style="29" customWidth="1"/>
    <col min="4" max="4" width="56" style="29" customWidth="1"/>
    <col min="5" max="5" width="11.5" style="29" customWidth="1"/>
    <col min="6" max="6" width="3.75" style="29" customWidth="1"/>
    <col min="7" max="16384" width="9" style="29"/>
  </cols>
  <sheetData>
    <row r="1" spans="1:6" ht="7.15" customHeight="1" x14ac:dyDescent="0.15"/>
    <row r="2" spans="1:6" x14ac:dyDescent="0.15">
      <c r="A2" s="43" t="s">
        <v>40</v>
      </c>
      <c r="B2" s="46" t="s">
        <v>5933</v>
      </c>
      <c r="C2" s="44">
        <f>COUNTIF(单词表[单词出处],ETEST_BOOK)</f>
        <v>520</v>
      </c>
      <c r="E2" s="43" t="s">
        <v>113</v>
      </c>
      <c r="F2" s="45">
        <v>2</v>
      </c>
    </row>
    <row r="3" spans="1:6" x14ac:dyDescent="0.15">
      <c r="A3" s="43" t="s">
        <v>111</v>
      </c>
      <c r="B3" s="46" t="s">
        <v>6609</v>
      </c>
      <c r="C3" s="44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3" t="s">
        <v>112</v>
      </c>
      <c r="F3" s="45">
        <v>2</v>
      </c>
    </row>
    <row r="4" spans="1:6" x14ac:dyDescent="0.15">
      <c r="A4" s="4"/>
      <c r="B4" s="71" t="s">
        <v>6660</v>
      </c>
    </row>
    <row r="5" spans="1:6" x14ac:dyDescent="0.15">
      <c r="A5" s="43" t="s">
        <v>119</v>
      </c>
      <c r="B5" s="46">
        <v>1</v>
      </c>
      <c r="C5" s="29" t="s">
        <v>120</v>
      </c>
    </row>
    <row r="6" spans="1:6" x14ac:dyDescent="0.15">
      <c r="A6" s="43" t="s">
        <v>152</v>
      </c>
      <c r="B6" s="46">
        <v>1</v>
      </c>
      <c r="C6" s="29" t="s">
        <v>1264</v>
      </c>
    </row>
    <row r="7" spans="1:6" x14ac:dyDescent="0.15">
      <c r="A7" s="43" t="s">
        <v>153</v>
      </c>
      <c r="B7" s="44">
        <v>1</v>
      </c>
      <c r="C7" s="29" t="s">
        <v>122</v>
      </c>
    </row>
    <row r="8" spans="1:6" ht="28.9" customHeight="1" x14ac:dyDescent="0.25">
      <c r="A8" s="43"/>
      <c r="C8" s="82">
        <v>43279.540520833332</v>
      </c>
      <c r="D8" s="47" t="s">
        <v>7030</v>
      </c>
    </row>
    <row r="9" spans="1:6" ht="19.899999999999999" customHeight="1" x14ac:dyDescent="0.25">
      <c r="C9" s="53">
        <v>3756</v>
      </c>
      <c r="D9" s="48" t="s">
        <v>3</v>
      </c>
    </row>
    <row r="10" spans="1:6" ht="42" customHeight="1" x14ac:dyDescent="0.15">
      <c r="B10" s="49" t="s">
        <v>114</v>
      </c>
      <c r="D10" s="89" t="s">
        <v>7029</v>
      </c>
      <c r="E10" s="50"/>
    </row>
    <row r="11" spans="1:6" ht="20.25" x14ac:dyDescent="0.15">
      <c r="A11" s="51" t="s">
        <v>1035</v>
      </c>
      <c r="B11" s="49" t="s">
        <v>6504</v>
      </c>
      <c r="D11" s="52" t="s">
        <v>7028</v>
      </c>
      <c r="E11" s="50"/>
    </row>
    <row r="12" spans="1:6" x14ac:dyDescent="0.15">
      <c r="A12" s="44">
        <f>COUNTIF(ETEST_CMP:A1533,"*")-1</f>
        <v>1</v>
      </c>
      <c r="B12" s="44"/>
    </row>
    <row r="13" spans="1:6" x14ac:dyDescent="0.15">
      <c r="A13" s="29" t="s">
        <v>117</v>
      </c>
      <c r="B13" s="29" t="s">
        <v>115</v>
      </c>
      <c r="C13" s="29" t="s">
        <v>151</v>
      </c>
      <c r="D13" s="29" t="s">
        <v>155</v>
      </c>
      <c r="E13" s="83" t="s">
        <v>3284</v>
      </c>
    </row>
    <row r="14" spans="1:6" x14ac:dyDescent="0.15">
      <c r="A14" s="29" t="s">
        <v>6661</v>
      </c>
      <c r="C14" s="29" t="s">
        <v>1019</v>
      </c>
      <c r="D14" s="29" t="s">
        <v>6652</v>
      </c>
      <c r="E14" s="83">
        <v>22</v>
      </c>
    </row>
    <row r="15" spans="1:6" x14ac:dyDescent="0.15">
      <c r="E15" s="83"/>
    </row>
    <row r="16" spans="1:6" x14ac:dyDescent="0.15">
      <c r="E16" s="83"/>
    </row>
    <row r="17" spans="5:5" x14ac:dyDescent="0.15">
      <c r="E17" s="83"/>
    </row>
    <row r="18" spans="5:5" x14ac:dyDescent="0.15">
      <c r="E18" s="83"/>
    </row>
    <row r="19" spans="5:5" x14ac:dyDescent="0.15">
      <c r="E19" s="83"/>
    </row>
    <row r="20" spans="5:5" x14ac:dyDescent="0.15">
      <c r="E20" s="83"/>
    </row>
    <row r="21" spans="5:5" x14ac:dyDescent="0.15">
      <c r="E21" s="83"/>
    </row>
    <row r="22" spans="5:5" x14ac:dyDescent="0.15">
      <c r="E22" s="83"/>
    </row>
    <row r="23" spans="5:5" x14ac:dyDescent="0.15">
      <c r="E23" s="83"/>
    </row>
    <row r="24" spans="5:5" x14ac:dyDescent="0.15">
      <c r="E24" s="83"/>
    </row>
    <row r="25" spans="5:5" x14ac:dyDescent="0.15">
      <c r="E25" s="83"/>
    </row>
    <row r="26" spans="5:5" x14ac:dyDescent="0.15">
      <c r="E26" s="83"/>
    </row>
    <row r="27" spans="5:5" x14ac:dyDescent="0.15">
      <c r="E27" s="83"/>
    </row>
    <row r="28" spans="5:5" x14ac:dyDescent="0.15">
      <c r="E28" s="83"/>
    </row>
    <row r="29" spans="5:5" x14ac:dyDescent="0.15">
      <c r="E29" s="83"/>
    </row>
    <row r="30" spans="5:5" x14ac:dyDescent="0.15">
      <c r="E30" s="83"/>
    </row>
    <row r="31" spans="5:5" x14ac:dyDescent="0.15">
      <c r="E31" s="83"/>
    </row>
    <row r="32" spans="5:5" x14ac:dyDescent="0.15">
      <c r="E32" s="83"/>
    </row>
    <row r="33" spans="5:5" x14ac:dyDescent="0.15">
      <c r="E33" s="83"/>
    </row>
    <row r="34" spans="5:5" x14ac:dyDescent="0.15">
      <c r="E34" s="83"/>
    </row>
    <row r="35" spans="5:5" x14ac:dyDescent="0.15">
      <c r="E35" s="83"/>
    </row>
    <row r="36" spans="5:5" x14ac:dyDescent="0.15">
      <c r="E36" s="83"/>
    </row>
    <row r="37" spans="5:5" x14ac:dyDescent="0.15">
      <c r="E37" s="83"/>
    </row>
    <row r="38" spans="5:5" x14ac:dyDescent="0.15">
      <c r="E38" s="83"/>
    </row>
    <row r="39" spans="5:5" x14ac:dyDescent="0.15">
      <c r="E39" s="83"/>
    </row>
    <row r="40" spans="5:5" x14ac:dyDescent="0.15">
      <c r="E40" s="83"/>
    </row>
    <row r="41" spans="5:5" x14ac:dyDescent="0.15">
      <c r="E41" s="83"/>
    </row>
    <row r="42" spans="5:5" x14ac:dyDescent="0.15">
      <c r="E42" s="83"/>
    </row>
    <row r="43" spans="5:5" x14ac:dyDescent="0.15">
      <c r="E43" s="83"/>
    </row>
    <row r="44" spans="5:5" x14ac:dyDescent="0.15">
      <c r="E44" s="83"/>
    </row>
    <row r="45" spans="5:5" x14ac:dyDescent="0.15">
      <c r="E45" s="83"/>
    </row>
    <row r="46" spans="5:5" x14ac:dyDescent="0.15">
      <c r="E46" s="83"/>
    </row>
    <row r="47" spans="5:5" x14ac:dyDescent="0.15">
      <c r="E47" s="83"/>
    </row>
    <row r="48" spans="5:5" x14ac:dyDescent="0.15">
      <c r="E48" s="83"/>
    </row>
    <row r="49" spans="5:5" x14ac:dyDescent="0.15">
      <c r="E49" s="83"/>
    </row>
    <row r="50" spans="5:5" x14ac:dyDescent="0.15">
      <c r="E50" s="83"/>
    </row>
    <row r="51" spans="5:5" x14ac:dyDescent="0.15">
      <c r="E51" s="83"/>
    </row>
    <row r="52" spans="5:5" x14ac:dyDescent="0.15">
      <c r="E52" s="83"/>
    </row>
    <row r="53" spans="5:5" x14ac:dyDescent="0.15">
      <c r="E53" s="83"/>
    </row>
    <row r="54" spans="5:5" x14ac:dyDescent="0.15">
      <c r="E54" s="83"/>
    </row>
    <row r="55" spans="5:5" x14ac:dyDescent="0.15">
      <c r="E55" s="83"/>
    </row>
    <row r="56" spans="5:5" x14ac:dyDescent="0.15">
      <c r="E56" s="83"/>
    </row>
    <row r="57" spans="5:5" x14ac:dyDescent="0.15">
      <c r="E57" s="83"/>
    </row>
    <row r="58" spans="5:5" x14ac:dyDescent="0.15">
      <c r="E58" s="83"/>
    </row>
    <row r="59" spans="5:5" x14ac:dyDescent="0.15">
      <c r="E59" s="83"/>
    </row>
    <row r="60" spans="5:5" x14ac:dyDescent="0.15">
      <c r="E60" s="83"/>
    </row>
    <row r="61" spans="5:5" x14ac:dyDescent="0.15">
      <c r="E61" s="83"/>
    </row>
    <row r="62" spans="5:5" x14ac:dyDescent="0.15">
      <c r="E62" s="83"/>
    </row>
    <row r="63" spans="5:5" x14ac:dyDescent="0.15">
      <c r="E63" s="83"/>
    </row>
    <row r="64" spans="5:5" x14ac:dyDescent="0.15">
      <c r="E64" s="83"/>
    </row>
    <row r="65" spans="5:5" x14ac:dyDescent="0.15">
      <c r="E65" s="83"/>
    </row>
    <row r="66" spans="5:5" x14ac:dyDescent="0.15">
      <c r="E66" s="83"/>
    </row>
    <row r="67" spans="5:5" x14ac:dyDescent="0.15">
      <c r="E67" s="83"/>
    </row>
    <row r="68" spans="5:5" x14ac:dyDescent="0.15">
      <c r="E68" s="83"/>
    </row>
    <row r="69" spans="5:5" x14ac:dyDescent="0.15">
      <c r="E69" s="83"/>
    </row>
    <row r="70" spans="5:5" x14ac:dyDescent="0.15">
      <c r="E70" s="83"/>
    </row>
    <row r="71" spans="5:5" x14ac:dyDescent="0.15">
      <c r="E71" s="83"/>
    </row>
    <row r="72" spans="5:5" x14ac:dyDescent="0.15">
      <c r="E72" s="83"/>
    </row>
    <row r="73" spans="5:5" x14ac:dyDescent="0.15">
      <c r="E73" s="83"/>
    </row>
    <row r="74" spans="5:5" x14ac:dyDescent="0.15">
      <c r="E74" s="83"/>
    </row>
    <row r="75" spans="5:5" x14ac:dyDescent="0.15">
      <c r="E75" s="83"/>
    </row>
    <row r="76" spans="5:5" x14ac:dyDescent="0.15">
      <c r="E76" s="83"/>
    </row>
    <row r="77" spans="5:5" x14ac:dyDescent="0.15">
      <c r="E77" s="83"/>
    </row>
    <row r="78" spans="5:5" x14ac:dyDescent="0.15">
      <c r="E78" s="83"/>
    </row>
    <row r="79" spans="5:5" x14ac:dyDescent="0.15">
      <c r="E79" s="83"/>
    </row>
    <row r="80" spans="5:5" x14ac:dyDescent="0.15">
      <c r="E80" s="83"/>
    </row>
    <row r="81" spans="5:5" x14ac:dyDescent="0.15">
      <c r="E81" s="83"/>
    </row>
    <row r="82" spans="5:5" x14ac:dyDescent="0.15">
      <c r="E82" s="83"/>
    </row>
    <row r="83" spans="5:5" x14ac:dyDescent="0.15">
      <c r="E83" s="83"/>
    </row>
    <row r="84" spans="5:5" x14ac:dyDescent="0.15">
      <c r="E84" s="83"/>
    </row>
    <row r="85" spans="5:5" x14ac:dyDescent="0.15">
      <c r="E85" s="83"/>
    </row>
    <row r="86" spans="5:5" x14ac:dyDescent="0.15">
      <c r="E86" s="83"/>
    </row>
    <row r="87" spans="5:5" x14ac:dyDescent="0.15">
      <c r="E87" s="83"/>
    </row>
    <row r="88" spans="5:5" x14ac:dyDescent="0.15">
      <c r="E88" s="83"/>
    </row>
    <row r="89" spans="5:5" x14ac:dyDescent="0.15">
      <c r="E89" s="83"/>
    </row>
    <row r="90" spans="5:5" x14ac:dyDescent="0.15">
      <c r="E90" s="83"/>
    </row>
    <row r="91" spans="5:5" x14ac:dyDescent="0.15">
      <c r="E91" s="83"/>
    </row>
    <row r="92" spans="5:5" x14ac:dyDescent="0.15">
      <c r="E92" s="83"/>
    </row>
    <row r="93" spans="5:5" x14ac:dyDescent="0.15">
      <c r="E93" s="83"/>
    </row>
    <row r="94" spans="5:5" x14ac:dyDescent="0.15">
      <c r="E94" s="83"/>
    </row>
    <row r="95" spans="5:5" x14ac:dyDescent="0.15">
      <c r="E95" s="83"/>
    </row>
    <row r="96" spans="5:5" x14ac:dyDescent="0.15">
      <c r="E96" s="83"/>
    </row>
    <row r="97" spans="5:5" x14ac:dyDescent="0.15">
      <c r="E97" s="83"/>
    </row>
    <row r="98" spans="5:5" x14ac:dyDescent="0.15">
      <c r="E98" s="83"/>
    </row>
    <row r="99" spans="5:5" x14ac:dyDescent="0.15">
      <c r="E99" s="83"/>
    </row>
    <row r="100" spans="5:5" x14ac:dyDescent="0.15">
      <c r="E100" s="83"/>
    </row>
    <row r="101" spans="5:5" x14ac:dyDescent="0.15">
      <c r="E101" s="83"/>
    </row>
    <row r="102" spans="5:5" x14ac:dyDescent="0.15">
      <c r="E102" s="83"/>
    </row>
    <row r="103" spans="5:5" x14ac:dyDescent="0.15">
      <c r="E103" s="83"/>
    </row>
    <row r="104" spans="5:5" x14ac:dyDescent="0.15">
      <c r="E104" s="83"/>
    </row>
    <row r="105" spans="5:5" x14ac:dyDescent="0.15">
      <c r="E105" s="83"/>
    </row>
    <row r="106" spans="5:5" x14ac:dyDescent="0.15">
      <c r="E106" s="83"/>
    </row>
    <row r="107" spans="5:5" x14ac:dyDescent="0.15">
      <c r="E107" s="83"/>
    </row>
    <row r="108" spans="5:5" x14ac:dyDescent="0.15">
      <c r="E108" s="83"/>
    </row>
    <row r="109" spans="5:5" x14ac:dyDescent="0.15">
      <c r="E109" s="83"/>
    </row>
    <row r="110" spans="5:5" x14ac:dyDescent="0.15">
      <c r="E110" s="83"/>
    </row>
    <row r="111" spans="5:5" x14ac:dyDescent="0.15">
      <c r="E111" s="83"/>
    </row>
    <row r="112" spans="5:5" x14ac:dyDescent="0.15">
      <c r="E112" s="83"/>
    </row>
    <row r="113" spans="5:5" x14ac:dyDescent="0.15">
      <c r="E113" s="83"/>
    </row>
    <row r="114" spans="5:5" x14ac:dyDescent="0.15">
      <c r="E114" s="83"/>
    </row>
    <row r="115" spans="5:5" x14ac:dyDescent="0.15">
      <c r="E115" s="83"/>
    </row>
    <row r="116" spans="5:5" x14ac:dyDescent="0.15">
      <c r="E116" s="83"/>
    </row>
    <row r="117" spans="5:5" x14ac:dyDescent="0.15">
      <c r="E117" s="83"/>
    </row>
    <row r="118" spans="5:5" x14ac:dyDescent="0.15">
      <c r="E118" s="83"/>
    </row>
    <row r="119" spans="5:5" x14ac:dyDescent="0.15">
      <c r="E119" s="83"/>
    </row>
    <row r="120" spans="5:5" x14ac:dyDescent="0.15">
      <c r="E120" s="83"/>
    </row>
    <row r="121" spans="5:5" x14ac:dyDescent="0.15">
      <c r="E121" s="83"/>
    </row>
    <row r="122" spans="5:5" x14ac:dyDescent="0.15">
      <c r="E122" s="83"/>
    </row>
    <row r="123" spans="5:5" x14ac:dyDescent="0.15">
      <c r="E123" s="83"/>
    </row>
    <row r="124" spans="5:5" x14ac:dyDescent="0.15">
      <c r="E124" s="83"/>
    </row>
    <row r="125" spans="5:5" x14ac:dyDescent="0.15">
      <c r="E125" s="83"/>
    </row>
    <row r="126" spans="5:5" x14ac:dyDescent="0.15">
      <c r="E126" s="83"/>
    </row>
    <row r="127" spans="5:5" x14ac:dyDescent="0.15">
      <c r="E127" s="83"/>
    </row>
    <row r="128" spans="5:5" x14ac:dyDescent="0.15">
      <c r="E128" s="83"/>
    </row>
    <row r="129" spans="5:5" x14ac:dyDescent="0.15">
      <c r="E129" s="83"/>
    </row>
    <row r="130" spans="5:5" x14ac:dyDescent="0.15">
      <c r="E130" s="83"/>
    </row>
    <row r="131" spans="5:5" x14ac:dyDescent="0.15">
      <c r="E131" s="83"/>
    </row>
    <row r="132" spans="5:5" x14ac:dyDescent="0.15">
      <c r="E132" s="83"/>
    </row>
    <row r="133" spans="5:5" x14ac:dyDescent="0.15">
      <c r="E133" s="83"/>
    </row>
    <row r="134" spans="5:5" x14ac:dyDescent="0.15">
      <c r="E134" s="83"/>
    </row>
    <row r="135" spans="5:5" x14ac:dyDescent="0.15">
      <c r="E135" s="83"/>
    </row>
    <row r="136" spans="5:5" x14ac:dyDescent="0.15">
      <c r="E136" s="83"/>
    </row>
    <row r="137" spans="5:5" x14ac:dyDescent="0.15">
      <c r="E137" s="83"/>
    </row>
    <row r="138" spans="5:5" x14ac:dyDescent="0.15">
      <c r="E138" s="83"/>
    </row>
    <row r="139" spans="5:5" x14ac:dyDescent="0.15">
      <c r="E139" s="83"/>
    </row>
    <row r="140" spans="5:5" x14ac:dyDescent="0.15">
      <c r="E140" s="83"/>
    </row>
    <row r="141" spans="5:5" x14ac:dyDescent="0.15">
      <c r="E141" s="83"/>
    </row>
    <row r="142" spans="5:5" x14ac:dyDescent="0.15">
      <c r="E142" s="83"/>
    </row>
    <row r="143" spans="5:5" x14ac:dyDescent="0.15">
      <c r="E143" s="83"/>
    </row>
    <row r="144" spans="5:5" x14ac:dyDescent="0.15">
      <c r="E144" s="83"/>
    </row>
    <row r="145" spans="5:5" x14ac:dyDescent="0.15">
      <c r="E145" s="83"/>
    </row>
    <row r="146" spans="5:5" x14ac:dyDescent="0.15">
      <c r="E146" s="83"/>
    </row>
    <row r="147" spans="5:5" x14ac:dyDescent="0.15">
      <c r="E147" s="83"/>
    </row>
    <row r="148" spans="5:5" x14ac:dyDescent="0.15">
      <c r="E148" s="83"/>
    </row>
    <row r="149" spans="5:5" x14ac:dyDescent="0.15">
      <c r="E149" s="83"/>
    </row>
    <row r="150" spans="5:5" x14ac:dyDescent="0.15">
      <c r="E150" s="83"/>
    </row>
    <row r="151" spans="5:5" x14ac:dyDescent="0.15">
      <c r="E151" s="83"/>
    </row>
    <row r="152" spans="5:5" x14ac:dyDescent="0.15">
      <c r="E152" s="83"/>
    </row>
    <row r="153" spans="5:5" x14ac:dyDescent="0.15">
      <c r="E153" s="83"/>
    </row>
    <row r="154" spans="5:5" x14ac:dyDescent="0.15">
      <c r="E154" s="83"/>
    </row>
    <row r="155" spans="5:5" x14ac:dyDescent="0.15">
      <c r="E155" s="83"/>
    </row>
    <row r="156" spans="5:5" x14ac:dyDescent="0.15">
      <c r="E156" s="83"/>
    </row>
    <row r="157" spans="5:5" x14ac:dyDescent="0.15">
      <c r="E157" s="83"/>
    </row>
    <row r="158" spans="5:5" x14ac:dyDescent="0.15">
      <c r="E158" s="83"/>
    </row>
    <row r="159" spans="5:5" x14ac:dyDescent="0.15">
      <c r="E159" s="83"/>
    </row>
    <row r="160" spans="5:5" x14ac:dyDescent="0.15">
      <c r="E160" s="83"/>
    </row>
    <row r="161" spans="5:5" x14ac:dyDescent="0.15">
      <c r="E161" s="83"/>
    </row>
    <row r="162" spans="5:5" x14ac:dyDescent="0.15">
      <c r="E162" s="83"/>
    </row>
    <row r="163" spans="5:5" x14ac:dyDescent="0.15">
      <c r="E163" s="83"/>
    </row>
    <row r="164" spans="5:5" x14ac:dyDescent="0.15">
      <c r="E164" s="83"/>
    </row>
    <row r="165" spans="5:5" x14ac:dyDescent="0.15">
      <c r="E165" s="83"/>
    </row>
    <row r="166" spans="5:5" x14ac:dyDescent="0.15">
      <c r="E166" s="83"/>
    </row>
    <row r="167" spans="5:5" x14ac:dyDescent="0.15">
      <c r="E167" s="83"/>
    </row>
    <row r="168" spans="5:5" x14ac:dyDescent="0.15">
      <c r="E168" s="83"/>
    </row>
    <row r="169" spans="5:5" x14ac:dyDescent="0.15">
      <c r="E169" s="83"/>
    </row>
    <row r="170" spans="5:5" x14ac:dyDescent="0.15">
      <c r="E170" s="83"/>
    </row>
    <row r="171" spans="5:5" x14ac:dyDescent="0.15">
      <c r="E171" s="83"/>
    </row>
    <row r="172" spans="5:5" x14ac:dyDescent="0.15">
      <c r="E172" s="83"/>
    </row>
    <row r="173" spans="5:5" x14ac:dyDescent="0.15">
      <c r="E173" s="83"/>
    </row>
    <row r="174" spans="5:5" x14ac:dyDescent="0.15">
      <c r="E174" s="83"/>
    </row>
    <row r="175" spans="5:5" x14ac:dyDescent="0.15">
      <c r="E175" s="83"/>
    </row>
    <row r="176" spans="5:5" x14ac:dyDescent="0.15">
      <c r="E176" s="83"/>
    </row>
    <row r="177" spans="5:5" x14ac:dyDescent="0.15">
      <c r="E177" s="83"/>
    </row>
    <row r="178" spans="5:5" x14ac:dyDescent="0.15">
      <c r="E178" s="83"/>
    </row>
    <row r="179" spans="5:5" x14ac:dyDescent="0.15">
      <c r="E179" s="83"/>
    </row>
    <row r="180" spans="5:5" x14ac:dyDescent="0.15">
      <c r="E180" s="83"/>
    </row>
    <row r="181" spans="5:5" x14ac:dyDescent="0.15">
      <c r="E181" s="83"/>
    </row>
    <row r="182" spans="5:5" x14ac:dyDescent="0.15">
      <c r="E182" s="83"/>
    </row>
    <row r="183" spans="5:5" x14ac:dyDescent="0.15">
      <c r="E183" s="83"/>
    </row>
    <row r="184" spans="5:5" x14ac:dyDescent="0.15">
      <c r="E184" s="83"/>
    </row>
    <row r="185" spans="5:5" x14ac:dyDescent="0.15">
      <c r="E185" s="83"/>
    </row>
    <row r="186" spans="5:5" x14ac:dyDescent="0.15">
      <c r="E186" s="83"/>
    </row>
    <row r="187" spans="5:5" x14ac:dyDescent="0.15">
      <c r="E187" s="83"/>
    </row>
    <row r="188" spans="5:5" x14ac:dyDescent="0.15">
      <c r="E188" s="83"/>
    </row>
    <row r="189" spans="5:5" x14ac:dyDescent="0.15">
      <c r="E189" s="83"/>
    </row>
    <row r="190" spans="5:5" x14ac:dyDescent="0.15">
      <c r="E190" s="83"/>
    </row>
    <row r="191" spans="5:5" x14ac:dyDescent="0.15">
      <c r="E191" s="83"/>
    </row>
    <row r="192" spans="5:5" x14ac:dyDescent="0.15">
      <c r="E192" s="83"/>
    </row>
    <row r="193" spans="5:5" x14ac:dyDescent="0.15">
      <c r="E193" s="83"/>
    </row>
    <row r="194" spans="5:5" x14ac:dyDescent="0.15">
      <c r="E194" s="83"/>
    </row>
    <row r="195" spans="5:5" x14ac:dyDescent="0.15">
      <c r="E195" s="83"/>
    </row>
    <row r="196" spans="5:5" x14ac:dyDescent="0.15">
      <c r="E196" s="83"/>
    </row>
    <row r="197" spans="5:5" x14ac:dyDescent="0.15">
      <c r="E197" s="83"/>
    </row>
    <row r="198" spans="5:5" x14ac:dyDescent="0.15">
      <c r="E198" s="83"/>
    </row>
    <row r="199" spans="5:5" x14ac:dyDescent="0.15">
      <c r="E199" s="83"/>
    </row>
    <row r="200" spans="5:5" x14ac:dyDescent="0.15">
      <c r="E200" s="83"/>
    </row>
    <row r="201" spans="5:5" x14ac:dyDescent="0.15">
      <c r="E201" s="83"/>
    </row>
    <row r="202" spans="5:5" x14ac:dyDescent="0.15">
      <c r="E202" s="83"/>
    </row>
    <row r="203" spans="5:5" x14ac:dyDescent="0.15">
      <c r="E203" s="83"/>
    </row>
    <row r="204" spans="5:5" x14ac:dyDescent="0.15">
      <c r="E204" s="83"/>
    </row>
    <row r="205" spans="5:5" x14ac:dyDescent="0.15">
      <c r="E205" s="83"/>
    </row>
    <row r="206" spans="5:5" x14ac:dyDescent="0.15">
      <c r="E206" s="83"/>
    </row>
    <row r="207" spans="5:5" x14ac:dyDescent="0.15">
      <c r="E207" s="83"/>
    </row>
    <row r="208" spans="5:5" x14ac:dyDescent="0.15">
      <c r="E208" s="83"/>
    </row>
    <row r="209" spans="5:5" x14ac:dyDescent="0.15">
      <c r="E209" s="83"/>
    </row>
    <row r="210" spans="5:5" x14ac:dyDescent="0.15">
      <c r="E210" s="83"/>
    </row>
    <row r="211" spans="5:5" x14ac:dyDescent="0.15">
      <c r="E211" s="83"/>
    </row>
    <row r="212" spans="5:5" x14ac:dyDescent="0.15">
      <c r="E212" s="83"/>
    </row>
    <row r="213" spans="5:5" x14ac:dyDescent="0.15">
      <c r="E213" s="83"/>
    </row>
    <row r="214" spans="5:5" x14ac:dyDescent="0.15">
      <c r="E214" s="83"/>
    </row>
    <row r="215" spans="5:5" x14ac:dyDescent="0.15">
      <c r="E215" s="83"/>
    </row>
    <row r="216" spans="5:5" x14ac:dyDescent="0.15">
      <c r="E216" s="83"/>
    </row>
    <row r="217" spans="5:5" x14ac:dyDescent="0.15">
      <c r="E217" s="83"/>
    </row>
    <row r="218" spans="5:5" x14ac:dyDescent="0.15">
      <c r="E218" s="83"/>
    </row>
    <row r="219" spans="5:5" x14ac:dyDescent="0.15">
      <c r="E219" s="83"/>
    </row>
    <row r="220" spans="5:5" x14ac:dyDescent="0.15">
      <c r="E220" s="83"/>
    </row>
    <row r="221" spans="5:5" x14ac:dyDescent="0.15">
      <c r="E221" s="83"/>
    </row>
    <row r="222" spans="5:5" x14ac:dyDescent="0.15">
      <c r="E222" s="83"/>
    </row>
    <row r="223" spans="5:5" x14ac:dyDescent="0.15">
      <c r="E223" s="83"/>
    </row>
    <row r="224" spans="5:5" x14ac:dyDescent="0.15">
      <c r="E224" s="83"/>
    </row>
    <row r="225" spans="5:5" x14ac:dyDescent="0.15">
      <c r="E225" s="83"/>
    </row>
    <row r="226" spans="5:5" x14ac:dyDescent="0.15">
      <c r="E226" s="83"/>
    </row>
    <row r="227" spans="5:5" x14ac:dyDescent="0.15">
      <c r="E227" s="83"/>
    </row>
    <row r="228" spans="5:5" x14ac:dyDescent="0.15">
      <c r="E228" s="83"/>
    </row>
    <row r="229" spans="5:5" x14ac:dyDescent="0.15">
      <c r="E229" s="83"/>
    </row>
    <row r="230" spans="5:5" x14ac:dyDescent="0.15">
      <c r="E230" s="83"/>
    </row>
    <row r="231" spans="5:5" x14ac:dyDescent="0.15">
      <c r="E231" s="83"/>
    </row>
    <row r="232" spans="5:5" x14ac:dyDescent="0.15">
      <c r="E232" s="83"/>
    </row>
    <row r="233" spans="5:5" x14ac:dyDescent="0.15">
      <c r="E233" s="83"/>
    </row>
    <row r="234" spans="5:5" x14ac:dyDescent="0.15">
      <c r="E234" s="83"/>
    </row>
    <row r="235" spans="5:5" x14ac:dyDescent="0.15">
      <c r="E235" s="83"/>
    </row>
    <row r="236" spans="5:5" x14ac:dyDescent="0.15">
      <c r="E236" s="83"/>
    </row>
    <row r="237" spans="5:5" x14ac:dyDescent="0.15">
      <c r="E237" s="83"/>
    </row>
    <row r="238" spans="5:5" x14ac:dyDescent="0.15">
      <c r="E238" s="83"/>
    </row>
    <row r="239" spans="5:5" x14ac:dyDescent="0.15">
      <c r="E239" s="83"/>
    </row>
    <row r="240" spans="5:5" x14ac:dyDescent="0.15">
      <c r="E240" s="83"/>
    </row>
    <row r="241" spans="5:5" x14ac:dyDescent="0.15">
      <c r="E241" s="83"/>
    </row>
    <row r="242" spans="5:5" x14ac:dyDescent="0.15">
      <c r="E242" s="83"/>
    </row>
    <row r="243" spans="5:5" x14ac:dyDescent="0.15">
      <c r="E243" s="83"/>
    </row>
    <row r="244" spans="5:5" x14ac:dyDescent="0.15">
      <c r="E244" s="83"/>
    </row>
    <row r="245" spans="5:5" x14ac:dyDescent="0.15">
      <c r="E245" s="83"/>
    </row>
    <row r="246" spans="5:5" x14ac:dyDescent="0.15">
      <c r="E246" s="83"/>
    </row>
    <row r="247" spans="5:5" x14ac:dyDescent="0.15">
      <c r="E247" s="83"/>
    </row>
    <row r="248" spans="5:5" x14ac:dyDescent="0.15">
      <c r="E248" s="83"/>
    </row>
    <row r="249" spans="5:5" x14ac:dyDescent="0.15">
      <c r="E249" s="83"/>
    </row>
    <row r="250" spans="5:5" x14ac:dyDescent="0.15">
      <c r="E250" s="83"/>
    </row>
    <row r="251" spans="5:5" x14ac:dyDescent="0.15">
      <c r="E251" s="83"/>
    </row>
    <row r="252" spans="5:5" x14ac:dyDescent="0.15">
      <c r="E252" s="83"/>
    </row>
    <row r="253" spans="5:5" x14ac:dyDescent="0.15">
      <c r="E253" s="83"/>
    </row>
    <row r="254" spans="5:5" x14ac:dyDescent="0.15">
      <c r="E254" s="83"/>
    </row>
    <row r="255" spans="5:5" x14ac:dyDescent="0.15">
      <c r="E255" s="83"/>
    </row>
    <row r="256" spans="5:5" x14ac:dyDescent="0.15">
      <c r="E256" s="83"/>
    </row>
    <row r="257" spans="5:5" x14ac:dyDescent="0.15">
      <c r="E257" s="83"/>
    </row>
    <row r="258" spans="5:5" x14ac:dyDescent="0.15">
      <c r="E258" s="83"/>
    </row>
    <row r="259" spans="5:5" x14ac:dyDescent="0.15">
      <c r="E259" s="83"/>
    </row>
    <row r="260" spans="5:5" x14ac:dyDescent="0.15">
      <c r="E260" s="83"/>
    </row>
    <row r="261" spans="5:5" x14ac:dyDescent="0.15">
      <c r="E261" s="83"/>
    </row>
    <row r="262" spans="5:5" x14ac:dyDescent="0.15">
      <c r="E262" s="83"/>
    </row>
    <row r="263" spans="5:5" x14ac:dyDescent="0.15">
      <c r="E263" s="83"/>
    </row>
    <row r="264" spans="5:5" x14ac:dyDescent="0.15">
      <c r="E264" s="83"/>
    </row>
    <row r="265" spans="5:5" x14ac:dyDescent="0.15">
      <c r="E265" s="83"/>
    </row>
    <row r="266" spans="5:5" x14ac:dyDescent="0.15">
      <c r="E266" s="83"/>
    </row>
    <row r="267" spans="5:5" x14ac:dyDescent="0.15">
      <c r="E267" s="83"/>
    </row>
    <row r="268" spans="5:5" x14ac:dyDescent="0.15">
      <c r="E268" s="83"/>
    </row>
    <row r="269" spans="5:5" x14ac:dyDescent="0.15">
      <c r="E269" s="83"/>
    </row>
    <row r="270" spans="5:5" x14ac:dyDescent="0.15">
      <c r="E270" s="83"/>
    </row>
    <row r="271" spans="5:5" x14ac:dyDescent="0.15">
      <c r="E271" s="83"/>
    </row>
    <row r="272" spans="5:5" x14ac:dyDescent="0.15">
      <c r="E272" s="83"/>
    </row>
    <row r="273" spans="5:5" x14ac:dyDescent="0.15">
      <c r="E273" s="83"/>
    </row>
    <row r="274" spans="5:5" x14ac:dyDescent="0.15">
      <c r="E274" s="83"/>
    </row>
    <row r="275" spans="5:5" x14ac:dyDescent="0.15">
      <c r="E275" s="83"/>
    </row>
    <row r="276" spans="5:5" x14ac:dyDescent="0.15">
      <c r="E276" s="83"/>
    </row>
    <row r="277" spans="5:5" x14ac:dyDescent="0.15">
      <c r="E277" s="83"/>
    </row>
    <row r="278" spans="5:5" x14ac:dyDescent="0.15">
      <c r="E278" s="83"/>
    </row>
    <row r="279" spans="5:5" x14ac:dyDescent="0.15">
      <c r="E279" s="83"/>
    </row>
    <row r="280" spans="5:5" x14ac:dyDescent="0.15">
      <c r="E280" s="83"/>
    </row>
    <row r="281" spans="5:5" x14ac:dyDescent="0.15">
      <c r="E281" s="83"/>
    </row>
    <row r="282" spans="5:5" x14ac:dyDescent="0.15">
      <c r="E282" s="83"/>
    </row>
    <row r="283" spans="5:5" x14ac:dyDescent="0.15">
      <c r="E283" s="83"/>
    </row>
    <row r="284" spans="5:5" x14ac:dyDescent="0.15">
      <c r="E284" s="83"/>
    </row>
    <row r="285" spans="5:5" x14ac:dyDescent="0.15">
      <c r="E285" s="83"/>
    </row>
    <row r="286" spans="5:5" x14ac:dyDescent="0.15">
      <c r="E286" s="83"/>
    </row>
    <row r="287" spans="5:5" x14ac:dyDescent="0.15">
      <c r="E287" s="83"/>
    </row>
    <row r="288" spans="5:5" x14ac:dyDescent="0.15">
      <c r="E288" s="83"/>
    </row>
    <row r="289" spans="5:5" x14ac:dyDescent="0.15">
      <c r="E289" s="83"/>
    </row>
    <row r="290" spans="5:5" x14ac:dyDescent="0.15">
      <c r="E290" s="83"/>
    </row>
    <row r="291" spans="5:5" x14ac:dyDescent="0.15">
      <c r="E291" s="83"/>
    </row>
    <row r="292" spans="5:5" x14ac:dyDescent="0.15">
      <c r="E292" s="83"/>
    </row>
    <row r="293" spans="5:5" x14ac:dyDescent="0.15">
      <c r="E293" s="83"/>
    </row>
    <row r="294" spans="5:5" x14ac:dyDescent="0.15">
      <c r="E294" s="83"/>
    </row>
    <row r="295" spans="5:5" x14ac:dyDescent="0.15">
      <c r="E295" s="83"/>
    </row>
    <row r="296" spans="5:5" x14ac:dyDescent="0.15">
      <c r="E296" s="83"/>
    </row>
    <row r="297" spans="5:5" x14ac:dyDescent="0.15">
      <c r="E297" s="83"/>
    </row>
    <row r="298" spans="5:5" x14ac:dyDescent="0.15">
      <c r="E298" s="83"/>
    </row>
    <row r="299" spans="5:5" x14ac:dyDescent="0.15">
      <c r="E299" s="83"/>
    </row>
    <row r="300" spans="5:5" x14ac:dyDescent="0.15">
      <c r="E300" s="83"/>
    </row>
    <row r="301" spans="5:5" x14ac:dyDescent="0.15">
      <c r="E301" s="83"/>
    </row>
    <row r="302" spans="5:5" x14ac:dyDescent="0.15">
      <c r="E302" s="83"/>
    </row>
    <row r="303" spans="5:5" x14ac:dyDescent="0.15">
      <c r="E303" s="83"/>
    </row>
    <row r="304" spans="5:5" x14ac:dyDescent="0.15">
      <c r="E304" s="83"/>
    </row>
    <row r="305" spans="5:5" x14ac:dyDescent="0.15">
      <c r="E305" s="83"/>
    </row>
    <row r="306" spans="5:5" x14ac:dyDescent="0.15">
      <c r="E306" s="83"/>
    </row>
    <row r="307" spans="5:5" x14ac:dyDescent="0.15">
      <c r="E307" s="83"/>
    </row>
    <row r="308" spans="5:5" x14ac:dyDescent="0.15">
      <c r="E308" s="83"/>
    </row>
    <row r="309" spans="5:5" x14ac:dyDescent="0.15">
      <c r="E309" s="83"/>
    </row>
    <row r="310" spans="5:5" x14ac:dyDescent="0.15">
      <c r="E310" s="83"/>
    </row>
    <row r="311" spans="5:5" x14ac:dyDescent="0.15">
      <c r="E311" s="83"/>
    </row>
    <row r="312" spans="5:5" x14ac:dyDescent="0.15">
      <c r="E312" s="83"/>
    </row>
    <row r="313" spans="5:5" x14ac:dyDescent="0.15">
      <c r="E313" s="83"/>
    </row>
    <row r="314" spans="5:5" x14ac:dyDescent="0.15">
      <c r="E314" s="83"/>
    </row>
    <row r="315" spans="5:5" x14ac:dyDescent="0.15">
      <c r="E315" s="83"/>
    </row>
    <row r="316" spans="5:5" x14ac:dyDescent="0.15">
      <c r="E316" s="83"/>
    </row>
    <row r="317" spans="5:5" x14ac:dyDescent="0.15">
      <c r="E317" s="83"/>
    </row>
    <row r="318" spans="5:5" x14ac:dyDescent="0.15">
      <c r="E318" s="83"/>
    </row>
    <row r="319" spans="5:5" x14ac:dyDescent="0.15">
      <c r="E319" s="83"/>
    </row>
    <row r="320" spans="5:5" x14ac:dyDescent="0.15">
      <c r="E320" s="83"/>
    </row>
    <row r="321" spans="5:5" x14ac:dyDescent="0.15">
      <c r="E321" s="83"/>
    </row>
    <row r="322" spans="5:5" x14ac:dyDescent="0.15">
      <c r="E322" s="83"/>
    </row>
    <row r="323" spans="5:5" x14ac:dyDescent="0.15">
      <c r="E323" s="83"/>
    </row>
    <row r="324" spans="5:5" x14ac:dyDescent="0.15">
      <c r="E324" s="83"/>
    </row>
    <row r="325" spans="5:5" x14ac:dyDescent="0.15">
      <c r="E325" s="83"/>
    </row>
    <row r="326" spans="5:5" x14ac:dyDescent="0.15">
      <c r="E326" s="83"/>
    </row>
    <row r="327" spans="5:5" x14ac:dyDescent="0.15">
      <c r="E327" s="83"/>
    </row>
    <row r="328" spans="5:5" x14ac:dyDescent="0.15">
      <c r="E328" s="83"/>
    </row>
    <row r="329" spans="5:5" x14ac:dyDescent="0.15">
      <c r="E329" s="83"/>
    </row>
    <row r="330" spans="5:5" x14ac:dyDescent="0.15">
      <c r="E330" s="83"/>
    </row>
    <row r="331" spans="5:5" x14ac:dyDescent="0.15">
      <c r="E331" s="83"/>
    </row>
    <row r="332" spans="5:5" x14ac:dyDescent="0.15">
      <c r="E332" s="83"/>
    </row>
    <row r="333" spans="5:5" x14ac:dyDescent="0.15">
      <c r="E333" s="83"/>
    </row>
    <row r="334" spans="5:5" x14ac:dyDescent="0.15">
      <c r="E334" s="83"/>
    </row>
    <row r="335" spans="5:5" x14ac:dyDescent="0.15">
      <c r="E335" s="83"/>
    </row>
    <row r="336" spans="5:5" x14ac:dyDescent="0.15">
      <c r="E336" s="83"/>
    </row>
    <row r="337" spans="5:5" x14ac:dyDescent="0.15">
      <c r="E337" s="83"/>
    </row>
    <row r="338" spans="5:5" x14ac:dyDescent="0.15">
      <c r="E338" s="83"/>
    </row>
    <row r="339" spans="5:5" x14ac:dyDescent="0.15">
      <c r="E339" s="83"/>
    </row>
    <row r="340" spans="5:5" x14ac:dyDescent="0.15">
      <c r="E340" s="83"/>
    </row>
    <row r="341" spans="5:5" x14ac:dyDescent="0.15">
      <c r="E341" s="83"/>
    </row>
    <row r="342" spans="5:5" x14ac:dyDescent="0.15">
      <c r="E342" s="83"/>
    </row>
    <row r="343" spans="5:5" x14ac:dyDescent="0.15">
      <c r="E343" s="83"/>
    </row>
    <row r="344" spans="5:5" x14ac:dyDescent="0.15">
      <c r="E344" s="83"/>
    </row>
    <row r="345" spans="5:5" x14ac:dyDescent="0.15">
      <c r="E345" s="83"/>
    </row>
    <row r="346" spans="5:5" x14ac:dyDescent="0.15">
      <c r="E346" s="83"/>
    </row>
    <row r="347" spans="5:5" x14ac:dyDescent="0.15">
      <c r="E347" s="83"/>
    </row>
    <row r="348" spans="5:5" x14ac:dyDescent="0.15">
      <c r="E348" s="83"/>
    </row>
    <row r="349" spans="5:5" x14ac:dyDescent="0.15">
      <c r="E349" s="83"/>
    </row>
    <row r="350" spans="5:5" x14ac:dyDescent="0.15">
      <c r="E350" s="83"/>
    </row>
    <row r="351" spans="5:5" x14ac:dyDescent="0.15">
      <c r="E351" s="83"/>
    </row>
    <row r="352" spans="5:5" x14ac:dyDescent="0.15">
      <c r="E352" s="83"/>
    </row>
    <row r="353" spans="5:5" x14ac:dyDescent="0.15">
      <c r="E353" s="83"/>
    </row>
    <row r="354" spans="5:5" x14ac:dyDescent="0.15">
      <c r="E354" s="83"/>
    </row>
    <row r="355" spans="5:5" x14ac:dyDescent="0.15">
      <c r="E355" s="83"/>
    </row>
    <row r="356" spans="5:5" x14ac:dyDescent="0.15">
      <c r="E356" s="83"/>
    </row>
    <row r="357" spans="5:5" x14ac:dyDescent="0.15">
      <c r="E357" s="83"/>
    </row>
    <row r="358" spans="5:5" x14ac:dyDescent="0.15">
      <c r="E358" s="83"/>
    </row>
    <row r="359" spans="5:5" x14ac:dyDescent="0.15">
      <c r="E359" s="83"/>
    </row>
    <row r="360" spans="5:5" x14ac:dyDescent="0.15">
      <c r="E360" s="83"/>
    </row>
    <row r="361" spans="5:5" x14ac:dyDescent="0.15">
      <c r="E361" s="83"/>
    </row>
    <row r="362" spans="5:5" x14ac:dyDescent="0.15">
      <c r="E362" s="83"/>
    </row>
    <row r="363" spans="5:5" x14ac:dyDescent="0.15">
      <c r="E363" s="83"/>
    </row>
    <row r="364" spans="5:5" x14ac:dyDescent="0.15">
      <c r="E364" s="83"/>
    </row>
    <row r="365" spans="5:5" x14ac:dyDescent="0.15">
      <c r="E365" s="83"/>
    </row>
    <row r="366" spans="5:5" x14ac:dyDescent="0.15">
      <c r="E366" s="83"/>
    </row>
    <row r="367" spans="5:5" x14ac:dyDescent="0.15">
      <c r="E367" s="83"/>
    </row>
    <row r="368" spans="5:5" x14ac:dyDescent="0.15">
      <c r="E368" s="83"/>
    </row>
    <row r="369" spans="5:5" x14ac:dyDescent="0.15">
      <c r="E369" s="83"/>
    </row>
    <row r="370" spans="5:5" x14ac:dyDescent="0.15">
      <c r="E370" s="83"/>
    </row>
    <row r="371" spans="5:5" x14ac:dyDescent="0.15">
      <c r="E371" s="83"/>
    </row>
    <row r="372" spans="5:5" x14ac:dyDescent="0.15">
      <c r="E372" s="83"/>
    </row>
    <row r="373" spans="5:5" x14ac:dyDescent="0.15">
      <c r="E373" s="83"/>
    </row>
    <row r="374" spans="5:5" x14ac:dyDescent="0.15">
      <c r="E374" s="83"/>
    </row>
    <row r="375" spans="5:5" x14ac:dyDescent="0.15">
      <c r="E375" s="83"/>
    </row>
    <row r="376" spans="5:5" x14ac:dyDescent="0.15">
      <c r="E376" s="83"/>
    </row>
    <row r="377" spans="5:5" x14ac:dyDescent="0.15">
      <c r="E377" s="83"/>
    </row>
    <row r="378" spans="5:5" x14ac:dyDescent="0.15">
      <c r="E378" s="83"/>
    </row>
    <row r="379" spans="5:5" x14ac:dyDescent="0.15">
      <c r="E379" s="83"/>
    </row>
    <row r="380" spans="5:5" x14ac:dyDescent="0.15">
      <c r="E380" s="83"/>
    </row>
    <row r="381" spans="5:5" x14ac:dyDescent="0.15">
      <c r="E381" s="83"/>
    </row>
    <row r="382" spans="5:5" x14ac:dyDescent="0.15">
      <c r="E382" s="83"/>
    </row>
    <row r="383" spans="5:5" x14ac:dyDescent="0.15">
      <c r="E383" s="83"/>
    </row>
    <row r="384" spans="5:5" x14ac:dyDescent="0.15">
      <c r="E384" s="83"/>
    </row>
    <row r="385" spans="5:5" x14ac:dyDescent="0.15">
      <c r="E385" s="83"/>
    </row>
    <row r="386" spans="5:5" x14ac:dyDescent="0.15">
      <c r="E386" s="83"/>
    </row>
    <row r="387" spans="5:5" x14ac:dyDescent="0.15">
      <c r="E387" s="83"/>
    </row>
    <row r="388" spans="5:5" x14ac:dyDescent="0.15">
      <c r="E388" s="83"/>
    </row>
    <row r="389" spans="5:5" x14ac:dyDescent="0.15">
      <c r="E389" s="83"/>
    </row>
    <row r="390" spans="5:5" x14ac:dyDescent="0.15">
      <c r="E390" s="83"/>
    </row>
    <row r="391" spans="5:5" x14ac:dyDescent="0.15">
      <c r="E391" s="83"/>
    </row>
    <row r="392" spans="5:5" x14ac:dyDescent="0.15">
      <c r="E392" s="83"/>
    </row>
    <row r="393" spans="5:5" x14ac:dyDescent="0.15">
      <c r="E393" s="83"/>
    </row>
    <row r="394" spans="5:5" x14ac:dyDescent="0.15">
      <c r="E394" s="83"/>
    </row>
    <row r="395" spans="5:5" x14ac:dyDescent="0.15">
      <c r="E395" s="83"/>
    </row>
    <row r="396" spans="5:5" x14ac:dyDescent="0.15">
      <c r="E396" s="83"/>
    </row>
    <row r="397" spans="5:5" x14ac:dyDescent="0.15">
      <c r="E397" s="83"/>
    </row>
    <row r="398" spans="5:5" x14ac:dyDescent="0.15">
      <c r="E398" s="83"/>
    </row>
    <row r="399" spans="5:5" x14ac:dyDescent="0.15">
      <c r="E399" s="83"/>
    </row>
    <row r="400" spans="5:5" x14ac:dyDescent="0.15">
      <c r="E400" s="83"/>
    </row>
    <row r="401" spans="5:5" x14ac:dyDescent="0.15">
      <c r="E401" s="83"/>
    </row>
    <row r="402" spans="5:5" x14ac:dyDescent="0.15">
      <c r="E402" s="83"/>
    </row>
    <row r="403" spans="5:5" x14ac:dyDescent="0.15">
      <c r="E403" s="83"/>
    </row>
    <row r="404" spans="5:5" x14ac:dyDescent="0.15">
      <c r="E404" s="83"/>
    </row>
    <row r="405" spans="5:5" x14ac:dyDescent="0.15">
      <c r="E405" s="83"/>
    </row>
    <row r="406" spans="5:5" x14ac:dyDescent="0.15">
      <c r="E406" s="83"/>
    </row>
    <row r="407" spans="5:5" x14ac:dyDescent="0.15">
      <c r="E407" s="83"/>
    </row>
    <row r="408" spans="5:5" x14ac:dyDescent="0.15">
      <c r="E408" s="83"/>
    </row>
    <row r="409" spans="5:5" x14ac:dyDescent="0.15">
      <c r="E409" s="83"/>
    </row>
    <row r="410" spans="5:5" x14ac:dyDescent="0.15">
      <c r="E410" s="83"/>
    </row>
    <row r="411" spans="5:5" x14ac:dyDescent="0.15">
      <c r="E411" s="83"/>
    </row>
    <row r="412" spans="5:5" x14ac:dyDescent="0.15">
      <c r="E412" s="83"/>
    </row>
    <row r="413" spans="5:5" x14ac:dyDescent="0.15">
      <c r="E413" s="83"/>
    </row>
    <row r="414" spans="5:5" x14ac:dyDescent="0.15">
      <c r="E414" s="83"/>
    </row>
    <row r="415" spans="5:5" x14ac:dyDescent="0.15">
      <c r="E415" s="83"/>
    </row>
    <row r="416" spans="5:5" x14ac:dyDescent="0.15">
      <c r="E416" s="83"/>
    </row>
    <row r="417" spans="5:5" x14ac:dyDescent="0.15">
      <c r="E417" s="83"/>
    </row>
    <row r="418" spans="5:5" x14ac:dyDescent="0.15">
      <c r="E418" s="83"/>
    </row>
    <row r="419" spans="5:5" x14ac:dyDescent="0.15">
      <c r="E419" s="83"/>
    </row>
    <row r="420" spans="5:5" x14ac:dyDescent="0.15">
      <c r="E420" s="83"/>
    </row>
    <row r="421" spans="5:5" x14ac:dyDescent="0.15">
      <c r="E421" s="83"/>
    </row>
    <row r="422" spans="5:5" x14ac:dyDescent="0.15">
      <c r="E422" s="83"/>
    </row>
    <row r="423" spans="5:5" x14ac:dyDescent="0.15">
      <c r="E423" s="83"/>
    </row>
    <row r="424" spans="5:5" x14ac:dyDescent="0.15">
      <c r="E424" s="83"/>
    </row>
    <row r="425" spans="5:5" x14ac:dyDescent="0.15">
      <c r="E425" s="83"/>
    </row>
    <row r="426" spans="5:5" x14ac:dyDescent="0.15">
      <c r="E426" s="83"/>
    </row>
    <row r="427" spans="5:5" x14ac:dyDescent="0.15">
      <c r="E427" s="83"/>
    </row>
    <row r="428" spans="5:5" x14ac:dyDescent="0.15">
      <c r="E428" s="83"/>
    </row>
    <row r="429" spans="5:5" x14ac:dyDescent="0.15">
      <c r="E429" s="83"/>
    </row>
    <row r="430" spans="5:5" x14ac:dyDescent="0.15">
      <c r="E430" s="83"/>
    </row>
    <row r="431" spans="5:5" x14ac:dyDescent="0.15">
      <c r="E431" s="83"/>
    </row>
    <row r="432" spans="5:5" x14ac:dyDescent="0.15">
      <c r="E432" s="83"/>
    </row>
    <row r="433" spans="5:5" x14ac:dyDescent="0.15">
      <c r="E433" s="83"/>
    </row>
    <row r="434" spans="5:5" x14ac:dyDescent="0.15">
      <c r="E434" s="83"/>
    </row>
    <row r="435" spans="5:5" x14ac:dyDescent="0.15">
      <c r="E435" s="83"/>
    </row>
    <row r="436" spans="5:5" x14ac:dyDescent="0.15">
      <c r="E436" s="83"/>
    </row>
    <row r="437" spans="5:5" x14ac:dyDescent="0.15">
      <c r="E437" s="83"/>
    </row>
    <row r="438" spans="5:5" x14ac:dyDescent="0.15">
      <c r="E438" s="83"/>
    </row>
    <row r="439" spans="5:5" x14ac:dyDescent="0.15">
      <c r="E439" s="83"/>
    </row>
    <row r="440" spans="5:5" x14ac:dyDescent="0.15">
      <c r="E440" s="83"/>
    </row>
    <row r="441" spans="5:5" x14ac:dyDescent="0.15">
      <c r="E441" s="83"/>
    </row>
    <row r="442" spans="5:5" x14ac:dyDescent="0.15">
      <c r="E442" s="83"/>
    </row>
    <row r="443" spans="5:5" x14ac:dyDescent="0.15">
      <c r="E443" s="83"/>
    </row>
    <row r="444" spans="5:5" x14ac:dyDescent="0.15">
      <c r="E444" s="83"/>
    </row>
    <row r="445" spans="5:5" x14ac:dyDescent="0.15">
      <c r="E445" s="83"/>
    </row>
    <row r="446" spans="5:5" x14ac:dyDescent="0.15">
      <c r="E446" s="83"/>
    </row>
    <row r="447" spans="5:5" x14ac:dyDescent="0.15">
      <c r="E447" s="83"/>
    </row>
    <row r="448" spans="5:5" x14ac:dyDescent="0.15">
      <c r="E448" s="83"/>
    </row>
    <row r="449" spans="5:5" x14ac:dyDescent="0.15">
      <c r="E449" s="83"/>
    </row>
    <row r="450" spans="5:5" x14ac:dyDescent="0.15">
      <c r="E450" s="83"/>
    </row>
    <row r="451" spans="5:5" x14ac:dyDescent="0.15">
      <c r="E451" s="83"/>
    </row>
    <row r="452" spans="5:5" x14ac:dyDescent="0.15">
      <c r="E452" s="83"/>
    </row>
    <row r="453" spans="5:5" x14ac:dyDescent="0.15">
      <c r="E453" s="83"/>
    </row>
    <row r="454" spans="5:5" x14ac:dyDescent="0.15">
      <c r="E454" s="83"/>
    </row>
    <row r="455" spans="5:5" x14ac:dyDescent="0.15">
      <c r="E455" s="83"/>
    </row>
    <row r="456" spans="5:5" x14ac:dyDescent="0.15">
      <c r="E456" s="83"/>
    </row>
    <row r="457" spans="5:5" x14ac:dyDescent="0.15">
      <c r="E457" s="83"/>
    </row>
    <row r="458" spans="5:5" x14ac:dyDescent="0.15">
      <c r="E458" s="83"/>
    </row>
    <row r="459" spans="5:5" x14ac:dyDescent="0.15">
      <c r="E459" s="83"/>
    </row>
    <row r="460" spans="5:5" x14ac:dyDescent="0.15">
      <c r="E460" s="83"/>
    </row>
    <row r="461" spans="5:5" x14ac:dyDescent="0.15">
      <c r="E461" s="83"/>
    </row>
    <row r="462" spans="5:5" x14ac:dyDescent="0.15">
      <c r="E462" s="83"/>
    </row>
    <row r="463" spans="5:5" x14ac:dyDescent="0.15">
      <c r="E463" s="83"/>
    </row>
    <row r="464" spans="5:5" x14ac:dyDescent="0.15">
      <c r="E464" s="83"/>
    </row>
    <row r="465" spans="5:5" x14ac:dyDescent="0.15">
      <c r="E465" s="83"/>
    </row>
    <row r="466" spans="5:5" x14ac:dyDescent="0.15">
      <c r="E466" s="83"/>
    </row>
    <row r="467" spans="5:5" x14ac:dyDescent="0.15">
      <c r="E467" s="83"/>
    </row>
    <row r="468" spans="5:5" x14ac:dyDescent="0.15">
      <c r="E468" s="83"/>
    </row>
    <row r="469" spans="5:5" x14ac:dyDescent="0.15">
      <c r="E469" s="83"/>
    </row>
    <row r="470" spans="5:5" x14ac:dyDescent="0.15">
      <c r="E470" s="83"/>
    </row>
    <row r="471" spans="5:5" x14ac:dyDescent="0.15">
      <c r="E471" s="83"/>
    </row>
    <row r="472" spans="5:5" x14ac:dyDescent="0.15">
      <c r="E472" s="83"/>
    </row>
    <row r="473" spans="5:5" x14ac:dyDescent="0.15">
      <c r="E473" s="83"/>
    </row>
    <row r="474" spans="5:5" x14ac:dyDescent="0.15">
      <c r="E474" s="83"/>
    </row>
    <row r="475" spans="5:5" x14ac:dyDescent="0.15">
      <c r="E475" s="83"/>
    </row>
    <row r="476" spans="5:5" x14ac:dyDescent="0.15">
      <c r="E476" s="83"/>
    </row>
    <row r="477" spans="5:5" x14ac:dyDescent="0.15">
      <c r="E477" s="83"/>
    </row>
    <row r="478" spans="5:5" x14ac:dyDescent="0.15">
      <c r="E478" s="83"/>
    </row>
    <row r="479" spans="5:5" x14ac:dyDescent="0.15">
      <c r="E479" s="83"/>
    </row>
    <row r="480" spans="5:5" x14ac:dyDescent="0.15">
      <c r="E480" s="83"/>
    </row>
    <row r="481" spans="5:5" x14ac:dyDescent="0.15">
      <c r="E481" s="83"/>
    </row>
    <row r="482" spans="5:5" x14ac:dyDescent="0.15">
      <c r="E482" s="83"/>
    </row>
    <row r="483" spans="5:5" x14ac:dyDescent="0.15">
      <c r="E483" s="83"/>
    </row>
    <row r="484" spans="5:5" x14ac:dyDescent="0.15">
      <c r="E484" s="83"/>
    </row>
    <row r="485" spans="5:5" x14ac:dyDescent="0.15">
      <c r="E485" s="83"/>
    </row>
    <row r="486" spans="5:5" x14ac:dyDescent="0.15">
      <c r="E486" s="83"/>
    </row>
    <row r="487" spans="5:5" x14ac:dyDescent="0.15">
      <c r="E487" s="83"/>
    </row>
    <row r="488" spans="5:5" x14ac:dyDescent="0.15">
      <c r="E488" s="83"/>
    </row>
    <row r="489" spans="5:5" x14ac:dyDescent="0.15">
      <c r="E489" s="83"/>
    </row>
    <row r="490" spans="5:5" x14ac:dyDescent="0.15">
      <c r="E490" s="83"/>
    </row>
    <row r="491" spans="5:5" x14ac:dyDescent="0.15">
      <c r="E491" s="83"/>
    </row>
    <row r="492" spans="5:5" x14ac:dyDescent="0.15">
      <c r="E492" s="83"/>
    </row>
    <row r="493" spans="5:5" x14ac:dyDescent="0.15">
      <c r="E493" s="83"/>
    </row>
    <row r="494" spans="5:5" x14ac:dyDescent="0.15">
      <c r="E494" s="83"/>
    </row>
    <row r="495" spans="5:5" x14ac:dyDescent="0.15">
      <c r="E495" s="83"/>
    </row>
    <row r="496" spans="5:5" x14ac:dyDescent="0.15">
      <c r="E496" s="83"/>
    </row>
    <row r="497" spans="5:5" x14ac:dyDescent="0.15">
      <c r="E497" s="83"/>
    </row>
    <row r="498" spans="5:5" x14ac:dyDescent="0.15">
      <c r="E498" s="83"/>
    </row>
    <row r="499" spans="5:5" x14ac:dyDescent="0.15">
      <c r="E499" s="83"/>
    </row>
    <row r="500" spans="5:5" x14ac:dyDescent="0.15">
      <c r="E500" s="83"/>
    </row>
    <row r="501" spans="5:5" x14ac:dyDescent="0.15">
      <c r="E501" s="83"/>
    </row>
    <row r="502" spans="5:5" x14ac:dyDescent="0.15">
      <c r="E502" s="83"/>
    </row>
    <row r="503" spans="5:5" x14ac:dyDescent="0.15">
      <c r="E503" s="83"/>
    </row>
    <row r="504" spans="5:5" x14ac:dyDescent="0.15">
      <c r="E504" s="83"/>
    </row>
    <row r="505" spans="5:5" x14ac:dyDescent="0.15">
      <c r="E505" s="83"/>
    </row>
    <row r="506" spans="5:5" x14ac:dyDescent="0.15">
      <c r="E506" s="83"/>
    </row>
    <row r="507" spans="5:5" x14ac:dyDescent="0.15">
      <c r="E507" s="83"/>
    </row>
    <row r="508" spans="5:5" x14ac:dyDescent="0.15">
      <c r="E508" s="83"/>
    </row>
    <row r="509" spans="5:5" x14ac:dyDescent="0.15">
      <c r="E509" s="83"/>
    </row>
    <row r="510" spans="5:5" x14ac:dyDescent="0.15">
      <c r="E510" s="83"/>
    </row>
    <row r="511" spans="5:5" x14ac:dyDescent="0.15">
      <c r="E511" s="83"/>
    </row>
    <row r="512" spans="5:5" x14ac:dyDescent="0.15">
      <c r="E512" s="83"/>
    </row>
    <row r="513" spans="5:5" x14ac:dyDescent="0.15">
      <c r="E513" s="83"/>
    </row>
    <row r="514" spans="5:5" x14ac:dyDescent="0.15">
      <c r="E514" s="83"/>
    </row>
    <row r="515" spans="5:5" x14ac:dyDescent="0.15">
      <c r="E515" s="83"/>
    </row>
    <row r="516" spans="5:5" x14ac:dyDescent="0.15">
      <c r="E516" s="83"/>
    </row>
    <row r="517" spans="5:5" x14ac:dyDescent="0.15">
      <c r="E517" s="83"/>
    </row>
    <row r="518" spans="5:5" x14ac:dyDescent="0.15">
      <c r="E518" s="83"/>
    </row>
    <row r="519" spans="5:5" x14ac:dyDescent="0.15">
      <c r="E519" s="83"/>
    </row>
    <row r="520" spans="5:5" x14ac:dyDescent="0.15">
      <c r="E520" s="83"/>
    </row>
    <row r="521" spans="5:5" x14ac:dyDescent="0.15">
      <c r="E521" s="83"/>
    </row>
    <row r="522" spans="5:5" x14ac:dyDescent="0.15">
      <c r="E522" s="83"/>
    </row>
    <row r="523" spans="5:5" x14ac:dyDescent="0.15">
      <c r="E523" s="83"/>
    </row>
    <row r="524" spans="5:5" x14ac:dyDescent="0.15">
      <c r="E524" s="83"/>
    </row>
    <row r="525" spans="5:5" x14ac:dyDescent="0.15">
      <c r="E525" s="83"/>
    </row>
    <row r="526" spans="5:5" x14ac:dyDescent="0.15">
      <c r="E526" s="83"/>
    </row>
    <row r="527" spans="5:5" x14ac:dyDescent="0.15">
      <c r="E527" s="83"/>
    </row>
    <row r="528" spans="5:5" x14ac:dyDescent="0.15">
      <c r="E528" s="83"/>
    </row>
    <row r="529" spans="5:5" x14ac:dyDescent="0.15">
      <c r="E529" s="83"/>
    </row>
    <row r="530" spans="5:5" x14ac:dyDescent="0.15">
      <c r="E530" s="83"/>
    </row>
    <row r="531" spans="5:5" x14ac:dyDescent="0.15">
      <c r="E531" s="83"/>
    </row>
    <row r="532" spans="5:5" x14ac:dyDescent="0.15">
      <c r="E532" s="83"/>
    </row>
    <row r="533" spans="5:5" x14ac:dyDescent="0.15">
      <c r="E533" s="83"/>
    </row>
    <row r="534" spans="5:5" x14ac:dyDescent="0.15">
      <c r="E534" s="83"/>
    </row>
    <row r="535" spans="5:5" x14ac:dyDescent="0.15">
      <c r="E535" s="83"/>
    </row>
    <row r="536" spans="5:5" x14ac:dyDescent="0.15">
      <c r="E536" s="83"/>
    </row>
    <row r="537" spans="5:5" x14ac:dyDescent="0.15">
      <c r="E537" s="83"/>
    </row>
    <row r="538" spans="5:5" x14ac:dyDescent="0.15">
      <c r="E538" s="83"/>
    </row>
    <row r="539" spans="5:5" x14ac:dyDescent="0.15">
      <c r="E539" s="83"/>
    </row>
    <row r="540" spans="5:5" x14ac:dyDescent="0.15">
      <c r="E540" s="83"/>
    </row>
    <row r="541" spans="5:5" x14ac:dyDescent="0.15">
      <c r="E541" s="83"/>
    </row>
    <row r="542" spans="5:5" x14ac:dyDescent="0.15">
      <c r="E542" s="83"/>
    </row>
    <row r="543" spans="5:5" x14ac:dyDescent="0.15">
      <c r="E543" s="83"/>
    </row>
    <row r="544" spans="5:5" x14ac:dyDescent="0.15">
      <c r="E544" s="83"/>
    </row>
    <row r="545" spans="5:5" x14ac:dyDescent="0.15">
      <c r="E545" s="83"/>
    </row>
    <row r="546" spans="5:5" x14ac:dyDescent="0.15">
      <c r="E546" s="83"/>
    </row>
    <row r="547" spans="5:5" x14ac:dyDescent="0.15">
      <c r="E547" s="83"/>
    </row>
    <row r="548" spans="5:5" x14ac:dyDescent="0.15">
      <c r="E548" s="83"/>
    </row>
    <row r="549" spans="5:5" x14ac:dyDescent="0.15">
      <c r="E549" s="83"/>
    </row>
    <row r="550" spans="5:5" x14ac:dyDescent="0.15">
      <c r="E550" s="83"/>
    </row>
    <row r="551" spans="5:5" x14ac:dyDescent="0.15">
      <c r="E551" s="83"/>
    </row>
    <row r="552" spans="5:5" x14ac:dyDescent="0.15">
      <c r="E552" s="83"/>
    </row>
    <row r="553" spans="5:5" x14ac:dyDescent="0.15">
      <c r="E553" s="83"/>
    </row>
    <row r="554" spans="5:5" x14ac:dyDescent="0.15">
      <c r="E554" s="83"/>
    </row>
    <row r="555" spans="5:5" x14ac:dyDescent="0.15">
      <c r="E555" s="83"/>
    </row>
    <row r="556" spans="5:5" x14ac:dyDescent="0.15">
      <c r="E556" s="83"/>
    </row>
    <row r="557" spans="5:5" x14ac:dyDescent="0.15">
      <c r="E557" s="83"/>
    </row>
    <row r="558" spans="5:5" x14ac:dyDescent="0.15">
      <c r="E558" s="83"/>
    </row>
    <row r="559" spans="5:5" x14ac:dyDescent="0.15">
      <c r="E559" s="83"/>
    </row>
    <row r="560" spans="5:5" x14ac:dyDescent="0.15">
      <c r="E560" s="83"/>
    </row>
    <row r="561" spans="5:5" x14ac:dyDescent="0.15">
      <c r="E561" s="83"/>
    </row>
    <row r="562" spans="5:5" x14ac:dyDescent="0.15">
      <c r="E562" s="83"/>
    </row>
    <row r="563" spans="5:5" x14ac:dyDescent="0.15">
      <c r="E563" s="83"/>
    </row>
    <row r="564" spans="5:5" x14ac:dyDescent="0.15">
      <c r="E564" s="83"/>
    </row>
    <row r="565" spans="5:5" x14ac:dyDescent="0.15">
      <c r="E565" s="83"/>
    </row>
    <row r="566" spans="5:5" x14ac:dyDescent="0.15">
      <c r="E566" s="83"/>
    </row>
    <row r="567" spans="5:5" x14ac:dyDescent="0.15">
      <c r="E567" s="83"/>
    </row>
    <row r="568" spans="5:5" x14ac:dyDescent="0.15">
      <c r="E568" s="83"/>
    </row>
    <row r="569" spans="5:5" x14ac:dyDescent="0.15">
      <c r="E569" s="83"/>
    </row>
    <row r="570" spans="5:5" x14ac:dyDescent="0.15">
      <c r="E570" s="83"/>
    </row>
    <row r="571" spans="5:5" x14ac:dyDescent="0.15">
      <c r="E571" s="83"/>
    </row>
    <row r="572" spans="5:5" x14ac:dyDescent="0.15">
      <c r="E572" s="83"/>
    </row>
    <row r="573" spans="5:5" x14ac:dyDescent="0.15">
      <c r="E573" s="83"/>
    </row>
    <row r="574" spans="5:5" x14ac:dyDescent="0.15">
      <c r="E574" s="83"/>
    </row>
    <row r="575" spans="5:5" x14ac:dyDescent="0.15">
      <c r="E575" s="83"/>
    </row>
    <row r="576" spans="5:5" x14ac:dyDescent="0.15">
      <c r="E576" s="83"/>
    </row>
    <row r="577" spans="5:5" x14ac:dyDescent="0.15">
      <c r="E577" s="83"/>
    </row>
    <row r="578" spans="5:5" x14ac:dyDescent="0.15">
      <c r="E578" s="83"/>
    </row>
    <row r="579" spans="5:5" x14ac:dyDescent="0.15">
      <c r="E579" s="83"/>
    </row>
    <row r="580" spans="5:5" x14ac:dyDescent="0.15">
      <c r="E580" s="83"/>
    </row>
    <row r="581" spans="5:5" x14ac:dyDescent="0.15">
      <c r="E581" s="83"/>
    </row>
    <row r="582" spans="5:5" x14ac:dyDescent="0.15">
      <c r="E582" s="83"/>
    </row>
    <row r="583" spans="5:5" x14ac:dyDescent="0.15">
      <c r="E583" s="83"/>
    </row>
    <row r="584" spans="5:5" x14ac:dyDescent="0.15">
      <c r="E584" s="83"/>
    </row>
    <row r="585" spans="5:5" x14ac:dyDescent="0.15">
      <c r="E585" s="83"/>
    </row>
    <row r="586" spans="5:5" x14ac:dyDescent="0.15">
      <c r="E586" s="83"/>
    </row>
    <row r="587" spans="5:5" x14ac:dyDescent="0.15">
      <c r="E587" s="83"/>
    </row>
    <row r="588" spans="5:5" x14ac:dyDescent="0.15">
      <c r="E588" s="83"/>
    </row>
    <row r="589" spans="5:5" x14ac:dyDescent="0.15">
      <c r="E589" s="83"/>
    </row>
    <row r="590" spans="5:5" x14ac:dyDescent="0.15">
      <c r="E590" s="83"/>
    </row>
    <row r="591" spans="5:5" x14ac:dyDescent="0.15">
      <c r="E591" s="83"/>
    </row>
    <row r="592" spans="5:5" x14ac:dyDescent="0.15">
      <c r="E592" s="83"/>
    </row>
    <row r="593" spans="5:5" x14ac:dyDescent="0.15">
      <c r="E593" s="83"/>
    </row>
    <row r="594" spans="5:5" x14ac:dyDescent="0.15">
      <c r="E594" s="83"/>
    </row>
    <row r="595" spans="5:5" x14ac:dyDescent="0.15">
      <c r="E595" s="83"/>
    </row>
    <row r="596" spans="5:5" x14ac:dyDescent="0.15">
      <c r="E596" s="83"/>
    </row>
    <row r="597" spans="5:5" x14ac:dyDescent="0.15">
      <c r="E597" s="83"/>
    </row>
    <row r="598" spans="5:5" x14ac:dyDescent="0.15">
      <c r="E598" s="83"/>
    </row>
    <row r="599" spans="5:5" x14ac:dyDescent="0.15">
      <c r="E599" s="83"/>
    </row>
    <row r="600" spans="5:5" x14ac:dyDescent="0.15">
      <c r="E600" s="83"/>
    </row>
    <row r="601" spans="5:5" x14ac:dyDescent="0.15">
      <c r="E601" s="83"/>
    </row>
    <row r="602" spans="5:5" x14ac:dyDescent="0.15">
      <c r="E602" s="83"/>
    </row>
    <row r="603" spans="5:5" x14ac:dyDescent="0.15">
      <c r="E603" s="83"/>
    </row>
    <row r="604" spans="5:5" x14ac:dyDescent="0.15">
      <c r="E604" s="83"/>
    </row>
    <row r="605" spans="5:5" x14ac:dyDescent="0.15">
      <c r="E605" s="83"/>
    </row>
    <row r="606" spans="5:5" x14ac:dyDescent="0.15">
      <c r="E606" s="83"/>
    </row>
    <row r="607" spans="5:5" x14ac:dyDescent="0.15">
      <c r="E607" s="83"/>
    </row>
    <row r="608" spans="5:5" x14ac:dyDescent="0.15">
      <c r="E608" s="83"/>
    </row>
    <row r="609" spans="5:5" x14ac:dyDescent="0.15">
      <c r="E609" s="83"/>
    </row>
    <row r="610" spans="5:5" x14ac:dyDescent="0.15">
      <c r="E610" s="83"/>
    </row>
    <row r="611" spans="5:5" x14ac:dyDescent="0.15">
      <c r="E611" s="83"/>
    </row>
    <row r="612" spans="5:5" x14ac:dyDescent="0.15">
      <c r="E612" s="83"/>
    </row>
    <row r="613" spans="5:5" x14ac:dyDescent="0.15">
      <c r="E613" s="83"/>
    </row>
    <row r="614" spans="5:5" x14ac:dyDescent="0.15">
      <c r="E614" s="83"/>
    </row>
    <row r="615" spans="5:5" x14ac:dyDescent="0.15">
      <c r="E615" s="83"/>
    </row>
    <row r="616" spans="5:5" x14ac:dyDescent="0.15">
      <c r="E616" s="83"/>
    </row>
    <row r="617" spans="5:5" x14ac:dyDescent="0.15">
      <c r="E617" s="83"/>
    </row>
    <row r="618" spans="5:5" x14ac:dyDescent="0.15">
      <c r="E618" s="83"/>
    </row>
    <row r="619" spans="5:5" x14ac:dyDescent="0.15">
      <c r="E619" s="83"/>
    </row>
    <row r="620" spans="5:5" x14ac:dyDescent="0.15">
      <c r="E620" s="83"/>
    </row>
    <row r="621" spans="5:5" x14ac:dyDescent="0.15">
      <c r="E621" s="83"/>
    </row>
    <row r="622" spans="5:5" x14ac:dyDescent="0.15">
      <c r="E622" s="83"/>
    </row>
    <row r="623" spans="5:5" x14ac:dyDescent="0.15">
      <c r="E623" s="83"/>
    </row>
    <row r="624" spans="5:5" x14ac:dyDescent="0.15">
      <c r="E624" s="83"/>
    </row>
    <row r="625" spans="5:5" x14ac:dyDescent="0.15">
      <c r="E625" s="83"/>
    </row>
    <row r="626" spans="5:5" x14ac:dyDescent="0.15">
      <c r="E626" s="83"/>
    </row>
    <row r="627" spans="5:5" x14ac:dyDescent="0.15">
      <c r="E627" s="83"/>
    </row>
    <row r="628" spans="5:5" x14ac:dyDescent="0.15">
      <c r="E628" s="83"/>
    </row>
    <row r="629" spans="5:5" x14ac:dyDescent="0.15">
      <c r="E629" s="83"/>
    </row>
    <row r="630" spans="5:5" x14ac:dyDescent="0.15">
      <c r="E630" s="83"/>
    </row>
    <row r="631" spans="5:5" x14ac:dyDescent="0.15">
      <c r="E631" s="83"/>
    </row>
    <row r="632" spans="5:5" x14ac:dyDescent="0.15">
      <c r="E632" s="83"/>
    </row>
    <row r="633" spans="5:5" x14ac:dyDescent="0.15">
      <c r="E633" s="83"/>
    </row>
    <row r="634" spans="5:5" x14ac:dyDescent="0.15">
      <c r="E634" s="83"/>
    </row>
    <row r="635" spans="5:5" x14ac:dyDescent="0.15">
      <c r="E635" s="83"/>
    </row>
    <row r="636" spans="5:5" x14ac:dyDescent="0.15">
      <c r="E636" s="83"/>
    </row>
    <row r="637" spans="5:5" x14ac:dyDescent="0.15">
      <c r="E637" s="83"/>
    </row>
    <row r="638" spans="5:5" x14ac:dyDescent="0.15">
      <c r="E638" s="83"/>
    </row>
    <row r="639" spans="5:5" x14ac:dyDescent="0.15">
      <c r="E639" s="83"/>
    </row>
    <row r="640" spans="5:5" x14ac:dyDescent="0.15">
      <c r="E640" s="83"/>
    </row>
    <row r="641" spans="5:5" x14ac:dyDescent="0.15">
      <c r="E641" s="83"/>
    </row>
    <row r="642" spans="5:5" x14ac:dyDescent="0.15">
      <c r="E642" s="83"/>
    </row>
    <row r="643" spans="5:5" x14ac:dyDescent="0.15">
      <c r="E643" s="83"/>
    </row>
    <row r="644" spans="5:5" x14ac:dyDescent="0.15">
      <c r="E644" s="83"/>
    </row>
    <row r="645" spans="5:5" x14ac:dyDescent="0.15">
      <c r="E645" s="83"/>
    </row>
    <row r="646" spans="5:5" x14ac:dyDescent="0.15">
      <c r="E646" s="83"/>
    </row>
    <row r="647" spans="5:5" x14ac:dyDescent="0.15">
      <c r="E647" s="83"/>
    </row>
    <row r="648" spans="5:5" x14ac:dyDescent="0.15">
      <c r="E648" s="83"/>
    </row>
    <row r="649" spans="5:5" x14ac:dyDescent="0.15">
      <c r="E649" s="83"/>
    </row>
    <row r="650" spans="5:5" x14ac:dyDescent="0.15">
      <c r="E650" s="83"/>
    </row>
    <row r="651" spans="5:5" x14ac:dyDescent="0.15">
      <c r="E651" s="83"/>
    </row>
    <row r="652" spans="5:5" x14ac:dyDescent="0.15">
      <c r="E652" s="83"/>
    </row>
    <row r="653" spans="5:5" x14ac:dyDescent="0.15">
      <c r="E653" s="83"/>
    </row>
    <row r="654" spans="5:5" x14ac:dyDescent="0.15">
      <c r="E654" s="83"/>
    </row>
    <row r="655" spans="5:5" x14ac:dyDescent="0.15">
      <c r="E655" s="83"/>
    </row>
    <row r="656" spans="5:5" x14ac:dyDescent="0.15">
      <c r="E656" s="83"/>
    </row>
    <row r="657" spans="5:5" x14ac:dyDescent="0.15">
      <c r="E657" s="83"/>
    </row>
    <row r="658" spans="5:5" x14ac:dyDescent="0.15">
      <c r="E658" s="83"/>
    </row>
    <row r="659" spans="5:5" x14ac:dyDescent="0.15">
      <c r="E659" s="83"/>
    </row>
    <row r="660" spans="5:5" x14ac:dyDescent="0.15">
      <c r="E660" s="83"/>
    </row>
    <row r="661" spans="5:5" x14ac:dyDescent="0.15">
      <c r="E661" s="83"/>
    </row>
    <row r="662" spans="5:5" x14ac:dyDescent="0.15">
      <c r="E662" s="83"/>
    </row>
    <row r="663" spans="5:5" x14ac:dyDescent="0.15">
      <c r="E663" s="83"/>
    </row>
    <row r="664" spans="5:5" x14ac:dyDescent="0.15">
      <c r="E664" s="83"/>
    </row>
    <row r="665" spans="5:5" x14ac:dyDescent="0.15">
      <c r="E665" s="83"/>
    </row>
    <row r="666" spans="5:5" x14ac:dyDescent="0.15">
      <c r="E666" s="83"/>
    </row>
    <row r="667" spans="5:5" x14ac:dyDescent="0.15">
      <c r="E667" s="83"/>
    </row>
    <row r="668" spans="5:5" x14ac:dyDescent="0.15">
      <c r="E668" s="83"/>
    </row>
    <row r="669" spans="5:5" x14ac:dyDescent="0.15">
      <c r="E669" s="83"/>
    </row>
    <row r="670" spans="5:5" x14ac:dyDescent="0.15">
      <c r="E670" s="83"/>
    </row>
    <row r="671" spans="5:5" x14ac:dyDescent="0.15">
      <c r="E671" s="83"/>
    </row>
    <row r="672" spans="5:5" x14ac:dyDescent="0.15">
      <c r="E672" s="83"/>
    </row>
    <row r="673" spans="5:5" x14ac:dyDescent="0.15">
      <c r="E673" s="83"/>
    </row>
    <row r="674" spans="5:5" x14ac:dyDescent="0.15">
      <c r="E674" s="83"/>
    </row>
    <row r="675" spans="5:5" x14ac:dyDescent="0.15">
      <c r="E675" s="83"/>
    </row>
    <row r="676" spans="5:5" x14ac:dyDescent="0.15">
      <c r="E676" s="83"/>
    </row>
    <row r="677" spans="5:5" x14ac:dyDescent="0.15">
      <c r="E677" s="83"/>
    </row>
    <row r="678" spans="5:5" x14ac:dyDescent="0.15">
      <c r="E678" s="83"/>
    </row>
    <row r="679" spans="5:5" x14ac:dyDescent="0.15">
      <c r="E679" s="83"/>
    </row>
    <row r="680" spans="5:5" x14ac:dyDescent="0.15">
      <c r="E680" s="83"/>
    </row>
    <row r="681" spans="5:5" x14ac:dyDescent="0.15">
      <c r="E681" s="83"/>
    </row>
    <row r="682" spans="5:5" x14ac:dyDescent="0.15">
      <c r="E682" s="83"/>
    </row>
    <row r="683" spans="5:5" x14ac:dyDescent="0.15">
      <c r="E683" s="83"/>
    </row>
    <row r="684" spans="5:5" x14ac:dyDescent="0.15">
      <c r="E684" s="83"/>
    </row>
    <row r="685" spans="5:5" x14ac:dyDescent="0.15">
      <c r="E685" s="83"/>
    </row>
    <row r="686" spans="5:5" x14ac:dyDescent="0.15">
      <c r="E686" s="83"/>
    </row>
    <row r="687" spans="5:5" x14ac:dyDescent="0.15">
      <c r="E687" s="83"/>
    </row>
    <row r="688" spans="5:5" x14ac:dyDescent="0.15">
      <c r="E688" s="83"/>
    </row>
    <row r="689" spans="5:5" x14ac:dyDescent="0.15">
      <c r="E689" s="83"/>
    </row>
    <row r="690" spans="5:5" x14ac:dyDescent="0.15">
      <c r="E690" s="83"/>
    </row>
    <row r="691" spans="5:5" x14ac:dyDescent="0.15">
      <c r="E691" s="83"/>
    </row>
    <row r="692" spans="5:5" x14ac:dyDescent="0.15">
      <c r="E692" s="83"/>
    </row>
    <row r="693" spans="5:5" x14ac:dyDescent="0.15">
      <c r="E693" s="83"/>
    </row>
    <row r="694" spans="5:5" x14ac:dyDescent="0.15">
      <c r="E694" s="83"/>
    </row>
    <row r="695" spans="5:5" x14ac:dyDescent="0.15">
      <c r="E695" s="83"/>
    </row>
    <row r="696" spans="5:5" x14ac:dyDescent="0.15">
      <c r="E696" s="83"/>
    </row>
    <row r="697" spans="5:5" x14ac:dyDescent="0.15">
      <c r="E697" s="83"/>
    </row>
    <row r="698" spans="5:5" x14ac:dyDescent="0.15">
      <c r="E698" s="83"/>
    </row>
    <row r="699" spans="5:5" x14ac:dyDescent="0.15">
      <c r="E699" s="83"/>
    </row>
    <row r="700" spans="5:5" x14ac:dyDescent="0.15">
      <c r="E700" s="83"/>
    </row>
    <row r="701" spans="5:5" x14ac:dyDescent="0.15">
      <c r="E701" s="83"/>
    </row>
    <row r="702" spans="5:5" x14ac:dyDescent="0.15">
      <c r="E702" s="83"/>
    </row>
    <row r="703" spans="5:5" x14ac:dyDescent="0.15">
      <c r="E703" s="83"/>
    </row>
    <row r="704" spans="5:5" x14ac:dyDescent="0.15">
      <c r="E704" s="83"/>
    </row>
    <row r="705" spans="5:5" x14ac:dyDescent="0.15">
      <c r="E705" s="83"/>
    </row>
    <row r="706" spans="5:5" x14ac:dyDescent="0.15">
      <c r="E706" s="83"/>
    </row>
    <row r="707" spans="5:5" x14ac:dyDescent="0.15">
      <c r="E707" s="83"/>
    </row>
    <row r="708" spans="5:5" x14ac:dyDescent="0.15">
      <c r="E708" s="83"/>
    </row>
    <row r="709" spans="5:5" x14ac:dyDescent="0.15">
      <c r="E709" s="83"/>
    </row>
    <row r="710" spans="5:5" x14ac:dyDescent="0.15">
      <c r="E710" s="83"/>
    </row>
    <row r="711" spans="5:5" x14ac:dyDescent="0.15">
      <c r="E711" s="83"/>
    </row>
    <row r="712" spans="5:5" x14ac:dyDescent="0.15">
      <c r="E712" s="83"/>
    </row>
    <row r="713" spans="5:5" x14ac:dyDescent="0.15">
      <c r="E713" s="83"/>
    </row>
    <row r="714" spans="5:5" x14ac:dyDescent="0.15">
      <c r="E714" s="83"/>
    </row>
    <row r="715" spans="5:5" x14ac:dyDescent="0.15">
      <c r="E715" s="83"/>
    </row>
    <row r="716" spans="5:5" x14ac:dyDescent="0.15">
      <c r="E716" s="83"/>
    </row>
    <row r="717" spans="5:5" x14ac:dyDescent="0.15">
      <c r="E717" s="83"/>
    </row>
    <row r="718" spans="5:5" x14ac:dyDescent="0.15">
      <c r="E718" s="83"/>
    </row>
    <row r="719" spans="5:5" x14ac:dyDescent="0.15">
      <c r="E719" s="83"/>
    </row>
    <row r="720" spans="5:5" x14ac:dyDescent="0.15">
      <c r="E720" s="83"/>
    </row>
    <row r="721" spans="5:5" x14ac:dyDescent="0.15">
      <c r="E721" s="83"/>
    </row>
    <row r="722" spans="5:5" x14ac:dyDescent="0.15">
      <c r="E722" s="83"/>
    </row>
    <row r="723" spans="5:5" x14ac:dyDescent="0.15">
      <c r="E723" s="83"/>
    </row>
    <row r="724" spans="5:5" x14ac:dyDescent="0.15">
      <c r="E724" s="83"/>
    </row>
    <row r="725" spans="5:5" x14ac:dyDescent="0.15">
      <c r="E725" s="83"/>
    </row>
    <row r="726" spans="5:5" x14ac:dyDescent="0.15">
      <c r="E726" s="83"/>
    </row>
    <row r="727" spans="5:5" x14ac:dyDescent="0.15">
      <c r="E727" s="83"/>
    </row>
    <row r="728" spans="5:5" x14ac:dyDescent="0.15">
      <c r="E728" s="83"/>
    </row>
    <row r="729" spans="5:5" x14ac:dyDescent="0.15">
      <c r="E729" s="83"/>
    </row>
    <row r="730" spans="5:5" x14ac:dyDescent="0.15">
      <c r="E730" s="83"/>
    </row>
    <row r="731" spans="5:5" x14ac:dyDescent="0.15">
      <c r="E731" s="83"/>
    </row>
    <row r="732" spans="5:5" x14ac:dyDescent="0.15">
      <c r="E732" s="83"/>
    </row>
    <row r="733" spans="5:5" x14ac:dyDescent="0.15">
      <c r="E733" s="83"/>
    </row>
    <row r="734" spans="5:5" x14ac:dyDescent="0.15">
      <c r="E734" s="83"/>
    </row>
    <row r="735" spans="5:5" x14ac:dyDescent="0.15">
      <c r="E735" s="83"/>
    </row>
    <row r="736" spans="5:5" x14ac:dyDescent="0.15">
      <c r="E736" s="83"/>
    </row>
    <row r="737" spans="5:5" x14ac:dyDescent="0.15">
      <c r="E737" s="83"/>
    </row>
    <row r="738" spans="5:5" x14ac:dyDescent="0.15">
      <c r="E738" s="83"/>
    </row>
    <row r="739" spans="5:5" x14ac:dyDescent="0.15">
      <c r="E739" s="83"/>
    </row>
    <row r="740" spans="5:5" x14ac:dyDescent="0.15">
      <c r="E740" s="83"/>
    </row>
    <row r="741" spans="5:5" x14ac:dyDescent="0.15">
      <c r="E741" s="83"/>
    </row>
    <row r="742" spans="5:5" x14ac:dyDescent="0.15">
      <c r="E742" s="83"/>
    </row>
    <row r="743" spans="5:5" x14ac:dyDescent="0.15">
      <c r="E743" s="83"/>
    </row>
    <row r="744" spans="5:5" x14ac:dyDescent="0.15">
      <c r="E744" s="83"/>
    </row>
    <row r="745" spans="5:5" x14ac:dyDescent="0.15">
      <c r="E745" s="83"/>
    </row>
    <row r="746" spans="5:5" x14ac:dyDescent="0.15">
      <c r="E746" s="83"/>
    </row>
    <row r="747" spans="5:5" x14ac:dyDescent="0.15">
      <c r="E747" s="83"/>
    </row>
    <row r="748" spans="5:5" x14ac:dyDescent="0.15">
      <c r="E748" s="83"/>
    </row>
    <row r="749" spans="5:5" x14ac:dyDescent="0.15">
      <c r="E749" s="83"/>
    </row>
    <row r="750" spans="5:5" x14ac:dyDescent="0.15">
      <c r="E750" s="83"/>
    </row>
    <row r="751" spans="5:5" x14ac:dyDescent="0.15">
      <c r="E751" s="83"/>
    </row>
    <row r="752" spans="5:5" x14ac:dyDescent="0.15">
      <c r="E752" s="83"/>
    </row>
    <row r="753" spans="5:5" x14ac:dyDescent="0.15">
      <c r="E753" s="83"/>
    </row>
    <row r="754" spans="5:5" x14ac:dyDescent="0.15">
      <c r="E754" s="83"/>
    </row>
    <row r="755" spans="5:5" x14ac:dyDescent="0.15">
      <c r="E755" s="83"/>
    </row>
    <row r="756" spans="5:5" x14ac:dyDescent="0.15">
      <c r="E756" s="83"/>
    </row>
    <row r="757" spans="5:5" x14ac:dyDescent="0.15">
      <c r="E757" s="83"/>
    </row>
    <row r="758" spans="5:5" x14ac:dyDescent="0.15">
      <c r="E758" s="83"/>
    </row>
    <row r="759" spans="5:5" x14ac:dyDescent="0.15">
      <c r="E759" s="83"/>
    </row>
    <row r="760" spans="5:5" x14ac:dyDescent="0.15">
      <c r="E760" s="83"/>
    </row>
    <row r="761" spans="5:5" x14ac:dyDescent="0.15">
      <c r="E761" s="83"/>
    </row>
    <row r="762" spans="5:5" x14ac:dyDescent="0.15">
      <c r="E762" s="83"/>
    </row>
    <row r="763" spans="5:5" x14ac:dyDescent="0.15">
      <c r="E763" s="83"/>
    </row>
    <row r="764" spans="5:5" x14ac:dyDescent="0.15">
      <c r="E764" s="83"/>
    </row>
    <row r="765" spans="5:5" x14ac:dyDescent="0.15">
      <c r="E765" s="83"/>
    </row>
    <row r="766" spans="5:5" x14ac:dyDescent="0.15">
      <c r="E766" s="83"/>
    </row>
    <row r="767" spans="5:5" x14ac:dyDescent="0.15">
      <c r="E767" s="83"/>
    </row>
    <row r="768" spans="5:5" x14ac:dyDescent="0.15">
      <c r="E768" s="83"/>
    </row>
    <row r="769" spans="5:5" x14ac:dyDescent="0.15">
      <c r="E769" s="83"/>
    </row>
    <row r="770" spans="5:5" x14ac:dyDescent="0.15">
      <c r="E770" s="83"/>
    </row>
    <row r="771" spans="5:5" x14ac:dyDescent="0.15">
      <c r="E771" s="83"/>
    </row>
    <row r="772" spans="5:5" x14ac:dyDescent="0.15">
      <c r="E772" s="83"/>
    </row>
    <row r="773" spans="5:5" x14ac:dyDescent="0.15">
      <c r="E773" s="83"/>
    </row>
    <row r="774" spans="5:5" x14ac:dyDescent="0.15">
      <c r="E774" s="83"/>
    </row>
    <row r="775" spans="5:5" x14ac:dyDescent="0.15">
      <c r="E775" s="83"/>
    </row>
    <row r="776" spans="5:5" x14ac:dyDescent="0.15">
      <c r="E776" s="83"/>
    </row>
    <row r="777" spans="5:5" x14ac:dyDescent="0.15">
      <c r="E777" s="83"/>
    </row>
    <row r="778" spans="5:5" x14ac:dyDescent="0.15">
      <c r="E778" s="83"/>
    </row>
    <row r="779" spans="5:5" x14ac:dyDescent="0.15">
      <c r="E779" s="83"/>
    </row>
    <row r="780" spans="5:5" x14ac:dyDescent="0.15">
      <c r="E780" s="83"/>
    </row>
    <row r="781" spans="5:5" x14ac:dyDescent="0.15">
      <c r="E781" s="83"/>
    </row>
    <row r="782" spans="5:5" x14ac:dyDescent="0.15">
      <c r="E782" s="83"/>
    </row>
    <row r="783" spans="5:5" x14ac:dyDescent="0.15">
      <c r="E783" s="83"/>
    </row>
    <row r="784" spans="5:5" x14ac:dyDescent="0.15">
      <c r="E784" s="83"/>
    </row>
    <row r="785" spans="5:5" x14ac:dyDescent="0.15">
      <c r="E785" s="83"/>
    </row>
    <row r="786" spans="5:5" x14ac:dyDescent="0.15">
      <c r="E786" s="83"/>
    </row>
    <row r="787" spans="5:5" x14ac:dyDescent="0.15">
      <c r="E787" s="83"/>
    </row>
    <row r="788" spans="5:5" x14ac:dyDescent="0.15">
      <c r="E788" s="83"/>
    </row>
    <row r="789" spans="5:5" x14ac:dyDescent="0.15">
      <c r="E789" s="83"/>
    </row>
    <row r="790" spans="5:5" x14ac:dyDescent="0.15">
      <c r="E790" s="83"/>
    </row>
    <row r="791" spans="5:5" x14ac:dyDescent="0.15">
      <c r="E791" s="83"/>
    </row>
    <row r="792" spans="5:5" x14ac:dyDescent="0.15">
      <c r="E792" s="83"/>
    </row>
    <row r="793" spans="5:5" x14ac:dyDescent="0.15">
      <c r="E793" s="83"/>
    </row>
    <row r="794" spans="5:5" x14ac:dyDescent="0.15">
      <c r="E794" s="83"/>
    </row>
    <row r="795" spans="5:5" x14ac:dyDescent="0.15">
      <c r="E795" s="83"/>
    </row>
    <row r="796" spans="5:5" x14ac:dyDescent="0.15">
      <c r="E796" s="83"/>
    </row>
    <row r="797" spans="5:5" x14ac:dyDescent="0.15">
      <c r="E797" s="83"/>
    </row>
    <row r="798" spans="5:5" x14ac:dyDescent="0.15">
      <c r="E798" s="83"/>
    </row>
    <row r="799" spans="5:5" x14ac:dyDescent="0.15">
      <c r="E799" s="83"/>
    </row>
    <row r="800" spans="5:5" x14ac:dyDescent="0.15">
      <c r="E800" s="83"/>
    </row>
    <row r="801" spans="5:5" x14ac:dyDescent="0.15">
      <c r="E801" s="83"/>
    </row>
    <row r="802" spans="5:5" x14ac:dyDescent="0.15">
      <c r="E802" s="83"/>
    </row>
    <row r="803" spans="5:5" x14ac:dyDescent="0.15">
      <c r="E803" s="83"/>
    </row>
    <row r="804" spans="5:5" x14ac:dyDescent="0.15">
      <c r="E804" s="83"/>
    </row>
    <row r="805" spans="5:5" x14ac:dyDescent="0.15">
      <c r="E805" s="83"/>
    </row>
    <row r="806" spans="5:5" x14ac:dyDescent="0.15">
      <c r="E806" s="83"/>
    </row>
    <row r="807" spans="5:5" x14ac:dyDescent="0.15">
      <c r="E807" s="83"/>
    </row>
    <row r="808" spans="5:5" x14ac:dyDescent="0.15">
      <c r="E808" s="83"/>
    </row>
    <row r="809" spans="5:5" x14ac:dyDescent="0.15">
      <c r="E809" s="83"/>
    </row>
    <row r="810" spans="5:5" x14ac:dyDescent="0.15">
      <c r="E810" s="83"/>
    </row>
    <row r="811" spans="5:5" x14ac:dyDescent="0.15">
      <c r="E811" s="83"/>
    </row>
    <row r="812" spans="5:5" x14ac:dyDescent="0.15">
      <c r="E812" s="83"/>
    </row>
    <row r="813" spans="5:5" x14ac:dyDescent="0.15">
      <c r="E813" s="83"/>
    </row>
    <row r="814" spans="5:5" x14ac:dyDescent="0.15">
      <c r="E814" s="83"/>
    </row>
    <row r="815" spans="5:5" x14ac:dyDescent="0.15">
      <c r="E815" s="83"/>
    </row>
    <row r="816" spans="5:5" x14ac:dyDescent="0.15">
      <c r="E816" s="83"/>
    </row>
    <row r="817" spans="5:5" x14ac:dyDescent="0.15">
      <c r="E817" s="83"/>
    </row>
    <row r="818" spans="5:5" x14ac:dyDescent="0.15">
      <c r="E818" s="83"/>
    </row>
    <row r="819" spans="5:5" x14ac:dyDescent="0.15">
      <c r="E819" s="83"/>
    </row>
    <row r="820" spans="5:5" x14ac:dyDescent="0.15">
      <c r="E820" s="83"/>
    </row>
    <row r="821" spans="5:5" x14ac:dyDescent="0.15">
      <c r="E821" s="83"/>
    </row>
    <row r="822" spans="5:5" x14ac:dyDescent="0.15">
      <c r="E822" s="83"/>
    </row>
    <row r="823" spans="5:5" x14ac:dyDescent="0.15">
      <c r="E823" s="83"/>
    </row>
    <row r="824" spans="5:5" x14ac:dyDescent="0.15">
      <c r="E824" s="83"/>
    </row>
    <row r="825" spans="5:5" x14ac:dyDescent="0.15">
      <c r="E825" s="83"/>
    </row>
    <row r="826" spans="5:5" x14ac:dyDescent="0.15">
      <c r="E826" s="83"/>
    </row>
    <row r="827" spans="5:5" x14ac:dyDescent="0.15">
      <c r="E827" s="83"/>
    </row>
    <row r="828" spans="5:5" x14ac:dyDescent="0.15">
      <c r="E828" s="83"/>
    </row>
    <row r="829" spans="5:5" x14ac:dyDescent="0.15">
      <c r="E829" s="83"/>
    </row>
    <row r="830" spans="5:5" x14ac:dyDescent="0.15">
      <c r="E830" s="83"/>
    </row>
    <row r="831" spans="5:5" x14ac:dyDescent="0.15">
      <c r="E831" s="83"/>
    </row>
    <row r="832" spans="5:5" x14ac:dyDescent="0.15">
      <c r="E832" s="83"/>
    </row>
    <row r="833" spans="5:5" x14ac:dyDescent="0.15">
      <c r="E833" s="83"/>
    </row>
    <row r="834" spans="5:5" x14ac:dyDescent="0.15">
      <c r="E834" s="83"/>
    </row>
    <row r="835" spans="5:5" x14ac:dyDescent="0.15">
      <c r="E835" s="83"/>
    </row>
    <row r="836" spans="5:5" x14ac:dyDescent="0.15">
      <c r="E836" s="83"/>
    </row>
    <row r="837" spans="5:5" x14ac:dyDescent="0.15">
      <c r="E837" s="83"/>
    </row>
    <row r="838" spans="5:5" x14ac:dyDescent="0.15">
      <c r="E838" s="83"/>
    </row>
    <row r="839" spans="5:5" x14ac:dyDescent="0.15">
      <c r="E839" s="83"/>
    </row>
    <row r="840" spans="5:5" x14ac:dyDescent="0.15">
      <c r="E840" s="83"/>
    </row>
    <row r="841" spans="5:5" x14ac:dyDescent="0.15">
      <c r="E841" s="83"/>
    </row>
    <row r="842" spans="5:5" x14ac:dyDescent="0.15">
      <c r="E842" s="83"/>
    </row>
    <row r="843" spans="5:5" x14ac:dyDescent="0.15">
      <c r="E843" s="83"/>
    </row>
    <row r="844" spans="5:5" x14ac:dyDescent="0.15">
      <c r="E844" s="83"/>
    </row>
    <row r="845" spans="5:5" x14ac:dyDescent="0.15">
      <c r="E845" s="83"/>
    </row>
    <row r="846" spans="5:5" x14ac:dyDescent="0.15">
      <c r="E846" s="83"/>
    </row>
    <row r="847" spans="5:5" x14ac:dyDescent="0.15">
      <c r="E847" s="83"/>
    </row>
    <row r="848" spans="5:5" x14ac:dyDescent="0.15">
      <c r="E848" s="83"/>
    </row>
    <row r="849" spans="5:5" x14ac:dyDescent="0.15">
      <c r="E849" s="83"/>
    </row>
    <row r="850" spans="5:5" x14ac:dyDescent="0.15">
      <c r="E850" s="83"/>
    </row>
    <row r="851" spans="5:5" x14ac:dyDescent="0.15">
      <c r="E851" s="83"/>
    </row>
    <row r="852" spans="5:5" x14ac:dyDescent="0.15">
      <c r="E852" s="83"/>
    </row>
    <row r="853" spans="5:5" x14ac:dyDescent="0.15">
      <c r="E853" s="83"/>
    </row>
    <row r="854" spans="5:5" x14ac:dyDescent="0.15">
      <c r="E854" s="83"/>
    </row>
    <row r="855" spans="5:5" x14ac:dyDescent="0.15">
      <c r="E855" s="83"/>
    </row>
    <row r="856" spans="5:5" x14ac:dyDescent="0.15">
      <c r="E856" s="83"/>
    </row>
    <row r="857" spans="5:5" x14ac:dyDescent="0.15">
      <c r="E857" s="83"/>
    </row>
    <row r="858" spans="5:5" x14ac:dyDescent="0.15">
      <c r="E858" s="83"/>
    </row>
    <row r="859" spans="5:5" x14ac:dyDescent="0.15">
      <c r="E859" s="83"/>
    </row>
    <row r="860" spans="5:5" x14ac:dyDescent="0.15">
      <c r="E860" s="83"/>
    </row>
    <row r="861" spans="5:5" x14ac:dyDescent="0.15">
      <c r="E861" s="83"/>
    </row>
    <row r="862" spans="5:5" x14ac:dyDescent="0.15">
      <c r="E862" s="83"/>
    </row>
    <row r="863" spans="5:5" x14ac:dyDescent="0.15">
      <c r="E863" s="83"/>
    </row>
    <row r="864" spans="5:5" x14ac:dyDescent="0.15">
      <c r="E864" s="83"/>
    </row>
    <row r="865" spans="5:5" x14ac:dyDescent="0.15">
      <c r="E865" s="83"/>
    </row>
    <row r="866" spans="5:5" x14ac:dyDescent="0.15">
      <c r="E866" s="83"/>
    </row>
    <row r="867" spans="5:5" x14ac:dyDescent="0.15">
      <c r="E867" s="83"/>
    </row>
    <row r="868" spans="5:5" x14ac:dyDescent="0.15">
      <c r="E868" s="83"/>
    </row>
    <row r="869" spans="5:5" x14ac:dyDescent="0.15">
      <c r="E869" s="83"/>
    </row>
    <row r="870" spans="5:5" x14ac:dyDescent="0.15">
      <c r="E870" s="83"/>
    </row>
    <row r="871" spans="5:5" x14ac:dyDescent="0.15">
      <c r="E871" s="83"/>
    </row>
    <row r="872" spans="5:5" x14ac:dyDescent="0.15">
      <c r="E872" s="83"/>
    </row>
    <row r="873" spans="5:5" x14ac:dyDescent="0.15">
      <c r="E873" s="83"/>
    </row>
    <row r="874" spans="5:5" x14ac:dyDescent="0.15">
      <c r="E874" s="83"/>
    </row>
    <row r="875" spans="5:5" x14ac:dyDescent="0.15">
      <c r="E875" s="83"/>
    </row>
    <row r="876" spans="5:5" x14ac:dyDescent="0.15">
      <c r="E876" s="83"/>
    </row>
    <row r="877" spans="5:5" x14ac:dyDescent="0.15">
      <c r="E877" s="83"/>
    </row>
    <row r="878" spans="5:5" x14ac:dyDescent="0.15">
      <c r="E878" s="83"/>
    </row>
    <row r="879" spans="5:5" x14ac:dyDescent="0.15">
      <c r="E879" s="83"/>
    </row>
    <row r="880" spans="5:5" x14ac:dyDescent="0.15">
      <c r="E880" s="83"/>
    </row>
    <row r="881" spans="5:5" x14ac:dyDescent="0.15">
      <c r="E881" s="83"/>
    </row>
    <row r="882" spans="5:5" x14ac:dyDescent="0.15">
      <c r="E882" s="83"/>
    </row>
    <row r="883" spans="5:5" x14ac:dyDescent="0.15">
      <c r="E883" s="83"/>
    </row>
    <row r="884" spans="5:5" x14ac:dyDescent="0.15">
      <c r="E884" s="83"/>
    </row>
    <row r="885" spans="5:5" x14ac:dyDescent="0.15">
      <c r="E885" s="83"/>
    </row>
    <row r="886" spans="5:5" x14ac:dyDescent="0.15">
      <c r="E886" s="83"/>
    </row>
    <row r="887" spans="5:5" x14ac:dyDescent="0.15">
      <c r="E887" s="83"/>
    </row>
    <row r="888" spans="5:5" x14ac:dyDescent="0.15">
      <c r="E888" s="83"/>
    </row>
    <row r="889" spans="5:5" x14ac:dyDescent="0.15">
      <c r="E889" s="83"/>
    </row>
    <row r="890" spans="5:5" x14ac:dyDescent="0.15">
      <c r="E890" s="83"/>
    </row>
    <row r="891" spans="5:5" x14ac:dyDescent="0.15">
      <c r="E891" s="83"/>
    </row>
    <row r="892" spans="5:5" x14ac:dyDescent="0.15">
      <c r="E892" s="83"/>
    </row>
    <row r="893" spans="5:5" x14ac:dyDescent="0.15">
      <c r="E893" s="83"/>
    </row>
    <row r="894" spans="5:5" x14ac:dyDescent="0.15">
      <c r="E894" s="83"/>
    </row>
    <row r="895" spans="5:5" x14ac:dyDescent="0.15">
      <c r="E895" s="83"/>
    </row>
    <row r="896" spans="5:5" x14ac:dyDescent="0.15">
      <c r="E896" s="83"/>
    </row>
    <row r="897" spans="5:5" x14ac:dyDescent="0.15">
      <c r="E897" s="83"/>
    </row>
    <row r="898" spans="5:5" x14ac:dyDescent="0.15">
      <c r="E898" s="83"/>
    </row>
    <row r="899" spans="5:5" x14ac:dyDescent="0.15">
      <c r="E899" s="83"/>
    </row>
    <row r="900" spans="5:5" x14ac:dyDescent="0.15">
      <c r="E900" s="83"/>
    </row>
    <row r="901" spans="5:5" x14ac:dyDescent="0.15">
      <c r="E901" s="83"/>
    </row>
    <row r="902" spans="5:5" x14ac:dyDescent="0.15">
      <c r="E902" s="83"/>
    </row>
    <row r="903" spans="5:5" x14ac:dyDescent="0.15">
      <c r="E903" s="83"/>
    </row>
    <row r="904" spans="5:5" x14ac:dyDescent="0.15">
      <c r="E904" s="83"/>
    </row>
    <row r="905" spans="5:5" x14ac:dyDescent="0.15">
      <c r="E905" s="83"/>
    </row>
    <row r="906" spans="5:5" x14ac:dyDescent="0.15">
      <c r="E906" s="83"/>
    </row>
    <row r="907" spans="5:5" x14ac:dyDescent="0.15">
      <c r="E907" s="83"/>
    </row>
    <row r="908" spans="5:5" x14ac:dyDescent="0.15">
      <c r="E908" s="83"/>
    </row>
    <row r="909" spans="5:5" x14ac:dyDescent="0.15">
      <c r="E909" s="83"/>
    </row>
    <row r="910" spans="5:5" x14ac:dyDescent="0.15">
      <c r="E910" s="83"/>
    </row>
    <row r="911" spans="5:5" x14ac:dyDescent="0.15">
      <c r="E911" s="83"/>
    </row>
    <row r="912" spans="5:5" x14ac:dyDescent="0.15">
      <c r="E912" s="83"/>
    </row>
    <row r="913" spans="5:5" x14ac:dyDescent="0.15">
      <c r="E913" s="83"/>
    </row>
    <row r="914" spans="5:5" x14ac:dyDescent="0.15">
      <c r="E914" s="83"/>
    </row>
    <row r="915" spans="5:5" x14ac:dyDescent="0.15">
      <c r="E915" s="83"/>
    </row>
    <row r="916" spans="5:5" x14ac:dyDescent="0.15">
      <c r="E916" s="83"/>
    </row>
    <row r="917" spans="5:5" x14ac:dyDescent="0.15">
      <c r="E917" s="83"/>
    </row>
    <row r="918" spans="5:5" x14ac:dyDescent="0.15">
      <c r="E918" s="83"/>
    </row>
    <row r="919" spans="5:5" x14ac:dyDescent="0.15">
      <c r="E919" s="83"/>
    </row>
    <row r="920" spans="5:5" x14ac:dyDescent="0.15">
      <c r="E920" s="83"/>
    </row>
    <row r="921" spans="5:5" x14ac:dyDescent="0.15">
      <c r="E921" s="83"/>
    </row>
    <row r="922" spans="5:5" x14ac:dyDescent="0.15">
      <c r="E922" s="83"/>
    </row>
    <row r="923" spans="5:5" x14ac:dyDescent="0.15">
      <c r="E923" s="83"/>
    </row>
    <row r="924" spans="5:5" x14ac:dyDescent="0.15">
      <c r="E924" s="83"/>
    </row>
    <row r="925" spans="5:5" x14ac:dyDescent="0.15">
      <c r="E925" s="83"/>
    </row>
    <row r="926" spans="5:5" x14ac:dyDescent="0.15">
      <c r="E926" s="83"/>
    </row>
    <row r="927" spans="5:5" x14ac:dyDescent="0.15">
      <c r="E927" s="83"/>
    </row>
    <row r="928" spans="5:5" x14ac:dyDescent="0.15">
      <c r="E928" s="83"/>
    </row>
    <row r="929" spans="5:5" x14ac:dyDescent="0.15">
      <c r="E929" s="83"/>
    </row>
    <row r="930" spans="5:5" x14ac:dyDescent="0.15">
      <c r="E930" s="83"/>
    </row>
    <row r="931" spans="5:5" x14ac:dyDescent="0.15">
      <c r="E931" s="83"/>
    </row>
    <row r="932" spans="5:5" x14ac:dyDescent="0.15">
      <c r="E932" s="83"/>
    </row>
    <row r="933" spans="5:5" x14ac:dyDescent="0.15">
      <c r="E933" s="83"/>
    </row>
    <row r="934" spans="5:5" x14ac:dyDescent="0.15">
      <c r="E934" s="83"/>
    </row>
    <row r="935" spans="5:5" x14ac:dyDescent="0.15">
      <c r="E935" s="83"/>
    </row>
    <row r="936" spans="5:5" x14ac:dyDescent="0.15">
      <c r="E936" s="83"/>
    </row>
    <row r="937" spans="5:5" x14ac:dyDescent="0.15">
      <c r="E937" s="83"/>
    </row>
    <row r="938" spans="5:5" x14ac:dyDescent="0.15">
      <c r="E938" s="83"/>
    </row>
    <row r="939" spans="5:5" x14ac:dyDescent="0.15">
      <c r="E939" s="83"/>
    </row>
    <row r="940" spans="5:5" x14ac:dyDescent="0.15">
      <c r="E940" s="83"/>
    </row>
    <row r="941" spans="5:5" x14ac:dyDescent="0.15">
      <c r="E941" s="83"/>
    </row>
    <row r="942" spans="5:5" x14ac:dyDescent="0.15">
      <c r="E942" s="83"/>
    </row>
    <row r="943" spans="5:5" x14ac:dyDescent="0.15">
      <c r="E943" s="83"/>
    </row>
    <row r="944" spans="5:5" x14ac:dyDescent="0.15">
      <c r="E944" s="83"/>
    </row>
    <row r="945" spans="5:5" x14ac:dyDescent="0.15">
      <c r="E945" s="83"/>
    </row>
    <row r="946" spans="5:5" x14ac:dyDescent="0.15">
      <c r="E946" s="83"/>
    </row>
    <row r="947" spans="5:5" x14ac:dyDescent="0.15">
      <c r="E947" s="83"/>
    </row>
    <row r="948" spans="5:5" x14ac:dyDescent="0.15">
      <c r="E948" s="83"/>
    </row>
    <row r="949" spans="5:5" x14ac:dyDescent="0.15">
      <c r="E949" s="83"/>
    </row>
    <row r="950" spans="5:5" x14ac:dyDescent="0.15">
      <c r="E950" s="83"/>
    </row>
    <row r="951" spans="5:5" x14ac:dyDescent="0.15">
      <c r="E951" s="83"/>
    </row>
    <row r="952" spans="5:5" x14ac:dyDescent="0.15">
      <c r="E952" s="83"/>
    </row>
    <row r="953" spans="5:5" x14ac:dyDescent="0.15">
      <c r="E953" s="83"/>
    </row>
    <row r="954" spans="5:5" x14ac:dyDescent="0.15">
      <c r="E954" s="83"/>
    </row>
    <row r="955" spans="5:5" x14ac:dyDescent="0.15">
      <c r="E955" s="83"/>
    </row>
    <row r="956" spans="5:5" x14ac:dyDescent="0.15">
      <c r="E956" s="83"/>
    </row>
    <row r="957" spans="5:5" x14ac:dyDescent="0.15">
      <c r="E957" s="83"/>
    </row>
    <row r="958" spans="5:5" x14ac:dyDescent="0.15">
      <c r="E958" s="83"/>
    </row>
    <row r="959" spans="5:5" x14ac:dyDescent="0.15">
      <c r="E959" s="83"/>
    </row>
    <row r="960" spans="5:5" x14ac:dyDescent="0.15">
      <c r="E960" s="83"/>
    </row>
    <row r="961" spans="5:5" x14ac:dyDescent="0.15">
      <c r="E961" s="83"/>
    </row>
    <row r="962" spans="5:5" x14ac:dyDescent="0.15">
      <c r="E962" s="83"/>
    </row>
    <row r="963" spans="5:5" x14ac:dyDescent="0.15">
      <c r="E963" s="83"/>
    </row>
    <row r="964" spans="5:5" x14ac:dyDescent="0.15">
      <c r="E964" s="83"/>
    </row>
    <row r="965" spans="5:5" x14ac:dyDescent="0.15">
      <c r="E965" s="83"/>
    </row>
    <row r="966" spans="5:5" x14ac:dyDescent="0.15">
      <c r="E966" s="83"/>
    </row>
    <row r="967" spans="5:5" x14ac:dyDescent="0.15">
      <c r="E967" s="83"/>
    </row>
    <row r="968" spans="5:5" x14ac:dyDescent="0.15">
      <c r="E968" s="83"/>
    </row>
    <row r="969" spans="5:5" x14ac:dyDescent="0.15">
      <c r="E969" s="83"/>
    </row>
    <row r="970" spans="5:5" x14ac:dyDescent="0.15">
      <c r="E970" s="83"/>
    </row>
    <row r="971" spans="5:5" x14ac:dyDescent="0.15">
      <c r="E971" s="83"/>
    </row>
    <row r="972" spans="5:5" x14ac:dyDescent="0.15">
      <c r="E972" s="83"/>
    </row>
    <row r="973" spans="5:5" x14ac:dyDescent="0.15">
      <c r="E973" s="83"/>
    </row>
    <row r="974" spans="5:5" x14ac:dyDescent="0.15">
      <c r="E974" s="83"/>
    </row>
    <row r="975" spans="5:5" x14ac:dyDescent="0.15">
      <c r="E975" s="83"/>
    </row>
    <row r="976" spans="5:5" x14ac:dyDescent="0.15">
      <c r="E976" s="83"/>
    </row>
    <row r="977" spans="5:5" x14ac:dyDescent="0.15">
      <c r="E977" s="83"/>
    </row>
    <row r="978" spans="5:5" x14ac:dyDescent="0.15">
      <c r="E978" s="83"/>
    </row>
    <row r="979" spans="5:5" x14ac:dyDescent="0.15">
      <c r="E979" s="83"/>
    </row>
    <row r="980" spans="5:5" x14ac:dyDescent="0.15">
      <c r="E980" s="83"/>
    </row>
    <row r="981" spans="5:5" x14ac:dyDescent="0.15">
      <c r="E981" s="83"/>
    </row>
    <row r="982" spans="5:5" x14ac:dyDescent="0.15">
      <c r="E982" s="83"/>
    </row>
    <row r="983" spans="5:5" x14ac:dyDescent="0.15">
      <c r="E983" s="83"/>
    </row>
    <row r="984" spans="5:5" x14ac:dyDescent="0.15">
      <c r="E984" s="83"/>
    </row>
    <row r="985" spans="5:5" x14ac:dyDescent="0.15">
      <c r="E985" s="83"/>
    </row>
    <row r="986" spans="5:5" x14ac:dyDescent="0.15">
      <c r="E986" s="83"/>
    </row>
    <row r="987" spans="5:5" x14ac:dyDescent="0.15">
      <c r="E987" s="83"/>
    </row>
    <row r="988" spans="5:5" x14ac:dyDescent="0.15">
      <c r="E988" s="83"/>
    </row>
    <row r="989" spans="5:5" x14ac:dyDescent="0.15">
      <c r="E989" s="83"/>
    </row>
    <row r="990" spans="5:5" x14ac:dyDescent="0.15">
      <c r="E990" s="83"/>
    </row>
    <row r="991" spans="5:5" x14ac:dyDescent="0.15">
      <c r="E991" s="83"/>
    </row>
    <row r="992" spans="5:5" x14ac:dyDescent="0.15">
      <c r="E992" s="83"/>
    </row>
    <row r="993" spans="5:5" x14ac:dyDescent="0.15">
      <c r="E993" s="83"/>
    </row>
    <row r="994" spans="5:5" x14ac:dyDescent="0.15">
      <c r="E994" s="83"/>
    </row>
    <row r="995" spans="5:5" x14ac:dyDescent="0.15">
      <c r="E995" s="83"/>
    </row>
    <row r="996" spans="5:5" x14ac:dyDescent="0.15">
      <c r="E996" s="83"/>
    </row>
    <row r="997" spans="5:5" x14ac:dyDescent="0.15">
      <c r="E997" s="83"/>
    </row>
    <row r="998" spans="5:5" x14ac:dyDescent="0.15">
      <c r="E998" s="83"/>
    </row>
    <row r="999" spans="5:5" x14ac:dyDescent="0.15">
      <c r="E999" s="83"/>
    </row>
    <row r="1000" spans="5:5" x14ac:dyDescent="0.15">
      <c r="E1000" s="83"/>
    </row>
    <row r="1001" spans="5:5" x14ac:dyDescent="0.15">
      <c r="E1001" s="83"/>
    </row>
    <row r="1002" spans="5:5" x14ac:dyDescent="0.15">
      <c r="E1002" s="83"/>
    </row>
    <row r="1003" spans="5:5" x14ac:dyDescent="0.15">
      <c r="E1003" s="83"/>
    </row>
    <row r="1004" spans="5:5" x14ac:dyDescent="0.15">
      <c r="E1004" s="83"/>
    </row>
    <row r="1005" spans="5:5" x14ac:dyDescent="0.15">
      <c r="E1005" s="83"/>
    </row>
    <row r="1006" spans="5:5" x14ac:dyDescent="0.15">
      <c r="E1006" s="83"/>
    </row>
    <row r="1007" spans="5:5" x14ac:dyDescent="0.15">
      <c r="E1007" s="83"/>
    </row>
    <row r="1008" spans="5:5" x14ac:dyDescent="0.15">
      <c r="E1008" s="83"/>
    </row>
    <row r="1009" spans="5:5" x14ac:dyDescent="0.15">
      <c r="E1009" s="83"/>
    </row>
    <row r="1010" spans="5:5" x14ac:dyDescent="0.15">
      <c r="E1010" s="83"/>
    </row>
    <row r="1011" spans="5:5" x14ac:dyDescent="0.15">
      <c r="E1011" s="83"/>
    </row>
    <row r="1012" spans="5:5" x14ac:dyDescent="0.15">
      <c r="E1012" s="83"/>
    </row>
    <row r="1013" spans="5:5" x14ac:dyDescent="0.15">
      <c r="E1013" s="83"/>
    </row>
    <row r="1014" spans="5:5" x14ac:dyDescent="0.15">
      <c r="E1014" s="83"/>
    </row>
    <row r="1015" spans="5:5" x14ac:dyDescent="0.15">
      <c r="E1015" s="83"/>
    </row>
    <row r="1016" spans="5:5" x14ac:dyDescent="0.15">
      <c r="E1016" s="83"/>
    </row>
    <row r="1017" spans="5:5" x14ac:dyDescent="0.15">
      <c r="E1017" s="83"/>
    </row>
    <row r="1018" spans="5:5" x14ac:dyDescent="0.15">
      <c r="E1018" s="83"/>
    </row>
    <row r="1019" spans="5:5" x14ac:dyDescent="0.15">
      <c r="E1019" s="83"/>
    </row>
    <row r="1020" spans="5:5" x14ac:dyDescent="0.15">
      <c r="E1020" s="83"/>
    </row>
    <row r="1021" spans="5:5" x14ac:dyDescent="0.15">
      <c r="E1021" s="83"/>
    </row>
    <row r="1022" spans="5:5" x14ac:dyDescent="0.15">
      <c r="E1022" s="83"/>
    </row>
    <row r="1023" spans="5:5" x14ac:dyDescent="0.15">
      <c r="E1023" s="83"/>
    </row>
    <row r="1024" spans="5:5" x14ac:dyDescent="0.15">
      <c r="E1024" s="83"/>
    </row>
    <row r="1025" spans="5:5" x14ac:dyDescent="0.15">
      <c r="E1025" s="83"/>
    </row>
    <row r="1026" spans="5:5" x14ac:dyDescent="0.15">
      <c r="E1026" s="83"/>
    </row>
    <row r="1027" spans="5:5" x14ac:dyDescent="0.15">
      <c r="E1027" s="83"/>
    </row>
    <row r="1028" spans="5:5" x14ac:dyDescent="0.15">
      <c r="E1028" s="83"/>
    </row>
    <row r="1029" spans="5:5" x14ac:dyDescent="0.15">
      <c r="E1029" s="83"/>
    </row>
    <row r="1030" spans="5:5" x14ac:dyDescent="0.15">
      <c r="E1030" s="83"/>
    </row>
    <row r="1031" spans="5:5" x14ac:dyDescent="0.15">
      <c r="E1031" s="83"/>
    </row>
    <row r="1032" spans="5:5" x14ac:dyDescent="0.15">
      <c r="E1032" s="83"/>
    </row>
    <row r="1033" spans="5:5" x14ac:dyDescent="0.15">
      <c r="E1033" s="83"/>
    </row>
    <row r="1034" spans="5:5" x14ac:dyDescent="0.15">
      <c r="E1034" s="83"/>
    </row>
    <row r="1035" spans="5:5" x14ac:dyDescent="0.15">
      <c r="E1035" s="83"/>
    </row>
    <row r="1036" spans="5:5" x14ac:dyDescent="0.15">
      <c r="E1036" s="83"/>
    </row>
    <row r="1037" spans="5:5" x14ac:dyDescent="0.15">
      <c r="E1037" s="83"/>
    </row>
    <row r="1038" spans="5:5" x14ac:dyDescent="0.15">
      <c r="E1038" s="83"/>
    </row>
    <row r="1039" spans="5:5" x14ac:dyDescent="0.15">
      <c r="E1039" s="83"/>
    </row>
    <row r="1040" spans="5:5" x14ac:dyDescent="0.15">
      <c r="E1040" s="83"/>
    </row>
    <row r="1041" spans="5:5" x14ac:dyDescent="0.15">
      <c r="E1041" s="83"/>
    </row>
    <row r="1042" spans="5:5" x14ac:dyDescent="0.15">
      <c r="E1042" s="83"/>
    </row>
    <row r="1043" spans="5:5" x14ac:dyDescent="0.15">
      <c r="E1043" s="83"/>
    </row>
    <row r="1044" spans="5:5" x14ac:dyDescent="0.15">
      <c r="E1044" s="83"/>
    </row>
    <row r="1045" spans="5:5" x14ac:dyDescent="0.15">
      <c r="E1045" s="83"/>
    </row>
    <row r="1046" spans="5:5" x14ac:dyDescent="0.15">
      <c r="E1046" s="83"/>
    </row>
    <row r="1047" spans="5:5" x14ac:dyDescent="0.15">
      <c r="E1047" s="83"/>
    </row>
    <row r="1048" spans="5:5" x14ac:dyDescent="0.15">
      <c r="E1048" s="83"/>
    </row>
    <row r="1049" spans="5:5" x14ac:dyDescent="0.15">
      <c r="E1049" s="83"/>
    </row>
    <row r="1050" spans="5:5" x14ac:dyDescent="0.15">
      <c r="E1050" s="83"/>
    </row>
    <row r="1051" spans="5:5" x14ac:dyDescent="0.15">
      <c r="E1051" s="83"/>
    </row>
    <row r="1052" spans="5:5" x14ac:dyDescent="0.15">
      <c r="E1052" s="83"/>
    </row>
    <row r="1053" spans="5:5" x14ac:dyDescent="0.15">
      <c r="E1053" s="83"/>
    </row>
    <row r="1054" spans="5:5" x14ac:dyDescent="0.15">
      <c r="E1054" s="83"/>
    </row>
    <row r="1055" spans="5:5" x14ac:dyDescent="0.15">
      <c r="E1055" s="83"/>
    </row>
    <row r="1056" spans="5:5" x14ac:dyDescent="0.15">
      <c r="E1056" s="83"/>
    </row>
    <row r="1057" spans="5:5" x14ac:dyDescent="0.15">
      <c r="E1057" s="83"/>
    </row>
    <row r="1058" spans="5:5" x14ac:dyDescent="0.15">
      <c r="E1058" s="83"/>
    </row>
    <row r="1059" spans="5:5" x14ac:dyDescent="0.15">
      <c r="E1059" s="83"/>
    </row>
    <row r="1060" spans="5:5" x14ac:dyDescent="0.15">
      <c r="E1060" s="83"/>
    </row>
    <row r="1061" spans="5:5" x14ac:dyDescent="0.15">
      <c r="E1061" s="83"/>
    </row>
    <row r="1062" spans="5:5" x14ac:dyDescent="0.15">
      <c r="E1062" s="83"/>
    </row>
    <row r="1063" spans="5:5" x14ac:dyDescent="0.15">
      <c r="E1063" s="83"/>
    </row>
    <row r="1064" spans="5:5" x14ac:dyDescent="0.15">
      <c r="E1064" s="83"/>
    </row>
    <row r="1065" spans="5:5" x14ac:dyDescent="0.15">
      <c r="E1065" s="83"/>
    </row>
    <row r="1066" spans="5:5" x14ac:dyDescent="0.15">
      <c r="E1066" s="83"/>
    </row>
    <row r="1067" spans="5:5" x14ac:dyDescent="0.15">
      <c r="E1067" s="83"/>
    </row>
    <row r="1068" spans="5:5" x14ac:dyDescent="0.15">
      <c r="E1068" s="83"/>
    </row>
    <row r="1069" spans="5:5" x14ac:dyDescent="0.15">
      <c r="E1069" s="83"/>
    </row>
    <row r="1070" spans="5:5" x14ac:dyDescent="0.15">
      <c r="E1070" s="83"/>
    </row>
    <row r="1071" spans="5:5" x14ac:dyDescent="0.15">
      <c r="E1071" s="83"/>
    </row>
    <row r="1072" spans="5:5" x14ac:dyDescent="0.15">
      <c r="E1072" s="83"/>
    </row>
    <row r="1073" spans="5:5" x14ac:dyDescent="0.15">
      <c r="E1073" s="83"/>
    </row>
    <row r="1074" spans="5:5" x14ac:dyDescent="0.15">
      <c r="E1074" s="83"/>
    </row>
    <row r="1075" spans="5:5" x14ac:dyDescent="0.15">
      <c r="E1075" s="83"/>
    </row>
    <row r="1076" spans="5:5" x14ac:dyDescent="0.15">
      <c r="E1076" s="83"/>
    </row>
    <row r="1077" spans="5:5" x14ac:dyDescent="0.15">
      <c r="E1077" s="83"/>
    </row>
    <row r="1078" spans="5:5" x14ac:dyDescent="0.15">
      <c r="E1078" s="83"/>
    </row>
    <row r="1079" spans="5:5" x14ac:dyDescent="0.15">
      <c r="E1079" s="83"/>
    </row>
    <row r="1080" spans="5:5" x14ac:dyDescent="0.15">
      <c r="E1080" s="83"/>
    </row>
    <row r="1081" spans="5:5" x14ac:dyDescent="0.15">
      <c r="E1081" s="83"/>
    </row>
    <row r="1082" spans="5:5" x14ac:dyDescent="0.15">
      <c r="E1082" s="83"/>
    </row>
    <row r="1083" spans="5:5" x14ac:dyDescent="0.15">
      <c r="E1083" s="83"/>
    </row>
    <row r="1084" spans="5:5" x14ac:dyDescent="0.15">
      <c r="E1084" s="83"/>
    </row>
    <row r="1085" spans="5:5" x14ac:dyDescent="0.15">
      <c r="E1085" s="83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883"/>
  <sheetViews>
    <sheetView showGridLines="0" zoomScaleNormal="100" workbookViewId="0">
      <pane ySplit="19" topLeftCell="A20" activePane="bottomLeft" state="frozen"/>
      <selection pane="bottomLeft" activeCell="E32" sqref="E28:F32"/>
    </sheetView>
  </sheetViews>
  <sheetFormatPr defaultRowHeight="13.5" x14ac:dyDescent="0.15"/>
  <cols>
    <col min="1" max="1" width="13.5" customWidth="1"/>
    <col min="2" max="2" width="12" bestFit="1" customWidth="1"/>
    <col min="3" max="3" width="9" bestFit="1" customWidth="1"/>
    <col min="4" max="4" width="2.75" bestFit="1" customWidth="1"/>
    <col min="5" max="5" width="51.75" customWidth="1"/>
    <col min="6" max="6" width="22.375" customWidth="1"/>
  </cols>
  <sheetData>
    <row r="1" spans="1:8" ht="7.15" customHeight="1" x14ac:dyDescent="0.15"/>
    <row r="2" spans="1:8" x14ac:dyDescent="0.15">
      <c r="A2" s="4" t="s">
        <v>40</v>
      </c>
      <c r="B2" s="11" t="s">
        <v>7363</v>
      </c>
      <c r="C2" s="8">
        <f>COUNTIF(单词表[单词出处],CTEST_BOOK)</f>
        <v>152</v>
      </c>
      <c r="G2" s="4" t="s">
        <v>113</v>
      </c>
      <c r="H2" s="7">
        <v>0</v>
      </c>
    </row>
    <row r="3" spans="1:8" x14ac:dyDescent="0.15">
      <c r="A3" s="4" t="s">
        <v>111</v>
      </c>
      <c r="B3" s="11" t="s">
        <v>7366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0</v>
      </c>
      <c r="G3" s="4" t="s">
        <v>112</v>
      </c>
      <c r="H3" s="7">
        <v>1</v>
      </c>
    </row>
    <row r="4" spans="1:8" x14ac:dyDescent="0.15">
      <c r="A4" s="4" t="s">
        <v>5931</v>
      </c>
      <c r="B4" s="34" t="s">
        <v>6660</v>
      </c>
    </row>
    <row r="5" spans="1:8" x14ac:dyDescent="0.15">
      <c r="A5" s="4" t="s">
        <v>119</v>
      </c>
      <c r="B5" s="11">
        <v>1</v>
      </c>
      <c r="C5" t="s">
        <v>120</v>
      </c>
    </row>
    <row r="6" spans="1:8" x14ac:dyDescent="0.15">
      <c r="A6" s="4" t="s">
        <v>152</v>
      </c>
      <c r="B6" s="11">
        <v>1</v>
      </c>
      <c r="C6" t="s">
        <v>5851</v>
      </c>
    </row>
    <row r="7" spans="1:8" x14ac:dyDescent="0.15">
      <c r="A7" s="4" t="s">
        <v>153</v>
      </c>
      <c r="B7" s="8">
        <v>0</v>
      </c>
      <c r="C7" t="s">
        <v>122</v>
      </c>
    </row>
    <row r="8" spans="1:8" ht="42" customHeight="1" thickBot="1" x14ac:dyDescent="0.2">
      <c r="B8" s="37" t="s">
        <v>5860</v>
      </c>
      <c r="E8" s="81" t="s">
        <v>7774</v>
      </c>
      <c r="F8" s="84"/>
    </row>
    <row r="9" spans="1:8" ht="24.6" customHeight="1" x14ac:dyDescent="0.15">
      <c r="A9" s="39" t="s">
        <v>5859</v>
      </c>
      <c r="B9" s="38" t="s">
        <v>7773</v>
      </c>
      <c r="E9" s="6" t="s">
        <v>5670</v>
      </c>
    </row>
    <row r="10" spans="1:8" ht="6" customHeight="1" x14ac:dyDescent="0.15">
      <c r="A10" s="29"/>
      <c r="B10" s="29"/>
    </row>
    <row r="11" spans="1:8" x14ac:dyDescent="0.15">
      <c r="A11" s="5">
        <v>3968</v>
      </c>
      <c r="B11" s="40" t="s">
        <v>702</v>
      </c>
      <c r="C11" s="41" t="s">
        <v>36</v>
      </c>
      <c r="D11" s="7" t="s">
        <v>144</v>
      </c>
      <c r="E11" s="30" t="s">
        <v>3073</v>
      </c>
    </row>
    <row r="12" spans="1:8" x14ac:dyDescent="0.15">
      <c r="A12" s="5">
        <v>3</v>
      </c>
      <c r="B12" s="40" t="s">
        <v>736</v>
      </c>
      <c r="C12" s="41" t="s">
        <v>61</v>
      </c>
      <c r="D12" s="7" t="s">
        <v>145</v>
      </c>
      <c r="E12" s="30" t="s">
        <v>460</v>
      </c>
    </row>
    <row r="13" spans="1:8" x14ac:dyDescent="0.15">
      <c r="A13" s="5">
        <v>2</v>
      </c>
      <c r="B13" s="80" t="s">
        <v>3305</v>
      </c>
      <c r="C13" s="93" t="s">
        <v>73</v>
      </c>
      <c r="D13" s="7" t="s">
        <v>146</v>
      </c>
      <c r="E13" s="30" t="s">
        <v>2299</v>
      </c>
    </row>
    <row r="14" spans="1:8" x14ac:dyDescent="0.15">
      <c r="A14" s="5">
        <v>5</v>
      </c>
      <c r="B14" s="40" t="s">
        <v>1022</v>
      </c>
      <c r="C14" s="41" t="s">
        <v>157</v>
      </c>
      <c r="D14" s="7" t="s">
        <v>147</v>
      </c>
      <c r="E14" s="30" t="s">
        <v>5240</v>
      </c>
    </row>
    <row r="15" spans="1:8" x14ac:dyDescent="0.15">
      <c r="A15" s="82">
        <v>43285.85260416667</v>
      </c>
      <c r="B15" s="80" t="s">
        <v>3283</v>
      </c>
      <c r="C15" s="41" t="s">
        <v>210</v>
      </c>
      <c r="D15" s="7" t="s">
        <v>148</v>
      </c>
      <c r="E15" s="90" t="s">
        <v>7458</v>
      </c>
    </row>
    <row r="16" spans="1:8" x14ac:dyDescent="0.15">
      <c r="A16" s="29"/>
      <c r="B16" s="40" t="s">
        <v>1017</v>
      </c>
      <c r="C16" s="41" t="s">
        <v>39</v>
      </c>
      <c r="D16" s="7" t="s">
        <v>149</v>
      </c>
      <c r="E16" s="30" t="s">
        <v>409</v>
      </c>
    </row>
    <row r="17" spans="1:7" x14ac:dyDescent="0.15">
      <c r="A17" s="29"/>
      <c r="B17" s="40" t="s">
        <v>1020</v>
      </c>
      <c r="C17" s="41" t="s">
        <v>1018</v>
      </c>
      <c r="D17" s="7" t="s">
        <v>150</v>
      </c>
      <c r="E17" s="30" t="s">
        <v>7775</v>
      </c>
    </row>
    <row r="18" spans="1:7" x14ac:dyDescent="0.15">
      <c r="A18" s="8">
        <f>COUNTIF(A19:A4647,"&lt;&gt;")-1</f>
        <v>1</v>
      </c>
    </row>
    <row r="19" spans="1:7" x14ac:dyDescent="0.15">
      <c r="A19" t="s">
        <v>1024</v>
      </c>
      <c r="B19" t="s">
        <v>1025</v>
      </c>
      <c r="C19" t="s">
        <v>1026</v>
      </c>
      <c r="E19" s="8" t="s">
        <v>1027</v>
      </c>
      <c r="F19" s="8" t="s">
        <v>1028</v>
      </c>
      <c r="G19" s="8" t="s">
        <v>3284</v>
      </c>
    </row>
    <row r="20" spans="1:7" x14ac:dyDescent="0.15">
      <c r="A20" t="s">
        <v>7456</v>
      </c>
      <c r="B20" t="s">
        <v>73</v>
      </c>
      <c r="E20" s="8" t="s">
        <v>7458</v>
      </c>
      <c r="F20" s="8"/>
      <c r="G20" s="8">
        <v>4</v>
      </c>
    </row>
    <row r="21" spans="1:7" x14ac:dyDescent="0.15">
      <c r="E21" s="8"/>
      <c r="F21" s="8"/>
      <c r="G21" s="8"/>
    </row>
    <row r="22" spans="1:7" x14ac:dyDescent="0.15">
      <c r="E22" s="8"/>
      <c r="F22" s="8"/>
      <c r="G22" s="8"/>
    </row>
    <row r="23" spans="1:7" x14ac:dyDescent="0.15">
      <c r="E23" s="8"/>
      <c r="F23" s="8"/>
      <c r="G23" s="8"/>
    </row>
    <row r="24" spans="1:7" x14ac:dyDescent="0.15">
      <c r="E24" s="8"/>
      <c r="F24" s="8"/>
      <c r="G24" s="8"/>
    </row>
    <row r="25" spans="1:7" x14ac:dyDescent="0.15">
      <c r="E25" s="8"/>
      <c r="F25" s="8"/>
      <c r="G25" s="8"/>
    </row>
    <row r="26" spans="1:7" x14ac:dyDescent="0.15">
      <c r="E26" s="8"/>
      <c r="F26" s="8"/>
      <c r="G26" s="8"/>
    </row>
    <row r="27" spans="1:7" x14ac:dyDescent="0.15">
      <c r="E27" s="8"/>
      <c r="F27" s="8"/>
      <c r="G27" s="8"/>
    </row>
    <row r="28" spans="1:7" x14ac:dyDescent="0.15">
      <c r="E28" s="8"/>
      <c r="F28" s="8"/>
      <c r="G28" s="8"/>
    </row>
    <row r="29" spans="1:7" x14ac:dyDescent="0.15">
      <c r="E29" s="8"/>
      <c r="F29" s="8"/>
      <c r="G29" s="8"/>
    </row>
    <row r="30" spans="1:7" x14ac:dyDescent="0.15">
      <c r="E30" s="8"/>
      <c r="F30" s="8"/>
      <c r="G30" s="8"/>
    </row>
    <row r="31" spans="1:7" x14ac:dyDescent="0.15">
      <c r="E31" s="8"/>
      <c r="F31" s="8"/>
      <c r="G31" s="8"/>
    </row>
    <row r="32" spans="1:7" x14ac:dyDescent="0.15">
      <c r="E32" s="8"/>
      <c r="F32" s="8"/>
      <c r="G32" s="8"/>
    </row>
    <row r="33" spans="5:7" x14ac:dyDescent="0.15">
      <c r="E33" s="8"/>
      <c r="F33" s="8"/>
      <c r="G33" s="8"/>
    </row>
    <row r="34" spans="5:7" x14ac:dyDescent="0.15">
      <c r="E34" s="8"/>
      <c r="F34" s="8"/>
      <c r="G34" s="8"/>
    </row>
    <row r="35" spans="5:7" x14ac:dyDescent="0.15">
      <c r="E35" s="8"/>
      <c r="F35" s="8"/>
      <c r="G35" s="8"/>
    </row>
    <row r="36" spans="5:7" x14ac:dyDescent="0.15">
      <c r="E36" s="8"/>
      <c r="F36" s="8"/>
      <c r="G36" s="8"/>
    </row>
    <row r="37" spans="5:7" x14ac:dyDescent="0.15">
      <c r="E37" s="8"/>
      <c r="F37" s="8"/>
      <c r="G37" s="8"/>
    </row>
    <row r="38" spans="5:7" x14ac:dyDescent="0.15">
      <c r="E38" s="8"/>
      <c r="F38" s="8"/>
      <c r="G38" s="8"/>
    </row>
    <row r="39" spans="5:7" x14ac:dyDescent="0.15">
      <c r="E39" s="8"/>
      <c r="F39" s="8"/>
      <c r="G39" s="8"/>
    </row>
    <row r="40" spans="5:7" x14ac:dyDescent="0.15">
      <c r="E40" s="8"/>
      <c r="F40" s="8"/>
      <c r="G40" s="8"/>
    </row>
    <row r="41" spans="5:7" x14ac:dyDescent="0.15">
      <c r="E41" s="8"/>
      <c r="F41" s="8"/>
      <c r="G41" s="8"/>
    </row>
    <row r="42" spans="5:7" x14ac:dyDescent="0.15">
      <c r="E42" s="8"/>
      <c r="F42" s="8"/>
      <c r="G42" s="8"/>
    </row>
    <row r="43" spans="5:7" x14ac:dyDescent="0.15">
      <c r="E43" s="8"/>
      <c r="F43" s="8"/>
      <c r="G43" s="8"/>
    </row>
    <row r="44" spans="5:7" x14ac:dyDescent="0.15">
      <c r="E44" s="8"/>
      <c r="F44" s="8"/>
      <c r="G44" s="8"/>
    </row>
    <row r="45" spans="5:7" x14ac:dyDescent="0.15">
      <c r="E45" s="8"/>
      <c r="F45" s="8"/>
      <c r="G45" s="8"/>
    </row>
    <row r="46" spans="5:7" x14ac:dyDescent="0.15">
      <c r="E46" s="8"/>
      <c r="F46" s="8"/>
      <c r="G46" s="8"/>
    </row>
    <row r="47" spans="5:7" x14ac:dyDescent="0.15">
      <c r="E47" s="8"/>
      <c r="F47" s="8"/>
      <c r="G47" s="8"/>
    </row>
    <row r="48" spans="5:7" x14ac:dyDescent="0.15">
      <c r="E48" s="8"/>
      <c r="F48" s="8"/>
      <c r="G48" s="8"/>
    </row>
    <row r="49" spans="5:7" x14ac:dyDescent="0.15">
      <c r="E49" s="8"/>
      <c r="F49" s="8"/>
      <c r="G49" s="8"/>
    </row>
    <row r="50" spans="5:7" x14ac:dyDescent="0.15">
      <c r="E50" s="8"/>
      <c r="F50" s="8"/>
      <c r="G50" s="8"/>
    </row>
    <row r="51" spans="5:7" x14ac:dyDescent="0.15">
      <c r="E51" s="8"/>
      <c r="F51" s="8"/>
      <c r="G51" s="8"/>
    </row>
    <row r="52" spans="5:7" x14ac:dyDescent="0.15">
      <c r="E52" s="8"/>
      <c r="F52" s="8"/>
      <c r="G52" s="8"/>
    </row>
    <row r="53" spans="5:7" x14ac:dyDescent="0.15">
      <c r="E53" s="8"/>
      <c r="F53" s="8"/>
      <c r="G53" s="8"/>
    </row>
    <row r="54" spans="5:7" x14ac:dyDescent="0.15">
      <c r="E54" s="8"/>
      <c r="F54" s="8"/>
      <c r="G54" s="8"/>
    </row>
    <row r="55" spans="5:7" x14ac:dyDescent="0.15">
      <c r="E55" s="8"/>
      <c r="F55" s="8"/>
      <c r="G55" s="8"/>
    </row>
    <row r="56" spans="5:7" x14ac:dyDescent="0.15">
      <c r="E56" s="8"/>
      <c r="F56" s="8"/>
      <c r="G56" s="8"/>
    </row>
    <row r="57" spans="5:7" x14ac:dyDescent="0.15">
      <c r="E57" s="8"/>
      <c r="F57" s="8"/>
      <c r="G57" s="8"/>
    </row>
    <row r="58" spans="5:7" x14ac:dyDescent="0.15">
      <c r="E58" s="8"/>
      <c r="F58" s="8"/>
      <c r="G58" s="8"/>
    </row>
    <row r="59" spans="5:7" x14ac:dyDescent="0.15">
      <c r="E59" s="8"/>
      <c r="F59" s="8"/>
      <c r="G59" s="8"/>
    </row>
    <row r="60" spans="5:7" x14ac:dyDescent="0.15">
      <c r="E60" s="8"/>
      <c r="F60" s="8"/>
      <c r="G60" s="8"/>
    </row>
    <row r="61" spans="5:7" x14ac:dyDescent="0.15">
      <c r="E61" s="8"/>
      <c r="F61" s="8"/>
      <c r="G61" s="8"/>
    </row>
    <row r="62" spans="5:7" x14ac:dyDescent="0.15">
      <c r="E62" s="8"/>
      <c r="F62" s="8"/>
      <c r="G62" s="8"/>
    </row>
    <row r="63" spans="5:7" x14ac:dyDescent="0.15">
      <c r="E63" s="8"/>
      <c r="F63" s="8"/>
      <c r="G63" s="8"/>
    </row>
    <row r="64" spans="5:7" x14ac:dyDescent="0.15">
      <c r="E64" s="8"/>
      <c r="F64" s="8"/>
      <c r="G64" s="8"/>
    </row>
    <row r="65" spans="5:7" x14ac:dyDescent="0.15">
      <c r="E65" s="8"/>
      <c r="F65" s="8"/>
      <c r="G65" s="8"/>
    </row>
    <row r="66" spans="5:7" x14ac:dyDescent="0.15">
      <c r="E66" s="8"/>
      <c r="F66" s="8"/>
      <c r="G66" s="8"/>
    </row>
    <row r="67" spans="5:7" x14ac:dyDescent="0.15">
      <c r="E67" s="8"/>
      <c r="F67" s="8"/>
      <c r="G67" s="8"/>
    </row>
    <row r="68" spans="5:7" x14ac:dyDescent="0.15">
      <c r="E68" s="8"/>
      <c r="F68" s="8"/>
      <c r="G68" s="8"/>
    </row>
    <row r="69" spans="5:7" x14ac:dyDescent="0.15">
      <c r="E69" s="8"/>
      <c r="F69" s="8"/>
      <c r="G69" s="8"/>
    </row>
    <row r="70" spans="5:7" x14ac:dyDescent="0.15">
      <c r="E70" s="8"/>
      <c r="F70" s="8"/>
      <c r="G70" s="8"/>
    </row>
    <row r="71" spans="5:7" x14ac:dyDescent="0.15">
      <c r="E71" s="8"/>
      <c r="F71" s="8"/>
      <c r="G71" s="8"/>
    </row>
    <row r="72" spans="5:7" x14ac:dyDescent="0.15">
      <c r="E72" s="8"/>
      <c r="F72" s="8"/>
      <c r="G72" s="8"/>
    </row>
    <row r="73" spans="5:7" x14ac:dyDescent="0.15">
      <c r="E73" s="8"/>
      <c r="F73" s="8"/>
      <c r="G73" s="8"/>
    </row>
    <row r="74" spans="5:7" x14ac:dyDescent="0.15">
      <c r="E74" s="8"/>
      <c r="F74" s="8"/>
      <c r="G74" s="8"/>
    </row>
    <row r="75" spans="5:7" x14ac:dyDescent="0.15">
      <c r="E75" s="8"/>
      <c r="F75" s="8"/>
      <c r="G75" s="8"/>
    </row>
    <row r="76" spans="5:7" x14ac:dyDescent="0.15">
      <c r="E76" s="8"/>
      <c r="F76" s="8"/>
      <c r="G76" s="8"/>
    </row>
    <row r="77" spans="5:7" x14ac:dyDescent="0.15">
      <c r="E77" s="8"/>
      <c r="F77" s="8"/>
      <c r="G77" s="8"/>
    </row>
    <row r="78" spans="5:7" x14ac:dyDescent="0.15">
      <c r="E78" s="8"/>
      <c r="F78" s="8"/>
      <c r="G78" s="8"/>
    </row>
    <row r="79" spans="5:7" x14ac:dyDescent="0.15">
      <c r="E79" s="8"/>
      <c r="F79" s="8"/>
      <c r="G79" s="8"/>
    </row>
    <row r="80" spans="5:7" x14ac:dyDescent="0.15">
      <c r="E80" s="8"/>
      <c r="F80" s="8"/>
      <c r="G80" s="8"/>
    </row>
    <row r="81" spans="5:7" x14ac:dyDescent="0.15">
      <c r="E81" s="8"/>
      <c r="F81" s="8"/>
      <c r="G81" s="8"/>
    </row>
    <row r="82" spans="5:7" x14ac:dyDescent="0.15">
      <c r="E82" s="8"/>
      <c r="F82" s="8"/>
      <c r="G82" s="8"/>
    </row>
    <row r="83" spans="5:7" x14ac:dyDescent="0.15">
      <c r="E83" s="8"/>
      <c r="F83" s="8"/>
      <c r="G83" s="8"/>
    </row>
    <row r="84" spans="5:7" x14ac:dyDescent="0.15">
      <c r="E84" s="8"/>
      <c r="F84" s="8"/>
      <c r="G84" s="8"/>
    </row>
    <row r="85" spans="5:7" x14ac:dyDescent="0.15">
      <c r="E85" s="8"/>
      <c r="F85" s="8"/>
      <c r="G85" s="8"/>
    </row>
    <row r="86" spans="5:7" x14ac:dyDescent="0.15">
      <c r="E86" s="8"/>
      <c r="F86" s="8"/>
      <c r="G86" s="8"/>
    </row>
    <row r="87" spans="5:7" x14ac:dyDescent="0.15">
      <c r="E87" s="8"/>
      <c r="F87" s="8"/>
      <c r="G87" s="8"/>
    </row>
    <row r="88" spans="5:7" x14ac:dyDescent="0.15">
      <c r="E88" s="8"/>
      <c r="F88" s="8"/>
      <c r="G88" s="8"/>
    </row>
    <row r="89" spans="5:7" x14ac:dyDescent="0.15">
      <c r="E89" s="8"/>
      <c r="F89" s="8"/>
      <c r="G89" s="8"/>
    </row>
    <row r="90" spans="5:7" x14ac:dyDescent="0.15">
      <c r="E90" s="8"/>
      <c r="F90" s="8"/>
      <c r="G90" s="8"/>
    </row>
    <row r="91" spans="5:7" x14ac:dyDescent="0.15">
      <c r="E91" s="8"/>
      <c r="F91" s="8"/>
      <c r="G91" s="8"/>
    </row>
    <row r="92" spans="5:7" x14ac:dyDescent="0.15">
      <c r="E92" s="8"/>
      <c r="F92" s="8"/>
      <c r="G92" s="8"/>
    </row>
    <row r="93" spans="5:7" x14ac:dyDescent="0.15">
      <c r="E93" s="8"/>
      <c r="F93" s="8"/>
      <c r="G93" s="8"/>
    </row>
    <row r="94" spans="5:7" x14ac:dyDescent="0.15">
      <c r="E94" s="8"/>
      <c r="F94" s="8"/>
      <c r="G94" s="8"/>
    </row>
    <row r="95" spans="5:7" x14ac:dyDescent="0.15">
      <c r="E95" s="8"/>
      <c r="F95" s="8"/>
      <c r="G95" s="8"/>
    </row>
    <row r="96" spans="5:7" x14ac:dyDescent="0.15">
      <c r="E96" s="8"/>
      <c r="F96" s="8"/>
      <c r="G96" s="8"/>
    </row>
    <row r="97" spans="5:7" x14ac:dyDescent="0.15">
      <c r="E97" s="8"/>
      <c r="F97" s="8"/>
      <c r="G97" s="8"/>
    </row>
    <row r="98" spans="5:7" x14ac:dyDescent="0.15">
      <c r="E98" s="8"/>
      <c r="F98" s="8"/>
      <c r="G98" s="8"/>
    </row>
    <row r="99" spans="5:7" x14ac:dyDescent="0.15">
      <c r="E99" s="8"/>
      <c r="F99" s="8"/>
      <c r="G99" s="8"/>
    </row>
    <row r="100" spans="5:7" x14ac:dyDescent="0.15">
      <c r="E100" s="8"/>
      <c r="F100" s="8"/>
      <c r="G100" s="8"/>
    </row>
    <row r="101" spans="5:7" x14ac:dyDescent="0.15">
      <c r="E101" s="8"/>
      <c r="F101" s="8"/>
      <c r="G101" s="8"/>
    </row>
    <row r="102" spans="5:7" x14ac:dyDescent="0.15">
      <c r="E102" s="8"/>
      <c r="F102" s="8"/>
      <c r="G102" s="8"/>
    </row>
    <row r="103" spans="5:7" x14ac:dyDescent="0.15">
      <c r="E103" s="8"/>
      <c r="F103" s="8"/>
      <c r="G103" s="8"/>
    </row>
    <row r="104" spans="5:7" x14ac:dyDescent="0.15">
      <c r="E104" s="8"/>
      <c r="F104" s="8"/>
      <c r="G104" s="8"/>
    </row>
    <row r="105" spans="5:7" x14ac:dyDescent="0.15">
      <c r="E105" s="8"/>
      <c r="F105" s="8"/>
      <c r="G105" s="8"/>
    </row>
    <row r="106" spans="5:7" x14ac:dyDescent="0.15">
      <c r="E106" s="8"/>
      <c r="F106" s="8"/>
      <c r="G106" s="8"/>
    </row>
    <row r="107" spans="5:7" x14ac:dyDescent="0.15">
      <c r="E107" s="8"/>
      <c r="F107" s="8"/>
      <c r="G107" s="8"/>
    </row>
    <row r="108" spans="5:7" x14ac:dyDescent="0.15">
      <c r="E108" s="8"/>
      <c r="F108" s="8"/>
      <c r="G108" s="8"/>
    </row>
    <row r="109" spans="5:7" x14ac:dyDescent="0.15">
      <c r="E109" s="8"/>
      <c r="F109" s="8"/>
      <c r="G109" s="8"/>
    </row>
    <row r="110" spans="5:7" x14ac:dyDescent="0.15">
      <c r="E110" s="8"/>
      <c r="F110" s="8"/>
      <c r="G110" s="8"/>
    </row>
    <row r="111" spans="5:7" x14ac:dyDescent="0.15">
      <c r="E111" s="8"/>
      <c r="F111" s="8"/>
      <c r="G111" s="8"/>
    </row>
    <row r="112" spans="5:7" x14ac:dyDescent="0.15">
      <c r="E112" s="8"/>
      <c r="F112" s="8"/>
      <c r="G112" s="8"/>
    </row>
    <row r="113" spans="5:7" x14ac:dyDescent="0.15">
      <c r="E113" s="8"/>
      <c r="F113" s="8"/>
      <c r="G113" s="8"/>
    </row>
    <row r="114" spans="5:7" x14ac:dyDescent="0.15">
      <c r="E114" s="8"/>
      <c r="F114" s="8"/>
      <c r="G114" s="8"/>
    </row>
    <row r="115" spans="5:7" x14ac:dyDescent="0.15">
      <c r="E115" s="8"/>
      <c r="F115" s="8"/>
      <c r="G115" s="8"/>
    </row>
    <row r="116" spans="5:7" x14ac:dyDescent="0.15">
      <c r="E116" s="8"/>
      <c r="F116" s="8"/>
      <c r="G116" s="8"/>
    </row>
    <row r="117" spans="5:7" x14ac:dyDescent="0.15">
      <c r="E117" s="8"/>
      <c r="F117" s="8"/>
      <c r="G117" s="8"/>
    </row>
    <row r="118" spans="5:7" x14ac:dyDescent="0.15">
      <c r="E118" s="8"/>
      <c r="F118" s="8"/>
      <c r="G118" s="8"/>
    </row>
    <row r="119" spans="5:7" x14ac:dyDescent="0.15">
      <c r="E119" s="8"/>
      <c r="F119" s="8"/>
      <c r="G119" s="8"/>
    </row>
    <row r="120" spans="5:7" x14ac:dyDescent="0.15">
      <c r="E120" s="8"/>
      <c r="F120" s="8"/>
      <c r="G120" s="8"/>
    </row>
    <row r="121" spans="5:7" x14ac:dyDescent="0.15">
      <c r="E121" s="8"/>
      <c r="F121" s="8"/>
      <c r="G121" s="8"/>
    </row>
    <row r="122" spans="5:7" x14ac:dyDescent="0.15">
      <c r="E122" s="8"/>
      <c r="F122" s="8"/>
      <c r="G122" s="8"/>
    </row>
    <row r="123" spans="5:7" x14ac:dyDescent="0.15">
      <c r="E123" s="8"/>
      <c r="F123" s="8"/>
      <c r="G123" s="8"/>
    </row>
    <row r="124" spans="5:7" x14ac:dyDescent="0.15">
      <c r="E124" s="8"/>
      <c r="F124" s="8"/>
      <c r="G124" s="8"/>
    </row>
    <row r="125" spans="5:7" x14ac:dyDescent="0.15">
      <c r="E125" s="8"/>
      <c r="F125" s="8"/>
      <c r="G125" s="8"/>
    </row>
    <row r="126" spans="5:7" x14ac:dyDescent="0.15">
      <c r="E126" s="8"/>
      <c r="F126" s="8"/>
      <c r="G126" s="8"/>
    </row>
    <row r="127" spans="5:7" x14ac:dyDescent="0.15">
      <c r="E127" s="8"/>
      <c r="F127" s="8"/>
      <c r="G127" s="8"/>
    </row>
    <row r="128" spans="5:7" x14ac:dyDescent="0.15">
      <c r="E128" s="8"/>
      <c r="F128" s="8"/>
      <c r="G128" s="8"/>
    </row>
    <row r="129" spans="5:7" x14ac:dyDescent="0.15">
      <c r="E129" s="8"/>
      <c r="F129" s="8"/>
      <c r="G129" s="8"/>
    </row>
    <row r="130" spans="5:7" x14ac:dyDescent="0.15">
      <c r="E130" s="8"/>
      <c r="F130" s="8"/>
      <c r="G130" s="8"/>
    </row>
    <row r="131" spans="5:7" x14ac:dyDescent="0.15">
      <c r="E131" s="8"/>
      <c r="F131" s="8"/>
      <c r="G131" s="8"/>
    </row>
    <row r="132" spans="5:7" x14ac:dyDescent="0.15">
      <c r="E132" s="8"/>
      <c r="F132" s="8"/>
      <c r="G132" s="8"/>
    </row>
    <row r="133" spans="5:7" x14ac:dyDescent="0.15">
      <c r="E133" s="8"/>
      <c r="F133" s="8"/>
      <c r="G133" s="8"/>
    </row>
    <row r="134" spans="5:7" x14ac:dyDescent="0.15">
      <c r="E134" s="8"/>
      <c r="F134" s="8"/>
      <c r="G134" s="8"/>
    </row>
    <row r="135" spans="5:7" x14ac:dyDescent="0.15">
      <c r="E135" s="8"/>
      <c r="F135" s="8"/>
      <c r="G135" s="8"/>
    </row>
    <row r="136" spans="5:7" x14ac:dyDescent="0.15">
      <c r="E136" s="8"/>
      <c r="F136" s="8"/>
      <c r="G136" s="8"/>
    </row>
    <row r="137" spans="5:7" x14ac:dyDescent="0.15">
      <c r="E137" s="8"/>
      <c r="F137" s="8"/>
      <c r="G137" s="8"/>
    </row>
    <row r="138" spans="5:7" x14ac:dyDescent="0.15">
      <c r="E138" s="8"/>
      <c r="F138" s="8"/>
      <c r="G138" s="8"/>
    </row>
    <row r="139" spans="5:7" x14ac:dyDescent="0.15">
      <c r="E139" s="8"/>
      <c r="F139" s="8"/>
      <c r="G139" s="8"/>
    </row>
    <row r="140" spans="5:7" x14ac:dyDescent="0.15">
      <c r="E140" s="8"/>
      <c r="F140" s="8"/>
      <c r="G140" s="8"/>
    </row>
    <row r="141" spans="5:7" x14ac:dyDescent="0.15">
      <c r="E141" s="8"/>
      <c r="F141" s="8"/>
      <c r="G141" s="8"/>
    </row>
    <row r="142" spans="5:7" x14ac:dyDescent="0.15">
      <c r="E142" s="8"/>
      <c r="F142" s="8"/>
      <c r="G142" s="8"/>
    </row>
    <row r="143" spans="5:7" x14ac:dyDescent="0.15">
      <c r="E143" s="8"/>
      <c r="F143" s="8"/>
      <c r="G143" s="8"/>
    </row>
    <row r="144" spans="5:7" x14ac:dyDescent="0.15">
      <c r="E144" s="8"/>
      <c r="F144" s="8"/>
      <c r="G144" s="8"/>
    </row>
    <row r="145" spans="5:7" x14ac:dyDescent="0.15">
      <c r="E145" s="8"/>
      <c r="F145" s="8"/>
      <c r="G145" s="8"/>
    </row>
    <row r="146" spans="5:7" x14ac:dyDescent="0.15">
      <c r="E146" s="8"/>
      <c r="F146" s="8"/>
      <c r="G146" s="8"/>
    </row>
    <row r="147" spans="5:7" x14ac:dyDescent="0.15">
      <c r="E147" s="8"/>
      <c r="F147" s="8"/>
      <c r="G147" s="8"/>
    </row>
    <row r="148" spans="5:7" x14ac:dyDescent="0.15">
      <c r="E148" s="8"/>
      <c r="F148" s="8"/>
      <c r="G148" s="8"/>
    </row>
    <row r="149" spans="5:7" x14ac:dyDescent="0.15">
      <c r="E149" s="8"/>
      <c r="F149" s="8"/>
      <c r="G149" s="8"/>
    </row>
    <row r="150" spans="5:7" x14ac:dyDescent="0.15">
      <c r="E150" s="8"/>
      <c r="F150" s="8"/>
      <c r="G150" s="8"/>
    </row>
    <row r="151" spans="5:7" x14ac:dyDescent="0.15">
      <c r="E151" s="8"/>
      <c r="F151" s="8"/>
      <c r="G151" s="8"/>
    </row>
    <row r="152" spans="5:7" x14ac:dyDescent="0.15">
      <c r="E152" s="8"/>
      <c r="F152" s="8"/>
      <c r="G152" s="8"/>
    </row>
    <row r="153" spans="5:7" x14ac:dyDescent="0.15">
      <c r="E153" s="8"/>
      <c r="F153" s="8"/>
      <c r="G153" s="8"/>
    </row>
    <row r="154" spans="5:7" x14ac:dyDescent="0.15">
      <c r="E154" s="8"/>
      <c r="F154" s="8"/>
      <c r="G154" s="8"/>
    </row>
    <row r="155" spans="5:7" x14ac:dyDescent="0.15">
      <c r="E155" s="8"/>
      <c r="F155" s="8"/>
      <c r="G155" s="8"/>
    </row>
    <row r="156" spans="5:7" x14ac:dyDescent="0.15">
      <c r="E156" s="8"/>
      <c r="F156" s="8"/>
      <c r="G156" s="8"/>
    </row>
    <row r="157" spans="5:7" x14ac:dyDescent="0.15">
      <c r="E157" s="8"/>
      <c r="F157" s="8"/>
      <c r="G157" s="8"/>
    </row>
    <row r="158" spans="5:7" x14ac:dyDescent="0.15">
      <c r="E158" s="8"/>
      <c r="F158" s="8"/>
      <c r="G158" s="8"/>
    </row>
    <row r="159" spans="5:7" x14ac:dyDescent="0.15">
      <c r="E159" s="8"/>
      <c r="F159" s="8"/>
      <c r="G159" s="8"/>
    </row>
    <row r="160" spans="5:7" x14ac:dyDescent="0.15">
      <c r="E160" s="8"/>
      <c r="F160" s="8"/>
      <c r="G160" s="8"/>
    </row>
    <row r="161" spans="5:7" x14ac:dyDescent="0.15">
      <c r="E161" s="8"/>
      <c r="F161" s="8"/>
      <c r="G161" s="8"/>
    </row>
    <row r="162" spans="5:7" x14ac:dyDescent="0.15">
      <c r="E162" s="8"/>
      <c r="F162" s="8"/>
      <c r="G162" s="8"/>
    </row>
    <row r="163" spans="5:7" x14ac:dyDescent="0.15">
      <c r="E163" s="8"/>
      <c r="F163" s="8"/>
      <c r="G163" s="8"/>
    </row>
    <row r="164" spans="5:7" x14ac:dyDescent="0.15">
      <c r="E164" s="8"/>
      <c r="F164" s="8"/>
      <c r="G164" s="8"/>
    </row>
    <row r="165" spans="5:7" x14ac:dyDescent="0.15">
      <c r="E165" s="8"/>
      <c r="F165" s="8"/>
      <c r="G165" s="8"/>
    </row>
    <row r="166" spans="5:7" x14ac:dyDescent="0.15">
      <c r="E166" s="8"/>
      <c r="F166" s="8"/>
      <c r="G166" s="8"/>
    </row>
    <row r="167" spans="5:7" x14ac:dyDescent="0.15">
      <c r="E167" s="8"/>
      <c r="F167" s="8"/>
      <c r="G167" s="8"/>
    </row>
    <row r="168" spans="5:7" x14ac:dyDescent="0.15">
      <c r="E168" s="8"/>
      <c r="F168" s="8"/>
      <c r="G168" s="8"/>
    </row>
    <row r="169" spans="5:7" x14ac:dyDescent="0.15">
      <c r="E169" s="8"/>
      <c r="F169" s="8"/>
      <c r="G169" s="8"/>
    </row>
    <row r="170" spans="5:7" x14ac:dyDescent="0.15">
      <c r="E170" s="8"/>
      <c r="F170" s="8"/>
      <c r="G170" s="8"/>
    </row>
    <row r="171" spans="5:7" x14ac:dyDescent="0.15">
      <c r="E171" s="8"/>
      <c r="F171" s="8"/>
      <c r="G171" s="8"/>
    </row>
    <row r="172" spans="5:7" x14ac:dyDescent="0.15">
      <c r="E172" s="8"/>
      <c r="F172" s="8"/>
      <c r="G172" s="8"/>
    </row>
    <row r="173" spans="5:7" x14ac:dyDescent="0.15">
      <c r="E173" s="8"/>
      <c r="F173" s="8"/>
      <c r="G173" s="8"/>
    </row>
    <row r="174" spans="5:7" x14ac:dyDescent="0.15">
      <c r="E174" s="8"/>
      <c r="F174" s="8"/>
      <c r="G174" s="8"/>
    </row>
    <row r="175" spans="5:7" x14ac:dyDescent="0.15">
      <c r="E175" s="8"/>
      <c r="F175" s="8"/>
      <c r="G175" s="8"/>
    </row>
    <row r="176" spans="5:7" x14ac:dyDescent="0.15">
      <c r="E176" s="8"/>
      <c r="F176" s="8"/>
      <c r="G176" s="8"/>
    </row>
    <row r="177" spans="5:7" x14ac:dyDescent="0.15">
      <c r="E177" s="8"/>
      <c r="F177" s="8"/>
      <c r="G177" s="8"/>
    </row>
    <row r="178" spans="5:7" x14ac:dyDescent="0.15">
      <c r="E178" s="8"/>
      <c r="F178" s="8"/>
      <c r="G178" s="8"/>
    </row>
    <row r="179" spans="5:7" x14ac:dyDescent="0.15">
      <c r="E179" s="8"/>
      <c r="F179" s="8"/>
      <c r="G179" s="8"/>
    </row>
    <row r="180" spans="5:7" x14ac:dyDescent="0.15">
      <c r="E180" s="8"/>
      <c r="F180" s="8"/>
      <c r="G180" s="8"/>
    </row>
    <row r="181" spans="5:7" x14ac:dyDescent="0.15">
      <c r="E181" s="8"/>
      <c r="F181" s="8"/>
      <c r="G181" s="8"/>
    </row>
    <row r="182" spans="5:7" x14ac:dyDescent="0.15">
      <c r="E182" s="8"/>
      <c r="F182" s="8"/>
      <c r="G182" s="8"/>
    </row>
    <row r="183" spans="5:7" x14ac:dyDescent="0.15">
      <c r="E183" s="8"/>
      <c r="F183" s="8"/>
      <c r="G183" s="8"/>
    </row>
    <row r="184" spans="5:7" x14ac:dyDescent="0.15">
      <c r="E184" s="8"/>
      <c r="F184" s="8"/>
      <c r="G184" s="8"/>
    </row>
    <row r="185" spans="5:7" x14ac:dyDescent="0.15">
      <c r="E185" s="8"/>
      <c r="F185" s="8"/>
      <c r="G185" s="8"/>
    </row>
    <row r="186" spans="5:7" x14ac:dyDescent="0.15">
      <c r="E186" s="8"/>
      <c r="F186" s="8"/>
      <c r="G186" s="8"/>
    </row>
    <row r="187" spans="5:7" x14ac:dyDescent="0.15">
      <c r="E187" s="8"/>
      <c r="F187" s="8"/>
      <c r="G187" s="8"/>
    </row>
    <row r="188" spans="5:7" x14ac:dyDescent="0.15">
      <c r="E188" s="8"/>
      <c r="F188" s="8"/>
      <c r="G188" s="8"/>
    </row>
    <row r="189" spans="5:7" x14ac:dyDescent="0.15">
      <c r="E189" s="8"/>
      <c r="F189" s="8"/>
      <c r="G189" s="8"/>
    </row>
    <row r="190" spans="5:7" x14ac:dyDescent="0.15">
      <c r="E190" s="8"/>
      <c r="F190" s="8"/>
      <c r="G190" s="8"/>
    </row>
    <row r="191" spans="5:7" x14ac:dyDescent="0.15">
      <c r="E191" s="8"/>
      <c r="F191" s="8"/>
      <c r="G191" s="8"/>
    </row>
    <row r="192" spans="5:7" x14ac:dyDescent="0.15">
      <c r="E192" s="8"/>
      <c r="F192" s="8"/>
      <c r="G192" s="8"/>
    </row>
    <row r="193" spans="5:7" x14ac:dyDescent="0.15">
      <c r="E193" s="8"/>
      <c r="F193" s="8"/>
      <c r="G193" s="8"/>
    </row>
    <row r="194" spans="5:7" x14ac:dyDescent="0.15">
      <c r="E194" s="8"/>
      <c r="F194" s="8"/>
      <c r="G194" s="8"/>
    </row>
    <row r="195" spans="5:7" ht="12.75" customHeight="1" x14ac:dyDescent="0.15">
      <c r="E195" s="8"/>
      <c r="F195" s="8"/>
      <c r="G195" s="8"/>
    </row>
    <row r="196" spans="5:7" x14ac:dyDescent="0.15">
      <c r="E196" s="8"/>
      <c r="F196" s="8"/>
      <c r="G196" s="8"/>
    </row>
    <row r="197" spans="5:7" x14ac:dyDescent="0.15">
      <c r="E197" s="8"/>
      <c r="F197" s="8"/>
      <c r="G197" s="8"/>
    </row>
    <row r="198" spans="5:7" x14ac:dyDescent="0.15">
      <c r="E198" s="8"/>
      <c r="F198" s="8"/>
      <c r="G198" s="8"/>
    </row>
    <row r="199" spans="5:7" x14ac:dyDescent="0.15">
      <c r="E199" s="8"/>
      <c r="F199" s="8"/>
      <c r="G199" s="8"/>
    </row>
    <row r="200" spans="5:7" x14ac:dyDescent="0.15">
      <c r="E200" s="8"/>
      <c r="F200" s="8"/>
      <c r="G200" s="8"/>
    </row>
    <row r="201" spans="5:7" x14ac:dyDescent="0.15">
      <c r="E201" s="8"/>
      <c r="F201" s="8"/>
      <c r="G201" s="8"/>
    </row>
    <row r="202" spans="5:7" x14ac:dyDescent="0.15">
      <c r="E202" s="8"/>
      <c r="F202" s="8"/>
      <c r="G202" s="8"/>
    </row>
    <row r="203" spans="5:7" x14ac:dyDescent="0.15">
      <c r="E203" s="8"/>
      <c r="F203" s="8"/>
      <c r="G203" s="8"/>
    </row>
    <row r="204" spans="5:7" x14ac:dyDescent="0.15">
      <c r="E204" s="8"/>
      <c r="F204" s="8"/>
      <c r="G204" s="8"/>
    </row>
    <row r="205" spans="5:7" x14ac:dyDescent="0.15">
      <c r="E205" s="8"/>
      <c r="F205" s="8"/>
      <c r="G205" s="8"/>
    </row>
    <row r="206" spans="5:7" x14ac:dyDescent="0.15">
      <c r="E206" s="8"/>
      <c r="F206" s="8"/>
      <c r="G206" s="8"/>
    </row>
    <row r="207" spans="5:7" x14ac:dyDescent="0.15">
      <c r="E207" s="8"/>
      <c r="F207" s="8"/>
      <c r="G207" s="8"/>
    </row>
    <row r="208" spans="5:7" x14ac:dyDescent="0.15">
      <c r="E208" s="8"/>
      <c r="F208" s="8"/>
      <c r="G208" s="8"/>
    </row>
    <row r="209" spans="5:7" x14ac:dyDescent="0.15">
      <c r="E209" s="8"/>
      <c r="F209" s="8"/>
      <c r="G209" s="8"/>
    </row>
    <row r="210" spans="5:7" x14ac:dyDescent="0.15">
      <c r="E210" s="8"/>
      <c r="F210" s="8"/>
      <c r="G210" s="8"/>
    </row>
    <row r="211" spans="5:7" x14ac:dyDescent="0.15">
      <c r="E211" s="8"/>
      <c r="F211" s="8"/>
      <c r="G211" s="8"/>
    </row>
    <row r="212" spans="5:7" x14ac:dyDescent="0.15">
      <c r="E212" s="8"/>
      <c r="F212" s="8"/>
      <c r="G212" s="8"/>
    </row>
    <row r="213" spans="5:7" x14ac:dyDescent="0.15">
      <c r="E213" s="8"/>
      <c r="F213" s="8"/>
      <c r="G213" s="8"/>
    </row>
    <row r="214" spans="5:7" x14ac:dyDescent="0.15">
      <c r="E214" s="8"/>
      <c r="F214" s="8"/>
      <c r="G214" s="8"/>
    </row>
    <row r="215" spans="5:7" x14ac:dyDescent="0.15">
      <c r="E215" s="8"/>
      <c r="F215" s="8"/>
      <c r="G215" s="8"/>
    </row>
    <row r="216" spans="5:7" x14ac:dyDescent="0.15">
      <c r="E216" s="8"/>
      <c r="F216" s="8"/>
      <c r="G216" s="8"/>
    </row>
    <row r="217" spans="5:7" x14ac:dyDescent="0.15">
      <c r="E217" s="8"/>
      <c r="F217" s="8"/>
      <c r="G217" s="8"/>
    </row>
    <row r="218" spans="5:7" x14ac:dyDescent="0.15">
      <c r="E218" s="8"/>
      <c r="F218" s="8"/>
      <c r="G218" s="8"/>
    </row>
    <row r="219" spans="5:7" x14ac:dyDescent="0.15">
      <c r="E219" s="8"/>
      <c r="F219" s="8"/>
      <c r="G219" s="8"/>
    </row>
    <row r="220" spans="5:7" x14ac:dyDescent="0.15">
      <c r="E220" s="8"/>
      <c r="F220" s="8"/>
      <c r="G220" s="8"/>
    </row>
    <row r="221" spans="5:7" x14ac:dyDescent="0.15">
      <c r="E221" s="8"/>
      <c r="F221" s="8"/>
      <c r="G221" s="8"/>
    </row>
    <row r="222" spans="5:7" x14ac:dyDescent="0.15">
      <c r="E222" s="8"/>
      <c r="F222" s="8"/>
      <c r="G222" s="8"/>
    </row>
    <row r="223" spans="5:7" x14ac:dyDescent="0.15">
      <c r="E223" s="8"/>
      <c r="F223" s="8"/>
      <c r="G223" s="8"/>
    </row>
    <row r="224" spans="5:7" x14ac:dyDescent="0.15">
      <c r="E224" s="8"/>
      <c r="F224" s="8"/>
      <c r="G224" s="8"/>
    </row>
    <row r="225" spans="5:7" x14ac:dyDescent="0.15">
      <c r="E225" s="8"/>
      <c r="F225" s="8"/>
      <c r="G225" s="8"/>
    </row>
    <row r="226" spans="5:7" x14ac:dyDescent="0.15">
      <c r="E226" s="8"/>
      <c r="F226" s="8"/>
      <c r="G226" s="8"/>
    </row>
    <row r="227" spans="5:7" x14ac:dyDescent="0.15">
      <c r="E227" s="8"/>
      <c r="F227" s="8"/>
      <c r="G227" s="8"/>
    </row>
    <row r="228" spans="5:7" x14ac:dyDescent="0.15">
      <c r="E228" s="8"/>
      <c r="F228" s="8"/>
      <c r="G228" s="8"/>
    </row>
    <row r="229" spans="5:7" x14ac:dyDescent="0.15">
      <c r="E229" s="8"/>
      <c r="F229" s="8"/>
      <c r="G229" s="8"/>
    </row>
    <row r="230" spans="5:7" x14ac:dyDescent="0.15">
      <c r="E230" s="8"/>
      <c r="F230" s="8"/>
      <c r="G230" s="8"/>
    </row>
    <row r="231" spans="5:7" x14ac:dyDescent="0.15">
      <c r="E231" s="8"/>
      <c r="F231" s="8"/>
      <c r="G231" s="8"/>
    </row>
    <row r="232" spans="5:7" x14ac:dyDescent="0.15">
      <c r="E232" s="8"/>
      <c r="F232" s="8"/>
      <c r="G232" s="8"/>
    </row>
    <row r="233" spans="5:7" x14ac:dyDescent="0.15">
      <c r="E233" s="8"/>
      <c r="F233" s="8"/>
      <c r="G233" s="8"/>
    </row>
    <row r="234" spans="5:7" x14ac:dyDescent="0.15">
      <c r="E234" s="8"/>
      <c r="F234" s="8"/>
      <c r="G234" s="8"/>
    </row>
    <row r="235" spans="5:7" x14ac:dyDescent="0.15">
      <c r="E235" s="8"/>
      <c r="F235" s="8"/>
      <c r="G235" s="8"/>
    </row>
    <row r="236" spans="5:7" x14ac:dyDescent="0.15">
      <c r="E236" s="8"/>
      <c r="F236" s="8"/>
      <c r="G236" s="8"/>
    </row>
    <row r="237" spans="5:7" x14ac:dyDescent="0.15">
      <c r="E237" s="8"/>
      <c r="F237" s="8"/>
      <c r="G237" s="8"/>
    </row>
    <row r="238" spans="5:7" x14ac:dyDescent="0.15">
      <c r="E238" s="8"/>
      <c r="F238" s="8"/>
      <c r="G238" s="8"/>
    </row>
    <row r="239" spans="5:7" x14ac:dyDescent="0.15">
      <c r="E239" s="8"/>
      <c r="F239" s="8"/>
      <c r="G239" s="8"/>
    </row>
    <row r="240" spans="5:7" x14ac:dyDescent="0.15">
      <c r="E240" s="8"/>
      <c r="F240" s="8"/>
      <c r="G240" s="8"/>
    </row>
    <row r="241" spans="5:7" x14ac:dyDescent="0.15">
      <c r="E241" s="8"/>
      <c r="F241" s="8"/>
      <c r="G241" s="8"/>
    </row>
    <row r="242" spans="5:7" x14ac:dyDescent="0.15">
      <c r="E242" s="8"/>
      <c r="F242" s="8"/>
      <c r="G242" s="8"/>
    </row>
    <row r="243" spans="5:7" x14ac:dyDescent="0.15">
      <c r="E243" s="8"/>
      <c r="F243" s="8"/>
      <c r="G243" s="8"/>
    </row>
    <row r="244" spans="5:7" x14ac:dyDescent="0.15">
      <c r="E244" s="8"/>
      <c r="F244" s="8"/>
      <c r="G244" s="8"/>
    </row>
    <row r="245" spans="5:7" x14ac:dyDescent="0.15">
      <c r="E245" s="8"/>
      <c r="F245" s="8"/>
      <c r="G245" s="8"/>
    </row>
    <row r="246" spans="5:7" x14ac:dyDescent="0.15">
      <c r="E246" s="8"/>
      <c r="F246" s="8"/>
      <c r="G246" s="8"/>
    </row>
    <row r="247" spans="5:7" x14ac:dyDescent="0.15">
      <c r="E247" s="8"/>
      <c r="F247" s="8"/>
      <c r="G247" s="8"/>
    </row>
    <row r="248" spans="5:7" x14ac:dyDescent="0.15">
      <c r="E248" s="8"/>
      <c r="F248" s="8"/>
      <c r="G248" s="8"/>
    </row>
    <row r="249" spans="5:7" x14ac:dyDescent="0.15">
      <c r="E249" s="8"/>
      <c r="F249" s="8"/>
      <c r="G249" s="8"/>
    </row>
    <row r="250" spans="5:7" x14ac:dyDescent="0.15">
      <c r="E250" s="8"/>
      <c r="F250" s="8"/>
      <c r="G250" s="8"/>
    </row>
    <row r="251" spans="5:7" x14ac:dyDescent="0.15">
      <c r="E251" s="8"/>
      <c r="F251" s="8"/>
      <c r="G251" s="8"/>
    </row>
    <row r="252" spans="5:7" x14ac:dyDescent="0.15">
      <c r="E252" s="8"/>
      <c r="F252" s="8"/>
      <c r="G252" s="8"/>
    </row>
    <row r="253" spans="5:7" x14ac:dyDescent="0.15">
      <c r="E253" s="8"/>
      <c r="F253" s="8"/>
      <c r="G253" s="8"/>
    </row>
    <row r="254" spans="5:7" x14ac:dyDescent="0.15">
      <c r="E254" s="8"/>
      <c r="F254" s="8"/>
      <c r="G254" s="8"/>
    </row>
    <row r="255" spans="5:7" x14ac:dyDescent="0.15">
      <c r="E255" s="8"/>
      <c r="F255" s="8"/>
      <c r="G255" s="8"/>
    </row>
    <row r="256" spans="5:7" x14ac:dyDescent="0.15">
      <c r="E256" s="8"/>
      <c r="F256" s="8"/>
      <c r="G256" s="8"/>
    </row>
    <row r="257" spans="5:7" x14ac:dyDescent="0.15">
      <c r="E257" s="8"/>
      <c r="F257" s="8"/>
      <c r="G257" s="8"/>
    </row>
    <row r="258" spans="5:7" x14ac:dyDescent="0.15">
      <c r="E258" s="8"/>
      <c r="F258" s="8"/>
      <c r="G258" s="8"/>
    </row>
    <row r="259" spans="5:7" x14ac:dyDescent="0.15">
      <c r="E259" s="8"/>
      <c r="F259" s="8"/>
      <c r="G259" s="8"/>
    </row>
    <row r="260" spans="5:7" x14ac:dyDescent="0.15">
      <c r="E260" s="8"/>
      <c r="F260" s="8"/>
      <c r="G260" s="8"/>
    </row>
    <row r="261" spans="5:7" x14ac:dyDescent="0.15">
      <c r="E261" s="8"/>
      <c r="F261" s="8"/>
      <c r="G261" s="8"/>
    </row>
    <row r="262" spans="5:7" x14ac:dyDescent="0.15">
      <c r="E262" s="8"/>
      <c r="F262" s="8"/>
      <c r="G262" s="8"/>
    </row>
    <row r="263" spans="5:7" x14ac:dyDescent="0.15">
      <c r="E263" s="8"/>
      <c r="F263" s="8"/>
      <c r="G263" s="8"/>
    </row>
    <row r="264" spans="5:7" x14ac:dyDescent="0.15">
      <c r="E264" s="8"/>
      <c r="F264" s="8"/>
      <c r="G264" s="8"/>
    </row>
    <row r="265" spans="5:7" x14ac:dyDescent="0.15">
      <c r="E265" s="8"/>
      <c r="F265" s="8"/>
      <c r="G265" s="8"/>
    </row>
    <row r="266" spans="5:7" x14ac:dyDescent="0.15">
      <c r="E266" s="8"/>
      <c r="F266" s="8"/>
      <c r="G266" s="8"/>
    </row>
    <row r="267" spans="5:7" x14ac:dyDescent="0.15">
      <c r="E267" s="8"/>
      <c r="F267" s="8"/>
      <c r="G267" s="8"/>
    </row>
    <row r="268" spans="5:7" x14ac:dyDescent="0.15">
      <c r="E268" s="8"/>
      <c r="F268" s="8"/>
      <c r="G268" s="8"/>
    </row>
    <row r="269" spans="5:7" x14ac:dyDescent="0.15">
      <c r="E269" s="8"/>
      <c r="F269" s="8"/>
      <c r="G269" s="8"/>
    </row>
    <row r="270" spans="5:7" x14ac:dyDescent="0.15">
      <c r="E270" s="8"/>
      <c r="F270" s="8"/>
      <c r="G270" s="8"/>
    </row>
    <row r="271" spans="5:7" x14ac:dyDescent="0.15">
      <c r="E271" s="8"/>
      <c r="F271" s="8"/>
      <c r="G271" s="8"/>
    </row>
    <row r="272" spans="5:7" x14ac:dyDescent="0.15">
      <c r="E272" s="8"/>
      <c r="F272" s="8"/>
      <c r="G272" s="8"/>
    </row>
    <row r="273" spans="5:7" x14ac:dyDescent="0.15">
      <c r="E273" s="8"/>
      <c r="F273" s="8"/>
      <c r="G273" s="8"/>
    </row>
    <row r="274" spans="5:7" x14ac:dyDescent="0.15">
      <c r="E274" s="8"/>
      <c r="F274" s="8"/>
      <c r="G274" s="8"/>
    </row>
    <row r="275" spans="5:7" x14ac:dyDescent="0.15">
      <c r="E275" s="8"/>
      <c r="F275" s="8"/>
      <c r="G275" s="8"/>
    </row>
    <row r="276" spans="5:7" x14ac:dyDescent="0.15">
      <c r="E276" s="8"/>
      <c r="F276" s="8"/>
      <c r="G276" s="8"/>
    </row>
    <row r="277" spans="5:7" x14ac:dyDescent="0.15">
      <c r="E277" s="8"/>
      <c r="F277" s="8"/>
      <c r="G277" s="8"/>
    </row>
    <row r="278" spans="5:7" x14ac:dyDescent="0.15">
      <c r="E278" s="8"/>
      <c r="F278" s="8"/>
      <c r="G278" s="8"/>
    </row>
    <row r="279" spans="5:7" x14ac:dyDescent="0.15">
      <c r="E279" s="8"/>
      <c r="F279" s="8"/>
      <c r="G279" s="8"/>
    </row>
    <row r="280" spans="5:7" x14ac:dyDescent="0.15">
      <c r="E280" s="8"/>
      <c r="F280" s="8"/>
      <c r="G280" s="8"/>
    </row>
    <row r="281" spans="5:7" x14ac:dyDescent="0.15">
      <c r="E281" s="8"/>
      <c r="F281" s="8"/>
      <c r="G281" s="8"/>
    </row>
    <row r="282" spans="5:7" x14ac:dyDescent="0.15">
      <c r="E282" s="8"/>
      <c r="F282" s="8"/>
      <c r="G282" s="8"/>
    </row>
    <row r="283" spans="5:7" x14ac:dyDescent="0.15">
      <c r="E283" s="8"/>
      <c r="F283" s="8"/>
      <c r="G283" s="8"/>
    </row>
    <row r="284" spans="5:7" x14ac:dyDescent="0.15">
      <c r="E284" s="8"/>
      <c r="F284" s="8"/>
      <c r="G284" s="8"/>
    </row>
    <row r="285" spans="5:7" x14ac:dyDescent="0.15">
      <c r="E285" s="8"/>
      <c r="F285" s="8"/>
      <c r="G285" s="8"/>
    </row>
    <row r="286" spans="5:7" x14ac:dyDescent="0.15">
      <c r="E286" s="8"/>
      <c r="F286" s="8"/>
      <c r="G286" s="8"/>
    </row>
    <row r="287" spans="5:7" x14ac:dyDescent="0.15">
      <c r="E287" s="8"/>
      <c r="F287" s="8"/>
      <c r="G287" s="8"/>
    </row>
    <row r="288" spans="5:7" x14ac:dyDescent="0.15">
      <c r="E288" s="8"/>
      <c r="F288" s="8"/>
      <c r="G288" s="8"/>
    </row>
    <row r="289" spans="5:7" x14ac:dyDescent="0.15">
      <c r="E289" s="8"/>
      <c r="F289" s="8"/>
      <c r="G289" s="8"/>
    </row>
    <row r="290" spans="5:7" x14ac:dyDescent="0.15">
      <c r="E290" s="8"/>
      <c r="F290" s="8"/>
      <c r="G290" s="8"/>
    </row>
    <row r="291" spans="5:7" x14ac:dyDescent="0.15">
      <c r="E291" s="8"/>
      <c r="F291" s="8"/>
      <c r="G291" s="8"/>
    </row>
    <row r="292" spans="5:7" x14ac:dyDescent="0.15">
      <c r="E292" s="8"/>
      <c r="F292" s="8"/>
      <c r="G292" s="8"/>
    </row>
    <row r="293" spans="5:7" x14ac:dyDescent="0.15">
      <c r="E293" s="8"/>
      <c r="F293" s="8"/>
      <c r="G293" s="8"/>
    </row>
    <row r="294" spans="5:7" x14ac:dyDescent="0.15">
      <c r="E294" s="8"/>
      <c r="F294" s="8"/>
      <c r="G294" s="8"/>
    </row>
    <row r="295" spans="5:7" x14ac:dyDescent="0.15">
      <c r="E295" s="8"/>
      <c r="F295" s="8"/>
      <c r="G295" s="8"/>
    </row>
    <row r="296" spans="5:7" x14ac:dyDescent="0.15">
      <c r="E296" s="8"/>
      <c r="F296" s="8"/>
      <c r="G296" s="8"/>
    </row>
    <row r="297" spans="5:7" x14ac:dyDescent="0.15">
      <c r="E297" s="8"/>
      <c r="F297" s="8"/>
      <c r="G297" s="8"/>
    </row>
    <row r="298" spans="5:7" x14ac:dyDescent="0.15">
      <c r="E298" s="8"/>
      <c r="F298" s="8"/>
      <c r="G298" s="8"/>
    </row>
    <row r="299" spans="5:7" x14ac:dyDescent="0.15">
      <c r="E299" s="8"/>
      <c r="F299" s="8"/>
      <c r="G299" s="8"/>
    </row>
    <row r="300" spans="5:7" x14ac:dyDescent="0.15">
      <c r="E300" s="8"/>
      <c r="F300" s="8"/>
      <c r="G300" s="8"/>
    </row>
    <row r="301" spans="5:7" x14ac:dyDescent="0.15">
      <c r="E301" s="8"/>
      <c r="F301" s="8"/>
      <c r="G301" s="8"/>
    </row>
    <row r="302" spans="5:7" x14ac:dyDescent="0.15">
      <c r="E302" s="8"/>
      <c r="F302" s="8"/>
      <c r="G302" s="8"/>
    </row>
    <row r="303" spans="5:7" x14ac:dyDescent="0.15">
      <c r="E303" s="8"/>
      <c r="F303" s="8"/>
      <c r="G303" s="8"/>
    </row>
    <row r="304" spans="5:7" x14ac:dyDescent="0.15">
      <c r="E304" s="8"/>
      <c r="F304" s="8"/>
      <c r="G304" s="8"/>
    </row>
    <row r="305" spans="5:7" x14ac:dyDescent="0.15">
      <c r="E305" s="8"/>
      <c r="F305" s="8"/>
      <c r="G305" s="8"/>
    </row>
    <row r="306" spans="5:7" x14ac:dyDescent="0.15">
      <c r="E306" s="8"/>
      <c r="F306" s="8"/>
      <c r="G306" s="8"/>
    </row>
    <row r="307" spans="5:7" x14ac:dyDescent="0.15">
      <c r="E307" s="8"/>
      <c r="F307" s="8"/>
      <c r="G307" s="8"/>
    </row>
    <row r="308" spans="5:7" x14ac:dyDescent="0.15">
      <c r="E308" s="8"/>
      <c r="F308" s="8"/>
      <c r="G308" s="8"/>
    </row>
    <row r="309" spans="5:7" x14ac:dyDescent="0.15">
      <c r="E309" s="8"/>
      <c r="F309" s="8"/>
      <c r="G309" s="8"/>
    </row>
    <row r="310" spans="5:7" x14ac:dyDescent="0.15">
      <c r="E310" s="8"/>
      <c r="F310" s="8"/>
      <c r="G310" s="8"/>
    </row>
    <row r="311" spans="5:7" x14ac:dyDescent="0.15">
      <c r="E311" s="8"/>
      <c r="F311" s="8"/>
      <c r="G311" s="8"/>
    </row>
    <row r="312" spans="5:7" x14ac:dyDescent="0.15">
      <c r="E312" s="8"/>
      <c r="F312" s="8"/>
      <c r="G312" s="8"/>
    </row>
    <row r="313" spans="5:7" x14ac:dyDescent="0.15">
      <c r="E313" s="8"/>
      <c r="F313" s="8"/>
      <c r="G313" s="8"/>
    </row>
    <row r="314" spans="5:7" x14ac:dyDescent="0.15">
      <c r="E314" s="8"/>
      <c r="F314" s="8"/>
      <c r="G314" s="8"/>
    </row>
    <row r="315" spans="5:7" x14ac:dyDescent="0.15">
      <c r="E315" s="8"/>
      <c r="F315" s="8"/>
      <c r="G315" s="8"/>
    </row>
    <row r="316" spans="5:7" x14ac:dyDescent="0.15">
      <c r="E316" s="8"/>
      <c r="F316" s="8"/>
      <c r="G316" s="8"/>
    </row>
    <row r="317" spans="5:7" x14ac:dyDescent="0.15">
      <c r="E317" s="8"/>
      <c r="F317" s="8"/>
      <c r="G317" s="8"/>
    </row>
    <row r="318" spans="5:7" x14ac:dyDescent="0.15">
      <c r="E318" s="8"/>
      <c r="F318" s="8"/>
      <c r="G318" s="8"/>
    </row>
    <row r="319" spans="5:7" x14ac:dyDescent="0.15">
      <c r="E319" s="8"/>
      <c r="F319" s="8"/>
      <c r="G319" s="8"/>
    </row>
    <row r="320" spans="5:7" x14ac:dyDescent="0.15">
      <c r="E320" s="8"/>
      <c r="F320" s="8"/>
      <c r="G320" s="8"/>
    </row>
    <row r="321" spans="5:7" x14ac:dyDescent="0.15">
      <c r="E321" s="8"/>
      <c r="F321" s="8"/>
      <c r="G321" s="8"/>
    </row>
    <row r="322" spans="5:7" x14ac:dyDescent="0.15">
      <c r="E322" s="8"/>
      <c r="F322" s="8"/>
      <c r="G322" s="8"/>
    </row>
    <row r="323" spans="5:7" x14ac:dyDescent="0.15">
      <c r="E323" s="8"/>
      <c r="F323" s="8"/>
      <c r="G323" s="8"/>
    </row>
    <row r="324" spans="5:7" x14ac:dyDescent="0.15">
      <c r="E324" s="8"/>
      <c r="F324" s="8"/>
      <c r="G324" s="8"/>
    </row>
    <row r="325" spans="5:7" x14ac:dyDescent="0.15">
      <c r="E325" s="8"/>
      <c r="F325" s="8"/>
      <c r="G325" s="8"/>
    </row>
    <row r="326" spans="5:7" x14ac:dyDescent="0.15">
      <c r="E326" s="8"/>
      <c r="F326" s="8"/>
      <c r="G326" s="8"/>
    </row>
    <row r="327" spans="5:7" x14ac:dyDescent="0.15">
      <c r="E327" s="8"/>
      <c r="F327" s="8"/>
      <c r="G327" s="8"/>
    </row>
    <row r="328" spans="5:7" x14ac:dyDescent="0.15">
      <c r="E328" s="8"/>
      <c r="F328" s="8"/>
      <c r="G328" s="8"/>
    </row>
    <row r="329" spans="5:7" x14ac:dyDescent="0.15">
      <c r="E329" s="8"/>
      <c r="F329" s="8"/>
      <c r="G329" s="8"/>
    </row>
    <row r="330" spans="5:7" x14ac:dyDescent="0.15">
      <c r="E330" s="8"/>
      <c r="F330" s="8"/>
      <c r="G330" s="8"/>
    </row>
    <row r="331" spans="5:7" x14ac:dyDescent="0.15">
      <c r="E331" s="8"/>
      <c r="F331" s="8"/>
      <c r="G331" s="8"/>
    </row>
    <row r="332" spans="5:7" x14ac:dyDescent="0.15">
      <c r="E332" s="8"/>
      <c r="F332" s="8"/>
      <c r="G332" s="8"/>
    </row>
    <row r="333" spans="5:7" x14ac:dyDescent="0.15">
      <c r="E333" s="8"/>
      <c r="F333" s="8"/>
      <c r="G333" s="8"/>
    </row>
    <row r="334" spans="5:7" x14ac:dyDescent="0.15">
      <c r="E334" s="8"/>
      <c r="F334" s="8"/>
      <c r="G334" s="8"/>
    </row>
    <row r="335" spans="5:7" x14ac:dyDescent="0.15">
      <c r="E335" s="8"/>
      <c r="F335" s="8"/>
      <c r="G335" s="8"/>
    </row>
    <row r="336" spans="5:7" x14ac:dyDescent="0.15">
      <c r="E336" s="8"/>
      <c r="F336" s="8"/>
      <c r="G336" s="8"/>
    </row>
    <row r="337" spans="5:7" x14ac:dyDescent="0.15">
      <c r="E337" s="8"/>
      <c r="F337" s="8"/>
      <c r="G337" s="8"/>
    </row>
    <row r="338" spans="5:7" x14ac:dyDescent="0.15">
      <c r="E338" s="8"/>
      <c r="F338" s="8"/>
      <c r="G338" s="8"/>
    </row>
    <row r="339" spans="5:7" x14ac:dyDescent="0.15">
      <c r="E339" s="8"/>
      <c r="F339" s="8"/>
      <c r="G339" s="8"/>
    </row>
    <row r="340" spans="5:7" x14ac:dyDescent="0.15">
      <c r="E340" s="8"/>
      <c r="F340" s="8"/>
      <c r="G340" s="8"/>
    </row>
    <row r="341" spans="5:7" x14ac:dyDescent="0.15">
      <c r="E341" s="8"/>
      <c r="F341" s="8"/>
      <c r="G341" s="8"/>
    </row>
    <row r="342" spans="5:7" x14ac:dyDescent="0.15">
      <c r="E342" s="8"/>
      <c r="F342" s="8"/>
      <c r="G342" s="8"/>
    </row>
    <row r="343" spans="5:7" x14ac:dyDescent="0.15">
      <c r="E343" s="8"/>
      <c r="F343" s="8"/>
      <c r="G343" s="8"/>
    </row>
    <row r="344" spans="5:7" x14ac:dyDescent="0.15">
      <c r="E344" s="8"/>
      <c r="F344" s="8"/>
      <c r="G344" s="8"/>
    </row>
    <row r="345" spans="5:7" x14ac:dyDescent="0.15">
      <c r="E345" s="8"/>
      <c r="F345" s="8"/>
      <c r="G345" s="8"/>
    </row>
    <row r="346" spans="5:7" x14ac:dyDescent="0.15">
      <c r="E346" s="8"/>
      <c r="F346" s="8"/>
      <c r="G346" s="8"/>
    </row>
    <row r="347" spans="5:7" x14ac:dyDescent="0.15">
      <c r="E347" s="8"/>
      <c r="F347" s="8"/>
      <c r="G347" s="8"/>
    </row>
    <row r="348" spans="5:7" x14ac:dyDescent="0.15">
      <c r="E348" s="8"/>
      <c r="F348" s="8"/>
      <c r="G348" s="8"/>
    </row>
    <row r="349" spans="5:7" x14ac:dyDescent="0.15">
      <c r="E349" s="8"/>
      <c r="F349" s="8"/>
      <c r="G349" s="8"/>
    </row>
    <row r="350" spans="5:7" x14ac:dyDescent="0.15">
      <c r="E350" s="8"/>
      <c r="F350" s="8"/>
      <c r="G350" s="8"/>
    </row>
    <row r="351" spans="5:7" x14ac:dyDescent="0.15">
      <c r="E351" s="8"/>
      <c r="F351" s="8"/>
      <c r="G351" s="8"/>
    </row>
    <row r="352" spans="5:7" x14ac:dyDescent="0.15">
      <c r="E352" s="8"/>
      <c r="F352" s="8"/>
      <c r="G352" s="8"/>
    </row>
    <row r="353" spans="5:7" x14ac:dyDescent="0.15">
      <c r="E353" s="8"/>
      <c r="F353" s="8"/>
      <c r="G353" s="8"/>
    </row>
    <row r="354" spans="5:7" x14ac:dyDescent="0.15">
      <c r="E354" s="8"/>
      <c r="F354" s="8"/>
      <c r="G354" s="8"/>
    </row>
    <row r="355" spans="5:7" x14ac:dyDescent="0.15">
      <c r="E355" s="8"/>
      <c r="F355" s="8"/>
      <c r="G355" s="8"/>
    </row>
    <row r="356" spans="5:7" x14ac:dyDescent="0.15">
      <c r="E356" s="8"/>
      <c r="F356" s="8"/>
      <c r="G356" s="8"/>
    </row>
    <row r="357" spans="5:7" x14ac:dyDescent="0.15">
      <c r="E357" s="8"/>
      <c r="F357" s="8"/>
      <c r="G357" s="8"/>
    </row>
    <row r="358" spans="5:7" x14ac:dyDescent="0.15">
      <c r="E358" s="8"/>
      <c r="F358" s="8"/>
      <c r="G358" s="8"/>
    </row>
    <row r="359" spans="5:7" x14ac:dyDescent="0.15">
      <c r="E359" s="8"/>
      <c r="F359" s="8"/>
      <c r="G359" s="8"/>
    </row>
    <row r="360" spans="5:7" x14ac:dyDescent="0.15">
      <c r="E360" s="8"/>
      <c r="F360" s="8"/>
      <c r="G360" s="8"/>
    </row>
    <row r="361" spans="5:7" x14ac:dyDescent="0.15">
      <c r="E361" s="8"/>
      <c r="F361" s="8"/>
      <c r="G361" s="8"/>
    </row>
    <row r="362" spans="5:7" x14ac:dyDescent="0.15">
      <c r="E362" s="8"/>
      <c r="F362" s="8"/>
      <c r="G362" s="8"/>
    </row>
    <row r="363" spans="5:7" x14ac:dyDescent="0.15">
      <c r="E363" s="8"/>
      <c r="F363" s="8"/>
      <c r="G363" s="8"/>
    </row>
    <row r="364" spans="5:7" x14ac:dyDescent="0.15">
      <c r="E364" s="8"/>
      <c r="F364" s="8"/>
      <c r="G364" s="8"/>
    </row>
    <row r="365" spans="5:7" x14ac:dyDescent="0.15">
      <c r="E365" s="8"/>
      <c r="F365" s="8"/>
      <c r="G365" s="8"/>
    </row>
    <row r="366" spans="5:7" x14ac:dyDescent="0.15">
      <c r="E366" s="8"/>
      <c r="F366" s="8"/>
      <c r="G366" s="8"/>
    </row>
    <row r="367" spans="5:7" x14ac:dyDescent="0.15">
      <c r="E367" s="8"/>
      <c r="F367" s="8"/>
      <c r="G367" s="8"/>
    </row>
    <row r="368" spans="5:7" x14ac:dyDescent="0.15">
      <c r="E368" s="8"/>
      <c r="F368" s="8"/>
      <c r="G368" s="8"/>
    </row>
    <row r="369" spans="5:7" x14ac:dyDescent="0.15">
      <c r="E369" s="8"/>
      <c r="F369" s="8"/>
      <c r="G369" s="8"/>
    </row>
    <row r="370" spans="5:7" x14ac:dyDescent="0.15">
      <c r="E370" s="8"/>
      <c r="F370" s="8"/>
      <c r="G370" s="8"/>
    </row>
    <row r="371" spans="5:7" x14ac:dyDescent="0.15">
      <c r="E371" s="8"/>
      <c r="F371" s="8"/>
      <c r="G371" s="8"/>
    </row>
    <row r="372" spans="5:7" x14ac:dyDescent="0.15">
      <c r="E372" s="8"/>
      <c r="F372" s="8"/>
      <c r="G372" s="8"/>
    </row>
    <row r="373" spans="5:7" x14ac:dyDescent="0.15">
      <c r="E373" s="8"/>
      <c r="F373" s="8"/>
      <c r="G373" s="8"/>
    </row>
    <row r="374" spans="5:7" x14ac:dyDescent="0.15">
      <c r="E374" s="8"/>
      <c r="F374" s="8"/>
      <c r="G374" s="8"/>
    </row>
    <row r="375" spans="5:7" x14ac:dyDescent="0.15">
      <c r="E375" s="8"/>
      <c r="F375" s="8"/>
      <c r="G375" s="8"/>
    </row>
    <row r="376" spans="5:7" x14ac:dyDescent="0.15">
      <c r="E376" s="8"/>
      <c r="F376" s="8"/>
      <c r="G376" s="8"/>
    </row>
    <row r="377" spans="5:7" x14ac:dyDescent="0.15">
      <c r="E377" s="8"/>
      <c r="F377" s="8"/>
      <c r="G377" s="8"/>
    </row>
    <row r="378" spans="5:7" x14ac:dyDescent="0.15">
      <c r="E378" s="8"/>
      <c r="F378" s="8"/>
      <c r="G378" s="8"/>
    </row>
    <row r="379" spans="5:7" x14ac:dyDescent="0.15">
      <c r="E379" s="8"/>
      <c r="F379" s="8"/>
      <c r="G379" s="8"/>
    </row>
    <row r="380" spans="5:7" x14ac:dyDescent="0.15">
      <c r="E380" s="8"/>
      <c r="F380" s="8"/>
      <c r="G380" s="8"/>
    </row>
    <row r="381" spans="5:7" x14ac:dyDescent="0.15">
      <c r="E381" s="8"/>
      <c r="F381" s="8"/>
      <c r="G381" s="8"/>
    </row>
    <row r="382" spans="5:7" x14ac:dyDescent="0.15">
      <c r="E382" s="8"/>
      <c r="F382" s="8"/>
      <c r="G382" s="8"/>
    </row>
    <row r="383" spans="5:7" x14ac:dyDescent="0.15">
      <c r="E383" s="8"/>
      <c r="F383" s="8"/>
      <c r="G383" s="8"/>
    </row>
    <row r="384" spans="5:7" x14ac:dyDescent="0.15">
      <c r="E384" s="8"/>
      <c r="F384" s="8"/>
      <c r="G384" s="8"/>
    </row>
    <row r="385" spans="5:7" x14ac:dyDescent="0.15">
      <c r="E385" s="8"/>
      <c r="F385" s="8"/>
      <c r="G385" s="8"/>
    </row>
    <row r="386" spans="5:7" x14ac:dyDescent="0.15">
      <c r="E386" s="8"/>
      <c r="F386" s="8"/>
      <c r="G386" s="8"/>
    </row>
    <row r="387" spans="5:7" x14ac:dyDescent="0.15">
      <c r="E387" s="8"/>
      <c r="F387" s="8"/>
      <c r="G387" s="8"/>
    </row>
    <row r="388" spans="5:7" x14ac:dyDescent="0.15">
      <c r="E388" s="8"/>
      <c r="F388" s="8"/>
      <c r="G388" s="8"/>
    </row>
    <row r="389" spans="5:7" x14ac:dyDescent="0.15">
      <c r="E389" s="8"/>
      <c r="F389" s="8"/>
      <c r="G389" s="8"/>
    </row>
    <row r="390" spans="5:7" x14ac:dyDescent="0.15">
      <c r="E390" s="8"/>
      <c r="F390" s="8"/>
      <c r="G390" s="8"/>
    </row>
    <row r="391" spans="5:7" x14ac:dyDescent="0.15">
      <c r="E391" s="8"/>
      <c r="F391" s="8"/>
      <c r="G391" s="8"/>
    </row>
    <row r="392" spans="5:7" x14ac:dyDescent="0.15">
      <c r="E392" s="8"/>
      <c r="F392" s="8"/>
      <c r="G392" s="8"/>
    </row>
    <row r="393" spans="5:7" x14ac:dyDescent="0.15">
      <c r="E393" s="8"/>
      <c r="F393" s="8"/>
      <c r="G393" s="8"/>
    </row>
    <row r="394" spans="5:7" x14ac:dyDescent="0.15">
      <c r="E394" s="8"/>
      <c r="F394" s="8"/>
      <c r="G394" s="8"/>
    </row>
    <row r="395" spans="5:7" x14ac:dyDescent="0.15">
      <c r="E395" s="8"/>
      <c r="F395" s="8"/>
      <c r="G395" s="8"/>
    </row>
    <row r="396" spans="5:7" x14ac:dyDescent="0.15">
      <c r="E396" s="8"/>
      <c r="F396" s="8"/>
      <c r="G396" s="8"/>
    </row>
    <row r="397" spans="5:7" x14ac:dyDescent="0.15">
      <c r="E397" s="8"/>
      <c r="F397" s="8"/>
      <c r="G397" s="8"/>
    </row>
    <row r="398" spans="5:7" x14ac:dyDescent="0.15">
      <c r="E398" s="8"/>
      <c r="F398" s="8"/>
      <c r="G398" s="8"/>
    </row>
    <row r="399" spans="5:7" x14ac:dyDescent="0.15">
      <c r="E399" s="8"/>
      <c r="F399" s="8"/>
      <c r="G399" s="8"/>
    </row>
    <row r="400" spans="5:7" x14ac:dyDescent="0.15">
      <c r="E400" s="8"/>
      <c r="F400" s="8"/>
      <c r="G400" s="8"/>
    </row>
    <row r="401" spans="5:7" x14ac:dyDescent="0.15">
      <c r="E401" s="8"/>
      <c r="F401" s="8"/>
      <c r="G401" s="8"/>
    </row>
    <row r="402" spans="5:7" x14ac:dyDescent="0.15">
      <c r="E402" s="8"/>
      <c r="F402" s="8"/>
      <c r="G402" s="8"/>
    </row>
    <row r="403" spans="5:7" x14ac:dyDescent="0.15">
      <c r="E403" s="8"/>
      <c r="F403" s="8"/>
      <c r="G403" s="8"/>
    </row>
    <row r="404" spans="5:7" x14ac:dyDescent="0.15">
      <c r="E404" s="8"/>
      <c r="F404" s="8"/>
      <c r="G404" s="8"/>
    </row>
    <row r="405" spans="5:7" x14ac:dyDescent="0.15">
      <c r="E405" s="8"/>
      <c r="F405" s="8"/>
      <c r="G405" s="8"/>
    </row>
    <row r="406" spans="5:7" x14ac:dyDescent="0.15">
      <c r="E406" s="8"/>
      <c r="F406" s="8"/>
      <c r="G406" s="8"/>
    </row>
    <row r="407" spans="5:7" x14ac:dyDescent="0.15">
      <c r="E407" s="8"/>
      <c r="F407" s="8"/>
      <c r="G407" s="8"/>
    </row>
    <row r="408" spans="5:7" x14ac:dyDescent="0.15">
      <c r="E408" s="8"/>
      <c r="F408" s="8"/>
      <c r="G408" s="8"/>
    </row>
    <row r="409" spans="5:7" x14ac:dyDescent="0.15">
      <c r="E409" s="8"/>
      <c r="F409" s="8"/>
      <c r="G409" s="8"/>
    </row>
    <row r="410" spans="5:7" x14ac:dyDescent="0.15">
      <c r="E410" s="8"/>
      <c r="F410" s="8"/>
      <c r="G410" s="8"/>
    </row>
    <row r="411" spans="5:7" x14ac:dyDescent="0.15">
      <c r="E411" s="8"/>
      <c r="F411" s="8"/>
      <c r="G411" s="8"/>
    </row>
    <row r="412" spans="5:7" x14ac:dyDescent="0.15">
      <c r="E412" s="8"/>
      <c r="F412" s="8"/>
      <c r="G412" s="8"/>
    </row>
    <row r="413" spans="5:7" x14ac:dyDescent="0.15">
      <c r="E413" s="8"/>
      <c r="F413" s="8"/>
      <c r="G413" s="8"/>
    </row>
    <row r="414" spans="5:7" x14ac:dyDescent="0.15">
      <c r="E414" s="8"/>
      <c r="F414" s="8"/>
      <c r="G414" s="8"/>
    </row>
    <row r="415" spans="5:7" x14ac:dyDescent="0.15">
      <c r="E415" s="8"/>
      <c r="F415" s="8"/>
      <c r="G415" s="8"/>
    </row>
    <row r="416" spans="5:7" x14ac:dyDescent="0.15">
      <c r="E416" s="8"/>
      <c r="F416" s="8"/>
      <c r="G416" s="8"/>
    </row>
    <row r="417" spans="5:7" x14ac:dyDescent="0.15">
      <c r="E417" s="8"/>
      <c r="F417" s="8"/>
      <c r="G417" s="8"/>
    </row>
    <row r="418" spans="5:7" x14ac:dyDescent="0.15">
      <c r="E418" s="8"/>
      <c r="F418" s="8"/>
      <c r="G418" s="8"/>
    </row>
    <row r="419" spans="5:7" x14ac:dyDescent="0.15">
      <c r="E419" s="8"/>
      <c r="F419" s="8"/>
      <c r="G419" s="8"/>
    </row>
    <row r="420" spans="5:7" x14ac:dyDescent="0.15">
      <c r="E420" s="8"/>
      <c r="F420" s="8"/>
      <c r="G420" s="8"/>
    </row>
    <row r="421" spans="5:7" x14ac:dyDescent="0.15">
      <c r="E421" s="8"/>
      <c r="F421" s="8"/>
      <c r="G421" s="8"/>
    </row>
    <row r="422" spans="5:7" x14ac:dyDescent="0.15">
      <c r="E422" s="8"/>
      <c r="F422" s="8"/>
      <c r="G422" s="8"/>
    </row>
    <row r="423" spans="5:7" x14ac:dyDescent="0.15">
      <c r="E423" s="8"/>
      <c r="F423" s="8"/>
      <c r="G423" s="8"/>
    </row>
    <row r="424" spans="5:7" x14ac:dyDescent="0.15">
      <c r="E424" s="8"/>
      <c r="F424" s="8"/>
      <c r="G424" s="8"/>
    </row>
    <row r="425" spans="5:7" x14ac:dyDescent="0.15">
      <c r="E425" s="8"/>
      <c r="F425" s="8"/>
      <c r="G425" s="8"/>
    </row>
    <row r="426" spans="5:7" x14ac:dyDescent="0.15">
      <c r="E426" s="8"/>
      <c r="F426" s="8"/>
      <c r="G426" s="8"/>
    </row>
    <row r="427" spans="5:7" x14ac:dyDescent="0.15">
      <c r="E427" s="8"/>
      <c r="F427" s="8"/>
      <c r="G427" s="8"/>
    </row>
    <row r="428" spans="5:7" x14ac:dyDescent="0.15">
      <c r="E428" s="8"/>
      <c r="F428" s="8"/>
      <c r="G428" s="8"/>
    </row>
    <row r="429" spans="5:7" x14ac:dyDescent="0.15">
      <c r="E429" s="8"/>
      <c r="F429" s="8"/>
      <c r="G429" s="8"/>
    </row>
    <row r="430" spans="5:7" x14ac:dyDescent="0.15">
      <c r="E430" s="8"/>
      <c r="F430" s="8"/>
      <c r="G430" s="8"/>
    </row>
    <row r="431" spans="5:7" x14ac:dyDescent="0.15">
      <c r="E431" s="8"/>
      <c r="F431" s="8"/>
      <c r="G431" s="8"/>
    </row>
    <row r="432" spans="5:7" x14ac:dyDescent="0.15">
      <c r="E432" s="8"/>
      <c r="F432" s="8"/>
      <c r="G432" s="8"/>
    </row>
    <row r="433" spans="5:7" x14ac:dyDescent="0.15">
      <c r="E433" s="8"/>
      <c r="F433" s="8"/>
      <c r="G433" s="8"/>
    </row>
    <row r="434" spans="5:7" x14ac:dyDescent="0.15">
      <c r="E434" s="8"/>
      <c r="F434" s="8"/>
      <c r="G434" s="8"/>
    </row>
    <row r="435" spans="5:7" x14ac:dyDescent="0.15">
      <c r="E435" s="8"/>
      <c r="F435" s="8"/>
      <c r="G435" s="8"/>
    </row>
    <row r="436" spans="5:7" x14ac:dyDescent="0.15">
      <c r="E436" s="8"/>
      <c r="F436" s="8"/>
      <c r="G436" s="8"/>
    </row>
    <row r="437" spans="5:7" x14ac:dyDescent="0.15">
      <c r="E437" s="8"/>
      <c r="F437" s="8"/>
      <c r="G437" s="8"/>
    </row>
    <row r="438" spans="5:7" x14ac:dyDescent="0.15">
      <c r="E438" s="8"/>
      <c r="F438" s="8"/>
      <c r="G438" s="8"/>
    </row>
    <row r="439" spans="5:7" x14ac:dyDescent="0.15">
      <c r="E439" s="8"/>
      <c r="F439" s="8"/>
      <c r="G439" s="8"/>
    </row>
    <row r="440" spans="5:7" x14ac:dyDescent="0.15">
      <c r="E440" s="8"/>
      <c r="F440" s="8"/>
      <c r="G440" s="8"/>
    </row>
    <row r="441" spans="5:7" x14ac:dyDescent="0.15">
      <c r="E441" s="8"/>
      <c r="F441" s="8"/>
      <c r="G441" s="8"/>
    </row>
    <row r="442" spans="5:7" x14ac:dyDescent="0.15">
      <c r="E442" s="8"/>
      <c r="F442" s="8"/>
      <c r="G442" s="8"/>
    </row>
    <row r="443" spans="5:7" x14ac:dyDescent="0.15">
      <c r="E443" s="8"/>
      <c r="F443" s="8"/>
      <c r="G443" s="8"/>
    </row>
    <row r="444" spans="5:7" x14ac:dyDescent="0.15">
      <c r="E444" s="8"/>
      <c r="F444" s="8"/>
      <c r="G444" s="8"/>
    </row>
    <row r="445" spans="5:7" x14ac:dyDescent="0.15">
      <c r="E445" s="8"/>
      <c r="F445" s="8"/>
      <c r="G445" s="8"/>
    </row>
    <row r="446" spans="5:7" x14ac:dyDescent="0.15">
      <c r="E446" s="8"/>
      <c r="F446" s="8"/>
      <c r="G446" s="8"/>
    </row>
    <row r="447" spans="5:7" x14ac:dyDescent="0.15">
      <c r="E447" s="8"/>
      <c r="F447" s="8"/>
      <c r="G447" s="8"/>
    </row>
    <row r="448" spans="5:7" x14ac:dyDescent="0.15">
      <c r="E448" s="8"/>
      <c r="F448" s="8"/>
      <c r="G448" s="8"/>
    </row>
    <row r="449" spans="5:7" x14ac:dyDescent="0.15">
      <c r="E449" s="8"/>
      <c r="F449" s="8"/>
      <c r="G449" s="8"/>
    </row>
    <row r="450" spans="5:7" x14ac:dyDescent="0.15">
      <c r="E450" s="8"/>
      <c r="F450" s="8"/>
      <c r="G450" s="8"/>
    </row>
    <row r="451" spans="5:7" x14ac:dyDescent="0.15">
      <c r="E451" s="8"/>
      <c r="F451" s="8"/>
      <c r="G451" s="8"/>
    </row>
    <row r="452" spans="5:7" x14ac:dyDescent="0.15">
      <c r="E452" s="8"/>
      <c r="F452" s="8"/>
      <c r="G452" s="8"/>
    </row>
    <row r="453" spans="5:7" x14ac:dyDescent="0.15">
      <c r="E453" s="8"/>
      <c r="F453" s="8"/>
      <c r="G453" s="8"/>
    </row>
    <row r="454" spans="5:7" x14ac:dyDescent="0.15">
      <c r="E454" s="8"/>
      <c r="F454" s="8"/>
      <c r="G454" s="8"/>
    </row>
    <row r="455" spans="5:7" x14ac:dyDescent="0.15">
      <c r="E455" s="8"/>
      <c r="F455" s="8"/>
      <c r="G455" s="8"/>
    </row>
    <row r="456" spans="5:7" x14ac:dyDescent="0.15">
      <c r="E456" s="8"/>
      <c r="F456" s="8"/>
      <c r="G456" s="8"/>
    </row>
    <row r="457" spans="5:7" x14ac:dyDescent="0.15">
      <c r="E457" s="8"/>
      <c r="F457" s="8"/>
      <c r="G457" s="8"/>
    </row>
    <row r="458" spans="5:7" x14ac:dyDescent="0.15">
      <c r="E458" s="8"/>
      <c r="F458" s="8"/>
      <c r="G458" s="8"/>
    </row>
    <row r="459" spans="5:7" x14ac:dyDescent="0.15">
      <c r="E459" s="8"/>
      <c r="F459" s="8"/>
      <c r="G459" s="8"/>
    </row>
    <row r="460" spans="5:7" x14ac:dyDescent="0.15">
      <c r="E460" s="8"/>
      <c r="F460" s="8"/>
      <c r="G460" s="8"/>
    </row>
    <row r="461" spans="5:7" x14ac:dyDescent="0.15">
      <c r="E461" s="8"/>
      <c r="F461" s="8"/>
      <c r="G461" s="8"/>
    </row>
    <row r="462" spans="5:7" x14ac:dyDescent="0.15">
      <c r="E462" s="8"/>
      <c r="F462" s="8"/>
      <c r="G462" s="8"/>
    </row>
    <row r="463" spans="5:7" x14ac:dyDescent="0.15">
      <c r="E463" s="8"/>
      <c r="F463" s="8"/>
      <c r="G463" s="8"/>
    </row>
    <row r="464" spans="5:7" x14ac:dyDescent="0.15">
      <c r="E464" s="8"/>
      <c r="F464" s="8"/>
      <c r="G464" s="8"/>
    </row>
    <row r="465" spans="5:7" x14ac:dyDescent="0.15">
      <c r="E465" s="8"/>
      <c r="F465" s="8"/>
      <c r="G465" s="8"/>
    </row>
    <row r="466" spans="5:7" x14ac:dyDescent="0.15">
      <c r="E466" s="8"/>
      <c r="F466" s="8"/>
      <c r="G466" s="8"/>
    </row>
    <row r="467" spans="5:7" ht="12.75" customHeight="1" x14ac:dyDescent="0.15">
      <c r="E467" s="8"/>
      <c r="F467" s="8"/>
      <c r="G467" s="8"/>
    </row>
    <row r="468" spans="5:7" x14ac:dyDescent="0.15">
      <c r="E468" s="8"/>
      <c r="F468" s="8"/>
      <c r="G468" s="8"/>
    </row>
    <row r="469" spans="5:7" x14ac:dyDescent="0.15">
      <c r="E469" s="8"/>
      <c r="F469" s="8"/>
      <c r="G469" s="8"/>
    </row>
    <row r="470" spans="5:7" x14ac:dyDescent="0.15">
      <c r="E470" s="8"/>
      <c r="F470" s="8"/>
      <c r="G470" s="8"/>
    </row>
    <row r="471" spans="5:7" x14ac:dyDescent="0.15">
      <c r="E471" s="8"/>
      <c r="F471" s="8"/>
      <c r="G471" s="8"/>
    </row>
    <row r="472" spans="5:7" x14ac:dyDescent="0.15">
      <c r="E472" s="8"/>
      <c r="F472" s="8"/>
      <c r="G472" s="8"/>
    </row>
    <row r="473" spans="5:7" x14ac:dyDescent="0.15">
      <c r="E473" s="8"/>
      <c r="F473" s="8"/>
      <c r="G473" s="8"/>
    </row>
    <row r="474" spans="5:7" x14ac:dyDescent="0.15">
      <c r="E474" s="8"/>
      <c r="F474" s="8"/>
      <c r="G474" s="8"/>
    </row>
    <row r="475" spans="5:7" x14ac:dyDescent="0.15">
      <c r="E475" s="8"/>
      <c r="F475" s="8"/>
      <c r="G475" s="8"/>
    </row>
    <row r="476" spans="5:7" x14ac:dyDescent="0.15">
      <c r="E476" s="8"/>
      <c r="F476" s="8"/>
      <c r="G476" s="8"/>
    </row>
    <row r="477" spans="5:7" x14ac:dyDescent="0.15">
      <c r="E477" s="8"/>
      <c r="F477" s="8"/>
      <c r="G477" s="8"/>
    </row>
    <row r="478" spans="5:7" x14ac:dyDescent="0.15">
      <c r="E478" s="8"/>
      <c r="F478" s="8"/>
      <c r="G478" s="8"/>
    </row>
    <row r="479" spans="5:7" x14ac:dyDescent="0.15">
      <c r="E479" s="8"/>
      <c r="F479" s="8"/>
      <c r="G479" s="8"/>
    </row>
    <row r="480" spans="5:7" x14ac:dyDescent="0.15">
      <c r="E480" s="8"/>
      <c r="F480" s="8"/>
      <c r="G480" s="8"/>
    </row>
    <row r="481" spans="5:7" x14ac:dyDescent="0.15">
      <c r="E481" s="8"/>
      <c r="F481" s="8"/>
      <c r="G481" s="8"/>
    </row>
    <row r="482" spans="5:7" x14ac:dyDescent="0.15">
      <c r="E482" s="8"/>
      <c r="F482" s="8"/>
      <c r="G482" s="8"/>
    </row>
    <row r="483" spans="5:7" x14ac:dyDescent="0.15">
      <c r="E483" s="8"/>
      <c r="F483" s="8"/>
      <c r="G483" s="8"/>
    </row>
    <row r="484" spans="5:7" x14ac:dyDescent="0.15">
      <c r="E484" s="8"/>
      <c r="F484" s="8"/>
      <c r="G484" s="8"/>
    </row>
    <row r="485" spans="5:7" x14ac:dyDescent="0.15">
      <c r="E485" s="8"/>
      <c r="F485" s="8"/>
      <c r="G485" s="8"/>
    </row>
    <row r="486" spans="5:7" x14ac:dyDescent="0.15">
      <c r="E486" s="8"/>
      <c r="F486" s="8"/>
      <c r="G486" s="8"/>
    </row>
    <row r="487" spans="5:7" x14ac:dyDescent="0.15">
      <c r="E487" s="8"/>
      <c r="F487" s="8"/>
      <c r="G487" s="8"/>
    </row>
    <row r="488" spans="5:7" x14ac:dyDescent="0.15">
      <c r="E488" s="8"/>
      <c r="F488" s="8"/>
      <c r="G488" s="8"/>
    </row>
    <row r="489" spans="5:7" x14ac:dyDescent="0.15">
      <c r="E489" s="8"/>
      <c r="F489" s="8"/>
      <c r="G489" s="8"/>
    </row>
    <row r="490" spans="5:7" x14ac:dyDescent="0.15">
      <c r="E490" s="8"/>
      <c r="F490" s="8"/>
      <c r="G490" s="8"/>
    </row>
    <row r="491" spans="5:7" x14ac:dyDescent="0.15">
      <c r="E491" s="8"/>
      <c r="F491" s="8"/>
      <c r="G491" s="8"/>
    </row>
    <row r="492" spans="5:7" x14ac:dyDescent="0.15">
      <c r="E492" s="8"/>
      <c r="F492" s="8"/>
      <c r="G492" s="8"/>
    </row>
    <row r="493" spans="5:7" x14ac:dyDescent="0.15">
      <c r="E493" s="8"/>
      <c r="F493" s="8"/>
      <c r="G493" s="8"/>
    </row>
    <row r="494" spans="5:7" x14ac:dyDescent="0.15">
      <c r="E494" s="8"/>
      <c r="F494" s="8"/>
      <c r="G494" s="8"/>
    </row>
    <row r="495" spans="5:7" x14ac:dyDescent="0.15">
      <c r="E495" s="8"/>
      <c r="F495" s="8"/>
      <c r="G495" s="8"/>
    </row>
    <row r="496" spans="5:7" x14ac:dyDescent="0.15">
      <c r="E496" s="8"/>
      <c r="F496" s="8"/>
      <c r="G496" s="8"/>
    </row>
    <row r="497" spans="5:7" x14ac:dyDescent="0.15">
      <c r="E497" s="8"/>
      <c r="F497" s="8"/>
      <c r="G497" s="8"/>
    </row>
    <row r="498" spans="5:7" x14ac:dyDescent="0.15">
      <c r="E498" s="8"/>
      <c r="F498" s="8"/>
      <c r="G498" s="8"/>
    </row>
    <row r="499" spans="5:7" x14ac:dyDescent="0.15">
      <c r="E499" s="8"/>
      <c r="F499" s="8"/>
      <c r="G499" s="8"/>
    </row>
    <row r="500" spans="5:7" x14ac:dyDescent="0.15">
      <c r="E500" s="8"/>
      <c r="F500" s="8"/>
      <c r="G500" s="8"/>
    </row>
    <row r="501" spans="5:7" x14ac:dyDescent="0.15">
      <c r="E501" s="8"/>
      <c r="F501" s="8"/>
      <c r="G501" s="8"/>
    </row>
    <row r="502" spans="5:7" x14ac:dyDescent="0.15">
      <c r="E502" s="8"/>
      <c r="F502" s="8"/>
      <c r="G502" s="8"/>
    </row>
    <row r="503" spans="5:7" x14ac:dyDescent="0.15">
      <c r="E503" s="8"/>
      <c r="F503" s="8"/>
      <c r="G503" s="8"/>
    </row>
    <row r="504" spans="5:7" x14ac:dyDescent="0.15">
      <c r="E504" s="8"/>
      <c r="F504" s="8"/>
      <c r="G504" s="8"/>
    </row>
    <row r="505" spans="5:7" x14ac:dyDescent="0.15">
      <c r="E505" s="8"/>
      <c r="F505" s="8"/>
      <c r="G505" s="8"/>
    </row>
    <row r="506" spans="5:7" x14ac:dyDescent="0.15">
      <c r="E506" s="8"/>
      <c r="F506" s="8"/>
      <c r="G506" s="8"/>
    </row>
    <row r="507" spans="5:7" x14ac:dyDescent="0.15">
      <c r="E507" s="8"/>
      <c r="F507" s="8"/>
      <c r="G507" s="8"/>
    </row>
    <row r="508" spans="5:7" x14ac:dyDescent="0.15">
      <c r="E508" s="8"/>
      <c r="F508" s="8"/>
      <c r="G508" s="8"/>
    </row>
    <row r="509" spans="5:7" x14ac:dyDescent="0.15">
      <c r="E509" s="8"/>
      <c r="F509" s="8"/>
      <c r="G509" s="8"/>
    </row>
    <row r="510" spans="5:7" x14ac:dyDescent="0.15">
      <c r="E510" s="8"/>
      <c r="F510" s="8"/>
      <c r="G510" s="8"/>
    </row>
    <row r="511" spans="5:7" x14ac:dyDescent="0.15">
      <c r="E511" s="8"/>
      <c r="F511" s="8"/>
      <c r="G511" s="8"/>
    </row>
    <row r="512" spans="5:7" x14ac:dyDescent="0.15">
      <c r="E512" s="8"/>
      <c r="F512" s="8"/>
      <c r="G512" s="8"/>
    </row>
    <row r="513" spans="5:7" x14ac:dyDescent="0.15">
      <c r="E513" s="8"/>
      <c r="F513" s="8"/>
      <c r="G513" s="8"/>
    </row>
    <row r="514" spans="5:7" x14ac:dyDescent="0.15">
      <c r="E514" s="8"/>
      <c r="F514" s="8"/>
      <c r="G514" s="8"/>
    </row>
    <row r="515" spans="5:7" x14ac:dyDescent="0.15">
      <c r="E515" s="8"/>
      <c r="F515" s="8"/>
      <c r="G515" s="8"/>
    </row>
    <row r="516" spans="5:7" x14ac:dyDescent="0.15">
      <c r="E516" s="8"/>
      <c r="F516" s="8"/>
      <c r="G516" s="8"/>
    </row>
    <row r="517" spans="5:7" x14ac:dyDescent="0.15">
      <c r="E517" s="8"/>
      <c r="F517" s="8"/>
      <c r="G517" s="8"/>
    </row>
    <row r="518" spans="5:7" x14ac:dyDescent="0.15">
      <c r="E518" s="8"/>
      <c r="F518" s="8"/>
      <c r="G518" s="8"/>
    </row>
    <row r="519" spans="5:7" x14ac:dyDescent="0.15">
      <c r="E519" s="8"/>
      <c r="F519" s="8"/>
      <c r="G519" s="8"/>
    </row>
    <row r="520" spans="5:7" x14ac:dyDescent="0.15">
      <c r="E520" s="8"/>
      <c r="F520" s="8"/>
      <c r="G520" s="8"/>
    </row>
    <row r="521" spans="5:7" x14ac:dyDescent="0.15">
      <c r="E521" s="8"/>
      <c r="F521" s="8"/>
      <c r="G521" s="8"/>
    </row>
    <row r="522" spans="5:7" x14ac:dyDescent="0.15">
      <c r="E522" s="8"/>
      <c r="F522" s="8"/>
      <c r="G522" s="8"/>
    </row>
    <row r="523" spans="5:7" x14ac:dyDescent="0.15">
      <c r="E523" s="8"/>
      <c r="F523" s="8"/>
      <c r="G523" s="8"/>
    </row>
    <row r="524" spans="5:7" x14ac:dyDescent="0.15">
      <c r="E524" s="8"/>
      <c r="F524" s="8"/>
      <c r="G524" s="8"/>
    </row>
    <row r="525" spans="5:7" x14ac:dyDescent="0.15">
      <c r="E525" s="8"/>
      <c r="F525" s="8"/>
      <c r="G525" s="8"/>
    </row>
    <row r="526" spans="5:7" x14ac:dyDescent="0.15">
      <c r="E526" s="8"/>
      <c r="F526" s="8"/>
      <c r="G526" s="8"/>
    </row>
    <row r="527" spans="5:7" x14ac:dyDescent="0.15">
      <c r="E527" s="8"/>
      <c r="F527" s="8"/>
      <c r="G527" s="8"/>
    </row>
    <row r="528" spans="5:7" x14ac:dyDescent="0.15">
      <c r="E528" s="8"/>
      <c r="F528" s="8"/>
      <c r="G528" s="8"/>
    </row>
    <row r="529" spans="5:7" x14ac:dyDescent="0.15">
      <c r="E529" s="8"/>
      <c r="F529" s="8"/>
      <c r="G529" s="8"/>
    </row>
    <row r="530" spans="5:7" x14ac:dyDescent="0.15">
      <c r="E530" s="8"/>
      <c r="F530" s="8"/>
      <c r="G530" s="8"/>
    </row>
    <row r="531" spans="5:7" x14ac:dyDescent="0.15">
      <c r="E531" s="8"/>
      <c r="F531" s="8"/>
      <c r="G531" s="8"/>
    </row>
    <row r="532" spans="5:7" x14ac:dyDescent="0.15">
      <c r="E532" s="8"/>
      <c r="F532" s="8"/>
      <c r="G532" s="8"/>
    </row>
    <row r="533" spans="5:7" x14ac:dyDescent="0.15">
      <c r="E533" s="8"/>
      <c r="F533" s="8"/>
      <c r="G533" s="8"/>
    </row>
    <row r="534" spans="5:7" x14ac:dyDescent="0.15">
      <c r="E534" s="8"/>
      <c r="F534" s="8"/>
      <c r="G534" s="8"/>
    </row>
    <row r="535" spans="5:7" x14ac:dyDescent="0.15">
      <c r="E535" s="8"/>
      <c r="F535" s="8"/>
      <c r="G535" s="8"/>
    </row>
    <row r="536" spans="5:7" x14ac:dyDescent="0.15">
      <c r="E536" s="8"/>
      <c r="F536" s="8"/>
      <c r="G536" s="8"/>
    </row>
    <row r="537" spans="5:7" x14ac:dyDescent="0.15">
      <c r="E537" s="8"/>
      <c r="F537" s="8"/>
      <c r="G537" s="8"/>
    </row>
    <row r="538" spans="5:7" x14ac:dyDescent="0.15">
      <c r="E538" s="8"/>
      <c r="F538" s="8"/>
      <c r="G538" s="8"/>
    </row>
    <row r="539" spans="5:7" x14ac:dyDescent="0.15">
      <c r="E539" s="8"/>
      <c r="F539" s="8"/>
      <c r="G539" s="8"/>
    </row>
    <row r="540" spans="5:7" x14ac:dyDescent="0.15">
      <c r="E540" s="8"/>
      <c r="F540" s="8"/>
      <c r="G540" s="8"/>
    </row>
    <row r="541" spans="5:7" x14ac:dyDescent="0.15">
      <c r="E541" s="8"/>
      <c r="F541" s="8"/>
      <c r="G541" s="8"/>
    </row>
    <row r="542" spans="5:7" x14ac:dyDescent="0.15">
      <c r="E542" s="8"/>
      <c r="F542" s="8"/>
      <c r="G542" s="8"/>
    </row>
    <row r="543" spans="5:7" x14ac:dyDescent="0.15">
      <c r="E543" s="8"/>
      <c r="F543" s="8"/>
      <c r="G543" s="8"/>
    </row>
    <row r="544" spans="5:7" x14ac:dyDescent="0.15">
      <c r="E544" s="8"/>
      <c r="F544" s="8"/>
      <c r="G544" s="8"/>
    </row>
    <row r="545" spans="5:7" x14ac:dyDescent="0.15">
      <c r="E545" s="8"/>
      <c r="F545" s="8"/>
      <c r="G545" s="8"/>
    </row>
    <row r="546" spans="5:7" x14ac:dyDescent="0.15">
      <c r="E546" s="8"/>
      <c r="F546" s="8"/>
      <c r="G546" s="8"/>
    </row>
    <row r="547" spans="5:7" x14ac:dyDescent="0.15">
      <c r="E547" s="8"/>
      <c r="F547" s="8"/>
      <c r="G547" s="8"/>
    </row>
    <row r="548" spans="5:7" x14ac:dyDescent="0.15">
      <c r="E548" s="8"/>
      <c r="F548" s="8"/>
      <c r="G548" s="8"/>
    </row>
    <row r="549" spans="5:7" x14ac:dyDescent="0.15">
      <c r="E549" s="8"/>
      <c r="F549" s="8"/>
      <c r="G549" s="8"/>
    </row>
    <row r="550" spans="5:7" x14ac:dyDescent="0.15">
      <c r="E550" s="8"/>
      <c r="F550" s="8"/>
      <c r="G550" s="8"/>
    </row>
    <row r="551" spans="5:7" x14ac:dyDescent="0.15">
      <c r="E551" s="8"/>
      <c r="F551" s="8"/>
      <c r="G551" s="8"/>
    </row>
    <row r="552" spans="5:7" x14ac:dyDescent="0.15">
      <c r="E552" s="8"/>
      <c r="F552" s="8"/>
      <c r="G552" s="8"/>
    </row>
    <row r="553" spans="5:7" x14ac:dyDescent="0.15">
      <c r="E553" s="8"/>
      <c r="F553" s="8"/>
      <c r="G553" s="8"/>
    </row>
    <row r="554" spans="5:7" x14ac:dyDescent="0.15">
      <c r="E554" s="8"/>
      <c r="F554" s="8"/>
      <c r="G554" s="8"/>
    </row>
    <row r="555" spans="5:7" x14ac:dyDescent="0.15">
      <c r="E555" s="8"/>
      <c r="F555" s="8"/>
      <c r="G555" s="8"/>
    </row>
    <row r="556" spans="5:7" x14ac:dyDescent="0.15">
      <c r="E556" s="8"/>
      <c r="F556" s="8"/>
      <c r="G556" s="8"/>
    </row>
    <row r="557" spans="5:7" x14ac:dyDescent="0.15">
      <c r="E557" s="8"/>
      <c r="F557" s="8"/>
      <c r="G557" s="8"/>
    </row>
    <row r="558" spans="5:7" x14ac:dyDescent="0.15">
      <c r="E558" s="8"/>
      <c r="F558" s="8"/>
      <c r="G558" s="8"/>
    </row>
    <row r="559" spans="5:7" x14ac:dyDescent="0.15">
      <c r="E559" s="8"/>
      <c r="F559" s="8"/>
      <c r="G559" s="8"/>
    </row>
    <row r="560" spans="5:7" x14ac:dyDescent="0.15">
      <c r="E560" s="8"/>
      <c r="F560" s="8"/>
      <c r="G560" s="8"/>
    </row>
    <row r="561" spans="5:7" x14ac:dyDescent="0.15">
      <c r="E561" s="8"/>
      <c r="F561" s="8"/>
      <c r="G561" s="8"/>
    </row>
    <row r="562" spans="5:7" x14ac:dyDescent="0.15">
      <c r="E562" s="8"/>
      <c r="F562" s="8"/>
      <c r="G562" s="8"/>
    </row>
    <row r="563" spans="5:7" x14ac:dyDescent="0.15">
      <c r="E563" s="8"/>
      <c r="F563" s="8"/>
      <c r="G563" s="8"/>
    </row>
    <row r="564" spans="5:7" x14ac:dyDescent="0.15">
      <c r="E564" s="8"/>
      <c r="F564" s="8"/>
      <c r="G564" s="8"/>
    </row>
    <row r="565" spans="5:7" x14ac:dyDescent="0.15">
      <c r="E565" s="8"/>
      <c r="F565" s="8"/>
      <c r="G565" s="8"/>
    </row>
    <row r="566" spans="5:7" x14ac:dyDescent="0.15">
      <c r="E566" s="8"/>
      <c r="F566" s="8"/>
      <c r="G566" s="8"/>
    </row>
    <row r="567" spans="5:7" x14ac:dyDescent="0.15">
      <c r="E567" s="8"/>
      <c r="F567" s="8"/>
      <c r="G567" s="8"/>
    </row>
    <row r="568" spans="5:7" x14ac:dyDescent="0.15">
      <c r="E568" s="8"/>
      <c r="F568" s="8"/>
      <c r="G568" s="8"/>
    </row>
    <row r="569" spans="5:7" x14ac:dyDescent="0.15">
      <c r="E569" s="8"/>
      <c r="F569" s="8"/>
      <c r="G569" s="8"/>
    </row>
    <row r="570" spans="5:7" x14ac:dyDescent="0.15">
      <c r="E570" s="8"/>
      <c r="F570" s="8"/>
      <c r="G570" s="8"/>
    </row>
    <row r="571" spans="5:7" x14ac:dyDescent="0.15">
      <c r="E571" s="8"/>
      <c r="F571" s="8"/>
      <c r="G571" s="8"/>
    </row>
    <row r="572" spans="5:7" x14ac:dyDescent="0.15">
      <c r="E572" s="8"/>
      <c r="F572" s="8"/>
      <c r="G572" s="8"/>
    </row>
    <row r="573" spans="5:7" x14ac:dyDescent="0.15">
      <c r="E573" s="8"/>
      <c r="F573" s="8"/>
      <c r="G573" s="8"/>
    </row>
    <row r="574" spans="5:7" x14ac:dyDescent="0.15">
      <c r="E574" s="8"/>
      <c r="F574" s="8"/>
      <c r="G574" s="8"/>
    </row>
    <row r="575" spans="5:7" x14ac:dyDescent="0.15">
      <c r="E575" s="8"/>
      <c r="F575" s="8"/>
      <c r="G575" s="8"/>
    </row>
    <row r="576" spans="5:7" x14ac:dyDescent="0.15">
      <c r="E576" s="8"/>
      <c r="F576" s="8"/>
      <c r="G576" s="8"/>
    </row>
    <row r="577" spans="5:7" x14ac:dyDescent="0.15">
      <c r="E577" s="8"/>
      <c r="F577" s="8"/>
      <c r="G577" s="8"/>
    </row>
    <row r="578" spans="5:7" x14ac:dyDescent="0.15">
      <c r="E578" s="8"/>
      <c r="F578" s="8"/>
      <c r="G578" s="8"/>
    </row>
    <row r="579" spans="5:7" x14ac:dyDescent="0.15">
      <c r="E579" s="8"/>
      <c r="F579" s="8"/>
      <c r="G579" s="8"/>
    </row>
    <row r="580" spans="5:7" x14ac:dyDescent="0.15">
      <c r="E580" s="8"/>
      <c r="F580" s="8"/>
      <c r="G580" s="8"/>
    </row>
    <row r="581" spans="5:7" x14ac:dyDescent="0.15">
      <c r="E581" s="8"/>
      <c r="F581" s="8"/>
      <c r="G581" s="8"/>
    </row>
    <row r="582" spans="5:7" x14ac:dyDescent="0.15">
      <c r="E582" s="8"/>
      <c r="F582" s="8"/>
      <c r="G582" s="8"/>
    </row>
    <row r="583" spans="5:7" x14ac:dyDescent="0.15">
      <c r="E583" s="8"/>
      <c r="F583" s="8"/>
      <c r="G583" s="8"/>
    </row>
    <row r="584" spans="5:7" x14ac:dyDescent="0.15">
      <c r="E584" s="8"/>
      <c r="F584" s="8"/>
      <c r="G584" s="8"/>
    </row>
    <row r="585" spans="5:7" x14ac:dyDescent="0.15">
      <c r="E585" s="8"/>
      <c r="F585" s="8"/>
      <c r="G585" s="8"/>
    </row>
    <row r="586" spans="5:7" x14ac:dyDescent="0.15">
      <c r="E586" s="8"/>
      <c r="F586" s="8"/>
      <c r="G586" s="8"/>
    </row>
    <row r="587" spans="5:7" x14ac:dyDescent="0.15">
      <c r="E587" s="8"/>
      <c r="F587" s="8"/>
      <c r="G587" s="8"/>
    </row>
    <row r="588" spans="5:7" x14ac:dyDescent="0.15">
      <c r="E588" s="8"/>
      <c r="F588" s="8"/>
      <c r="G588" s="8"/>
    </row>
    <row r="589" spans="5:7" x14ac:dyDescent="0.15">
      <c r="E589" s="8"/>
      <c r="F589" s="8"/>
      <c r="G589" s="8"/>
    </row>
    <row r="590" spans="5:7" x14ac:dyDescent="0.15">
      <c r="E590" s="8"/>
      <c r="F590" s="8"/>
      <c r="G590" s="8"/>
    </row>
    <row r="591" spans="5:7" x14ac:dyDescent="0.15">
      <c r="E591" s="8"/>
      <c r="F591" s="8"/>
      <c r="G591" s="8"/>
    </row>
    <row r="592" spans="5:7" x14ac:dyDescent="0.15">
      <c r="E592" s="8"/>
      <c r="F592" s="8"/>
      <c r="G592" s="8"/>
    </row>
    <row r="593" spans="5:7" x14ac:dyDescent="0.15">
      <c r="E593" s="8"/>
      <c r="F593" s="8"/>
      <c r="G593" s="8"/>
    </row>
    <row r="594" spans="5:7" x14ac:dyDescent="0.15">
      <c r="E594" s="8"/>
      <c r="F594" s="8"/>
      <c r="G594" s="8"/>
    </row>
    <row r="595" spans="5:7" x14ac:dyDescent="0.15">
      <c r="E595" s="8"/>
      <c r="F595" s="8"/>
      <c r="G595" s="8"/>
    </row>
    <row r="596" spans="5:7" x14ac:dyDescent="0.15">
      <c r="E596" s="8"/>
      <c r="F596" s="8"/>
      <c r="G596" s="8"/>
    </row>
    <row r="597" spans="5:7" x14ac:dyDescent="0.15">
      <c r="E597" s="8"/>
      <c r="F597" s="8"/>
      <c r="G597" s="8"/>
    </row>
    <row r="598" spans="5:7" x14ac:dyDescent="0.15">
      <c r="E598" s="8"/>
      <c r="F598" s="8"/>
      <c r="G598" s="8"/>
    </row>
    <row r="599" spans="5:7" x14ac:dyDescent="0.15">
      <c r="E599" s="8"/>
      <c r="F599" s="8"/>
      <c r="G599" s="8"/>
    </row>
    <row r="600" spans="5:7" x14ac:dyDescent="0.15">
      <c r="E600" s="8"/>
      <c r="F600" s="8"/>
      <c r="G600" s="8"/>
    </row>
    <row r="601" spans="5:7" x14ac:dyDescent="0.15">
      <c r="E601" s="8"/>
      <c r="F601" s="8"/>
      <c r="G601" s="8"/>
    </row>
    <row r="602" spans="5:7" x14ac:dyDescent="0.15">
      <c r="E602" s="8"/>
      <c r="F602" s="8"/>
      <c r="G602" s="8"/>
    </row>
    <row r="603" spans="5:7" x14ac:dyDescent="0.15">
      <c r="E603" s="8"/>
      <c r="F603" s="8"/>
      <c r="G603" s="8"/>
    </row>
    <row r="604" spans="5:7" x14ac:dyDescent="0.15">
      <c r="E604" s="8"/>
      <c r="F604" s="8"/>
      <c r="G604" s="8"/>
    </row>
    <row r="605" spans="5:7" x14ac:dyDescent="0.15">
      <c r="E605" s="8"/>
      <c r="F605" s="8"/>
      <c r="G605" s="8"/>
    </row>
    <row r="606" spans="5:7" x14ac:dyDescent="0.15">
      <c r="E606" s="8"/>
      <c r="F606" s="8"/>
      <c r="G606" s="8"/>
    </row>
    <row r="607" spans="5:7" x14ac:dyDescent="0.15">
      <c r="E607" s="8"/>
      <c r="F607" s="8"/>
      <c r="G607" s="8"/>
    </row>
    <row r="608" spans="5:7" x14ac:dyDescent="0.15">
      <c r="E608" s="8"/>
      <c r="F608" s="8"/>
      <c r="G608" s="8"/>
    </row>
    <row r="609" spans="5:7" x14ac:dyDescent="0.15">
      <c r="E609" s="8"/>
      <c r="F609" s="8"/>
      <c r="G609" s="8"/>
    </row>
    <row r="610" spans="5:7" x14ac:dyDescent="0.15">
      <c r="E610" s="8"/>
      <c r="F610" s="8"/>
      <c r="G610" s="8"/>
    </row>
    <row r="611" spans="5:7" x14ac:dyDescent="0.15">
      <c r="E611" s="8"/>
      <c r="F611" s="8"/>
      <c r="G611" s="8"/>
    </row>
    <row r="612" spans="5:7" x14ac:dyDescent="0.15">
      <c r="E612" s="8"/>
      <c r="F612" s="8"/>
      <c r="G612" s="8"/>
    </row>
    <row r="613" spans="5:7" x14ac:dyDescent="0.15">
      <c r="E613" s="8"/>
      <c r="F613" s="8"/>
      <c r="G613" s="8"/>
    </row>
    <row r="614" spans="5:7" x14ac:dyDescent="0.15">
      <c r="E614" s="8"/>
      <c r="F614" s="8"/>
      <c r="G614" s="8"/>
    </row>
    <row r="615" spans="5:7" x14ac:dyDescent="0.15">
      <c r="E615" s="8"/>
      <c r="F615" s="8"/>
      <c r="G615" s="8"/>
    </row>
    <row r="616" spans="5:7" x14ac:dyDescent="0.15">
      <c r="E616" s="8"/>
      <c r="F616" s="8"/>
      <c r="G616" s="8"/>
    </row>
    <row r="617" spans="5:7" x14ac:dyDescent="0.15">
      <c r="E617" s="8"/>
      <c r="F617" s="8"/>
      <c r="G617" s="8"/>
    </row>
    <row r="618" spans="5:7" x14ac:dyDescent="0.15">
      <c r="E618" s="8"/>
      <c r="F618" s="8"/>
      <c r="G618" s="8"/>
    </row>
    <row r="619" spans="5:7" x14ac:dyDescent="0.15">
      <c r="E619" s="8"/>
      <c r="F619" s="8"/>
      <c r="G619" s="8"/>
    </row>
    <row r="620" spans="5:7" x14ac:dyDescent="0.15">
      <c r="E620" s="8"/>
      <c r="F620" s="8"/>
      <c r="G620" s="8"/>
    </row>
    <row r="621" spans="5:7" x14ac:dyDescent="0.15">
      <c r="E621" s="8"/>
      <c r="F621" s="8"/>
      <c r="G621" s="8"/>
    </row>
    <row r="622" spans="5:7" x14ac:dyDescent="0.15">
      <c r="E622" s="8"/>
      <c r="F622" s="8"/>
      <c r="G622" s="8"/>
    </row>
    <row r="623" spans="5:7" x14ac:dyDescent="0.15">
      <c r="E623" s="8"/>
      <c r="F623" s="8"/>
      <c r="G623" s="8"/>
    </row>
    <row r="624" spans="5:7" x14ac:dyDescent="0.15">
      <c r="E624" s="8"/>
      <c r="F624" s="8"/>
      <c r="G624" s="8"/>
    </row>
    <row r="625" spans="5:7" x14ac:dyDescent="0.15">
      <c r="E625" s="8"/>
      <c r="F625" s="8"/>
      <c r="G625" s="8"/>
    </row>
    <row r="626" spans="5:7" x14ac:dyDescent="0.15">
      <c r="E626" s="8"/>
      <c r="F626" s="8"/>
      <c r="G626" s="8"/>
    </row>
    <row r="627" spans="5:7" x14ac:dyDescent="0.15">
      <c r="E627" s="8"/>
      <c r="F627" s="8"/>
      <c r="G627" s="8"/>
    </row>
    <row r="628" spans="5:7" x14ac:dyDescent="0.15">
      <c r="E628" s="8"/>
      <c r="F628" s="8"/>
      <c r="G628" s="8"/>
    </row>
    <row r="629" spans="5:7" x14ac:dyDescent="0.15">
      <c r="E629" s="8"/>
      <c r="F629" s="8"/>
      <c r="G629" s="8"/>
    </row>
    <row r="630" spans="5:7" x14ac:dyDescent="0.15">
      <c r="E630" s="8"/>
      <c r="F630" s="8"/>
      <c r="G630" s="8"/>
    </row>
    <row r="631" spans="5:7" x14ac:dyDescent="0.15">
      <c r="E631" s="8"/>
      <c r="F631" s="8"/>
      <c r="G631" s="8"/>
    </row>
    <row r="632" spans="5:7" x14ac:dyDescent="0.15">
      <c r="E632" s="8"/>
      <c r="F632" s="8"/>
      <c r="G632" s="8"/>
    </row>
    <row r="633" spans="5:7" x14ac:dyDescent="0.15">
      <c r="E633" s="8"/>
      <c r="F633" s="8"/>
      <c r="G633" s="8"/>
    </row>
    <row r="634" spans="5:7" x14ac:dyDescent="0.15">
      <c r="E634" s="8"/>
      <c r="F634" s="8"/>
      <c r="G634" s="8"/>
    </row>
    <row r="635" spans="5:7" x14ac:dyDescent="0.15">
      <c r="E635" s="8"/>
      <c r="F635" s="8"/>
      <c r="G635" s="8"/>
    </row>
    <row r="636" spans="5:7" x14ac:dyDescent="0.15">
      <c r="E636" s="8"/>
      <c r="F636" s="8"/>
      <c r="G636" s="8"/>
    </row>
    <row r="637" spans="5:7" x14ac:dyDescent="0.15">
      <c r="E637" s="8"/>
      <c r="F637" s="8"/>
      <c r="G637" s="8"/>
    </row>
    <row r="638" spans="5:7" x14ac:dyDescent="0.15">
      <c r="E638" s="8"/>
      <c r="F638" s="8"/>
      <c r="G638" s="8"/>
    </row>
    <row r="639" spans="5:7" x14ac:dyDescent="0.15">
      <c r="E639" s="8"/>
      <c r="F639" s="8"/>
      <c r="G639" s="8"/>
    </row>
    <row r="640" spans="5:7" x14ac:dyDescent="0.15">
      <c r="E640" s="8"/>
      <c r="F640" s="8"/>
      <c r="G640" s="8"/>
    </row>
    <row r="641" spans="5:7" x14ac:dyDescent="0.15">
      <c r="E641" s="8"/>
      <c r="F641" s="8"/>
      <c r="G641" s="8"/>
    </row>
    <row r="642" spans="5:7" x14ac:dyDescent="0.15">
      <c r="E642" s="8"/>
      <c r="F642" s="8"/>
      <c r="G642" s="8"/>
    </row>
    <row r="643" spans="5:7" x14ac:dyDescent="0.15">
      <c r="E643" s="8"/>
      <c r="F643" s="8"/>
      <c r="G643" s="8"/>
    </row>
    <row r="644" spans="5:7" x14ac:dyDescent="0.15">
      <c r="E644" s="8"/>
      <c r="F644" s="8"/>
      <c r="G644" s="8"/>
    </row>
    <row r="645" spans="5:7" x14ac:dyDescent="0.15">
      <c r="E645" s="8"/>
      <c r="F645" s="8"/>
      <c r="G645" s="8"/>
    </row>
    <row r="646" spans="5:7" x14ac:dyDescent="0.15">
      <c r="E646" s="8"/>
      <c r="F646" s="8"/>
      <c r="G646" s="8"/>
    </row>
    <row r="647" spans="5:7" x14ac:dyDescent="0.15">
      <c r="E647" s="8"/>
      <c r="F647" s="8"/>
      <c r="G647" s="8"/>
    </row>
    <row r="648" spans="5:7" x14ac:dyDescent="0.15">
      <c r="E648" s="8"/>
      <c r="F648" s="8"/>
      <c r="G648" s="8"/>
    </row>
    <row r="649" spans="5:7" x14ac:dyDescent="0.15">
      <c r="E649" s="8"/>
      <c r="F649" s="8"/>
      <c r="G649" s="8"/>
    </row>
    <row r="650" spans="5:7" x14ac:dyDescent="0.15">
      <c r="E650" s="8"/>
      <c r="F650" s="8"/>
      <c r="G650" s="8"/>
    </row>
    <row r="651" spans="5:7" x14ac:dyDescent="0.15">
      <c r="E651" s="8"/>
      <c r="F651" s="8"/>
      <c r="G651" s="8"/>
    </row>
    <row r="652" spans="5:7" x14ac:dyDescent="0.15">
      <c r="E652" s="8"/>
      <c r="F652" s="8"/>
      <c r="G652" s="8"/>
    </row>
    <row r="653" spans="5:7" x14ac:dyDescent="0.15">
      <c r="E653" s="8"/>
      <c r="F653" s="8"/>
      <c r="G653" s="8"/>
    </row>
    <row r="654" spans="5:7" x14ac:dyDescent="0.15">
      <c r="E654" s="8"/>
      <c r="F654" s="8"/>
      <c r="G654" s="8"/>
    </row>
    <row r="655" spans="5:7" x14ac:dyDescent="0.15">
      <c r="E655" s="8"/>
      <c r="F655" s="8"/>
      <c r="G655" s="8"/>
    </row>
    <row r="656" spans="5:7" x14ac:dyDescent="0.15">
      <c r="E656" s="8"/>
      <c r="F656" s="8"/>
      <c r="G656" s="8"/>
    </row>
    <row r="657" spans="5:7" x14ac:dyDescent="0.15">
      <c r="E657" s="8"/>
      <c r="F657" s="8"/>
      <c r="G657" s="8"/>
    </row>
    <row r="658" spans="5:7" x14ac:dyDescent="0.15">
      <c r="E658" s="8"/>
      <c r="F658" s="8"/>
      <c r="G658" s="8"/>
    </row>
    <row r="659" spans="5:7" x14ac:dyDescent="0.15">
      <c r="E659" s="8"/>
      <c r="F659" s="8"/>
      <c r="G659" s="8"/>
    </row>
    <row r="660" spans="5:7" x14ac:dyDescent="0.15">
      <c r="E660" s="8"/>
      <c r="F660" s="8"/>
      <c r="G660" s="8"/>
    </row>
    <row r="661" spans="5:7" x14ac:dyDescent="0.15">
      <c r="E661" s="8"/>
      <c r="F661" s="8"/>
      <c r="G661" s="8"/>
    </row>
    <row r="662" spans="5:7" x14ac:dyDescent="0.15">
      <c r="E662" s="8"/>
      <c r="F662" s="8"/>
      <c r="G662" s="8"/>
    </row>
    <row r="663" spans="5:7" x14ac:dyDescent="0.15">
      <c r="E663" s="8"/>
      <c r="F663" s="8"/>
      <c r="G663" s="8"/>
    </row>
    <row r="664" spans="5:7" x14ac:dyDescent="0.15">
      <c r="E664" s="8"/>
      <c r="F664" s="8"/>
      <c r="G664" s="8"/>
    </row>
    <row r="665" spans="5:7" x14ac:dyDescent="0.15">
      <c r="E665" s="8"/>
      <c r="F665" s="8"/>
      <c r="G665" s="8"/>
    </row>
    <row r="666" spans="5:7" x14ac:dyDescent="0.15">
      <c r="E666" s="8"/>
      <c r="F666" s="8"/>
      <c r="G666" s="8"/>
    </row>
    <row r="667" spans="5:7" x14ac:dyDescent="0.15">
      <c r="E667" s="8"/>
      <c r="F667" s="8"/>
      <c r="G667" s="8"/>
    </row>
    <row r="668" spans="5:7" x14ac:dyDescent="0.15">
      <c r="E668" s="8"/>
      <c r="F668" s="8"/>
      <c r="G668" s="8"/>
    </row>
    <row r="669" spans="5:7" x14ac:dyDescent="0.15">
      <c r="E669" s="8"/>
      <c r="F669" s="8"/>
      <c r="G669" s="8"/>
    </row>
    <row r="670" spans="5:7" x14ac:dyDescent="0.15">
      <c r="E670" s="8"/>
      <c r="F670" s="8"/>
      <c r="G670" s="8"/>
    </row>
    <row r="671" spans="5:7" x14ac:dyDescent="0.15">
      <c r="E671" s="8"/>
      <c r="F671" s="8"/>
      <c r="G671" s="8"/>
    </row>
    <row r="672" spans="5:7" x14ac:dyDescent="0.15">
      <c r="E672" s="8"/>
      <c r="F672" s="8"/>
      <c r="G672" s="8"/>
    </row>
    <row r="673" spans="5:7" x14ac:dyDescent="0.15">
      <c r="E673" s="8"/>
      <c r="F673" s="8"/>
      <c r="G673" s="8"/>
    </row>
    <row r="674" spans="5:7" x14ac:dyDescent="0.15">
      <c r="E674" s="8"/>
      <c r="F674" s="8"/>
      <c r="G674" s="8"/>
    </row>
    <row r="675" spans="5:7" x14ac:dyDescent="0.15">
      <c r="E675" s="8"/>
      <c r="F675" s="8"/>
      <c r="G675" s="8"/>
    </row>
    <row r="676" spans="5:7" x14ac:dyDescent="0.15">
      <c r="E676" s="8"/>
      <c r="F676" s="8"/>
      <c r="G676" s="8"/>
    </row>
    <row r="677" spans="5:7" x14ac:dyDescent="0.15">
      <c r="E677" s="8"/>
      <c r="F677" s="8"/>
      <c r="G677" s="8"/>
    </row>
    <row r="678" spans="5:7" x14ac:dyDescent="0.15">
      <c r="E678" s="8"/>
      <c r="F678" s="8"/>
      <c r="G678" s="8"/>
    </row>
    <row r="679" spans="5:7" x14ac:dyDescent="0.15">
      <c r="E679" s="8"/>
      <c r="F679" s="8"/>
      <c r="G679" s="8"/>
    </row>
    <row r="680" spans="5:7" x14ac:dyDescent="0.15">
      <c r="E680" s="8"/>
      <c r="F680" s="8"/>
      <c r="G680" s="8"/>
    </row>
    <row r="681" spans="5:7" x14ac:dyDescent="0.15">
      <c r="E681" s="8"/>
      <c r="F681" s="8"/>
      <c r="G681" s="8"/>
    </row>
    <row r="682" spans="5:7" x14ac:dyDescent="0.15">
      <c r="E682" s="8"/>
      <c r="F682" s="8"/>
      <c r="G682" s="8"/>
    </row>
    <row r="683" spans="5:7" x14ac:dyDescent="0.15">
      <c r="E683" s="8"/>
      <c r="F683" s="8"/>
      <c r="G683" s="8"/>
    </row>
    <row r="684" spans="5:7" x14ac:dyDescent="0.15">
      <c r="E684" s="8"/>
      <c r="F684" s="8"/>
      <c r="G684" s="8"/>
    </row>
    <row r="685" spans="5:7" x14ac:dyDescent="0.15">
      <c r="E685" s="8"/>
      <c r="F685" s="8"/>
      <c r="G685" s="8"/>
    </row>
    <row r="686" spans="5:7" x14ac:dyDescent="0.15">
      <c r="E686" s="8"/>
      <c r="F686" s="8"/>
      <c r="G686" s="8"/>
    </row>
    <row r="687" spans="5:7" x14ac:dyDescent="0.15">
      <c r="E687" s="8"/>
      <c r="F687" s="8"/>
      <c r="G687" s="8"/>
    </row>
    <row r="688" spans="5:7" x14ac:dyDescent="0.15">
      <c r="E688" s="8"/>
      <c r="F688" s="8"/>
      <c r="G688" s="8"/>
    </row>
    <row r="689" spans="5:7" x14ac:dyDescent="0.15">
      <c r="E689" s="8"/>
      <c r="F689" s="8"/>
      <c r="G689" s="8"/>
    </row>
    <row r="690" spans="5:7" x14ac:dyDescent="0.15">
      <c r="E690" s="8"/>
      <c r="F690" s="8"/>
      <c r="G690" s="8"/>
    </row>
    <row r="691" spans="5:7" x14ac:dyDescent="0.15">
      <c r="E691" s="8"/>
      <c r="F691" s="8"/>
      <c r="G691" s="8"/>
    </row>
    <row r="692" spans="5:7" x14ac:dyDescent="0.15">
      <c r="E692" s="8"/>
      <c r="F692" s="8"/>
      <c r="G692" s="8"/>
    </row>
    <row r="693" spans="5:7" x14ac:dyDescent="0.15">
      <c r="E693" s="8"/>
      <c r="F693" s="8"/>
      <c r="G693" s="8"/>
    </row>
    <row r="694" spans="5:7" x14ac:dyDescent="0.15">
      <c r="E694" s="8"/>
      <c r="F694" s="8"/>
      <c r="G694" s="8"/>
    </row>
    <row r="695" spans="5:7" x14ac:dyDescent="0.15">
      <c r="E695" s="8"/>
      <c r="F695" s="8"/>
      <c r="G695" s="8"/>
    </row>
    <row r="696" spans="5:7" x14ac:dyDescent="0.15">
      <c r="E696" s="8"/>
      <c r="F696" s="8"/>
      <c r="G696" s="8"/>
    </row>
    <row r="697" spans="5:7" x14ac:dyDescent="0.15">
      <c r="E697" s="8"/>
      <c r="F697" s="8"/>
      <c r="G697" s="8"/>
    </row>
    <row r="698" spans="5:7" x14ac:dyDescent="0.15">
      <c r="E698" s="8"/>
      <c r="F698" s="8"/>
      <c r="G698" s="8"/>
    </row>
    <row r="699" spans="5:7" x14ac:dyDescent="0.15">
      <c r="E699" s="8"/>
      <c r="F699" s="8"/>
      <c r="G699" s="8"/>
    </row>
    <row r="700" spans="5:7" x14ac:dyDescent="0.15">
      <c r="E700" s="8"/>
      <c r="F700" s="8"/>
      <c r="G700" s="8"/>
    </row>
    <row r="701" spans="5:7" x14ac:dyDescent="0.15">
      <c r="E701" s="8"/>
      <c r="F701" s="8"/>
      <c r="G701" s="8"/>
    </row>
    <row r="702" spans="5:7" x14ac:dyDescent="0.15">
      <c r="E702" s="8"/>
      <c r="F702" s="8"/>
      <c r="G702" s="8"/>
    </row>
    <row r="703" spans="5:7" x14ac:dyDescent="0.15">
      <c r="E703" s="8"/>
      <c r="F703" s="8"/>
      <c r="G703" s="8"/>
    </row>
    <row r="704" spans="5:7" x14ac:dyDescent="0.15">
      <c r="E704" s="8"/>
      <c r="F704" s="8"/>
      <c r="G704" s="8"/>
    </row>
    <row r="705" spans="5:7" x14ac:dyDescent="0.15">
      <c r="E705" s="8"/>
      <c r="F705" s="8"/>
      <c r="G705" s="8"/>
    </row>
    <row r="706" spans="5:7" x14ac:dyDescent="0.15">
      <c r="E706" s="8"/>
      <c r="F706" s="8"/>
      <c r="G706" s="8"/>
    </row>
    <row r="707" spans="5:7" x14ac:dyDescent="0.15">
      <c r="E707" s="8"/>
      <c r="F707" s="8"/>
      <c r="G707" s="8"/>
    </row>
    <row r="708" spans="5:7" x14ac:dyDescent="0.15">
      <c r="E708" s="8"/>
      <c r="F708" s="8"/>
      <c r="G708" s="8"/>
    </row>
    <row r="709" spans="5:7" x14ac:dyDescent="0.15">
      <c r="E709" s="8"/>
      <c r="F709" s="8"/>
      <c r="G709" s="8"/>
    </row>
    <row r="710" spans="5:7" x14ac:dyDescent="0.15">
      <c r="E710" s="8"/>
      <c r="F710" s="8"/>
      <c r="G710" s="8"/>
    </row>
    <row r="711" spans="5:7" x14ac:dyDescent="0.15">
      <c r="E711" s="8"/>
      <c r="F711" s="8"/>
      <c r="G711" s="8"/>
    </row>
    <row r="712" spans="5:7" x14ac:dyDescent="0.15">
      <c r="E712" s="8"/>
      <c r="F712" s="8"/>
      <c r="G712" s="8"/>
    </row>
    <row r="713" spans="5:7" x14ac:dyDescent="0.15">
      <c r="E713" s="8"/>
      <c r="F713" s="8"/>
      <c r="G713" s="8"/>
    </row>
    <row r="714" spans="5:7" x14ac:dyDescent="0.15">
      <c r="E714" s="8"/>
      <c r="F714" s="8"/>
      <c r="G714" s="8"/>
    </row>
    <row r="715" spans="5:7" x14ac:dyDescent="0.15">
      <c r="E715" s="8"/>
      <c r="F715" s="8"/>
      <c r="G715" s="8"/>
    </row>
    <row r="716" spans="5:7" x14ac:dyDescent="0.15">
      <c r="E716" s="8"/>
      <c r="F716" s="8"/>
      <c r="G716" s="8"/>
    </row>
    <row r="717" spans="5:7" x14ac:dyDescent="0.15">
      <c r="E717" s="8"/>
      <c r="F717" s="8"/>
      <c r="G717" s="8"/>
    </row>
    <row r="718" spans="5:7" x14ac:dyDescent="0.15">
      <c r="E718" s="8"/>
      <c r="F718" s="8"/>
      <c r="G718" s="8"/>
    </row>
    <row r="719" spans="5:7" x14ac:dyDescent="0.15">
      <c r="E719" s="8"/>
      <c r="F719" s="8"/>
      <c r="G719" s="8"/>
    </row>
    <row r="720" spans="5:7" x14ac:dyDescent="0.15">
      <c r="E720" s="8"/>
      <c r="F720" s="8"/>
      <c r="G720" s="8"/>
    </row>
    <row r="721" spans="5:7" x14ac:dyDescent="0.15">
      <c r="E721" s="8"/>
      <c r="F721" s="8"/>
      <c r="G721" s="8"/>
    </row>
    <row r="722" spans="5:7" x14ac:dyDescent="0.15">
      <c r="E722" s="8"/>
      <c r="F722" s="8"/>
      <c r="G722" s="8"/>
    </row>
    <row r="723" spans="5:7" x14ac:dyDescent="0.15">
      <c r="E723" s="8"/>
      <c r="F723" s="8"/>
      <c r="G723" s="8"/>
    </row>
    <row r="724" spans="5:7" x14ac:dyDescent="0.15">
      <c r="E724" s="8"/>
      <c r="F724" s="8"/>
      <c r="G724" s="8"/>
    </row>
    <row r="725" spans="5:7" x14ac:dyDescent="0.15">
      <c r="E725" s="8"/>
      <c r="F725" s="8"/>
      <c r="G725" s="8"/>
    </row>
    <row r="726" spans="5:7" x14ac:dyDescent="0.15">
      <c r="E726" s="8"/>
      <c r="F726" s="8"/>
      <c r="G726" s="8"/>
    </row>
    <row r="727" spans="5:7" x14ac:dyDescent="0.15">
      <c r="E727" s="8"/>
      <c r="F727" s="8"/>
      <c r="G727" s="8"/>
    </row>
    <row r="728" spans="5:7" x14ac:dyDescent="0.15">
      <c r="E728" s="8"/>
      <c r="F728" s="8"/>
      <c r="G728" s="8"/>
    </row>
    <row r="729" spans="5:7" x14ac:dyDescent="0.15">
      <c r="E729" s="8"/>
      <c r="F729" s="8"/>
      <c r="G729" s="8"/>
    </row>
    <row r="730" spans="5:7" x14ac:dyDescent="0.15">
      <c r="E730" s="8"/>
      <c r="F730" s="8"/>
      <c r="G730" s="8"/>
    </row>
    <row r="731" spans="5:7" x14ac:dyDescent="0.15">
      <c r="E731" s="8"/>
      <c r="F731" s="8"/>
      <c r="G731" s="8"/>
    </row>
    <row r="732" spans="5:7" x14ac:dyDescent="0.15">
      <c r="E732" s="8"/>
      <c r="F732" s="8"/>
      <c r="G732" s="8"/>
    </row>
    <row r="733" spans="5:7" x14ac:dyDescent="0.15">
      <c r="E733" s="8"/>
      <c r="F733" s="8"/>
      <c r="G733" s="8"/>
    </row>
    <row r="734" spans="5:7" x14ac:dyDescent="0.15">
      <c r="E734" s="8"/>
      <c r="F734" s="8"/>
      <c r="G734" s="8"/>
    </row>
    <row r="735" spans="5:7" x14ac:dyDescent="0.15">
      <c r="E735" s="8"/>
      <c r="F735" s="8"/>
      <c r="G735" s="8"/>
    </row>
    <row r="736" spans="5:7" x14ac:dyDescent="0.15">
      <c r="E736" s="8"/>
      <c r="F736" s="8"/>
      <c r="G736" s="8"/>
    </row>
    <row r="737" spans="5:7" x14ac:dyDescent="0.15">
      <c r="E737" s="8"/>
      <c r="F737" s="8"/>
      <c r="G737" s="8"/>
    </row>
    <row r="738" spans="5:7" x14ac:dyDescent="0.15">
      <c r="E738" s="8"/>
      <c r="F738" s="8"/>
      <c r="G738" s="8"/>
    </row>
    <row r="739" spans="5:7" x14ac:dyDescent="0.15">
      <c r="E739" s="8"/>
      <c r="F739" s="8"/>
      <c r="G739" s="8"/>
    </row>
    <row r="740" spans="5:7" x14ac:dyDescent="0.15">
      <c r="E740" s="8"/>
      <c r="F740" s="8"/>
      <c r="G740" s="8"/>
    </row>
    <row r="741" spans="5:7" x14ac:dyDescent="0.15">
      <c r="E741" s="8"/>
      <c r="F741" s="8"/>
      <c r="G741" s="8"/>
    </row>
    <row r="742" spans="5:7" x14ac:dyDescent="0.15">
      <c r="E742" s="8"/>
      <c r="F742" s="8"/>
      <c r="G742" s="8"/>
    </row>
    <row r="743" spans="5:7" x14ac:dyDescent="0.15">
      <c r="E743" s="8"/>
      <c r="F743" s="8"/>
      <c r="G743" s="8"/>
    </row>
    <row r="744" spans="5:7" x14ac:dyDescent="0.15">
      <c r="E744" s="8"/>
      <c r="F744" s="8"/>
      <c r="G744" s="8"/>
    </row>
    <row r="745" spans="5:7" x14ac:dyDescent="0.15">
      <c r="E745" s="8"/>
      <c r="F745" s="8"/>
      <c r="G745" s="8"/>
    </row>
    <row r="746" spans="5:7" x14ac:dyDescent="0.15">
      <c r="E746" s="8"/>
      <c r="F746" s="8"/>
      <c r="G746" s="8"/>
    </row>
    <row r="747" spans="5:7" x14ac:dyDescent="0.15">
      <c r="E747" s="8"/>
      <c r="F747" s="8"/>
      <c r="G747" s="8"/>
    </row>
    <row r="748" spans="5:7" x14ac:dyDescent="0.15">
      <c r="E748" s="8"/>
      <c r="F748" s="8"/>
      <c r="G748" s="8"/>
    </row>
    <row r="749" spans="5:7" x14ac:dyDescent="0.15">
      <c r="E749" s="8"/>
      <c r="F749" s="8"/>
      <c r="G749" s="8"/>
    </row>
    <row r="750" spans="5:7" x14ac:dyDescent="0.15">
      <c r="E750" s="8"/>
      <c r="F750" s="8"/>
      <c r="G750" s="8"/>
    </row>
    <row r="751" spans="5:7" x14ac:dyDescent="0.15">
      <c r="E751" s="8"/>
      <c r="F751" s="8"/>
      <c r="G751" s="8"/>
    </row>
    <row r="752" spans="5:7" x14ac:dyDescent="0.15">
      <c r="E752" s="8"/>
      <c r="F752" s="8"/>
      <c r="G752" s="8"/>
    </row>
    <row r="753" spans="5:7" x14ac:dyDescent="0.15">
      <c r="E753" s="8"/>
      <c r="F753" s="8"/>
      <c r="G753" s="8"/>
    </row>
    <row r="754" spans="5:7" x14ac:dyDescent="0.15">
      <c r="E754" s="8"/>
      <c r="F754" s="8"/>
      <c r="G754" s="8"/>
    </row>
    <row r="755" spans="5:7" x14ac:dyDescent="0.15">
      <c r="E755" s="8"/>
      <c r="F755" s="8"/>
      <c r="G755" s="8"/>
    </row>
    <row r="756" spans="5:7" x14ac:dyDescent="0.15">
      <c r="E756" s="8"/>
      <c r="F756" s="8"/>
      <c r="G756" s="8"/>
    </row>
    <row r="757" spans="5:7" x14ac:dyDescent="0.15">
      <c r="E757" s="8"/>
      <c r="F757" s="8"/>
      <c r="G757" s="8"/>
    </row>
    <row r="758" spans="5:7" x14ac:dyDescent="0.15">
      <c r="E758" s="8"/>
      <c r="F758" s="8"/>
      <c r="G758" s="8"/>
    </row>
    <row r="759" spans="5:7" x14ac:dyDescent="0.15">
      <c r="E759" s="8"/>
      <c r="F759" s="8"/>
      <c r="G759" s="8"/>
    </row>
    <row r="760" spans="5:7" x14ac:dyDescent="0.15">
      <c r="E760" s="8"/>
      <c r="F760" s="8"/>
      <c r="G760" s="8"/>
    </row>
    <row r="761" spans="5:7" x14ac:dyDescent="0.15">
      <c r="E761" s="8"/>
      <c r="F761" s="8"/>
      <c r="G761" s="8"/>
    </row>
    <row r="762" spans="5:7" x14ac:dyDescent="0.15">
      <c r="E762" s="8"/>
      <c r="F762" s="8"/>
      <c r="G762" s="8"/>
    </row>
    <row r="763" spans="5:7" x14ac:dyDescent="0.15">
      <c r="E763" s="8"/>
      <c r="F763" s="8"/>
      <c r="G763" s="8"/>
    </row>
    <row r="764" spans="5:7" x14ac:dyDescent="0.15">
      <c r="E764" s="8"/>
      <c r="F764" s="8"/>
      <c r="G764" s="8"/>
    </row>
    <row r="765" spans="5:7" x14ac:dyDescent="0.15">
      <c r="E765" s="8"/>
      <c r="F765" s="8"/>
      <c r="G765" s="8"/>
    </row>
    <row r="766" spans="5:7" x14ac:dyDescent="0.15">
      <c r="E766" s="8"/>
      <c r="F766" s="8"/>
      <c r="G766" s="8"/>
    </row>
    <row r="767" spans="5:7" x14ac:dyDescent="0.15">
      <c r="E767" s="8"/>
      <c r="F767" s="8"/>
      <c r="G767" s="8"/>
    </row>
    <row r="768" spans="5:7" x14ac:dyDescent="0.15">
      <c r="E768" s="8"/>
      <c r="F768" s="8"/>
      <c r="G768" s="8"/>
    </row>
    <row r="769" spans="5:7" x14ac:dyDescent="0.15">
      <c r="E769" s="8"/>
      <c r="F769" s="8"/>
      <c r="G769" s="8"/>
    </row>
    <row r="770" spans="5:7" x14ac:dyDescent="0.15">
      <c r="E770" s="8"/>
      <c r="F770" s="8"/>
      <c r="G770" s="8"/>
    </row>
    <row r="771" spans="5:7" x14ac:dyDescent="0.15">
      <c r="E771" s="8"/>
      <c r="F771" s="8"/>
      <c r="G771" s="8"/>
    </row>
    <row r="772" spans="5:7" x14ac:dyDescent="0.15">
      <c r="E772" s="8"/>
      <c r="F772" s="8"/>
      <c r="G772" s="8"/>
    </row>
    <row r="773" spans="5:7" x14ac:dyDescent="0.15">
      <c r="E773" s="8"/>
      <c r="F773" s="8"/>
      <c r="G773" s="8"/>
    </row>
    <row r="774" spans="5:7" x14ac:dyDescent="0.15">
      <c r="E774" s="8"/>
      <c r="F774" s="8"/>
      <c r="G774" s="8"/>
    </row>
    <row r="775" spans="5:7" x14ac:dyDescent="0.15">
      <c r="E775" s="8"/>
      <c r="F775" s="8"/>
      <c r="G775" s="8"/>
    </row>
    <row r="776" spans="5:7" x14ac:dyDescent="0.15">
      <c r="E776" s="8"/>
      <c r="F776" s="8"/>
      <c r="G776" s="8"/>
    </row>
    <row r="777" spans="5:7" x14ac:dyDescent="0.15">
      <c r="E777" s="8"/>
      <c r="F777" s="8"/>
      <c r="G777" s="8"/>
    </row>
    <row r="778" spans="5:7" x14ac:dyDescent="0.15">
      <c r="E778" s="8"/>
      <c r="F778" s="8"/>
      <c r="G778" s="8"/>
    </row>
    <row r="779" spans="5:7" x14ac:dyDescent="0.15">
      <c r="E779" s="8"/>
      <c r="F779" s="8"/>
      <c r="G779" s="8"/>
    </row>
    <row r="780" spans="5:7" x14ac:dyDescent="0.15">
      <c r="E780" s="8"/>
      <c r="F780" s="8"/>
      <c r="G780" s="8"/>
    </row>
    <row r="781" spans="5:7" x14ac:dyDescent="0.15">
      <c r="E781" s="8"/>
      <c r="F781" s="8"/>
      <c r="G781" s="8"/>
    </row>
    <row r="782" spans="5:7" x14ac:dyDescent="0.15">
      <c r="E782" s="8"/>
      <c r="F782" s="8"/>
      <c r="G782" s="8"/>
    </row>
    <row r="783" spans="5:7" x14ac:dyDescent="0.15">
      <c r="E783" s="8"/>
      <c r="F783" s="8"/>
      <c r="G783" s="8"/>
    </row>
    <row r="784" spans="5:7" x14ac:dyDescent="0.15">
      <c r="E784" s="8"/>
      <c r="F784" s="8"/>
      <c r="G784" s="8"/>
    </row>
    <row r="785" spans="5:7" x14ac:dyDescent="0.15">
      <c r="E785" s="8"/>
      <c r="F785" s="8"/>
      <c r="G785" s="8"/>
    </row>
    <row r="786" spans="5:7" x14ac:dyDescent="0.15">
      <c r="E786" s="8"/>
      <c r="F786" s="8"/>
      <c r="G786" s="8"/>
    </row>
    <row r="787" spans="5:7" x14ac:dyDescent="0.15">
      <c r="E787" s="8"/>
      <c r="F787" s="8"/>
      <c r="G787" s="8"/>
    </row>
    <row r="788" spans="5:7" x14ac:dyDescent="0.15">
      <c r="E788" s="8"/>
      <c r="F788" s="8"/>
      <c r="G788" s="8"/>
    </row>
    <row r="789" spans="5:7" x14ac:dyDescent="0.15">
      <c r="E789" s="8"/>
      <c r="F789" s="8"/>
      <c r="G789" s="8"/>
    </row>
    <row r="790" spans="5:7" x14ac:dyDescent="0.15">
      <c r="E790" s="8"/>
      <c r="F790" s="8"/>
      <c r="G790" s="8"/>
    </row>
    <row r="791" spans="5:7" x14ac:dyDescent="0.15">
      <c r="E791" s="8"/>
      <c r="F791" s="8"/>
      <c r="G791" s="8"/>
    </row>
    <row r="792" spans="5:7" x14ac:dyDescent="0.15">
      <c r="E792" s="8"/>
      <c r="F792" s="8"/>
      <c r="G792" s="8"/>
    </row>
    <row r="793" spans="5:7" x14ac:dyDescent="0.15">
      <c r="E793" s="8"/>
      <c r="F793" s="8"/>
      <c r="G793" s="8"/>
    </row>
    <row r="794" spans="5:7" x14ac:dyDescent="0.15">
      <c r="E794" s="8"/>
      <c r="F794" s="8"/>
      <c r="G794" s="8"/>
    </row>
    <row r="795" spans="5:7" x14ac:dyDescent="0.15">
      <c r="E795" s="8"/>
      <c r="F795" s="8"/>
      <c r="G795" s="8"/>
    </row>
    <row r="796" spans="5:7" x14ac:dyDescent="0.15">
      <c r="E796" s="8"/>
      <c r="F796" s="8"/>
      <c r="G796" s="8"/>
    </row>
    <row r="797" spans="5:7" x14ac:dyDescent="0.15">
      <c r="E797" s="8"/>
      <c r="F797" s="8"/>
      <c r="G797" s="8"/>
    </row>
    <row r="798" spans="5:7" x14ac:dyDescent="0.15">
      <c r="E798" s="8"/>
      <c r="F798" s="8"/>
      <c r="G798" s="8"/>
    </row>
    <row r="799" spans="5:7" x14ac:dyDescent="0.15">
      <c r="E799" s="8"/>
      <c r="F799" s="8"/>
      <c r="G799" s="8"/>
    </row>
    <row r="800" spans="5:7" x14ac:dyDescent="0.15">
      <c r="E800" s="8"/>
      <c r="F800" s="8"/>
      <c r="G800" s="8"/>
    </row>
    <row r="801" spans="5:7" x14ac:dyDescent="0.15">
      <c r="E801" s="8"/>
      <c r="F801" s="8"/>
      <c r="G801" s="8"/>
    </row>
    <row r="802" spans="5:7" x14ac:dyDescent="0.15">
      <c r="E802" s="8"/>
      <c r="F802" s="8"/>
      <c r="G802" s="8"/>
    </row>
    <row r="803" spans="5:7" x14ac:dyDescent="0.15">
      <c r="E803" s="8"/>
      <c r="F803" s="8"/>
      <c r="G803" s="8"/>
    </row>
    <row r="804" spans="5:7" x14ac:dyDescent="0.15">
      <c r="E804" s="8"/>
      <c r="F804" s="8"/>
      <c r="G804" s="8"/>
    </row>
    <row r="805" spans="5:7" x14ac:dyDescent="0.15">
      <c r="E805" s="8"/>
      <c r="F805" s="8"/>
      <c r="G805" s="8"/>
    </row>
    <row r="806" spans="5:7" x14ac:dyDescent="0.15">
      <c r="E806" s="8"/>
      <c r="F806" s="8"/>
      <c r="G806" s="8"/>
    </row>
    <row r="807" spans="5:7" x14ac:dyDescent="0.15">
      <c r="E807" s="8"/>
      <c r="F807" s="8"/>
      <c r="G807" s="8"/>
    </row>
    <row r="808" spans="5:7" x14ac:dyDescent="0.15">
      <c r="E808" s="8"/>
      <c r="F808" s="8"/>
      <c r="G808" s="8"/>
    </row>
    <row r="809" spans="5:7" x14ac:dyDescent="0.15">
      <c r="E809" s="8"/>
      <c r="F809" s="8"/>
      <c r="G809" s="8"/>
    </row>
    <row r="810" spans="5:7" x14ac:dyDescent="0.15">
      <c r="E810" s="8"/>
      <c r="F810" s="8"/>
      <c r="G810" s="8"/>
    </row>
    <row r="811" spans="5:7" x14ac:dyDescent="0.15">
      <c r="E811" s="8"/>
      <c r="F811" s="8"/>
      <c r="G811" s="8"/>
    </row>
    <row r="812" spans="5:7" x14ac:dyDescent="0.15">
      <c r="E812" s="8"/>
      <c r="F812" s="8"/>
      <c r="G812" s="8"/>
    </row>
    <row r="813" spans="5:7" x14ac:dyDescent="0.15">
      <c r="E813" s="8"/>
      <c r="F813" s="8"/>
      <c r="G813" s="8"/>
    </row>
    <row r="814" spans="5:7" x14ac:dyDescent="0.15">
      <c r="E814" s="8"/>
      <c r="F814" s="8"/>
      <c r="G814" s="8"/>
    </row>
    <row r="815" spans="5:7" x14ac:dyDescent="0.15">
      <c r="E815" s="8"/>
      <c r="F815" s="8"/>
      <c r="G815" s="8"/>
    </row>
    <row r="816" spans="5:7" x14ac:dyDescent="0.15">
      <c r="E816" s="8"/>
      <c r="F816" s="8"/>
      <c r="G816" s="8"/>
    </row>
    <row r="817" spans="5:7" x14ac:dyDescent="0.15">
      <c r="E817" s="8"/>
      <c r="F817" s="8"/>
      <c r="G817" s="8"/>
    </row>
    <row r="818" spans="5:7" x14ac:dyDescent="0.15">
      <c r="E818" s="8"/>
      <c r="F818" s="8"/>
      <c r="G818" s="8"/>
    </row>
    <row r="819" spans="5:7" x14ac:dyDescent="0.15">
      <c r="E819" s="8"/>
      <c r="F819" s="8"/>
      <c r="G819" s="8"/>
    </row>
    <row r="820" spans="5:7" x14ac:dyDescent="0.15">
      <c r="E820" s="8"/>
      <c r="F820" s="8"/>
      <c r="G820" s="8"/>
    </row>
    <row r="821" spans="5:7" x14ac:dyDescent="0.15">
      <c r="E821" s="8"/>
      <c r="F821" s="8"/>
      <c r="G821" s="8"/>
    </row>
    <row r="822" spans="5:7" x14ac:dyDescent="0.15">
      <c r="E822" s="8"/>
      <c r="F822" s="8"/>
      <c r="G822" s="8"/>
    </row>
    <row r="823" spans="5:7" x14ac:dyDescent="0.15">
      <c r="E823" s="8"/>
      <c r="F823" s="8"/>
      <c r="G823" s="8"/>
    </row>
    <row r="824" spans="5:7" x14ac:dyDescent="0.15">
      <c r="E824" s="8"/>
      <c r="F824" s="8"/>
      <c r="G824" s="8"/>
    </row>
    <row r="825" spans="5:7" x14ac:dyDescent="0.15">
      <c r="E825" s="8"/>
      <c r="F825" s="8"/>
      <c r="G825" s="8"/>
    </row>
    <row r="826" spans="5:7" x14ac:dyDescent="0.15">
      <c r="E826" s="8"/>
      <c r="F826" s="8"/>
      <c r="G826" s="8"/>
    </row>
    <row r="827" spans="5:7" x14ac:dyDescent="0.15">
      <c r="E827" s="8"/>
      <c r="F827" s="8"/>
      <c r="G827" s="8"/>
    </row>
    <row r="828" spans="5:7" x14ac:dyDescent="0.15">
      <c r="E828" s="8"/>
      <c r="F828" s="8"/>
      <c r="G828" s="8"/>
    </row>
    <row r="829" spans="5:7" x14ac:dyDescent="0.15">
      <c r="E829" s="8"/>
      <c r="F829" s="8"/>
      <c r="G829" s="8"/>
    </row>
    <row r="830" spans="5:7" x14ac:dyDescent="0.15">
      <c r="E830" s="8"/>
      <c r="F830" s="8"/>
      <c r="G830" s="8"/>
    </row>
    <row r="831" spans="5:7" x14ac:dyDescent="0.15">
      <c r="E831" s="8"/>
      <c r="F831" s="8"/>
      <c r="G831" s="8"/>
    </row>
    <row r="832" spans="5:7" x14ac:dyDescent="0.15">
      <c r="E832" s="8"/>
      <c r="F832" s="8"/>
      <c r="G832" s="8"/>
    </row>
    <row r="833" spans="5:7" x14ac:dyDescent="0.15">
      <c r="E833" s="8"/>
      <c r="F833" s="8"/>
      <c r="G833" s="8"/>
    </row>
    <row r="834" spans="5:7" x14ac:dyDescent="0.15">
      <c r="E834" s="8"/>
      <c r="F834" s="8"/>
      <c r="G834" s="8"/>
    </row>
    <row r="835" spans="5:7" x14ac:dyDescent="0.15">
      <c r="E835" s="8"/>
      <c r="F835" s="8"/>
      <c r="G835" s="8"/>
    </row>
    <row r="836" spans="5:7" x14ac:dyDescent="0.15">
      <c r="E836" s="8"/>
      <c r="F836" s="8"/>
      <c r="G836" s="8"/>
    </row>
    <row r="837" spans="5:7" x14ac:dyDescent="0.15">
      <c r="E837" s="8"/>
      <c r="F837" s="8"/>
      <c r="G837" s="8"/>
    </row>
    <row r="838" spans="5:7" x14ac:dyDescent="0.15">
      <c r="E838" s="8"/>
      <c r="F838" s="8"/>
      <c r="G838" s="8"/>
    </row>
    <row r="839" spans="5:7" x14ac:dyDescent="0.15">
      <c r="E839" s="8"/>
      <c r="F839" s="8"/>
      <c r="G839" s="8"/>
    </row>
    <row r="840" spans="5:7" x14ac:dyDescent="0.15">
      <c r="E840" s="8"/>
      <c r="F840" s="8"/>
      <c r="G840" s="8"/>
    </row>
    <row r="841" spans="5:7" x14ac:dyDescent="0.15">
      <c r="E841" s="8"/>
      <c r="F841" s="8"/>
      <c r="G841" s="8"/>
    </row>
    <row r="842" spans="5:7" x14ac:dyDescent="0.15">
      <c r="E842" s="8"/>
      <c r="F842" s="8"/>
      <c r="G842" s="8"/>
    </row>
    <row r="843" spans="5:7" x14ac:dyDescent="0.15">
      <c r="E843" s="8"/>
      <c r="F843" s="8"/>
      <c r="G843" s="8"/>
    </row>
    <row r="844" spans="5:7" x14ac:dyDescent="0.15">
      <c r="E844" s="8"/>
      <c r="F844" s="8"/>
      <c r="G844" s="8"/>
    </row>
    <row r="845" spans="5:7" x14ac:dyDescent="0.15">
      <c r="E845" s="8"/>
      <c r="F845" s="8"/>
      <c r="G845" s="8"/>
    </row>
    <row r="846" spans="5:7" x14ac:dyDescent="0.15">
      <c r="E846" s="8"/>
      <c r="F846" s="8"/>
      <c r="G846" s="8"/>
    </row>
    <row r="847" spans="5:7" x14ac:dyDescent="0.15">
      <c r="E847" s="8"/>
      <c r="F847" s="8"/>
      <c r="G847" s="8"/>
    </row>
    <row r="848" spans="5:7" x14ac:dyDescent="0.15">
      <c r="E848" s="8"/>
      <c r="F848" s="8"/>
      <c r="G848" s="8"/>
    </row>
    <row r="849" spans="5:7" x14ac:dyDescent="0.15">
      <c r="E849" s="8"/>
      <c r="F849" s="8"/>
      <c r="G849" s="8"/>
    </row>
    <row r="850" spans="5:7" x14ac:dyDescent="0.15">
      <c r="E850" s="8"/>
      <c r="F850" s="8"/>
      <c r="G850" s="8"/>
    </row>
    <row r="851" spans="5:7" x14ac:dyDescent="0.15">
      <c r="E851" s="8"/>
      <c r="F851" s="8"/>
      <c r="G851" s="8"/>
    </row>
    <row r="852" spans="5:7" x14ac:dyDescent="0.15">
      <c r="E852" s="8"/>
      <c r="F852" s="8"/>
      <c r="G852" s="8"/>
    </row>
    <row r="853" spans="5:7" x14ac:dyDescent="0.15">
      <c r="E853" s="8"/>
      <c r="F853" s="8"/>
      <c r="G853" s="8"/>
    </row>
    <row r="854" spans="5:7" x14ac:dyDescent="0.15">
      <c r="E854" s="8"/>
      <c r="F854" s="8"/>
      <c r="G854" s="8"/>
    </row>
    <row r="855" spans="5:7" x14ac:dyDescent="0.15">
      <c r="E855" s="8"/>
      <c r="F855" s="8"/>
      <c r="G855" s="8"/>
    </row>
    <row r="856" spans="5:7" x14ac:dyDescent="0.15">
      <c r="E856" s="8"/>
      <c r="F856" s="8"/>
      <c r="G856" s="8"/>
    </row>
    <row r="857" spans="5:7" x14ac:dyDescent="0.15">
      <c r="E857" s="8"/>
      <c r="F857" s="8"/>
      <c r="G857" s="8"/>
    </row>
    <row r="858" spans="5:7" x14ac:dyDescent="0.15">
      <c r="E858" s="8"/>
      <c r="F858" s="8"/>
      <c r="G858" s="8"/>
    </row>
    <row r="859" spans="5:7" x14ac:dyDescent="0.15">
      <c r="E859" s="8"/>
      <c r="F859" s="8"/>
      <c r="G859" s="8"/>
    </row>
    <row r="860" spans="5:7" x14ac:dyDescent="0.15">
      <c r="E860" s="8"/>
      <c r="F860" s="8"/>
      <c r="G860" s="8"/>
    </row>
    <row r="861" spans="5:7" x14ac:dyDescent="0.15">
      <c r="E861" s="8"/>
      <c r="F861" s="8"/>
      <c r="G861" s="8"/>
    </row>
    <row r="862" spans="5:7" x14ac:dyDescent="0.15">
      <c r="E862" s="8"/>
      <c r="F862" s="8"/>
      <c r="G862" s="8"/>
    </row>
    <row r="863" spans="5:7" x14ac:dyDescent="0.15">
      <c r="E863" s="8"/>
      <c r="F863" s="8"/>
      <c r="G863" s="8"/>
    </row>
    <row r="864" spans="5:7" x14ac:dyDescent="0.15">
      <c r="E864" s="8"/>
      <c r="F864" s="8"/>
      <c r="G864" s="8"/>
    </row>
    <row r="865" spans="5:7" x14ac:dyDescent="0.15">
      <c r="E865" s="8"/>
      <c r="F865" s="8"/>
      <c r="G865" s="8"/>
    </row>
    <row r="866" spans="5:7" x14ac:dyDescent="0.15">
      <c r="E866" s="8"/>
      <c r="F866" s="8"/>
      <c r="G866" s="8"/>
    </row>
    <row r="867" spans="5:7" x14ac:dyDescent="0.15">
      <c r="E867" s="8"/>
      <c r="F867" s="8"/>
      <c r="G867" s="8"/>
    </row>
    <row r="868" spans="5:7" x14ac:dyDescent="0.15">
      <c r="E868" s="8"/>
      <c r="F868" s="8"/>
      <c r="G868" s="8"/>
    </row>
    <row r="869" spans="5:7" x14ac:dyDescent="0.15">
      <c r="E869" s="8"/>
      <c r="F869" s="8"/>
      <c r="G869" s="8"/>
    </row>
    <row r="870" spans="5:7" x14ac:dyDescent="0.15">
      <c r="E870" s="8"/>
      <c r="F870" s="8"/>
      <c r="G870" s="8"/>
    </row>
    <row r="871" spans="5:7" x14ac:dyDescent="0.15">
      <c r="E871" s="8"/>
      <c r="F871" s="8"/>
      <c r="G871" s="8"/>
    </row>
    <row r="872" spans="5:7" x14ac:dyDescent="0.15">
      <c r="E872" s="8"/>
      <c r="F872" s="8"/>
      <c r="G872" s="8"/>
    </row>
    <row r="873" spans="5:7" x14ac:dyDescent="0.15">
      <c r="E873" s="8"/>
      <c r="F873" s="8"/>
      <c r="G873" s="8"/>
    </row>
    <row r="874" spans="5:7" x14ac:dyDescent="0.15">
      <c r="E874" s="8"/>
      <c r="F874" s="8"/>
      <c r="G874" s="8"/>
    </row>
    <row r="875" spans="5:7" x14ac:dyDescent="0.15">
      <c r="E875" s="8"/>
      <c r="F875" s="8"/>
      <c r="G875" s="8"/>
    </row>
    <row r="876" spans="5:7" x14ac:dyDescent="0.15">
      <c r="E876" s="8"/>
      <c r="F876" s="8"/>
      <c r="G876" s="8"/>
    </row>
    <row r="877" spans="5:7" x14ac:dyDescent="0.15">
      <c r="E877" s="8"/>
      <c r="F877" s="8"/>
      <c r="G877" s="8"/>
    </row>
    <row r="878" spans="5:7" x14ac:dyDescent="0.15">
      <c r="E878" s="8"/>
      <c r="F878" s="8"/>
      <c r="G878" s="8"/>
    </row>
    <row r="879" spans="5:7" x14ac:dyDescent="0.15">
      <c r="E879" s="8"/>
      <c r="F879" s="8"/>
      <c r="G879" s="8"/>
    </row>
    <row r="880" spans="5:7" x14ac:dyDescent="0.15">
      <c r="E880" s="8"/>
      <c r="F880" s="8"/>
      <c r="G880" s="8"/>
    </row>
    <row r="881" spans="5:7" x14ac:dyDescent="0.15">
      <c r="E881" s="8"/>
      <c r="F881" s="8"/>
      <c r="G881" s="8"/>
    </row>
    <row r="882" spans="5:7" x14ac:dyDescent="0.15">
      <c r="E882" s="8"/>
      <c r="F882" s="8"/>
      <c r="G882" s="8"/>
    </row>
    <row r="883" spans="5:7" x14ac:dyDescent="0.15">
      <c r="E883" s="8"/>
      <c r="F883" s="8"/>
      <c r="G883" s="8"/>
    </row>
    <row r="884" spans="5:7" x14ac:dyDescent="0.15">
      <c r="E884" s="8"/>
      <c r="F884" s="8"/>
      <c r="G884" s="8"/>
    </row>
    <row r="885" spans="5:7" x14ac:dyDescent="0.15">
      <c r="E885" s="8"/>
      <c r="F885" s="8"/>
      <c r="G885" s="8"/>
    </row>
    <row r="886" spans="5:7" x14ac:dyDescent="0.15">
      <c r="E886" s="8"/>
      <c r="F886" s="8"/>
      <c r="G886" s="8"/>
    </row>
    <row r="887" spans="5:7" x14ac:dyDescent="0.15">
      <c r="E887" s="8"/>
      <c r="F887" s="8"/>
      <c r="G887" s="8"/>
    </row>
    <row r="888" spans="5:7" x14ac:dyDescent="0.15">
      <c r="E888" s="8"/>
      <c r="F888" s="8"/>
      <c r="G888" s="8"/>
    </row>
    <row r="889" spans="5:7" x14ac:dyDescent="0.15">
      <c r="E889" s="8"/>
      <c r="F889" s="8"/>
      <c r="G889" s="8"/>
    </row>
    <row r="890" spans="5:7" x14ac:dyDescent="0.15">
      <c r="E890" s="8"/>
      <c r="F890" s="8"/>
      <c r="G890" s="8"/>
    </row>
    <row r="891" spans="5:7" x14ac:dyDescent="0.15">
      <c r="E891" s="8"/>
      <c r="F891" s="8"/>
      <c r="G891" s="8"/>
    </row>
    <row r="892" spans="5:7" x14ac:dyDescent="0.15">
      <c r="E892" s="8"/>
      <c r="F892" s="8"/>
      <c r="G892" s="8"/>
    </row>
    <row r="893" spans="5:7" x14ac:dyDescent="0.15">
      <c r="E893" s="8"/>
      <c r="F893" s="8"/>
      <c r="G893" s="8"/>
    </row>
    <row r="894" spans="5:7" x14ac:dyDescent="0.15">
      <c r="E894" s="8"/>
      <c r="F894" s="8"/>
      <c r="G894" s="8"/>
    </row>
    <row r="895" spans="5:7" x14ac:dyDescent="0.15">
      <c r="E895" s="8"/>
      <c r="F895" s="8"/>
      <c r="G895" s="8"/>
    </row>
    <row r="896" spans="5:7" x14ac:dyDescent="0.15">
      <c r="E896" s="8"/>
      <c r="F896" s="8"/>
      <c r="G896" s="8"/>
    </row>
    <row r="897" spans="5:7" x14ac:dyDescent="0.15">
      <c r="E897" s="8"/>
      <c r="F897" s="8"/>
      <c r="G897" s="8"/>
    </row>
    <row r="898" spans="5:7" x14ac:dyDescent="0.15">
      <c r="E898" s="8"/>
      <c r="F898" s="8"/>
      <c r="G898" s="8"/>
    </row>
    <row r="899" spans="5:7" x14ac:dyDescent="0.15">
      <c r="E899" s="8"/>
      <c r="F899" s="8"/>
      <c r="G899" s="8"/>
    </row>
    <row r="900" spans="5:7" x14ac:dyDescent="0.15">
      <c r="E900" s="8"/>
      <c r="F900" s="8"/>
      <c r="G900" s="8"/>
    </row>
    <row r="901" spans="5:7" x14ac:dyDescent="0.15">
      <c r="E901" s="8"/>
      <c r="F901" s="8"/>
      <c r="G901" s="8"/>
    </row>
    <row r="902" spans="5:7" x14ac:dyDescent="0.15">
      <c r="E902" s="8"/>
      <c r="F902" s="8"/>
      <c r="G902" s="8"/>
    </row>
    <row r="903" spans="5:7" x14ac:dyDescent="0.15">
      <c r="E903" s="8"/>
      <c r="F903" s="8"/>
      <c r="G903" s="8"/>
    </row>
    <row r="904" spans="5:7" x14ac:dyDescent="0.15">
      <c r="E904" s="8"/>
      <c r="F904" s="8"/>
      <c r="G904" s="8"/>
    </row>
    <row r="905" spans="5:7" x14ac:dyDescent="0.15">
      <c r="E905" s="8"/>
      <c r="F905" s="8"/>
      <c r="G905" s="8"/>
    </row>
    <row r="906" spans="5:7" x14ac:dyDescent="0.15">
      <c r="E906" s="8"/>
      <c r="F906" s="8"/>
      <c r="G906" s="8"/>
    </row>
    <row r="907" spans="5:7" x14ac:dyDescent="0.15">
      <c r="E907" s="8"/>
      <c r="F907" s="8"/>
      <c r="G907" s="8"/>
    </row>
    <row r="908" spans="5:7" x14ac:dyDescent="0.15">
      <c r="E908" s="8"/>
      <c r="F908" s="8"/>
      <c r="G908" s="8"/>
    </row>
    <row r="909" spans="5:7" x14ac:dyDescent="0.15">
      <c r="E909" s="8"/>
      <c r="F909" s="8"/>
      <c r="G909" s="8"/>
    </row>
    <row r="910" spans="5:7" x14ac:dyDescent="0.15">
      <c r="E910" s="8"/>
      <c r="F910" s="8"/>
      <c r="G910" s="8"/>
    </row>
    <row r="911" spans="5:7" x14ac:dyDescent="0.15">
      <c r="E911" s="8"/>
      <c r="F911" s="8"/>
      <c r="G911" s="8"/>
    </row>
    <row r="912" spans="5:7" x14ac:dyDescent="0.15">
      <c r="E912" s="8"/>
      <c r="F912" s="8"/>
      <c r="G912" s="8"/>
    </row>
    <row r="913" spans="5:7" x14ac:dyDescent="0.15">
      <c r="E913" s="8"/>
      <c r="F913" s="8"/>
      <c r="G913" s="8"/>
    </row>
    <row r="914" spans="5:7" x14ac:dyDescent="0.15">
      <c r="E914" s="8"/>
      <c r="F914" s="8"/>
      <c r="G914" s="8"/>
    </row>
    <row r="915" spans="5:7" x14ac:dyDescent="0.15">
      <c r="E915" s="8"/>
      <c r="F915" s="8"/>
      <c r="G915" s="8"/>
    </row>
    <row r="916" spans="5:7" x14ac:dyDescent="0.15">
      <c r="E916" s="8"/>
      <c r="F916" s="8"/>
      <c r="G916" s="8"/>
    </row>
    <row r="917" spans="5:7" ht="12" customHeight="1" x14ac:dyDescent="0.15">
      <c r="E917" s="8"/>
      <c r="F917" s="8"/>
      <c r="G917" s="8"/>
    </row>
    <row r="918" spans="5:7" x14ac:dyDescent="0.15">
      <c r="E918" s="8"/>
      <c r="F918" s="8"/>
      <c r="G918" s="8"/>
    </row>
    <row r="919" spans="5:7" x14ac:dyDescent="0.15">
      <c r="E919" s="8"/>
      <c r="F919" s="8"/>
      <c r="G919" s="8"/>
    </row>
    <row r="920" spans="5:7" x14ac:dyDescent="0.15">
      <c r="E920" s="8"/>
      <c r="F920" s="8"/>
      <c r="G920" s="8"/>
    </row>
    <row r="921" spans="5:7" x14ac:dyDescent="0.15">
      <c r="E921" s="8"/>
      <c r="F921" s="8"/>
      <c r="G921" s="8"/>
    </row>
    <row r="922" spans="5:7" x14ac:dyDescent="0.15">
      <c r="E922" s="8"/>
      <c r="F922" s="8"/>
      <c r="G922" s="8"/>
    </row>
    <row r="923" spans="5:7" x14ac:dyDescent="0.15">
      <c r="E923" s="8"/>
      <c r="F923" s="8"/>
      <c r="G923" s="8"/>
    </row>
    <row r="924" spans="5:7" x14ac:dyDescent="0.15">
      <c r="E924" s="8"/>
      <c r="F924" s="8"/>
      <c r="G924" s="8"/>
    </row>
    <row r="925" spans="5:7" x14ac:dyDescent="0.15">
      <c r="E925" s="8"/>
      <c r="F925" s="8"/>
      <c r="G925" s="8"/>
    </row>
    <row r="926" spans="5:7" x14ac:dyDescent="0.15">
      <c r="E926" s="8"/>
      <c r="F926" s="8"/>
      <c r="G926" s="8"/>
    </row>
    <row r="927" spans="5:7" x14ac:dyDescent="0.15">
      <c r="E927" s="8"/>
      <c r="F927" s="8"/>
      <c r="G927" s="8"/>
    </row>
    <row r="928" spans="5:7" x14ac:dyDescent="0.15">
      <c r="E928" s="8"/>
      <c r="F928" s="8"/>
      <c r="G928" s="8"/>
    </row>
    <row r="929" spans="5:7" x14ac:dyDescent="0.15">
      <c r="E929" s="8"/>
      <c r="F929" s="8"/>
      <c r="G929" s="8"/>
    </row>
    <row r="930" spans="5:7" x14ac:dyDescent="0.15">
      <c r="E930" s="8"/>
      <c r="F930" s="8"/>
      <c r="G930" s="8"/>
    </row>
    <row r="931" spans="5:7" x14ac:dyDescent="0.15">
      <c r="E931" s="8"/>
      <c r="F931" s="8"/>
      <c r="G931" s="8"/>
    </row>
    <row r="932" spans="5:7" x14ac:dyDescent="0.15">
      <c r="E932" s="8"/>
      <c r="F932" s="8"/>
      <c r="G932" s="8"/>
    </row>
    <row r="933" spans="5:7" x14ac:dyDescent="0.15">
      <c r="E933" s="8"/>
      <c r="F933" s="8"/>
      <c r="G933" s="8"/>
    </row>
    <row r="934" spans="5:7" x14ac:dyDescent="0.15">
      <c r="E934" s="8"/>
      <c r="F934" s="8"/>
      <c r="G934" s="8"/>
    </row>
    <row r="935" spans="5:7" x14ac:dyDescent="0.15">
      <c r="E935" s="8"/>
      <c r="F935" s="8"/>
      <c r="G935" s="8"/>
    </row>
    <row r="936" spans="5:7" x14ac:dyDescent="0.15">
      <c r="E936" s="8"/>
      <c r="F936" s="8"/>
      <c r="G936" s="8"/>
    </row>
    <row r="937" spans="5:7" x14ac:dyDescent="0.15">
      <c r="E937" s="8"/>
      <c r="F937" s="8"/>
      <c r="G937" s="8"/>
    </row>
    <row r="938" spans="5:7" x14ac:dyDescent="0.15">
      <c r="E938" s="8"/>
      <c r="F938" s="8"/>
      <c r="G938" s="8"/>
    </row>
    <row r="939" spans="5:7" x14ac:dyDescent="0.15">
      <c r="E939" s="8"/>
      <c r="F939" s="8"/>
      <c r="G939" s="8"/>
    </row>
    <row r="940" spans="5:7" x14ac:dyDescent="0.15">
      <c r="E940" s="8"/>
      <c r="F940" s="8"/>
      <c r="G940" s="8"/>
    </row>
    <row r="941" spans="5:7" x14ac:dyDescent="0.15">
      <c r="E941" s="8"/>
      <c r="F941" s="8"/>
      <c r="G941" s="8"/>
    </row>
    <row r="942" spans="5:7" x14ac:dyDescent="0.15">
      <c r="E942" s="8"/>
      <c r="F942" s="8"/>
      <c r="G942" s="8"/>
    </row>
    <row r="943" spans="5:7" x14ac:dyDescent="0.15">
      <c r="E943" s="8"/>
      <c r="F943" s="8"/>
      <c r="G943" s="8"/>
    </row>
    <row r="944" spans="5:7" x14ac:dyDescent="0.15">
      <c r="E944" s="8"/>
      <c r="F944" s="8"/>
      <c r="G944" s="8"/>
    </row>
    <row r="945" spans="5:7" x14ac:dyDescent="0.15">
      <c r="E945" s="8"/>
      <c r="F945" s="8"/>
      <c r="G945" s="8"/>
    </row>
    <row r="946" spans="5:7" x14ac:dyDescent="0.15">
      <c r="E946" s="8"/>
      <c r="F946" s="8"/>
      <c r="G946" s="8"/>
    </row>
    <row r="947" spans="5:7" x14ac:dyDescent="0.15">
      <c r="E947" s="8"/>
      <c r="F947" s="8"/>
      <c r="G947" s="8"/>
    </row>
    <row r="948" spans="5:7" x14ac:dyDescent="0.15">
      <c r="E948" s="8"/>
      <c r="F948" s="8"/>
      <c r="G948" s="8"/>
    </row>
    <row r="949" spans="5:7" x14ac:dyDescent="0.15">
      <c r="E949" s="8"/>
      <c r="F949" s="8"/>
      <c r="G949" s="8"/>
    </row>
    <row r="950" spans="5:7" x14ac:dyDescent="0.15">
      <c r="E950" s="8"/>
      <c r="F950" s="8"/>
      <c r="G950" s="8"/>
    </row>
    <row r="951" spans="5:7" x14ac:dyDescent="0.15">
      <c r="E951" s="8"/>
      <c r="F951" s="8"/>
      <c r="G951" s="8"/>
    </row>
    <row r="952" spans="5:7" x14ac:dyDescent="0.15">
      <c r="E952" s="8"/>
      <c r="F952" s="8"/>
      <c r="G952" s="8"/>
    </row>
    <row r="953" spans="5:7" x14ac:dyDescent="0.15">
      <c r="E953" s="8"/>
      <c r="F953" s="8"/>
      <c r="G953" s="8"/>
    </row>
    <row r="954" spans="5:7" x14ac:dyDescent="0.15">
      <c r="E954" s="8"/>
      <c r="F954" s="8"/>
      <c r="G954" s="8"/>
    </row>
    <row r="955" spans="5:7" x14ac:dyDescent="0.15">
      <c r="E955" s="8"/>
      <c r="F955" s="8"/>
      <c r="G955" s="8"/>
    </row>
    <row r="956" spans="5:7" x14ac:dyDescent="0.15">
      <c r="E956" s="8"/>
      <c r="F956" s="8"/>
      <c r="G956" s="8"/>
    </row>
    <row r="957" spans="5:7" x14ac:dyDescent="0.15">
      <c r="E957" s="8"/>
      <c r="F957" s="8"/>
      <c r="G957" s="8"/>
    </row>
    <row r="958" spans="5:7" x14ac:dyDescent="0.15">
      <c r="E958" s="8"/>
      <c r="F958" s="8"/>
      <c r="G958" s="8"/>
    </row>
    <row r="959" spans="5:7" x14ac:dyDescent="0.15">
      <c r="E959" s="8"/>
      <c r="F959" s="8"/>
      <c r="G959" s="8"/>
    </row>
    <row r="960" spans="5:7" x14ac:dyDescent="0.15">
      <c r="E960" s="8"/>
      <c r="F960" s="8"/>
      <c r="G960" s="8"/>
    </row>
    <row r="961" spans="5:7" x14ac:dyDescent="0.15">
      <c r="E961" s="8"/>
      <c r="F961" s="8"/>
      <c r="G961" s="8"/>
    </row>
    <row r="962" spans="5:7" x14ac:dyDescent="0.15">
      <c r="E962" s="8"/>
      <c r="F962" s="8"/>
      <c r="G962" s="8"/>
    </row>
    <row r="963" spans="5:7" x14ac:dyDescent="0.15">
      <c r="E963" s="8"/>
      <c r="F963" s="8"/>
      <c r="G963" s="8"/>
    </row>
    <row r="964" spans="5:7" x14ac:dyDescent="0.15">
      <c r="E964" s="8"/>
      <c r="F964" s="8"/>
      <c r="G964" s="8"/>
    </row>
    <row r="965" spans="5:7" x14ac:dyDescent="0.15">
      <c r="E965" s="8"/>
      <c r="F965" s="8"/>
      <c r="G965" s="8"/>
    </row>
    <row r="966" spans="5:7" x14ac:dyDescent="0.15">
      <c r="E966" s="8"/>
      <c r="F966" s="8"/>
      <c r="G966" s="8"/>
    </row>
    <row r="967" spans="5:7" x14ac:dyDescent="0.15">
      <c r="E967" s="8"/>
      <c r="F967" s="8"/>
      <c r="G967" s="8"/>
    </row>
    <row r="968" spans="5:7" x14ac:dyDescent="0.15">
      <c r="E968" s="8"/>
      <c r="F968" s="8"/>
      <c r="G968" s="8"/>
    </row>
    <row r="969" spans="5:7" x14ac:dyDescent="0.15">
      <c r="E969" s="8"/>
      <c r="F969" s="8"/>
      <c r="G969" s="8"/>
    </row>
    <row r="970" spans="5:7" x14ac:dyDescent="0.15">
      <c r="E970" s="8"/>
      <c r="F970" s="8"/>
      <c r="G970" s="8"/>
    </row>
    <row r="971" spans="5:7" x14ac:dyDescent="0.15">
      <c r="E971" s="8"/>
      <c r="F971" s="8"/>
      <c r="G971" s="8"/>
    </row>
    <row r="972" spans="5:7" x14ac:dyDescent="0.15">
      <c r="E972" s="8"/>
      <c r="F972" s="8"/>
      <c r="G972" s="8"/>
    </row>
    <row r="973" spans="5:7" x14ac:dyDescent="0.15">
      <c r="E973" s="8"/>
      <c r="F973" s="8"/>
      <c r="G973" s="8"/>
    </row>
    <row r="974" spans="5:7" x14ac:dyDescent="0.15">
      <c r="E974" s="8"/>
      <c r="F974" s="8"/>
      <c r="G974" s="8"/>
    </row>
    <row r="975" spans="5:7" x14ac:dyDescent="0.15">
      <c r="E975" s="8"/>
      <c r="F975" s="8"/>
      <c r="G975" s="8"/>
    </row>
    <row r="976" spans="5:7" x14ac:dyDescent="0.15">
      <c r="E976" s="8"/>
      <c r="F976" s="8"/>
      <c r="G976" s="8"/>
    </row>
    <row r="977" spans="5:7" x14ac:dyDescent="0.15">
      <c r="E977" s="8"/>
      <c r="F977" s="8"/>
      <c r="G977" s="8"/>
    </row>
    <row r="978" spans="5:7" x14ac:dyDescent="0.15">
      <c r="E978" s="8"/>
      <c r="F978" s="8"/>
      <c r="G978" s="8"/>
    </row>
    <row r="979" spans="5:7" x14ac:dyDescent="0.15">
      <c r="E979" s="8"/>
      <c r="F979" s="8"/>
      <c r="G979" s="8"/>
    </row>
    <row r="980" spans="5:7" x14ac:dyDescent="0.15">
      <c r="E980" s="8"/>
      <c r="F980" s="8"/>
      <c r="G980" s="8"/>
    </row>
    <row r="981" spans="5:7" x14ac:dyDescent="0.15">
      <c r="E981" s="8"/>
      <c r="F981" s="8"/>
      <c r="G981" s="8"/>
    </row>
    <row r="982" spans="5:7" x14ac:dyDescent="0.15">
      <c r="E982" s="8"/>
      <c r="F982" s="8"/>
      <c r="G982" s="8"/>
    </row>
    <row r="983" spans="5:7" x14ac:dyDescent="0.15">
      <c r="E983" s="8"/>
      <c r="F983" s="8"/>
      <c r="G983" s="8"/>
    </row>
    <row r="984" spans="5:7" x14ac:dyDescent="0.15">
      <c r="E984" s="8"/>
      <c r="F984" s="8"/>
      <c r="G984" s="8"/>
    </row>
    <row r="985" spans="5:7" x14ac:dyDescent="0.15">
      <c r="E985" s="8"/>
      <c r="F985" s="8"/>
      <c r="G985" s="8"/>
    </row>
    <row r="986" spans="5:7" x14ac:dyDescent="0.15">
      <c r="E986" s="8"/>
      <c r="F986" s="8"/>
      <c r="G986" s="8"/>
    </row>
    <row r="987" spans="5:7" x14ac:dyDescent="0.15">
      <c r="E987" s="8"/>
      <c r="F987" s="8"/>
      <c r="G987" s="8"/>
    </row>
    <row r="988" spans="5:7" x14ac:dyDescent="0.15">
      <c r="E988" s="8"/>
      <c r="F988" s="8"/>
      <c r="G988" s="8"/>
    </row>
    <row r="989" spans="5:7" x14ac:dyDescent="0.15">
      <c r="E989" s="8"/>
      <c r="F989" s="8"/>
      <c r="G989" s="8"/>
    </row>
    <row r="990" spans="5:7" x14ac:dyDescent="0.15">
      <c r="E990" s="8"/>
      <c r="F990" s="8"/>
      <c r="G990" s="8"/>
    </row>
    <row r="991" spans="5:7" x14ac:dyDescent="0.15">
      <c r="E991" s="8"/>
      <c r="F991" s="8"/>
      <c r="G991" s="8"/>
    </row>
    <row r="992" spans="5:7" x14ac:dyDescent="0.15">
      <c r="E992" s="8"/>
      <c r="F992" s="8"/>
      <c r="G992" s="8"/>
    </row>
    <row r="993" spans="5:7" x14ac:dyDescent="0.15">
      <c r="E993" s="8"/>
      <c r="F993" s="8"/>
      <c r="G993" s="8"/>
    </row>
    <row r="994" spans="5:7" x14ac:dyDescent="0.15">
      <c r="E994" s="8"/>
      <c r="F994" s="8"/>
      <c r="G994" s="8"/>
    </row>
    <row r="995" spans="5:7" x14ac:dyDescent="0.15">
      <c r="E995" s="8"/>
      <c r="F995" s="8"/>
      <c r="G995" s="8"/>
    </row>
    <row r="996" spans="5:7" x14ac:dyDescent="0.15">
      <c r="E996" s="8"/>
      <c r="F996" s="8"/>
      <c r="G996" s="8"/>
    </row>
    <row r="997" spans="5:7" x14ac:dyDescent="0.15">
      <c r="E997" s="8"/>
      <c r="F997" s="8"/>
      <c r="G997" s="8"/>
    </row>
    <row r="998" spans="5:7" x14ac:dyDescent="0.15">
      <c r="E998" s="8"/>
      <c r="F998" s="8"/>
      <c r="G998" s="8"/>
    </row>
    <row r="999" spans="5:7" x14ac:dyDescent="0.15">
      <c r="E999" s="8"/>
      <c r="F999" s="8"/>
      <c r="G999" s="8"/>
    </row>
    <row r="1000" spans="5:7" x14ac:dyDescent="0.15">
      <c r="E1000" s="8"/>
      <c r="F1000" s="8"/>
      <c r="G1000" s="8"/>
    </row>
    <row r="1001" spans="5:7" x14ac:dyDescent="0.15">
      <c r="E1001" s="8"/>
      <c r="F1001" s="8"/>
      <c r="G1001" s="8"/>
    </row>
    <row r="1002" spans="5:7" x14ac:dyDescent="0.15">
      <c r="E1002" s="8"/>
      <c r="F1002" s="8"/>
      <c r="G1002" s="8"/>
    </row>
    <row r="1003" spans="5:7" x14ac:dyDescent="0.15">
      <c r="E1003" s="8"/>
      <c r="F1003" s="8"/>
      <c r="G1003" s="8"/>
    </row>
    <row r="1004" spans="5:7" x14ac:dyDescent="0.15">
      <c r="E1004" s="8"/>
      <c r="F1004" s="8"/>
      <c r="G1004" s="8"/>
    </row>
    <row r="1005" spans="5:7" x14ac:dyDescent="0.15">
      <c r="E1005" s="8"/>
      <c r="F1005" s="8"/>
      <c r="G1005" s="8"/>
    </row>
    <row r="1006" spans="5:7" x14ac:dyDescent="0.15">
      <c r="E1006" s="8"/>
      <c r="F1006" s="8"/>
      <c r="G1006" s="8"/>
    </row>
    <row r="1007" spans="5:7" x14ac:dyDescent="0.15">
      <c r="E1007" s="8"/>
      <c r="F1007" s="8"/>
      <c r="G1007" s="8"/>
    </row>
    <row r="1008" spans="5:7" x14ac:dyDescent="0.15">
      <c r="E1008" s="8"/>
      <c r="F1008" s="8"/>
      <c r="G1008" s="8"/>
    </row>
    <row r="1009" spans="5:7" x14ac:dyDescent="0.15">
      <c r="E1009" s="8"/>
      <c r="F1009" s="8"/>
      <c r="G1009" s="8"/>
    </row>
    <row r="1010" spans="5:7" x14ac:dyDescent="0.15">
      <c r="E1010" s="8"/>
      <c r="F1010" s="8"/>
      <c r="G1010" s="8"/>
    </row>
    <row r="1011" spans="5:7" x14ac:dyDescent="0.15">
      <c r="E1011" s="8"/>
      <c r="F1011" s="8"/>
      <c r="G1011" s="8"/>
    </row>
    <row r="1012" spans="5:7" x14ac:dyDescent="0.15">
      <c r="E1012" s="8"/>
      <c r="F1012" s="8"/>
      <c r="G1012" s="8"/>
    </row>
    <row r="1013" spans="5:7" x14ac:dyDescent="0.15">
      <c r="E1013" s="8"/>
      <c r="F1013" s="8"/>
      <c r="G1013" s="8"/>
    </row>
    <row r="1014" spans="5:7" x14ac:dyDescent="0.15">
      <c r="E1014" s="8"/>
      <c r="F1014" s="8"/>
      <c r="G1014" s="8"/>
    </row>
    <row r="1015" spans="5:7" x14ac:dyDescent="0.15">
      <c r="E1015" s="8"/>
      <c r="F1015" s="8"/>
      <c r="G1015" s="8"/>
    </row>
    <row r="1016" spans="5:7" x14ac:dyDescent="0.15">
      <c r="E1016" s="8"/>
      <c r="F1016" s="8"/>
      <c r="G1016" s="8"/>
    </row>
    <row r="1017" spans="5:7" x14ac:dyDescent="0.15">
      <c r="E1017" s="8"/>
      <c r="F1017" s="8"/>
      <c r="G1017" s="8"/>
    </row>
    <row r="1018" spans="5:7" x14ac:dyDescent="0.15">
      <c r="E1018" s="8"/>
      <c r="F1018" s="8"/>
      <c r="G1018" s="8"/>
    </row>
    <row r="1019" spans="5:7" x14ac:dyDescent="0.15">
      <c r="E1019" s="8"/>
      <c r="F1019" s="8"/>
      <c r="G1019" s="8"/>
    </row>
    <row r="1020" spans="5:7" x14ac:dyDescent="0.15">
      <c r="E1020" s="8"/>
      <c r="F1020" s="8"/>
      <c r="G1020" s="8"/>
    </row>
    <row r="1021" spans="5:7" x14ac:dyDescent="0.15">
      <c r="E1021" s="8"/>
      <c r="F1021" s="8"/>
      <c r="G1021" s="8"/>
    </row>
    <row r="1022" spans="5:7" x14ac:dyDescent="0.15">
      <c r="E1022" s="8"/>
      <c r="F1022" s="8"/>
      <c r="G1022" s="8"/>
    </row>
    <row r="1023" spans="5:7" x14ac:dyDescent="0.15">
      <c r="E1023" s="8"/>
      <c r="F1023" s="8"/>
      <c r="G1023" s="8"/>
    </row>
    <row r="1024" spans="5:7" x14ac:dyDescent="0.15">
      <c r="E1024" s="8"/>
      <c r="F1024" s="8"/>
      <c r="G1024" s="8"/>
    </row>
    <row r="1025" spans="5:7" x14ac:dyDescent="0.15">
      <c r="E1025" s="8"/>
      <c r="F1025" s="8"/>
      <c r="G1025" s="8"/>
    </row>
    <row r="1026" spans="5:7" x14ac:dyDescent="0.15">
      <c r="E1026" s="8"/>
      <c r="F1026" s="8"/>
      <c r="G1026" s="8"/>
    </row>
    <row r="1027" spans="5:7" x14ac:dyDescent="0.15">
      <c r="E1027" s="8"/>
      <c r="F1027" s="8"/>
      <c r="G1027" s="8"/>
    </row>
    <row r="1028" spans="5:7" x14ac:dyDescent="0.15">
      <c r="E1028" s="8"/>
      <c r="F1028" s="8"/>
      <c r="G1028" s="8"/>
    </row>
    <row r="1029" spans="5:7" x14ac:dyDescent="0.15">
      <c r="E1029" s="8"/>
      <c r="F1029" s="8"/>
      <c r="G1029" s="8"/>
    </row>
    <row r="1030" spans="5:7" x14ac:dyDescent="0.15">
      <c r="E1030" s="8"/>
      <c r="F1030" s="8"/>
      <c r="G1030" s="8"/>
    </row>
    <row r="1031" spans="5:7" x14ac:dyDescent="0.15">
      <c r="E1031" s="8"/>
      <c r="F1031" s="8"/>
      <c r="G1031" s="8"/>
    </row>
    <row r="1032" spans="5:7" x14ac:dyDescent="0.15">
      <c r="E1032" s="8"/>
      <c r="F1032" s="8"/>
      <c r="G1032" s="8"/>
    </row>
    <row r="1033" spans="5:7" x14ac:dyDescent="0.15">
      <c r="E1033" s="8"/>
      <c r="F1033" s="8"/>
      <c r="G1033" s="8"/>
    </row>
    <row r="1034" spans="5:7" x14ac:dyDescent="0.15">
      <c r="E1034" s="8"/>
      <c r="F1034" s="8"/>
      <c r="G1034" s="8"/>
    </row>
    <row r="1035" spans="5:7" x14ac:dyDescent="0.15">
      <c r="E1035" s="8"/>
      <c r="F1035" s="8"/>
      <c r="G1035" s="8"/>
    </row>
    <row r="1036" spans="5:7" x14ac:dyDescent="0.15">
      <c r="E1036" s="8"/>
      <c r="F1036" s="8"/>
      <c r="G1036" s="8"/>
    </row>
    <row r="1037" spans="5:7" x14ac:dyDescent="0.15">
      <c r="E1037" s="8"/>
      <c r="F1037" s="8"/>
      <c r="G1037" s="8"/>
    </row>
    <row r="1038" spans="5:7" x14ac:dyDescent="0.15">
      <c r="E1038" s="8"/>
      <c r="F1038" s="8"/>
      <c r="G1038" s="8"/>
    </row>
    <row r="1039" spans="5:7" x14ac:dyDescent="0.15">
      <c r="E1039" s="8"/>
      <c r="F1039" s="8"/>
      <c r="G1039" s="8"/>
    </row>
    <row r="1040" spans="5:7" x14ac:dyDescent="0.15">
      <c r="E1040" s="8"/>
      <c r="F1040" s="8"/>
      <c r="G1040" s="8"/>
    </row>
    <row r="1041" spans="5:7" x14ac:dyDescent="0.15">
      <c r="E1041" s="8"/>
      <c r="F1041" s="8"/>
      <c r="G1041" s="8"/>
    </row>
    <row r="1042" spans="5:7" x14ac:dyDescent="0.15">
      <c r="E1042" s="8"/>
      <c r="F1042" s="8"/>
      <c r="G1042" s="8"/>
    </row>
    <row r="1043" spans="5:7" x14ac:dyDescent="0.15">
      <c r="E1043" s="8"/>
      <c r="F1043" s="8"/>
      <c r="G1043" s="8"/>
    </row>
    <row r="1044" spans="5:7" x14ac:dyDescent="0.15">
      <c r="E1044" s="8"/>
      <c r="F1044" s="8"/>
      <c r="G1044" s="8"/>
    </row>
    <row r="1045" spans="5:7" x14ac:dyDescent="0.15">
      <c r="E1045" s="8"/>
      <c r="F1045" s="8"/>
      <c r="G1045" s="8"/>
    </row>
    <row r="1046" spans="5:7" x14ac:dyDescent="0.15">
      <c r="E1046" s="8"/>
      <c r="F1046" s="8"/>
      <c r="G1046" s="8"/>
    </row>
    <row r="1047" spans="5:7" x14ac:dyDescent="0.15">
      <c r="E1047" s="8"/>
      <c r="F1047" s="8"/>
      <c r="G1047" s="8"/>
    </row>
    <row r="1048" spans="5:7" x14ac:dyDescent="0.15">
      <c r="E1048" s="8"/>
      <c r="F1048" s="8"/>
      <c r="G1048" s="8"/>
    </row>
    <row r="1049" spans="5:7" x14ac:dyDescent="0.15">
      <c r="E1049" s="8"/>
      <c r="F1049" s="8"/>
      <c r="G1049" s="8"/>
    </row>
    <row r="1050" spans="5:7" x14ac:dyDescent="0.15">
      <c r="E1050" s="8"/>
      <c r="F1050" s="8"/>
      <c r="G1050" s="8"/>
    </row>
    <row r="1051" spans="5:7" x14ac:dyDescent="0.15">
      <c r="E1051" s="8"/>
      <c r="F1051" s="8"/>
      <c r="G1051" s="8"/>
    </row>
    <row r="1052" spans="5:7" x14ac:dyDescent="0.15">
      <c r="E1052" s="8"/>
      <c r="F1052" s="8"/>
      <c r="G1052" s="8"/>
    </row>
    <row r="1053" spans="5:7" x14ac:dyDescent="0.15">
      <c r="E1053" s="8"/>
      <c r="F1053" s="8"/>
      <c r="G1053" s="8"/>
    </row>
    <row r="1054" spans="5:7" x14ac:dyDescent="0.15">
      <c r="E1054" s="8"/>
      <c r="F1054" s="8"/>
      <c r="G1054" s="8"/>
    </row>
    <row r="1055" spans="5:7" x14ac:dyDescent="0.15">
      <c r="E1055" s="8"/>
      <c r="F1055" s="8"/>
      <c r="G1055" s="8"/>
    </row>
    <row r="1056" spans="5:7" x14ac:dyDescent="0.15">
      <c r="E1056" s="8"/>
      <c r="F1056" s="8"/>
      <c r="G1056" s="8"/>
    </row>
    <row r="1057" spans="5:7" x14ac:dyDescent="0.15">
      <c r="E1057" s="8"/>
      <c r="F1057" s="8"/>
      <c r="G1057" s="8"/>
    </row>
    <row r="1058" spans="5:7" x14ac:dyDescent="0.15">
      <c r="E1058" s="8"/>
      <c r="F1058" s="8"/>
      <c r="G1058" s="8"/>
    </row>
    <row r="1059" spans="5:7" x14ac:dyDescent="0.15">
      <c r="E1059" s="8"/>
      <c r="F1059" s="8"/>
      <c r="G1059" s="8"/>
    </row>
    <row r="1060" spans="5:7" x14ac:dyDescent="0.15">
      <c r="E1060" s="8"/>
      <c r="F1060" s="8"/>
      <c r="G1060" s="8"/>
    </row>
    <row r="1061" spans="5:7" x14ac:dyDescent="0.15">
      <c r="E1061" s="8"/>
      <c r="F1061" s="8"/>
      <c r="G1061" s="8"/>
    </row>
    <row r="1062" spans="5:7" x14ac:dyDescent="0.15">
      <c r="E1062" s="8"/>
      <c r="F1062" s="8"/>
      <c r="G1062" s="8"/>
    </row>
    <row r="1063" spans="5:7" x14ac:dyDescent="0.15">
      <c r="E1063" s="8"/>
      <c r="F1063" s="8"/>
      <c r="G1063" s="8"/>
    </row>
    <row r="1064" spans="5:7" x14ac:dyDescent="0.15">
      <c r="E1064" s="8"/>
      <c r="F1064" s="8"/>
      <c r="G1064" s="8"/>
    </row>
    <row r="1065" spans="5:7" x14ac:dyDescent="0.15">
      <c r="E1065" s="8"/>
      <c r="F1065" s="8"/>
      <c r="G1065" s="8"/>
    </row>
    <row r="1066" spans="5:7" x14ac:dyDescent="0.15">
      <c r="E1066" s="8"/>
      <c r="F1066" s="8"/>
      <c r="G1066" s="8"/>
    </row>
    <row r="1067" spans="5:7" x14ac:dyDescent="0.15">
      <c r="E1067" s="8"/>
      <c r="F1067" s="8"/>
      <c r="G1067" s="8"/>
    </row>
    <row r="1068" spans="5:7" x14ac:dyDescent="0.15">
      <c r="E1068" s="8"/>
      <c r="F1068" s="8"/>
      <c r="G1068" s="8"/>
    </row>
    <row r="1069" spans="5:7" x14ac:dyDescent="0.15">
      <c r="E1069" s="8"/>
      <c r="F1069" s="8"/>
      <c r="G1069" s="8"/>
    </row>
    <row r="1070" spans="5:7" x14ac:dyDescent="0.15">
      <c r="E1070" s="8"/>
      <c r="F1070" s="8"/>
      <c r="G1070" s="8"/>
    </row>
    <row r="1071" spans="5:7" x14ac:dyDescent="0.15">
      <c r="E1071" s="8"/>
      <c r="F1071" s="8"/>
      <c r="G1071" s="8"/>
    </row>
    <row r="1072" spans="5:7" x14ac:dyDescent="0.15">
      <c r="E1072" s="8"/>
      <c r="F1072" s="8"/>
      <c r="G1072" s="8"/>
    </row>
    <row r="1073" spans="5:7" x14ac:dyDescent="0.15">
      <c r="E1073" s="8"/>
      <c r="F1073" s="8"/>
      <c r="G1073" s="8"/>
    </row>
    <row r="1074" spans="5:7" x14ac:dyDescent="0.15">
      <c r="E1074" s="8"/>
      <c r="F1074" s="8"/>
      <c r="G1074" s="8"/>
    </row>
    <row r="1075" spans="5:7" x14ac:dyDescent="0.15">
      <c r="E1075" s="8"/>
      <c r="F1075" s="8"/>
      <c r="G1075" s="8"/>
    </row>
    <row r="1076" spans="5:7" x14ac:dyDescent="0.15">
      <c r="E1076" s="8"/>
      <c r="F1076" s="8"/>
      <c r="G1076" s="8"/>
    </row>
    <row r="1077" spans="5:7" x14ac:dyDescent="0.15">
      <c r="E1077" s="8"/>
      <c r="F1077" s="8"/>
      <c r="G1077" s="8"/>
    </row>
    <row r="1078" spans="5:7" x14ac:dyDescent="0.15">
      <c r="E1078" s="8"/>
      <c r="F1078" s="8"/>
      <c r="G1078" s="8"/>
    </row>
    <row r="1079" spans="5:7" x14ac:dyDescent="0.15">
      <c r="E1079" s="8"/>
      <c r="F1079" s="8"/>
      <c r="G1079" s="8"/>
    </row>
    <row r="1080" spans="5:7" x14ac:dyDescent="0.15">
      <c r="E1080" s="8"/>
      <c r="F1080" s="8"/>
      <c r="G1080" s="8"/>
    </row>
    <row r="1081" spans="5:7" x14ac:dyDescent="0.15">
      <c r="E1081" s="8"/>
      <c r="F1081" s="8"/>
      <c r="G1081" s="8"/>
    </row>
    <row r="1082" spans="5:7" x14ac:dyDescent="0.15">
      <c r="E1082" s="8"/>
      <c r="F1082" s="8"/>
      <c r="G1082" s="8"/>
    </row>
    <row r="1083" spans="5:7" x14ac:dyDescent="0.15">
      <c r="E1083" s="8"/>
      <c r="F1083" s="8"/>
      <c r="G1083" s="8"/>
    </row>
    <row r="1084" spans="5:7" x14ac:dyDescent="0.15">
      <c r="E1084" s="8"/>
      <c r="F1084" s="8"/>
      <c r="G1084" s="8"/>
    </row>
    <row r="1085" spans="5:7" x14ac:dyDescent="0.15">
      <c r="E1085" s="8"/>
      <c r="F1085" s="8"/>
      <c r="G1085" s="8"/>
    </row>
    <row r="1086" spans="5:7" x14ac:dyDescent="0.15">
      <c r="E1086" s="8"/>
      <c r="F1086" s="8"/>
      <c r="G1086" s="8"/>
    </row>
    <row r="1087" spans="5:7" x14ac:dyDescent="0.15">
      <c r="E1087" s="8"/>
      <c r="F1087" s="8"/>
      <c r="G1087" s="8"/>
    </row>
    <row r="1088" spans="5:7" x14ac:dyDescent="0.15">
      <c r="E1088" s="8"/>
      <c r="F1088" s="8"/>
      <c r="G1088" s="8"/>
    </row>
    <row r="1089" spans="5:7" x14ac:dyDescent="0.15">
      <c r="E1089" s="8"/>
      <c r="F1089" s="8"/>
      <c r="G1089" s="8"/>
    </row>
    <row r="1090" spans="5:7" x14ac:dyDescent="0.15">
      <c r="E1090" s="8"/>
      <c r="F1090" s="8"/>
      <c r="G1090" s="8"/>
    </row>
    <row r="1091" spans="5:7" x14ac:dyDescent="0.15">
      <c r="E1091" s="8"/>
      <c r="F1091" s="8"/>
      <c r="G1091" s="8"/>
    </row>
    <row r="1092" spans="5:7" x14ac:dyDescent="0.15">
      <c r="E1092" s="8"/>
      <c r="F1092" s="8"/>
      <c r="G1092" s="8"/>
    </row>
    <row r="1093" spans="5:7" x14ac:dyDescent="0.15">
      <c r="E1093" s="8"/>
      <c r="F1093" s="8"/>
      <c r="G1093" s="8"/>
    </row>
    <row r="1094" spans="5:7" x14ac:dyDescent="0.15">
      <c r="E1094" s="8"/>
      <c r="F1094" s="8"/>
      <c r="G1094" s="8"/>
    </row>
    <row r="1095" spans="5:7" x14ac:dyDescent="0.15">
      <c r="E1095" s="8"/>
      <c r="F1095" s="8"/>
      <c r="G1095" s="8"/>
    </row>
    <row r="1096" spans="5:7" x14ac:dyDescent="0.15">
      <c r="E1096" s="8"/>
      <c r="F1096" s="8"/>
      <c r="G1096" s="8"/>
    </row>
    <row r="1097" spans="5:7" x14ac:dyDescent="0.15">
      <c r="E1097" s="8"/>
      <c r="F1097" s="8"/>
      <c r="G1097" s="8"/>
    </row>
    <row r="1098" spans="5:7" x14ac:dyDescent="0.15">
      <c r="E1098" s="8"/>
      <c r="F1098" s="8"/>
      <c r="G1098" s="8"/>
    </row>
    <row r="1099" spans="5:7" x14ac:dyDescent="0.15">
      <c r="E1099" s="8"/>
      <c r="F1099" s="8"/>
      <c r="G1099" s="8"/>
    </row>
    <row r="1100" spans="5:7" x14ac:dyDescent="0.15">
      <c r="E1100" s="8"/>
      <c r="F1100" s="8"/>
      <c r="G1100" s="8"/>
    </row>
    <row r="1101" spans="5:7" x14ac:dyDescent="0.15">
      <c r="E1101" s="8"/>
      <c r="F1101" s="8"/>
      <c r="G1101" s="8"/>
    </row>
    <row r="1102" spans="5:7" x14ac:dyDescent="0.15">
      <c r="E1102" s="8"/>
      <c r="F1102" s="8"/>
      <c r="G1102" s="8"/>
    </row>
    <row r="1103" spans="5:7" x14ac:dyDescent="0.15">
      <c r="E1103" s="8"/>
      <c r="F1103" s="8"/>
      <c r="G1103" s="8"/>
    </row>
    <row r="1104" spans="5:7" x14ac:dyDescent="0.15">
      <c r="E1104" s="8"/>
      <c r="F1104" s="8"/>
      <c r="G1104" s="8"/>
    </row>
    <row r="1105" spans="5:7" x14ac:dyDescent="0.15">
      <c r="E1105" s="8"/>
      <c r="F1105" s="8"/>
      <c r="G1105" s="8"/>
    </row>
    <row r="1106" spans="5:7" x14ac:dyDescent="0.15">
      <c r="E1106" s="8"/>
      <c r="F1106" s="8"/>
      <c r="G1106" s="8"/>
    </row>
    <row r="1107" spans="5:7" x14ac:dyDescent="0.15">
      <c r="E1107" s="8"/>
      <c r="F1107" s="8"/>
      <c r="G1107" s="8"/>
    </row>
    <row r="1108" spans="5:7" x14ac:dyDescent="0.15">
      <c r="E1108" s="8"/>
      <c r="F1108" s="8"/>
      <c r="G1108" s="8"/>
    </row>
    <row r="1109" spans="5:7" x14ac:dyDescent="0.15">
      <c r="E1109" s="8"/>
      <c r="F1109" s="8"/>
      <c r="G1109" s="8"/>
    </row>
    <row r="1110" spans="5:7" x14ac:dyDescent="0.15">
      <c r="E1110" s="8"/>
      <c r="F1110" s="8"/>
      <c r="G1110" s="8"/>
    </row>
    <row r="1111" spans="5:7" x14ac:dyDescent="0.15">
      <c r="E1111" s="8"/>
      <c r="F1111" s="8"/>
      <c r="G1111" s="8"/>
    </row>
    <row r="1112" spans="5:7" x14ac:dyDescent="0.15">
      <c r="E1112" s="8"/>
      <c r="F1112" s="8"/>
      <c r="G1112" s="8"/>
    </row>
    <row r="1113" spans="5:7" x14ac:dyDescent="0.15">
      <c r="E1113" s="8"/>
      <c r="F1113" s="8"/>
      <c r="G1113" s="8"/>
    </row>
    <row r="1114" spans="5:7" x14ac:dyDescent="0.15">
      <c r="E1114" s="8"/>
      <c r="F1114" s="8"/>
      <c r="G1114" s="8"/>
    </row>
    <row r="1115" spans="5:7" x14ac:dyDescent="0.15">
      <c r="E1115" s="8"/>
      <c r="F1115" s="8"/>
      <c r="G1115" s="8"/>
    </row>
    <row r="1116" spans="5:7" x14ac:dyDescent="0.15">
      <c r="E1116" s="8"/>
      <c r="F1116" s="8"/>
      <c r="G1116" s="8"/>
    </row>
    <row r="1117" spans="5:7" x14ac:dyDescent="0.15">
      <c r="E1117" s="8"/>
      <c r="F1117" s="8"/>
      <c r="G1117" s="8"/>
    </row>
    <row r="1118" spans="5:7" x14ac:dyDescent="0.15">
      <c r="E1118" s="8"/>
      <c r="F1118" s="8"/>
      <c r="G1118" s="8"/>
    </row>
    <row r="1119" spans="5:7" x14ac:dyDescent="0.15">
      <c r="E1119" s="8"/>
      <c r="F1119" s="8"/>
      <c r="G1119" s="8"/>
    </row>
    <row r="1120" spans="5:7" x14ac:dyDescent="0.15">
      <c r="E1120" s="8"/>
      <c r="F1120" s="8"/>
      <c r="G1120" s="8"/>
    </row>
    <row r="1121" spans="5:7" x14ac:dyDescent="0.15">
      <c r="E1121" s="8"/>
      <c r="F1121" s="8"/>
      <c r="G1121" s="8"/>
    </row>
    <row r="1122" spans="5:7" x14ac:dyDescent="0.15">
      <c r="E1122" s="8"/>
      <c r="F1122" s="8"/>
      <c r="G1122" s="8"/>
    </row>
    <row r="1123" spans="5:7" x14ac:dyDescent="0.15">
      <c r="E1123" s="8"/>
      <c r="F1123" s="8"/>
      <c r="G1123" s="8"/>
    </row>
    <row r="1124" spans="5:7" x14ac:dyDescent="0.15">
      <c r="E1124" s="8"/>
      <c r="F1124" s="8"/>
      <c r="G1124" s="8"/>
    </row>
    <row r="1125" spans="5:7" x14ac:dyDescent="0.15">
      <c r="E1125" s="8"/>
      <c r="F1125" s="8"/>
      <c r="G1125" s="8"/>
    </row>
    <row r="1126" spans="5:7" x14ac:dyDescent="0.15">
      <c r="E1126" s="8"/>
      <c r="F1126" s="8"/>
      <c r="G1126" s="8"/>
    </row>
    <row r="1127" spans="5:7" x14ac:dyDescent="0.15">
      <c r="E1127" s="8"/>
      <c r="F1127" s="8"/>
      <c r="G1127" s="8"/>
    </row>
    <row r="1128" spans="5:7" x14ac:dyDescent="0.15">
      <c r="E1128" s="8"/>
      <c r="F1128" s="8"/>
      <c r="G1128" s="8"/>
    </row>
    <row r="1129" spans="5:7" x14ac:dyDescent="0.15">
      <c r="E1129" s="8"/>
      <c r="F1129" s="8"/>
      <c r="G1129" s="8"/>
    </row>
    <row r="1130" spans="5:7" x14ac:dyDescent="0.15">
      <c r="E1130" s="8"/>
      <c r="F1130" s="8"/>
      <c r="G1130" s="8"/>
    </row>
    <row r="1131" spans="5:7" x14ac:dyDescent="0.15">
      <c r="E1131" s="8"/>
      <c r="F1131" s="8"/>
      <c r="G1131" s="8"/>
    </row>
    <row r="1132" spans="5:7" x14ac:dyDescent="0.15">
      <c r="E1132" s="8"/>
      <c r="F1132" s="8"/>
      <c r="G1132" s="8"/>
    </row>
    <row r="1133" spans="5:7" x14ac:dyDescent="0.15">
      <c r="E1133" s="8"/>
      <c r="F1133" s="8"/>
      <c r="G1133" s="8"/>
    </row>
    <row r="1134" spans="5:7" x14ac:dyDescent="0.15">
      <c r="E1134" s="8"/>
      <c r="F1134" s="8"/>
      <c r="G1134" s="8"/>
    </row>
    <row r="1135" spans="5:7" x14ac:dyDescent="0.15">
      <c r="E1135" s="8"/>
      <c r="F1135" s="8"/>
      <c r="G1135" s="8"/>
    </row>
    <row r="1136" spans="5:7" x14ac:dyDescent="0.15">
      <c r="E1136" s="8"/>
      <c r="F1136" s="8"/>
      <c r="G1136" s="8"/>
    </row>
    <row r="1137" spans="5:7" x14ac:dyDescent="0.15">
      <c r="E1137" s="8"/>
      <c r="F1137" s="8"/>
      <c r="G1137" s="8"/>
    </row>
    <row r="1138" spans="5:7" x14ac:dyDescent="0.15">
      <c r="E1138" s="8"/>
      <c r="F1138" s="8"/>
      <c r="G1138" s="8"/>
    </row>
    <row r="1139" spans="5:7" x14ac:dyDescent="0.15">
      <c r="E1139" s="8"/>
      <c r="F1139" s="8"/>
      <c r="G1139" s="8"/>
    </row>
    <row r="1140" spans="5:7" x14ac:dyDescent="0.15">
      <c r="E1140" s="8"/>
      <c r="F1140" s="8"/>
      <c r="G1140" s="8"/>
    </row>
    <row r="1141" spans="5:7" x14ac:dyDescent="0.15">
      <c r="E1141" s="8"/>
      <c r="F1141" s="8"/>
      <c r="G1141" s="8"/>
    </row>
    <row r="1142" spans="5:7" x14ac:dyDescent="0.15">
      <c r="E1142" s="8"/>
      <c r="F1142" s="8"/>
      <c r="G1142" s="8"/>
    </row>
    <row r="1143" spans="5:7" x14ac:dyDescent="0.15">
      <c r="E1143" s="8"/>
      <c r="F1143" s="8"/>
      <c r="G1143" s="8"/>
    </row>
    <row r="1144" spans="5:7" x14ac:dyDescent="0.15">
      <c r="E1144" s="8"/>
      <c r="F1144" s="8"/>
      <c r="G1144" s="8"/>
    </row>
    <row r="1145" spans="5:7" x14ac:dyDescent="0.15">
      <c r="E1145" s="8"/>
      <c r="F1145" s="8"/>
      <c r="G1145" s="8"/>
    </row>
    <row r="1146" spans="5:7" x14ac:dyDescent="0.15">
      <c r="E1146" s="8"/>
      <c r="F1146" s="8"/>
      <c r="G1146" s="8"/>
    </row>
    <row r="1147" spans="5:7" x14ac:dyDescent="0.15">
      <c r="E1147" s="8"/>
      <c r="F1147" s="8"/>
      <c r="G1147" s="8"/>
    </row>
    <row r="1148" spans="5:7" x14ac:dyDescent="0.15">
      <c r="E1148" s="8"/>
      <c r="F1148" s="8"/>
      <c r="G1148" s="8"/>
    </row>
    <row r="1149" spans="5:7" x14ac:dyDescent="0.15">
      <c r="E1149" s="8"/>
      <c r="F1149" s="8"/>
      <c r="G1149" s="8"/>
    </row>
    <row r="1150" spans="5:7" x14ac:dyDescent="0.15">
      <c r="E1150" s="8"/>
      <c r="F1150" s="8"/>
      <c r="G1150" s="8"/>
    </row>
    <row r="1151" spans="5:7" x14ac:dyDescent="0.15">
      <c r="E1151" s="8"/>
      <c r="F1151" s="8"/>
      <c r="G1151" s="8"/>
    </row>
    <row r="1152" spans="5:7" x14ac:dyDescent="0.15">
      <c r="E1152" s="8"/>
      <c r="F1152" s="8"/>
      <c r="G1152" s="8"/>
    </row>
    <row r="1153" spans="5:7" x14ac:dyDescent="0.15">
      <c r="E1153" s="8"/>
      <c r="F1153" s="8"/>
      <c r="G1153" s="8"/>
    </row>
    <row r="1154" spans="5:7" x14ac:dyDescent="0.15">
      <c r="E1154" s="8"/>
      <c r="F1154" s="8"/>
      <c r="G1154" s="8"/>
    </row>
    <row r="1155" spans="5:7" x14ac:dyDescent="0.15">
      <c r="E1155" s="8"/>
      <c r="F1155" s="8"/>
      <c r="G1155" s="8"/>
    </row>
    <row r="1156" spans="5:7" x14ac:dyDescent="0.15">
      <c r="E1156" s="8"/>
      <c r="F1156" s="8"/>
      <c r="G1156" s="8"/>
    </row>
    <row r="1157" spans="5:7" x14ac:dyDescent="0.15">
      <c r="E1157" s="8"/>
      <c r="F1157" s="8"/>
      <c r="G1157" s="8"/>
    </row>
    <row r="1158" spans="5:7" x14ac:dyDescent="0.15">
      <c r="E1158" s="8"/>
      <c r="F1158" s="8"/>
      <c r="G1158" s="8"/>
    </row>
    <row r="1159" spans="5:7" x14ac:dyDescent="0.15">
      <c r="E1159" s="8"/>
      <c r="F1159" s="8"/>
      <c r="G1159" s="8"/>
    </row>
    <row r="1160" spans="5:7" x14ac:dyDescent="0.15">
      <c r="E1160" s="8"/>
      <c r="F1160" s="8"/>
      <c r="G1160" s="8"/>
    </row>
    <row r="1161" spans="5:7" x14ac:dyDescent="0.15">
      <c r="E1161" s="8"/>
      <c r="F1161" s="8"/>
      <c r="G1161" s="8"/>
    </row>
    <row r="1162" spans="5:7" x14ac:dyDescent="0.15">
      <c r="E1162" s="8"/>
      <c r="F1162" s="8"/>
      <c r="G1162" s="8"/>
    </row>
    <row r="1163" spans="5:7" x14ac:dyDescent="0.15">
      <c r="E1163" s="8"/>
      <c r="F1163" s="8"/>
      <c r="G1163" s="8"/>
    </row>
    <row r="1164" spans="5:7" x14ac:dyDescent="0.15">
      <c r="E1164" s="8"/>
      <c r="F1164" s="8"/>
      <c r="G1164" s="8"/>
    </row>
    <row r="1165" spans="5:7" x14ac:dyDescent="0.15">
      <c r="E1165" s="8"/>
      <c r="F1165" s="8"/>
      <c r="G1165" s="8"/>
    </row>
    <row r="1166" spans="5:7" x14ac:dyDescent="0.15">
      <c r="E1166" s="8"/>
      <c r="F1166" s="8"/>
      <c r="G1166" s="8"/>
    </row>
    <row r="1167" spans="5:7" x14ac:dyDescent="0.15">
      <c r="E1167" s="8"/>
      <c r="F1167" s="8"/>
      <c r="G1167" s="8"/>
    </row>
    <row r="1168" spans="5:7" x14ac:dyDescent="0.15">
      <c r="E1168" s="8"/>
      <c r="F1168" s="8"/>
      <c r="G1168" s="8"/>
    </row>
    <row r="1169" spans="5:7" x14ac:dyDescent="0.15">
      <c r="E1169" s="8"/>
      <c r="F1169" s="8"/>
      <c r="G1169" s="8"/>
    </row>
    <row r="1170" spans="5:7" x14ac:dyDescent="0.15">
      <c r="E1170" s="8"/>
      <c r="F1170" s="8"/>
      <c r="G1170" s="8"/>
    </row>
    <row r="1171" spans="5:7" x14ac:dyDescent="0.15">
      <c r="E1171" s="8"/>
      <c r="F1171" s="8"/>
      <c r="G1171" s="8"/>
    </row>
    <row r="1172" spans="5:7" x14ac:dyDescent="0.15">
      <c r="E1172" s="8"/>
      <c r="F1172" s="8"/>
      <c r="G1172" s="8"/>
    </row>
    <row r="1173" spans="5:7" x14ac:dyDescent="0.15">
      <c r="E1173" s="8"/>
      <c r="F1173" s="8"/>
      <c r="G1173" s="8"/>
    </row>
    <row r="1174" spans="5:7" x14ac:dyDescent="0.15">
      <c r="E1174" s="8"/>
      <c r="F1174" s="8"/>
      <c r="G1174" s="8"/>
    </row>
    <row r="1175" spans="5:7" x14ac:dyDescent="0.15">
      <c r="E1175" s="8"/>
      <c r="F1175" s="8"/>
      <c r="G1175" s="8"/>
    </row>
    <row r="1176" spans="5:7" x14ac:dyDescent="0.15">
      <c r="E1176" s="8"/>
      <c r="F1176" s="8"/>
      <c r="G1176" s="8"/>
    </row>
    <row r="1177" spans="5:7" x14ac:dyDescent="0.15">
      <c r="E1177" s="8"/>
      <c r="F1177" s="8"/>
      <c r="G1177" s="8"/>
    </row>
    <row r="1178" spans="5:7" x14ac:dyDescent="0.15">
      <c r="E1178" s="8"/>
      <c r="F1178" s="8"/>
      <c r="G1178" s="8"/>
    </row>
    <row r="1179" spans="5:7" x14ac:dyDescent="0.15">
      <c r="E1179" s="8"/>
      <c r="F1179" s="8"/>
      <c r="G1179" s="8"/>
    </row>
    <row r="1180" spans="5:7" x14ac:dyDescent="0.15">
      <c r="E1180" s="8"/>
      <c r="F1180" s="8"/>
      <c r="G1180" s="8"/>
    </row>
    <row r="1181" spans="5:7" x14ac:dyDescent="0.15">
      <c r="E1181" s="8"/>
      <c r="F1181" s="8"/>
      <c r="G1181" s="8"/>
    </row>
    <row r="1182" spans="5:7" x14ac:dyDescent="0.15">
      <c r="E1182" s="8"/>
      <c r="F1182" s="8"/>
      <c r="G1182" s="8"/>
    </row>
    <row r="1183" spans="5:7" x14ac:dyDescent="0.15">
      <c r="E1183" s="8"/>
      <c r="F1183" s="8"/>
      <c r="G1183" s="8"/>
    </row>
    <row r="1184" spans="5:7" x14ac:dyDescent="0.15">
      <c r="E1184" s="8"/>
      <c r="F1184" s="8"/>
      <c r="G1184" s="8"/>
    </row>
    <row r="1185" spans="5:7" x14ac:dyDescent="0.15">
      <c r="E1185" s="8"/>
      <c r="F1185" s="8"/>
      <c r="G1185" s="8"/>
    </row>
    <row r="1186" spans="5:7" x14ac:dyDescent="0.15">
      <c r="E1186" s="8"/>
      <c r="F1186" s="8"/>
      <c r="G1186" s="8"/>
    </row>
    <row r="1187" spans="5:7" x14ac:dyDescent="0.15">
      <c r="E1187" s="8"/>
      <c r="F1187" s="8"/>
      <c r="G1187" s="8"/>
    </row>
    <row r="1188" spans="5:7" x14ac:dyDescent="0.15">
      <c r="E1188" s="8"/>
      <c r="F1188" s="8"/>
      <c r="G1188" s="8"/>
    </row>
    <row r="1189" spans="5:7" x14ac:dyDescent="0.15">
      <c r="E1189" s="8"/>
      <c r="F1189" s="8"/>
      <c r="G1189" s="8"/>
    </row>
    <row r="1190" spans="5:7" x14ac:dyDescent="0.15">
      <c r="E1190" s="8"/>
      <c r="F1190" s="8"/>
      <c r="G1190" s="8"/>
    </row>
    <row r="1191" spans="5:7" x14ac:dyDescent="0.15">
      <c r="E1191" s="8"/>
      <c r="F1191" s="8"/>
      <c r="G1191" s="8"/>
    </row>
    <row r="1192" spans="5:7" x14ac:dyDescent="0.15">
      <c r="E1192" s="8"/>
      <c r="F1192" s="8"/>
      <c r="G1192" s="8"/>
    </row>
    <row r="1193" spans="5:7" x14ac:dyDescent="0.15">
      <c r="E1193" s="8"/>
      <c r="F1193" s="8"/>
      <c r="G1193" s="8"/>
    </row>
    <row r="1194" spans="5:7" x14ac:dyDescent="0.15">
      <c r="E1194" s="8"/>
      <c r="F1194" s="8"/>
      <c r="G1194" s="8"/>
    </row>
    <row r="1195" spans="5:7" x14ac:dyDescent="0.15">
      <c r="E1195" s="8"/>
      <c r="F1195" s="8"/>
      <c r="G1195" s="8"/>
    </row>
    <row r="1196" spans="5:7" x14ac:dyDescent="0.15">
      <c r="E1196" s="8"/>
      <c r="F1196" s="8"/>
      <c r="G1196" s="8"/>
    </row>
    <row r="1197" spans="5:7" x14ac:dyDescent="0.15">
      <c r="E1197" s="8"/>
      <c r="F1197" s="8"/>
      <c r="G1197" s="8"/>
    </row>
    <row r="1198" spans="5:7" x14ac:dyDescent="0.15">
      <c r="E1198" s="8"/>
      <c r="F1198" s="8"/>
      <c r="G1198" s="8"/>
    </row>
    <row r="1199" spans="5:7" x14ac:dyDescent="0.15">
      <c r="E1199" s="8"/>
      <c r="F1199" s="8"/>
      <c r="G1199" s="8"/>
    </row>
    <row r="1200" spans="5:7" x14ac:dyDescent="0.15">
      <c r="E1200" s="8"/>
      <c r="F1200" s="8"/>
      <c r="G1200" s="8"/>
    </row>
    <row r="1201" spans="5:7" x14ac:dyDescent="0.15">
      <c r="E1201" s="8"/>
      <c r="F1201" s="8"/>
      <c r="G1201" s="8"/>
    </row>
    <row r="1202" spans="5:7" x14ac:dyDescent="0.15">
      <c r="E1202" s="8"/>
      <c r="F1202" s="8"/>
      <c r="G1202" s="8"/>
    </row>
    <row r="1203" spans="5:7" x14ac:dyDescent="0.15">
      <c r="E1203" s="8"/>
      <c r="F1203" s="8"/>
      <c r="G1203" s="8"/>
    </row>
    <row r="1204" spans="5:7" x14ac:dyDescent="0.15">
      <c r="E1204" s="8"/>
      <c r="F1204" s="8"/>
      <c r="G1204" s="8"/>
    </row>
    <row r="1205" spans="5:7" x14ac:dyDescent="0.15">
      <c r="E1205" s="8"/>
      <c r="F1205" s="8"/>
      <c r="G1205" s="8"/>
    </row>
    <row r="1206" spans="5:7" x14ac:dyDescent="0.15">
      <c r="E1206" s="8"/>
      <c r="F1206" s="8"/>
      <c r="G1206" s="8"/>
    </row>
    <row r="1207" spans="5:7" x14ac:dyDescent="0.15">
      <c r="E1207" s="8"/>
      <c r="F1207" s="8"/>
      <c r="G1207" s="8"/>
    </row>
    <row r="1208" spans="5:7" x14ac:dyDescent="0.15">
      <c r="E1208" s="8"/>
      <c r="F1208" s="8"/>
      <c r="G1208" s="8"/>
    </row>
    <row r="1209" spans="5:7" x14ac:dyDescent="0.15">
      <c r="E1209" s="8"/>
      <c r="F1209" s="8"/>
      <c r="G1209" s="8"/>
    </row>
    <row r="1210" spans="5:7" x14ac:dyDescent="0.15">
      <c r="E1210" s="8"/>
      <c r="F1210" s="8"/>
      <c r="G1210" s="8"/>
    </row>
    <row r="1211" spans="5:7" x14ac:dyDescent="0.15">
      <c r="E1211" s="8"/>
      <c r="F1211" s="8"/>
      <c r="G1211" s="8"/>
    </row>
    <row r="1212" spans="5:7" x14ac:dyDescent="0.15">
      <c r="E1212" s="8"/>
      <c r="F1212" s="8"/>
      <c r="G1212" s="8"/>
    </row>
    <row r="1213" spans="5:7" x14ac:dyDescent="0.15">
      <c r="E1213" s="8"/>
      <c r="F1213" s="8"/>
      <c r="G1213" s="8"/>
    </row>
    <row r="1214" spans="5:7" x14ac:dyDescent="0.15">
      <c r="E1214" s="8"/>
      <c r="F1214" s="8"/>
      <c r="G1214" s="8"/>
    </row>
    <row r="1215" spans="5:7" x14ac:dyDescent="0.15">
      <c r="E1215" s="8"/>
      <c r="F1215" s="8"/>
      <c r="G1215" s="8"/>
    </row>
    <row r="1216" spans="5:7" x14ac:dyDescent="0.15">
      <c r="E1216" s="8"/>
      <c r="F1216" s="8"/>
      <c r="G1216" s="8"/>
    </row>
    <row r="1217" spans="5:7" x14ac:dyDescent="0.15">
      <c r="E1217" s="8"/>
      <c r="F1217" s="8"/>
      <c r="G1217" s="8"/>
    </row>
    <row r="1218" spans="5:7" x14ac:dyDescent="0.15">
      <c r="E1218" s="8"/>
      <c r="F1218" s="8"/>
      <c r="G1218" s="8"/>
    </row>
    <row r="1219" spans="5:7" x14ac:dyDescent="0.15">
      <c r="E1219" s="8"/>
      <c r="F1219" s="8"/>
      <c r="G1219" s="8"/>
    </row>
    <row r="1220" spans="5:7" x14ac:dyDescent="0.15">
      <c r="E1220" s="8"/>
      <c r="F1220" s="8"/>
      <c r="G1220" s="8"/>
    </row>
    <row r="1221" spans="5:7" x14ac:dyDescent="0.15">
      <c r="E1221" s="8"/>
      <c r="F1221" s="8"/>
      <c r="G1221" s="8"/>
    </row>
    <row r="1222" spans="5:7" x14ac:dyDescent="0.15">
      <c r="E1222" s="8"/>
      <c r="F1222" s="8"/>
      <c r="G1222" s="8"/>
    </row>
    <row r="1223" spans="5:7" x14ac:dyDescent="0.15">
      <c r="E1223" s="8"/>
      <c r="F1223" s="8"/>
      <c r="G1223" s="8"/>
    </row>
    <row r="1224" spans="5:7" x14ac:dyDescent="0.15">
      <c r="E1224" s="8"/>
      <c r="F1224" s="8"/>
      <c r="G1224" s="8"/>
    </row>
    <row r="1225" spans="5:7" x14ac:dyDescent="0.15">
      <c r="E1225" s="8"/>
      <c r="F1225" s="8"/>
      <c r="G1225" s="8"/>
    </row>
    <row r="1226" spans="5:7" x14ac:dyDescent="0.15">
      <c r="E1226" s="8"/>
      <c r="F1226" s="8"/>
      <c r="G1226" s="8"/>
    </row>
    <row r="1227" spans="5:7" x14ac:dyDescent="0.15">
      <c r="E1227" s="8"/>
      <c r="F1227" s="8"/>
      <c r="G1227" s="8"/>
    </row>
    <row r="1228" spans="5:7" x14ac:dyDescent="0.15">
      <c r="E1228" s="8"/>
      <c r="F1228" s="8"/>
      <c r="G1228" s="8"/>
    </row>
    <row r="1229" spans="5:7" x14ac:dyDescent="0.15">
      <c r="E1229" s="8"/>
      <c r="F1229" s="8"/>
      <c r="G1229" s="8"/>
    </row>
    <row r="1230" spans="5:7" x14ac:dyDescent="0.15">
      <c r="E1230" s="8"/>
      <c r="F1230" s="8"/>
      <c r="G1230" s="8"/>
    </row>
    <row r="1231" spans="5:7" x14ac:dyDescent="0.15">
      <c r="E1231" s="8"/>
      <c r="F1231" s="8"/>
      <c r="G1231" s="8"/>
    </row>
    <row r="1232" spans="5:7" x14ac:dyDescent="0.15">
      <c r="E1232" s="8"/>
      <c r="F1232" s="8"/>
      <c r="G1232" s="8"/>
    </row>
    <row r="1233" spans="5:7" x14ac:dyDescent="0.15">
      <c r="E1233" s="8"/>
      <c r="F1233" s="8"/>
      <c r="G1233" s="8"/>
    </row>
    <row r="1234" spans="5:7" x14ac:dyDescent="0.15">
      <c r="E1234" s="8"/>
      <c r="F1234" s="8"/>
      <c r="G1234" s="8"/>
    </row>
    <row r="1235" spans="5:7" x14ac:dyDescent="0.15">
      <c r="E1235" s="8"/>
      <c r="F1235" s="8"/>
      <c r="G1235" s="8"/>
    </row>
    <row r="1236" spans="5:7" x14ac:dyDescent="0.15">
      <c r="E1236" s="8"/>
      <c r="F1236" s="8"/>
      <c r="G1236" s="8"/>
    </row>
    <row r="1237" spans="5:7" x14ac:dyDescent="0.15">
      <c r="E1237" s="8"/>
      <c r="F1237" s="8"/>
      <c r="G1237" s="8"/>
    </row>
    <row r="1238" spans="5:7" x14ac:dyDescent="0.15">
      <c r="E1238" s="8"/>
      <c r="F1238" s="8"/>
      <c r="G1238" s="8"/>
    </row>
    <row r="1239" spans="5:7" x14ac:dyDescent="0.15">
      <c r="E1239" s="8"/>
      <c r="F1239" s="8"/>
      <c r="G1239" s="8"/>
    </row>
    <row r="1240" spans="5:7" x14ac:dyDescent="0.15">
      <c r="E1240" s="8"/>
      <c r="F1240" s="8"/>
      <c r="G1240" s="8"/>
    </row>
    <row r="1241" spans="5:7" x14ac:dyDescent="0.15">
      <c r="E1241" s="8"/>
      <c r="F1241" s="8"/>
      <c r="G1241" s="8"/>
    </row>
    <row r="1242" spans="5:7" x14ac:dyDescent="0.15">
      <c r="E1242" s="8"/>
      <c r="F1242" s="8"/>
      <c r="G1242" s="8"/>
    </row>
    <row r="1243" spans="5:7" x14ac:dyDescent="0.15">
      <c r="E1243" s="8"/>
      <c r="F1243" s="8"/>
      <c r="G1243" s="8"/>
    </row>
    <row r="1244" spans="5:7" x14ac:dyDescent="0.15">
      <c r="E1244" s="8"/>
      <c r="F1244" s="8"/>
      <c r="G1244" s="8"/>
    </row>
    <row r="1245" spans="5:7" x14ac:dyDescent="0.15">
      <c r="E1245" s="8"/>
      <c r="F1245" s="8"/>
      <c r="G1245" s="8"/>
    </row>
    <row r="1246" spans="5:7" x14ac:dyDescent="0.15">
      <c r="E1246" s="8"/>
      <c r="F1246" s="8"/>
      <c r="G1246" s="8"/>
    </row>
    <row r="1247" spans="5:7" x14ac:dyDescent="0.15">
      <c r="E1247" s="8"/>
      <c r="F1247" s="8"/>
      <c r="G1247" s="8"/>
    </row>
    <row r="1248" spans="5:7" x14ac:dyDescent="0.15">
      <c r="E1248" s="8"/>
      <c r="F1248" s="8"/>
      <c r="G1248" s="8"/>
    </row>
    <row r="1249" spans="5:7" x14ac:dyDescent="0.15">
      <c r="E1249" s="8"/>
      <c r="F1249" s="8"/>
      <c r="G1249" s="8"/>
    </row>
    <row r="1250" spans="5:7" x14ac:dyDescent="0.15">
      <c r="E1250" s="8"/>
      <c r="F1250" s="8"/>
      <c r="G1250" s="8"/>
    </row>
    <row r="1251" spans="5:7" x14ac:dyDescent="0.15">
      <c r="E1251" s="8"/>
      <c r="F1251" s="8"/>
      <c r="G1251" s="8"/>
    </row>
    <row r="1252" spans="5:7" x14ac:dyDescent="0.15">
      <c r="E1252" s="8"/>
      <c r="F1252" s="8"/>
      <c r="G1252" s="8"/>
    </row>
    <row r="1253" spans="5:7" x14ac:dyDescent="0.15">
      <c r="E1253" s="8"/>
      <c r="F1253" s="8"/>
      <c r="G1253" s="8"/>
    </row>
    <row r="1254" spans="5:7" x14ac:dyDescent="0.15">
      <c r="E1254" s="8"/>
      <c r="F1254" s="8"/>
      <c r="G1254" s="8"/>
    </row>
    <row r="1255" spans="5:7" x14ac:dyDescent="0.15">
      <c r="E1255" s="8"/>
      <c r="F1255" s="8"/>
      <c r="G1255" s="8"/>
    </row>
    <row r="1256" spans="5:7" x14ac:dyDescent="0.15">
      <c r="E1256" s="8"/>
      <c r="F1256" s="8"/>
      <c r="G1256" s="8"/>
    </row>
    <row r="1257" spans="5:7" x14ac:dyDescent="0.15">
      <c r="E1257" s="8"/>
      <c r="F1257" s="8"/>
      <c r="G1257" s="8"/>
    </row>
    <row r="1258" spans="5:7" x14ac:dyDescent="0.15">
      <c r="E1258" s="8"/>
      <c r="F1258" s="8"/>
      <c r="G1258" s="8"/>
    </row>
    <row r="1259" spans="5:7" x14ac:dyDescent="0.15">
      <c r="E1259" s="8"/>
      <c r="F1259" s="8"/>
      <c r="G1259" s="8"/>
    </row>
    <row r="1260" spans="5:7" x14ac:dyDescent="0.15">
      <c r="E1260" s="8"/>
      <c r="F1260" s="8"/>
      <c r="G1260" s="8"/>
    </row>
    <row r="1261" spans="5:7" x14ac:dyDescent="0.15">
      <c r="E1261" s="8"/>
      <c r="F1261" s="8"/>
      <c r="G1261" s="8"/>
    </row>
    <row r="1262" spans="5:7" x14ac:dyDescent="0.15">
      <c r="E1262" s="8"/>
      <c r="F1262" s="8"/>
      <c r="G1262" s="8"/>
    </row>
    <row r="1263" spans="5:7" x14ac:dyDescent="0.15">
      <c r="E1263" s="8"/>
      <c r="F1263" s="8"/>
      <c r="G1263" s="8"/>
    </row>
    <row r="1264" spans="5:7" x14ac:dyDescent="0.15">
      <c r="E1264" s="8"/>
      <c r="F1264" s="8"/>
      <c r="G1264" s="8"/>
    </row>
    <row r="1265" spans="5:7" x14ac:dyDescent="0.15">
      <c r="E1265" s="8"/>
      <c r="F1265" s="8"/>
      <c r="G1265" s="8"/>
    </row>
    <row r="1266" spans="5:7" x14ac:dyDescent="0.15">
      <c r="E1266" s="8"/>
      <c r="F1266" s="8"/>
      <c r="G1266" s="8"/>
    </row>
    <row r="1267" spans="5:7" x14ac:dyDescent="0.15">
      <c r="E1267" s="8"/>
      <c r="F1267" s="8"/>
      <c r="G1267" s="8"/>
    </row>
    <row r="1268" spans="5:7" x14ac:dyDescent="0.15">
      <c r="E1268" s="8"/>
      <c r="F1268" s="8"/>
      <c r="G1268" s="8"/>
    </row>
    <row r="1269" spans="5:7" x14ac:dyDescent="0.15">
      <c r="E1269" s="8"/>
      <c r="F1269" s="8"/>
      <c r="G1269" s="8"/>
    </row>
    <row r="1270" spans="5:7" x14ac:dyDescent="0.15">
      <c r="E1270" s="8"/>
      <c r="F1270" s="8"/>
      <c r="G1270" s="8"/>
    </row>
    <row r="1271" spans="5:7" x14ac:dyDescent="0.15">
      <c r="E1271" s="8"/>
      <c r="F1271" s="8"/>
      <c r="G1271" s="8"/>
    </row>
    <row r="1272" spans="5:7" x14ac:dyDescent="0.15">
      <c r="E1272" s="8"/>
      <c r="F1272" s="8"/>
      <c r="G1272" s="8"/>
    </row>
    <row r="1273" spans="5:7" x14ac:dyDescent="0.15">
      <c r="E1273" s="8"/>
      <c r="F1273" s="8"/>
      <c r="G1273" s="8"/>
    </row>
    <row r="1274" spans="5:7" x14ac:dyDescent="0.15">
      <c r="E1274" s="8"/>
      <c r="F1274" s="8"/>
      <c r="G1274" s="8"/>
    </row>
    <row r="1275" spans="5:7" x14ac:dyDescent="0.15">
      <c r="E1275" s="8"/>
      <c r="F1275" s="8"/>
      <c r="G1275" s="8"/>
    </row>
    <row r="1276" spans="5:7" x14ac:dyDescent="0.15">
      <c r="E1276" s="8"/>
      <c r="F1276" s="8"/>
      <c r="G1276" s="8"/>
    </row>
    <row r="1277" spans="5:7" x14ac:dyDescent="0.15">
      <c r="E1277" s="8"/>
      <c r="F1277" s="8"/>
      <c r="G1277" s="8"/>
    </row>
    <row r="1278" spans="5:7" x14ac:dyDescent="0.15">
      <c r="E1278" s="8"/>
      <c r="F1278" s="8"/>
      <c r="G1278" s="8"/>
    </row>
    <row r="1279" spans="5:7" x14ac:dyDescent="0.15">
      <c r="E1279" s="8"/>
      <c r="F1279" s="8"/>
      <c r="G1279" s="8"/>
    </row>
    <row r="1280" spans="5:7" x14ac:dyDescent="0.15">
      <c r="E1280" s="8"/>
      <c r="F1280" s="8"/>
      <c r="G1280" s="8"/>
    </row>
    <row r="1281" spans="5:7" x14ac:dyDescent="0.15">
      <c r="E1281" s="8"/>
      <c r="F1281" s="8"/>
      <c r="G1281" s="8"/>
    </row>
    <row r="1282" spans="5:7" x14ac:dyDescent="0.15">
      <c r="E1282" s="8"/>
      <c r="F1282" s="8"/>
      <c r="G1282" s="8"/>
    </row>
    <row r="1283" spans="5:7" x14ac:dyDescent="0.15">
      <c r="E1283" s="8"/>
      <c r="F1283" s="8"/>
      <c r="G1283" s="8"/>
    </row>
    <row r="1284" spans="5:7" x14ac:dyDescent="0.15">
      <c r="E1284" s="8"/>
      <c r="F1284" s="8"/>
      <c r="G1284" s="8"/>
    </row>
    <row r="1285" spans="5:7" x14ac:dyDescent="0.15">
      <c r="E1285" s="8"/>
      <c r="F1285" s="8"/>
      <c r="G1285" s="8"/>
    </row>
    <row r="1286" spans="5:7" x14ac:dyDescent="0.15">
      <c r="E1286" s="8"/>
      <c r="F1286" s="8"/>
      <c r="G1286" s="8"/>
    </row>
    <row r="1287" spans="5:7" x14ac:dyDescent="0.15">
      <c r="E1287" s="8"/>
      <c r="F1287" s="8"/>
      <c r="G1287" s="8"/>
    </row>
    <row r="1288" spans="5:7" x14ac:dyDescent="0.15">
      <c r="E1288" s="8"/>
      <c r="F1288" s="8"/>
      <c r="G1288" s="8"/>
    </row>
    <row r="1289" spans="5:7" x14ac:dyDescent="0.15">
      <c r="E1289" s="8"/>
      <c r="F1289" s="8"/>
      <c r="G1289" s="8"/>
    </row>
    <row r="1290" spans="5:7" x14ac:dyDescent="0.15">
      <c r="E1290" s="8"/>
      <c r="F1290" s="8"/>
      <c r="G1290" s="8"/>
    </row>
    <row r="1291" spans="5:7" x14ac:dyDescent="0.15">
      <c r="E1291" s="8"/>
      <c r="F1291" s="8"/>
      <c r="G1291" s="8"/>
    </row>
    <row r="1292" spans="5:7" x14ac:dyDescent="0.15">
      <c r="E1292" s="8"/>
      <c r="F1292" s="8"/>
      <c r="G1292" s="8"/>
    </row>
    <row r="1293" spans="5:7" x14ac:dyDescent="0.15">
      <c r="E1293" s="8"/>
      <c r="F1293" s="8"/>
      <c r="G1293" s="8"/>
    </row>
    <row r="1294" spans="5:7" x14ac:dyDescent="0.15">
      <c r="E1294" s="8"/>
      <c r="F1294" s="8"/>
      <c r="G1294" s="8"/>
    </row>
    <row r="1295" spans="5:7" x14ac:dyDescent="0.15">
      <c r="E1295" s="8"/>
      <c r="F1295" s="8"/>
      <c r="G1295" s="8"/>
    </row>
    <row r="1296" spans="5:7" x14ac:dyDescent="0.15">
      <c r="E1296" s="8"/>
      <c r="F1296" s="8"/>
      <c r="G1296" s="8"/>
    </row>
    <row r="1297" spans="5:7" x14ac:dyDescent="0.15">
      <c r="E1297" s="8"/>
      <c r="F1297" s="8"/>
      <c r="G1297" s="8"/>
    </row>
    <row r="1298" spans="5:7" x14ac:dyDescent="0.15">
      <c r="E1298" s="8"/>
      <c r="F1298" s="8"/>
      <c r="G1298" s="8"/>
    </row>
    <row r="1299" spans="5:7" x14ac:dyDescent="0.15">
      <c r="E1299" s="8"/>
      <c r="F1299" s="8"/>
      <c r="G1299" s="8"/>
    </row>
    <row r="1300" spans="5:7" x14ac:dyDescent="0.15">
      <c r="E1300" s="8"/>
      <c r="F1300" s="8"/>
      <c r="G1300" s="8"/>
    </row>
    <row r="1301" spans="5:7" x14ac:dyDescent="0.15">
      <c r="E1301" s="8"/>
      <c r="F1301" s="8"/>
      <c r="G1301" s="8"/>
    </row>
    <row r="1302" spans="5:7" x14ac:dyDescent="0.15">
      <c r="E1302" s="8"/>
      <c r="F1302" s="8"/>
      <c r="G1302" s="8"/>
    </row>
    <row r="1303" spans="5:7" x14ac:dyDescent="0.15">
      <c r="E1303" s="8"/>
      <c r="F1303" s="8"/>
      <c r="G1303" s="8"/>
    </row>
    <row r="1304" spans="5:7" x14ac:dyDescent="0.15">
      <c r="E1304" s="8"/>
      <c r="F1304" s="8"/>
      <c r="G1304" s="8"/>
    </row>
    <row r="1305" spans="5:7" x14ac:dyDescent="0.15">
      <c r="E1305" s="8"/>
      <c r="F1305" s="8"/>
      <c r="G1305" s="8"/>
    </row>
    <row r="1306" spans="5:7" x14ac:dyDescent="0.15">
      <c r="E1306" s="8"/>
      <c r="F1306" s="8"/>
      <c r="G1306" s="8"/>
    </row>
    <row r="1307" spans="5:7" x14ac:dyDescent="0.15">
      <c r="E1307" s="8"/>
      <c r="F1307" s="8"/>
      <c r="G1307" s="8"/>
    </row>
    <row r="1308" spans="5:7" x14ac:dyDescent="0.15">
      <c r="E1308" s="8"/>
      <c r="F1308" s="8"/>
      <c r="G1308" s="8"/>
    </row>
    <row r="1309" spans="5:7" x14ac:dyDescent="0.15">
      <c r="E1309" s="8"/>
      <c r="F1309" s="8"/>
      <c r="G1309" s="8"/>
    </row>
    <row r="1310" spans="5:7" x14ac:dyDescent="0.15">
      <c r="E1310" s="8"/>
      <c r="F1310" s="8"/>
      <c r="G1310" s="8"/>
    </row>
    <row r="1311" spans="5:7" x14ac:dyDescent="0.15">
      <c r="E1311" s="8"/>
      <c r="F1311" s="8"/>
      <c r="G1311" s="8"/>
    </row>
    <row r="1312" spans="5:7" x14ac:dyDescent="0.15">
      <c r="E1312" s="8"/>
      <c r="F1312" s="8"/>
      <c r="G1312" s="8"/>
    </row>
    <row r="1313" spans="5:7" x14ac:dyDescent="0.15">
      <c r="E1313" s="8"/>
      <c r="F1313" s="8"/>
      <c r="G1313" s="8"/>
    </row>
    <row r="1314" spans="5:7" x14ac:dyDescent="0.15">
      <c r="E1314" s="8"/>
      <c r="F1314" s="8"/>
      <c r="G1314" s="8"/>
    </row>
    <row r="1315" spans="5:7" x14ac:dyDescent="0.15">
      <c r="E1315" s="8"/>
      <c r="F1315" s="8"/>
      <c r="G1315" s="8"/>
    </row>
    <row r="1316" spans="5:7" x14ac:dyDescent="0.15">
      <c r="E1316" s="8"/>
      <c r="F1316" s="8"/>
      <c r="G1316" s="8"/>
    </row>
    <row r="1317" spans="5:7" x14ac:dyDescent="0.15">
      <c r="E1317" s="8"/>
      <c r="F1317" s="8"/>
      <c r="G1317" s="8"/>
    </row>
    <row r="1318" spans="5:7" x14ac:dyDescent="0.15">
      <c r="E1318" s="8"/>
      <c r="F1318" s="8"/>
      <c r="G1318" s="8"/>
    </row>
    <row r="1319" spans="5:7" x14ac:dyDescent="0.15">
      <c r="E1319" s="8"/>
      <c r="F1319" s="8"/>
      <c r="G1319" s="8"/>
    </row>
    <row r="1320" spans="5:7" x14ac:dyDescent="0.15">
      <c r="E1320" s="8"/>
      <c r="F1320" s="8"/>
      <c r="G1320" s="8"/>
    </row>
    <row r="1321" spans="5:7" x14ac:dyDescent="0.15">
      <c r="E1321" s="8"/>
      <c r="F1321" s="8"/>
      <c r="G1321" s="8"/>
    </row>
    <row r="1322" spans="5:7" x14ac:dyDescent="0.15">
      <c r="E1322" s="8"/>
      <c r="F1322" s="8"/>
      <c r="G1322" s="8"/>
    </row>
    <row r="1323" spans="5:7" x14ac:dyDescent="0.15">
      <c r="E1323" s="8"/>
      <c r="F1323" s="8"/>
      <c r="G1323" s="8"/>
    </row>
    <row r="1324" spans="5:7" x14ac:dyDescent="0.15">
      <c r="E1324" s="8"/>
      <c r="F1324" s="8"/>
      <c r="G1324" s="8"/>
    </row>
    <row r="1325" spans="5:7" x14ac:dyDescent="0.15">
      <c r="E1325" s="8"/>
      <c r="F1325" s="8"/>
      <c r="G1325" s="8"/>
    </row>
    <row r="1326" spans="5:7" x14ac:dyDescent="0.15">
      <c r="E1326" s="8"/>
      <c r="F1326" s="8"/>
      <c r="G1326" s="8"/>
    </row>
    <row r="1327" spans="5:7" x14ac:dyDescent="0.15">
      <c r="E1327" s="8"/>
      <c r="F1327" s="8"/>
      <c r="G1327" s="8"/>
    </row>
    <row r="1328" spans="5:7" x14ac:dyDescent="0.15">
      <c r="E1328" s="8"/>
      <c r="F1328" s="8"/>
      <c r="G1328" s="8"/>
    </row>
    <row r="1329" spans="5:7" x14ac:dyDescent="0.15">
      <c r="E1329" s="8"/>
      <c r="F1329" s="8"/>
      <c r="G1329" s="8"/>
    </row>
    <row r="1330" spans="5:7" x14ac:dyDescent="0.15">
      <c r="E1330" s="8"/>
      <c r="F1330" s="8"/>
      <c r="G1330" s="8"/>
    </row>
    <row r="1331" spans="5:7" x14ac:dyDescent="0.15">
      <c r="E1331" s="8"/>
      <c r="F1331" s="8"/>
      <c r="G1331" s="8"/>
    </row>
    <row r="1332" spans="5:7" x14ac:dyDescent="0.15">
      <c r="E1332" s="8"/>
      <c r="F1332" s="8"/>
      <c r="G1332" s="8"/>
    </row>
    <row r="1333" spans="5:7" x14ac:dyDescent="0.15">
      <c r="E1333" s="8"/>
      <c r="F1333" s="8"/>
      <c r="G1333" s="8"/>
    </row>
    <row r="1334" spans="5:7" x14ac:dyDescent="0.15">
      <c r="E1334" s="8"/>
      <c r="F1334" s="8"/>
      <c r="G1334" s="8"/>
    </row>
    <row r="1335" spans="5:7" x14ac:dyDescent="0.15">
      <c r="E1335" s="8"/>
      <c r="F1335" s="8"/>
      <c r="G1335" s="8"/>
    </row>
    <row r="1336" spans="5:7" x14ac:dyDescent="0.15">
      <c r="E1336" s="8"/>
      <c r="F1336" s="8"/>
      <c r="G1336" s="8"/>
    </row>
    <row r="1337" spans="5:7" x14ac:dyDescent="0.15">
      <c r="E1337" s="8"/>
      <c r="F1337" s="8"/>
      <c r="G1337" s="8"/>
    </row>
    <row r="1338" spans="5:7" x14ac:dyDescent="0.15">
      <c r="E1338" s="8"/>
      <c r="F1338" s="8"/>
      <c r="G1338" s="8"/>
    </row>
    <row r="1339" spans="5:7" x14ac:dyDescent="0.15">
      <c r="E1339" s="8"/>
      <c r="F1339" s="8"/>
      <c r="G1339" s="8"/>
    </row>
    <row r="1340" spans="5:7" x14ac:dyDescent="0.15">
      <c r="E1340" s="8"/>
      <c r="F1340" s="8"/>
      <c r="G1340" s="8"/>
    </row>
    <row r="1341" spans="5:7" x14ac:dyDescent="0.15">
      <c r="E1341" s="8"/>
      <c r="F1341" s="8"/>
      <c r="G1341" s="8"/>
    </row>
    <row r="1342" spans="5:7" x14ac:dyDescent="0.15">
      <c r="E1342" s="8"/>
      <c r="F1342" s="8"/>
      <c r="G1342" s="8"/>
    </row>
    <row r="1343" spans="5:7" x14ac:dyDescent="0.15">
      <c r="E1343" s="8"/>
      <c r="F1343" s="8"/>
      <c r="G1343" s="8"/>
    </row>
    <row r="1344" spans="5:7" x14ac:dyDescent="0.15">
      <c r="E1344" s="8"/>
      <c r="F1344" s="8"/>
      <c r="G1344" s="8"/>
    </row>
    <row r="1345" spans="5:7" x14ac:dyDescent="0.15">
      <c r="E1345" s="8"/>
      <c r="F1345" s="8"/>
      <c r="G1345" s="8"/>
    </row>
    <row r="1346" spans="5:7" x14ac:dyDescent="0.15">
      <c r="E1346" s="8"/>
      <c r="F1346" s="8"/>
      <c r="G1346" s="8"/>
    </row>
    <row r="1347" spans="5:7" x14ac:dyDescent="0.15">
      <c r="E1347" s="8"/>
      <c r="F1347" s="8"/>
      <c r="G1347" s="8"/>
    </row>
    <row r="1348" spans="5:7" x14ac:dyDescent="0.15">
      <c r="E1348" s="8"/>
      <c r="F1348" s="8"/>
      <c r="G1348" s="8"/>
    </row>
    <row r="1349" spans="5:7" x14ac:dyDescent="0.15">
      <c r="E1349" s="8"/>
      <c r="F1349" s="8"/>
      <c r="G1349" s="8"/>
    </row>
    <row r="1350" spans="5:7" x14ac:dyDescent="0.15">
      <c r="E1350" s="8"/>
      <c r="F1350" s="8"/>
      <c r="G1350" s="8"/>
    </row>
    <row r="1351" spans="5:7" x14ac:dyDescent="0.15">
      <c r="E1351" s="8"/>
      <c r="F1351" s="8"/>
      <c r="G1351" s="8"/>
    </row>
    <row r="1352" spans="5:7" x14ac:dyDescent="0.15">
      <c r="E1352" s="8"/>
      <c r="F1352" s="8"/>
      <c r="G1352" s="8"/>
    </row>
    <row r="1353" spans="5:7" x14ac:dyDescent="0.15">
      <c r="E1353" s="8"/>
      <c r="F1353" s="8"/>
      <c r="G1353" s="8"/>
    </row>
    <row r="1354" spans="5:7" x14ac:dyDescent="0.15">
      <c r="E1354" s="8"/>
      <c r="F1354" s="8"/>
      <c r="G1354" s="8"/>
    </row>
    <row r="1355" spans="5:7" x14ac:dyDescent="0.15">
      <c r="E1355" s="8"/>
      <c r="F1355" s="8"/>
      <c r="G1355" s="8"/>
    </row>
    <row r="1356" spans="5:7" x14ac:dyDescent="0.15">
      <c r="E1356" s="8"/>
      <c r="F1356" s="8"/>
      <c r="G1356" s="8"/>
    </row>
    <row r="1357" spans="5:7" x14ac:dyDescent="0.15">
      <c r="E1357" s="8"/>
      <c r="F1357" s="8"/>
      <c r="G1357" s="8"/>
    </row>
    <row r="1358" spans="5:7" x14ac:dyDescent="0.15">
      <c r="E1358" s="8"/>
      <c r="F1358" s="8"/>
      <c r="G1358" s="8"/>
    </row>
    <row r="1359" spans="5:7" x14ac:dyDescent="0.15">
      <c r="E1359" s="8"/>
      <c r="F1359" s="8"/>
      <c r="G1359" s="8"/>
    </row>
    <row r="1360" spans="5:7" x14ac:dyDescent="0.15">
      <c r="E1360" s="8"/>
      <c r="F1360" s="8"/>
      <c r="G1360" s="8"/>
    </row>
    <row r="1361" spans="5:7" x14ac:dyDescent="0.15">
      <c r="E1361" s="8"/>
      <c r="F1361" s="8"/>
      <c r="G1361" s="8"/>
    </row>
    <row r="1362" spans="5:7" x14ac:dyDescent="0.15">
      <c r="E1362" s="8"/>
      <c r="F1362" s="8"/>
      <c r="G1362" s="8"/>
    </row>
    <row r="1363" spans="5:7" x14ac:dyDescent="0.15">
      <c r="E1363" s="8"/>
      <c r="F1363" s="8"/>
      <c r="G1363" s="8"/>
    </row>
    <row r="1364" spans="5:7" x14ac:dyDescent="0.15">
      <c r="E1364" s="8"/>
      <c r="F1364" s="8"/>
      <c r="G1364" s="8"/>
    </row>
    <row r="1365" spans="5:7" x14ac:dyDescent="0.15">
      <c r="E1365" s="8"/>
      <c r="F1365" s="8"/>
      <c r="G1365" s="8"/>
    </row>
    <row r="1366" spans="5:7" x14ac:dyDescent="0.15">
      <c r="E1366" s="8"/>
      <c r="F1366" s="8"/>
      <c r="G1366" s="8"/>
    </row>
    <row r="1367" spans="5:7" x14ac:dyDescent="0.15">
      <c r="E1367" s="8"/>
      <c r="F1367" s="8"/>
      <c r="G1367" s="8"/>
    </row>
    <row r="1368" spans="5:7" x14ac:dyDescent="0.15">
      <c r="E1368" s="8"/>
      <c r="F1368" s="8"/>
      <c r="G1368" s="8"/>
    </row>
    <row r="1369" spans="5:7" x14ac:dyDescent="0.15">
      <c r="E1369" s="8"/>
      <c r="F1369" s="8"/>
      <c r="G1369" s="8"/>
    </row>
    <row r="1370" spans="5:7" x14ac:dyDescent="0.15">
      <c r="E1370" s="8"/>
      <c r="F1370" s="8"/>
      <c r="G1370" s="8"/>
    </row>
    <row r="1371" spans="5:7" x14ac:dyDescent="0.15">
      <c r="E1371" s="8"/>
      <c r="F1371" s="8"/>
      <c r="G1371" s="8"/>
    </row>
    <row r="1372" spans="5:7" x14ac:dyDescent="0.15">
      <c r="E1372" s="8"/>
      <c r="F1372" s="8"/>
      <c r="G1372" s="8"/>
    </row>
    <row r="1373" spans="5:7" x14ac:dyDescent="0.15">
      <c r="E1373" s="8"/>
      <c r="F1373" s="8"/>
      <c r="G1373" s="8"/>
    </row>
    <row r="1374" spans="5:7" x14ac:dyDescent="0.15">
      <c r="E1374" s="8"/>
      <c r="F1374" s="8"/>
      <c r="G1374" s="8"/>
    </row>
    <row r="1375" spans="5:7" x14ac:dyDescent="0.15">
      <c r="E1375" s="8"/>
      <c r="F1375" s="8"/>
      <c r="G1375" s="8"/>
    </row>
    <row r="1376" spans="5:7" x14ac:dyDescent="0.15">
      <c r="E1376" s="8"/>
      <c r="F1376" s="8"/>
      <c r="G1376" s="8"/>
    </row>
    <row r="1377" spans="5:7" x14ac:dyDescent="0.15">
      <c r="E1377" s="8"/>
      <c r="F1377" s="8"/>
      <c r="G1377" s="8"/>
    </row>
    <row r="1378" spans="5:7" x14ac:dyDescent="0.15">
      <c r="E1378" s="8"/>
      <c r="F1378" s="8"/>
      <c r="G1378" s="8"/>
    </row>
    <row r="1379" spans="5:7" x14ac:dyDescent="0.15">
      <c r="E1379" s="8"/>
      <c r="F1379" s="8"/>
      <c r="G1379" s="8"/>
    </row>
    <row r="1380" spans="5:7" x14ac:dyDescent="0.15">
      <c r="E1380" s="8"/>
      <c r="F1380" s="8"/>
      <c r="G1380" s="8"/>
    </row>
    <row r="1381" spans="5:7" x14ac:dyDescent="0.15">
      <c r="E1381" s="8"/>
      <c r="F1381" s="8"/>
      <c r="G1381" s="8"/>
    </row>
    <row r="1382" spans="5:7" x14ac:dyDescent="0.15">
      <c r="E1382" s="8"/>
      <c r="F1382" s="8"/>
      <c r="G1382" s="8"/>
    </row>
    <row r="1383" spans="5:7" x14ac:dyDescent="0.15">
      <c r="E1383" s="8"/>
      <c r="F1383" s="8"/>
      <c r="G1383" s="8"/>
    </row>
    <row r="1384" spans="5:7" x14ac:dyDescent="0.15">
      <c r="E1384" s="8"/>
      <c r="F1384" s="8"/>
      <c r="G1384" s="8"/>
    </row>
    <row r="1385" spans="5:7" x14ac:dyDescent="0.15">
      <c r="E1385" s="8"/>
      <c r="F1385" s="8"/>
      <c r="G1385" s="8"/>
    </row>
    <row r="1386" spans="5:7" x14ac:dyDescent="0.15">
      <c r="E1386" s="8"/>
      <c r="F1386" s="8"/>
      <c r="G1386" s="8"/>
    </row>
    <row r="1387" spans="5:7" x14ac:dyDescent="0.15">
      <c r="E1387" s="8"/>
      <c r="F1387" s="8"/>
      <c r="G1387" s="8"/>
    </row>
    <row r="1388" spans="5:7" x14ac:dyDescent="0.15">
      <c r="E1388" s="8"/>
      <c r="F1388" s="8"/>
      <c r="G1388" s="8"/>
    </row>
    <row r="1389" spans="5:7" x14ac:dyDescent="0.15">
      <c r="E1389" s="8"/>
      <c r="F1389" s="8"/>
      <c r="G1389" s="8"/>
    </row>
    <row r="1390" spans="5:7" x14ac:dyDescent="0.15">
      <c r="E1390" s="8"/>
      <c r="F1390" s="8"/>
      <c r="G1390" s="8"/>
    </row>
    <row r="1391" spans="5:7" x14ac:dyDescent="0.15">
      <c r="E1391" s="8"/>
      <c r="F1391" s="8"/>
      <c r="G1391" s="8"/>
    </row>
    <row r="1392" spans="5:7" x14ac:dyDescent="0.15">
      <c r="E1392" s="8"/>
      <c r="F1392" s="8"/>
      <c r="G1392" s="8"/>
    </row>
    <row r="1393" spans="5:7" x14ac:dyDescent="0.15">
      <c r="E1393" s="8"/>
      <c r="F1393" s="8"/>
      <c r="G1393" s="8"/>
    </row>
    <row r="1394" spans="5:7" x14ac:dyDescent="0.15">
      <c r="E1394" s="8"/>
      <c r="F1394" s="8"/>
      <c r="G1394" s="8"/>
    </row>
    <row r="1395" spans="5:7" x14ac:dyDescent="0.15">
      <c r="E1395" s="8"/>
      <c r="F1395" s="8"/>
      <c r="G1395" s="8"/>
    </row>
    <row r="1396" spans="5:7" x14ac:dyDescent="0.15">
      <c r="E1396" s="8"/>
      <c r="F1396" s="8"/>
      <c r="G1396" s="8"/>
    </row>
    <row r="1397" spans="5:7" x14ac:dyDescent="0.15">
      <c r="E1397" s="8"/>
      <c r="F1397" s="8"/>
      <c r="G1397" s="8"/>
    </row>
    <row r="1398" spans="5:7" x14ac:dyDescent="0.15">
      <c r="E1398" s="8"/>
      <c r="F1398" s="8"/>
      <c r="G1398" s="8"/>
    </row>
    <row r="1399" spans="5:7" x14ac:dyDescent="0.15">
      <c r="E1399" s="8"/>
      <c r="F1399" s="8"/>
      <c r="G1399" s="8"/>
    </row>
    <row r="1400" spans="5:7" x14ac:dyDescent="0.15">
      <c r="E1400" s="8"/>
      <c r="F1400" s="8"/>
      <c r="G1400" s="8"/>
    </row>
    <row r="1401" spans="5:7" x14ac:dyDescent="0.15">
      <c r="E1401" s="8"/>
      <c r="F1401" s="8"/>
      <c r="G1401" s="8"/>
    </row>
    <row r="1402" spans="5:7" x14ac:dyDescent="0.15">
      <c r="E1402" s="8"/>
      <c r="F1402" s="8"/>
      <c r="G1402" s="8"/>
    </row>
    <row r="1403" spans="5:7" x14ac:dyDescent="0.15">
      <c r="E1403" s="8"/>
      <c r="F1403" s="8"/>
      <c r="G1403" s="8"/>
    </row>
    <row r="1404" spans="5:7" x14ac:dyDescent="0.15">
      <c r="E1404" s="8"/>
      <c r="F1404" s="8"/>
      <c r="G1404" s="8"/>
    </row>
    <row r="1405" spans="5:7" x14ac:dyDescent="0.15">
      <c r="E1405" s="8"/>
      <c r="F1405" s="8"/>
      <c r="G1405" s="8"/>
    </row>
    <row r="1406" spans="5:7" x14ac:dyDescent="0.15">
      <c r="E1406" s="8"/>
      <c r="F1406" s="8"/>
      <c r="G1406" s="8"/>
    </row>
    <row r="1407" spans="5:7" x14ac:dyDescent="0.15">
      <c r="E1407" s="8"/>
      <c r="F1407" s="8"/>
      <c r="G1407" s="8"/>
    </row>
    <row r="1408" spans="5:7" x14ac:dyDescent="0.15">
      <c r="E1408" s="8"/>
      <c r="F1408" s="8"/>
      <c r="G1408" s="8"/>
    </row>
    <row r="1409" spans="5:7" x14ac:dyDescent="0.15">
      <c r="E1409" s="8"/>
      <c r="F1409" s="8"/>
      <c r="G1409" s="8"/>
    </row>
    <row r="1410" spans="5:7" x14ac:dyDescent="0.15">
      <c r="E1410" s="8"/>
      <c r="F1410" s="8"/>
      <c r="G1410" s="8"/>
    </row>
    <row r="1411" spans="5:7" x14ac:dyDescent="0.15">
      <c r="E1411" s="8"/>
      <c r="F1411" s="8"/>
      <c r="G1411" s="8"/>
    </row>
    <row r="1412" spans="5:7" x14ac:dyDescent="0.15">
      <c r="E1412" s="8"/>
      <c r="F1412" s="8"/>
      <c r="G1412" s="8"/>
    </row>
    <row r="1413" spans="5:7" x14ac:dyDescent="0.15">
      <c r="E1413" s="8"/>
      <c r="F1413" s="8"/>
      <c r="G1413" s="8"/>
    </row>
    <row r="1414" spans="5:7" x14ac:dyDescent="0.15">
      <c r="E1414" s="8"/>
      <c r="F1414" s="8"/>
      <c r="G1414" s="8"/>
    </row>
    <row r="1415" spans="5:7" x14ac:dyDescent="0.15">
      <c r="E1415" s="8"/>
      <c r="F1415" s="8"/>
      <c r="G1415" s="8"/>
    </row>
    <row r="1416" spans="5:7" x14ac:dyDescent="0.15">
      <c r="E1416" s="8"/>
      <c r="F1416" s="8"/>
      <c r="G1416" s="8"/>
    </row>
    <row r="1417" spans="5:7" x14ac:dyDescent="0.15">
      <c r="E1417" s="8"/>
      <c r="F1417" s="8"/>
      <c r="G1417" s="8"/>
    </row>
    <row r="1418" spans="5:7" x14ac:dyDescent="0.15">
      <c r="E1418" s="8"/>
      <c r="F1418" s="8"/>
      <c r="G1418" s="8"/>
    </row>
    <row r="1419" spans="5:7" x14ac:dyDescent="0.15">
      <c r="E1419" s="8"/>
      <c r="F1419" s="8"/>
      <c r="G1419" s="8"/>
    </row>
    <row r="1420" spans="5:7" x14ac:dyDescent="0.15">
      <c r="E1420" s="8"/>
      <c r="F1420" s="8"/>
      <c r="G1420" s="8"/>
    </row>
    <row r="1421" spans="5:7" x14ac:dyDescent="0.15">
      <c r="E1421" s="8"/>
      <c r="F1421" s="8"/>
      <c r="G1421" s="8"/>
    </row>
    <row r="1422" spans="5:7" x14ac:dyDescent="0.15">
      <c r="E1422" s="8"/>
      <c r="F1422" s="8"/>
      <c r="G1422" s="8"/>
    </row>
    <row r="1423" spans="5:7" x14ac:dyDescent="0.15">
      <c r="E1423" s="8"/>
      <c r="F1423" s="8"/>
      <c r="G1423" s="8"/>
    </row>
    <row r="1424" spans="5:7" x14ac:dyDescent="0.15">
      <c r="E1424" s="8"/>
      <c r="F1424" s="8"/>
      <c r="G1424" s="8"/>
    </row>
    <row r="1425" spans="5:7" x14ac:dyDescent="0.15">
      <c r="E1425" s="8"/>
      <c r="F1425" s="8"/>
      <c r="G1425" s="8"/>
    </row>
    <row r="1426" spans="5:7" x14ac:dyDescent="0.15">
      <c r="E1426" s="8"/>
      <c r="F1426" s="8"/>
      <c r="G1426" s="8"/>
    </row>
    <row r="1427" spans="5:7" x14ac:dyDescent="0.15">
      <c r="E1427" s="8"/>
      <c r="F1427" s="8"/>
      <c r="G1427" s="8"/>
    </row>
    <row r="1428" spans="5:7" x14ac:dyDescent="0.15">
      <c r="E1428" s="8"/>
      <c r="F1428" s="8"/>
      <c r="G1428" s="8"/>
    </row>
    <row r="1429" spans="5:7" x14ac:dyDescent="0.15">
      <c r="E1429" s="8"/>
      <c r="F1429" s="8"/>
      <c r="G1429" s="8"/>
    </row>
    <row r="1430" spans="5:7" x14ac:dyDescent="0.15">
      <c r="E1430" s="8"/>
      <c r="F1430" s="8"/>
      <c r="G1430" s="8"/>
    </row>
    <row r="1431" spans="5:7" x14ac:dyDescent="0.15">
      <c r="E1431" s="8"/>
      <c r="F1431" s="8"/>
      <c r="G1431" s="8"/>
    </row>
    <row r="1432" spans="5:7" x14ac:dyDescent="0.15">
      <c r="E1432" s="8"/>
      <c r="F1432" s="8"/>
      <c r="G1432" s="8"/>
    </row>
    <row r="1433" spans="5:7" x14ac:dyDescent="0.15">
      <c r="E1433" s="8"/>
      <c r="F1433" s="8"/>
      <c r="G1433" s="8"/>
    </row>
    <row r="1434" spans="5:7" x14ac:dyDescent="0.15">
      <c r="E1434" s="8"/>
      <c r="F1434" s="8"/>
      <c r="G1434" s="8"/>
    </row>
    <row r="1435" spans="5:7" x14ac:dyDescent="0.15">
      <c r="E1435" s="8"/>
      <c r="F1435" s="8"/>
      <c r="G1435" s="8"/>
    </row>
    <row r="1436" spans="5:7" x14ac:dyDescent="0.15">
      <c r="E1436" s="8"/>
      <c r="F1436" s="8"/>
      <c r="G1436" s="8"/>
    </row>
    <row r="1437" spans="5:7" x14ac:dyDescent="0.15">
      <c r="E1437" s="8"/>
      <c r="F1437" s="8"/>
      <c r="G1437" s="8"/>
    </row>
    <row r="1438" spans="5:7" x14ac:dyDescent="0.15">
      <c r="E1438" s="8"/>
      <c r="F1438" s="8"/>
      <c r="G1438" s="8"/>
    </row>
    <row r="1439" spans="5:7" x14ac:dyDescent="0.15">
      <c r="E1439" s="8"/>
      <c r="F1439" s="8"/>
      <c r="G1439" s="8"/>
    </row>
    <row r="1440" spans="5:7" x14ac:dyDescent="0.15">
      <c r="E1440" s="8"/>
      <c r="F1440" s="8"/>
      <c r="G1440" s="8"/>
    </row>
    <row r="1441" spans="5:7" x14ac:dyDescent="0.15">
      <c r="E1441" s="8"/>
      <c r="F1441" s="8"/>
      <c r="G1441" s="8"/>
    </row>
    <row r="1442" spans="5:7" x14ac:dyDescent="0.15">
      <c r="E1442" s="8"/>
      <c r="F1442" s="8"/>
      <c r="G1442" s="8"/>
    </row>
    <row r="1443" spans="5:7" x14ac:dyDescent="0.15">
      <c r="E1443" s="8"/>
      <c r="F1443" s="8"/>
      <c r="G1443" s="8"/>
    </row>
    <row r="1444" spans="5:7" x14ac:dyDescent="0.15">
      <c r="E1444" s="8"/>
      <c r="F1444" s="8"/>
      <c r="G1444" s="8"/>
    </row>
    <row r="1445" spans="5:7" x14ac:dyDescent="0.15">
      <c r="E1445" s="8"/>
      <c r="F1445" s="8"/>
      <c r="G1445" s="8"/>
    </row>
    <row r="1446" spans="5:7" x14ac:dyDescent="0.15">
      <c r="E1446" s="8"/>
      <c r="F1446" s="8"/>
      <c r="G1446" s="8"/>
    </row>
    <row r="1447" spans="5:7" x14ac:dyDescent="0.15">
      <c r="E1447" s="8"/>
      <c r="F1447" s="8"/>
      <c r="G1447" s="8"/>
    </row>
    <row r="1448" spans="5:7" x14ac:dyDescent="0.15">
      <c r="E1448" s="8"/>
      <c r="F1448" s="8"/>
      <c r="G1448" s="8"/>
    </row>
    <row r="1449" spans="5:7" x14ac:dyDescent="0.15">
      <c r="E1449" s="8"/>
      <c r="F1449" s="8"/>
      <c r="G1449" s="8"/>
    </row>
    <row r="1450" spans="5:7" x14ac:dyDescent="0.15">
      <c r="E1450" s="8"/>
      <c r="F1450" s="8"/>
      <c r="G1450" s="8"/>
    </row>
    <row r="1451" spans="5:7" x14ac:dyDescent="0.15">
      <c r="E1451" s="8"/>
      <c r="F1451" s="8"/>
      <c r="G1451" s="8"/>
    </row>
    <row r="1452" spans="5:7" x14ac:dyDescent="0.15">
      <c r="E1452" s="8"/>
      <c r="F1452" s="8"/>
      <c r="G1452" s="8"/>
    </row>
    <row r="1453" spans="5:7" x14ac:dyDescent="0.15">
      <c r="E1453" s="8"/>
      <c r="F1453" s="8"/>
      <c r="G1453" s="8"/>
    </row>
    <row r="1454" spans="5:7" x14ac:dyDescent="0.15">
      <c r="E1454" s="8"/>
      <c r="F1454" s="8"/>
      <c r="G1454" s="8"/>
    </row>
    <row r="1455" spans="5:7" x14ac:dyDescent="0.15">
      <c r="E1455" s="8"/>
      <c r="F1455" s="8"/>
      <c r="G1455" s="8"/>
    </row>
    <row r="1456" spans="5:7" x14ac:dyDescent="0.15">
      <c r="E1456" s="8"/>
      <c r="F1456" s="8"/>
      <c r="G1456" s="8"/>
    </row>
    <row r="1457" spans="5:7" x14ac:dyDescent="0.15">
      <c r="E1457" s="8"/>
      <c r="F1457" s="8"/>
      <c r="G1457" s="8"/>
    </row>
    <row r="1458" spans="5:7" x14ac:dyDescent="0.15">
      <c r="E1458" s="8"/>
      <c r="F1458" s="8"/>
      <c r="G1458" s="8"/>
    </row>
    <row r="1459" spans="5:7" x14ac:dyDescent="0.15">
      <c r="E1459" s="8"/>
      <c r="F1459" s="8"/>
      <c r="G1459" s="8"/>
    </row>
    <row r="1460" spans="5:7" x14ac:dyDescent="0.15">
      <c r="E1460" s="8"/>
      <c r="F1460" s="8"/>
      <c r="G1460" s="8"/>
    </row>
    <row r="1461" spans="5:7" x14ac:dyDescent="0.15">
      <c r="E1461" s="8"/>
      <c r="F1461" s="8"/>
      <c r="G1461" s="8"/>
    </row>
    <row r="1462" spans="5:7" x14ac:dyDescent="0.15">
      <c r="E1462" s="8"/>
      <c r="F1462" s="8"/>
      <c r="G1462" s="8"/>
    </row>
    <row r="1463" spans="5:7" x14ac:dyDescent="0.15">
      <c r="E1463" s="8"/>
      <c r="F1463" s="8"/>
      <c r="G1463" s="8"/>
    </row>
    <row r="1464" spans="5:7" x14ac:dyDescent="0.15">
      <c r="E1464" s="8"/>
      <c r="F1464" s="8"/>
      <c r="G1464" s="8"/>
    </row>
    <row r="1465" spans="5:7" x14ac:dyDescent="0.15">
      <c r="E1465" s="8"/>
      <c r="F1465" s="8"/>
      <c r="G1465" s="8"/>
    </row>
    <row r="1466" spans="5:7" x14ac:dyDescent="0.15">
      <c r="E1466" s="8"/>
      <c r="F1466" s="8"/>
      <c r="G1466" s="8"/>
    </row>
    <row r="1467" spans="5:7" x14ac:dyDescent="0.15">
      <c r="E1467" s="8"/>
      <c r="F1467" s="8"/>
      <c r="G1467" s="8"/>
    </row>
    <row r="1468" spans="5:7" x14ac:dyDescent="0.15">
      <c r="E1468" s="8"/>
      <c r="F1468" s="8"/>
      <c r="G1468" s="8"/>
    </row>
    <row r="1469" spans="5:7" x14ac:dyDescent="0.15">
      <c r="E1469" s="8"/>
      <c r="F1469" s="8"/>
      <c r="G1469" s="8"/>
    </row>
    <row r="1470" spans="5:7" x14ac:dyDescent="0.15">
      <c r="E1470" s="8"/>
      <c r="F1470" s="8"/>
      <c r="G1470" s="8"/>
    </row>
    <row r="1471" spans="5:7" x14ac:dyDescent="0.15">
      <c r="E1471" s="8"/>
      <c r="F1471" s="8"/>
      <c r="G1471" s="8"/>
    </row>
    <row r="1472" spans="5:7" x14ac:dyDescent="0.15">
      <c r="E1472" s="8"/>
      <c r="F1472" s="8"/>
      <c r="G1472" s="8"/>
    </row>
    <row r="1473" spans="5:7" x14ac:dyDescent="0.15">
      <c r="E1473" s="8"/>
      <c r="F1473" s="8"/>
      <c r="G1473" s="8"/>
    </row>
    <row r="1474" spans="5:7" x14ac:dyDescent="0.15">
      <c r="E1474" s="8"/>
      <c r="F1474" s="8"/>
      <c r="G1474" s="8"/>
    </row>
    <row r="1475" spans="5:7" x14ac:dyDescent="0.15">
      <c r="E1475" s="8"/>
      <c r="F1475" s="8"/>
      <c r="G1475" s="8"/>
    </row>
    <row r="1476" spans="5:7" x14ac:dyDescent="0.15">
      <c r="E1476" s="8"/>
      <c r="F1476" s="8"/>
      <c r="G1476" s="8"/>
    </row>
    <row r="1477" spans="5:7" x14ac:dyDescent="0.15">
      <c r="E1477" s="8"/>
      <c r="F1477" s="8"/>
      <c r="G1477" s="8"/>
    </row>
    <row r="1478" spans="5:7" x14ac:dyDescent="0.15">
      <c r="E1478" s="8"/>
      <c r="F1478" s="8"/>
      <c r="G1478" s="8"/>
    </row>
    <row r="1479" spans="5:7" x14ac:dyDescent="0.15">
      <c r="E1479" s="8"/>
      <c r="F1479" s="8"/>
      <c r="G1479" s="8"/>
    </row>
    <row r="1480" spans="5:7" x14ac:dyDescent="0.15">
      <c r="E1480" s="8"/>
      <c r="F1480" s="8"/>
      <c r="G1480" s="8"/>
    </row>
    <row r="1481" spans="5:7" x14ac:dyDescent="0.15">
      <c r="E1481" s="8"/>
      <c r="F1481" s="8"/>
      <c r="G1481" s="8"/>
    </row>
    <row r="1482" spans="5:7" x14ac:dyDescent="0.15">
      <c r="E1482" s="8"/>
      <c r="F1482" s="8"/>
      <c r="G1482" s="8"/>
    </row>
    <row r="1483" spans="5:7" x14ac:dyDescent="0.15">
      <c r="E1483" s="8"/>
      <c r="F1483" s="8"/>
      <c r="G1483" s="8"/>
    </row>
    <row r="1484" spans="5:7" x14ac:dyDescent="0.15">
      <c r="E1484" s="8"/>
      <c r="F1484" s="8"/>
      <c r="G1484" s="8"/>
    </row>
    <row r="1485" spans="5:7" x14ac:dyDescent="0.15">
      <c r="E1485" s="8"/>
      <c r="F1485" s="8"/>
      <c r="G1485" s="8"/>
    </row>
    <row r="1486" spans="5:7" x14ac:dyDescent="0.15">
      <c r="E1486" s="8"/>
      <c r="F1486" s="8"/>
      <c r="G1486" s="8"/>
    </row>
    <row r="1487" spans="5:7" x14ac:dyDescent="0.15">
      <c r="E1487" s="8"/>
      <c r="F1487" s="8"/>
      <c r="G1487" s="8"/>
    </row>
    <row r="1488" spans="5:7" x14ac:dyDescent="0.15">
      <c r="E1488" s="8"/>
      <c r="F1488" s="8"/>
      <c r="G1488" s="8"/>
    </row>
    <row r="1489" spans="5:7" x14ac:dyDescent="0.15">
      <c r="E1489" s="8"/>
      <c r="F1489" s="8"/>
      <c r="G1489" s="8"/>
    </row>
    <row r="1490" spans="5:7" x14ac:dyDescent="0.15">
      <c r="E1490" s="8"/>
      <c r="F1490" s="8"/>
      <c r="G1490" s="8"/>
    </row>
    <row r="1491" spans="5:7" x14ac:dyDescent="0.15">
      <c r="E1491" s="8"/>
      <c r="F1491" s="8"/>
      <c r="G1491" s="8"/>
    </row>
    <row r="1492" spans="5:7" x14ac:dyDescent="0.15">
      <c r="E1492" s="8"/>
      <c r="F1492" s="8"/>
      <c r="G1492" s="8"/>
    </row>
    <row r="1493" spans="5:7" x14ac:dyDescent="0.15">
      <c r="E1493" s="8"/>
      <c r="F1493" s="8"/>
      <c r="G1493" s="8"/>
    </row>
    <row r="1494" spans="5:7" x14ac:dyDescent="0.15">
      <c r="E1494" s="8"/>
      <c r="F1494" s="8"/>
      <c r="G1494" s="8"/>
    </row>
    <row r="1495" spans="5:7" x14ac:dyDescent="0.15">
      <c r="E1495" s="8"/>
      <c r="F1495" s="8"/>
      <c r="G1495" s="8"/>
    </row>
    <row r="1496" spans="5:7" x14ac:dyDescent="0.15">
      <c r="E1496" s="8"/>
      <c r="F1496" s="8"/>
      <c r="G1496" s="8"/>
    </row>
    <row r="1497" spans="5:7" x14ac:dyDescent="0.15">
      <c r="E1497" s="8"/>
      <c r="F1497" s="8"/>
      <c r="G1497" s="8"/>
    </row>
    <row r="1498" spans="5:7" x14ac:dyDescent="0.15">
      <c r="E1498" s="8"/>
      <c r="F1498" s="8"/>
      <c r="G1498" s="8"/>
    </row>
    <row r="1499" spans="5:7" x14ac:dyDescent="0.15">
      <c r="E1499" s="8"/>
      <c r="F1499" s="8"/>
      <c r="G1499" s="8"/>
    </row>
    <row r="1500" spans="5:7" x14ac:dyDescent="0.15">
      <c r="E1500" s="8"/>
      <c r="F1500" s="8"/>
      <c r="G1500" s="8"/>
    </row>
    <row r="1501" spans="5:7" x14ac:dyDescent="0.15">
      <c r="E1501" s="8"/>
      <c r="F1501" s="8"/>
      <c r="G1501" s="8"/>
    </row>
    <row r="1502" spans="5:7" x14ac:dyDescent="0.15">
      <c r="E1502" s="8"/>
      <c r="F1502" s="8"/>
      <c r="G1502" s="8"/>
    </row>
    <row r="1503" spans="5:7" x14ac:dyDescent="0.15">
      <c r="E1503" s="8"/>
      <c r="F1503" s="8"/>
      <c r="G1503" s="8"/>
    </row>
    <row r="1504" spans="5:7" x14ac:dyDescent="0.15">
      <c r="E1504" s="8"/>
      <c r="F1504" s="8"/>
      <c r="G1504" s="8"/>
    </row>
    <row r="1505" spans="5:7" x14ac:dyDescent="0.15">
      <c r="E1505" s="8"/>
      <c r="F1505" s="8"/>
      <c r="G1505" s="8"/>
    </row>
    <row r="1506" spans="5:7" x14ac:dyDescent="0.15">
      <c r="E1506" s="8"/>
      <c r="F1506" s="8"/>
      <c r="G1506" s="8"/>
    </row>
    <row r="1507" spans="5:7" x14ac:dyDescent="0.15">
      <c r="E1507" s="8"/>
      <c r="F1507" s="8"/>
      <c r="G1507" s="8"/>
    </row>
    <row r="1508" spans="5:7" x14ac:dyDescent="0.15">
      <c r="E1508" s="8"/>
      <c r="F1508" s="8"/>
      <c r="G1508" s="8"/>
    </row>
    <row r="1509" spans="5:7" x14ac:dyDescent="0.15">
      <c r="E1509" s="8"/>
      <c r="F1509" s="8"/>
      <c r="G1509" s="8"/>
    </row>
    <row r="1510" spans="5:7" x14ac:dyDescent="0.15">
      <c r="E1510" s="8"/>
      <c r="F1510" s="8"/>
      <c r="G1510" s="8"/>
    </row>
    <row r="1511" spans="5:7" x14ac:dyDescent="0.15">
      <c r="E1511" s="8"/>
      <c r="F1511" s="8"/>
      <c r="G1511" s="8"/>
    </row>
    <row r="1512" spans="5:7" x14ac:dyDescent="0.15">
      <c r="E1512" s="8"/>
      <c r="F1512" s="8"/>
      <c r="G1512" s="8"/>
    </row>
    <row r="1513" spans="5:7" x14ac:dyDescent="0.15">
      <c r="E1513" s="8"/>
      <c r="F1513" s="8"/>
      <c r="G1513" s="8"/>
    </row>
    <row r="1514" spans="5:7" x14ac:dyDescent="0.15">
      <c r="E1514" s="8"/>
      <c r="F1514" s="8"/>
      <c r="G1514" s="8"/>
    </row>
    <row r="1515" spans="5:7" x14ac:dyDescent="0.15">
      <c r="E1515" s="8"/>
      <c r="F1515" s="8"/>
      <c r="G1515" s="8"/>
    </row>
    <row r="1516" spans="5:7" x14ac:dyDescent="0.15">
      <c r="E1516" s="8"/>
      <c r="F1516" s="8"/>
      <c r="G1516" s="8"/>
    </row>
    <row r="1517" spans="5:7" x14ac:dyDescent="0.15">
      <c r="E1517" s="8"/>
      <c r="F1517" s="8"/>
      <c r="G1517" s="8"/>
    </row>
    <row r="1518" spans="5:7" x14ac:dyDescent="0.15">
      <c r="E1518" s="8"/>
      <c r="F1518" s="8"/>
      <c r="G1518" s="8"/>
    </row>
    <row r="1519" spans="5:7" x14ac:dyDescent="0.15">
      <c r="E1519" s="8"/>
      <c r="F1519" s="8"/>
      <c r="G1519" s="8"/>
    </row>
    <row r="1520" spans="5:7" x14ac:dyDescent="0.15">
      <c r="E1520" s="8"/>
      <c r="F1520" s="8"/>
      <c r="G1520" s="8"/>
    </row>
    <row r="1521" spans="5:7" x14ac:dyDescent="0.15">
      <c r="E1521" s="8"/>
      <c r="F1521" s="8"/>
      <c r="G1521" s="8"/>
    </row>
    <row r="1522" spans="5:7" x14ac:dyDescent="0.15">
      <c r="E1522" s="8"/>
      <c r="F1522" s="8"/>
      <c r="G1522" s="8"/>
    </row>
    <row r="1523" spans="5:7" x14ac:dyDescent="0.15">
      <c r="E1523" s="8"/>
      <c r="F1523" s="8"/>
      <c r="G1523" s="8"/>
    </row>
    <row r="1524" spans="5:7" x14ac:dyDescent="0.15">
      <c r="E1524" s="8"/>
      <c r="F1524" s="8"/>
      <c r="G1524" s="8"/>
    </row>
    <row r="1525" spans="5:7" x14ac:dyDescent="0.15">
      <c r="E1525" s="8"/>
      <c r="F1525" s="8"/>
      <c r="G1525" s="8"/>
    </row>
    <row r="1526" spans="5:7" x14ac:dyDescent="0.15">
      <c r="E1526" s="8"/>
      <c r="F1526" s="8"/>
      <c r="G1526" s="8"/>
    </row>
    <row r="1527" spans="5:7" x14ac:dyDescent="0.15">
      <c r="E1527" s="8"/>
      <c r="F1527" s="8"/>
      <c r="G1527" s="8"/>
    </row>
    <row r="1528" spans="5:7" x14ac:dyDescent="0.15">
      <c r="E1528" s="8"/>
      <c r="F1528" s="8"/>
      <c r="G1528" s="8"/>
    </row>
    <row r="1529" spans="5:7" x14ac:dyDescent="0.15">
      <c r="E1529" s="8"/>
      <c r="F1529" s="8"/>
      <c r="G1529" s="8"/>
    </row>
    <row r="1530" spans="5:7" x14ac:dyDescent="0.15">
      <c r="E1530" s="8"/>
      <c r="F1530" s="8"/>
      <c r="G1530" s="8"/>
    </row>
    <row r="1531" spans="5:7" x14ac:dyDescent="0.15">
      <c r="E1531" s="8"/>
      <c r="F1531" s="8"/>
      <c r="G1531" s="8"/>
    </row>
    <row r="1532" spans="5:7" x14ac:dyDescent="0.15">
      <c r="E1532" s="8"/>
      <c r="F1532" s="8"/>
      <c r="G1532" s="8"/>
    </row>
    <row r="1533" spans="5:7" x14ac:dyDescent="0.15">
      <c r="E1533" s="8"/>
      <c r="F1533" s="8"/>
      <c r="G1533" s="8"/>
    </row>
    <row r="1534" spans="5:7" x14ac:dyDescent="0.15">
      <c r="E1534" s="8"/>
      <c r="F1534" s="8"/>
      <c r="G1534" s="8"/>
    </row>
    <row r="1535" spans="5:7" x14ac:dyDescent="0.15">
      <c r="E1535" s="8"/>
      <c r="F1535" s="8"/>
      <c r="G1535" s="8"/>
    </row>
    <row r="1536" spans="5:7" x14ac:dyDescent="0.15">
      <c r="E1536" s="8"/>
      <c r="F1536" s="8"/>
      <c r="G1536" s="8"/>
    </row>
    <row r="1537" spans="5:7" x14ac:dyDescent="0.15">
      <c r="E1537" s="8"/>
      <c r="F1537" s="8"/>
      <c r="G1537" s="8"/>
    </row>
    <row r="1538" spans="5:7" x14ac:dyDescent="0.15">
      <c r="E1538" s="8"/>
      <c r="F1538" s="8"/>
      <c r="G1538" s="8"/>
    </row>
    <row r="1539" spans="5:7" x14ac:dyDescent="0.15">
      <c r="E1539" s="8"/>
      <c r="F1539" s="8"/>
      <c r="G1539" s="8"/>
    </row>
    <row r="1540" spans="5:7" x14ac:dyDescent="0.15">
      <c r="E1540" s="8"/>
      <c r="F1540" s="8"/>
      <c r="G1540" s="8"/>
    </row>
    <row r="1541" spans="5:7" x14ac:dyDescent="0.15">
      <c r="E1541" s="8"/>
      <c r="F1541" s="8"/>
      <c r="G1541" s="8"/>
    </row>
    <row r="1542" spans="5:7" x14ac:dyDescent="0.15">
      <c r="E1542" s="8"/>
      <c r="F1542" s="8"/>
      <c r="G1542" s="8"/>
    </row>
    <row r="1543" spans="5:7" x14ac:dyDescent="0.15">
      <c r="E1543" s="8"/>
      <c r="F1543" s="8"/>
      <c r="G1543" s="8"/>
    </row>
    <row r="1544" spans="5:7" x14ac:dyDescent="0.15">
      <c r="E1544" s="8"/>
      <c r="F1544" s="8"/>
      <c r="G1544" s="8"/>
    </row>
    <row r="1545" spans="5:7" x14ac:dyDescent="0.15">
      <c r="E1545" s="8"/>
      <c r="F1545" s="8"/>
      <c r="G1545" s="8"/>
    </row>
    <row r="1546" spans="5:7" x14ac:dyDescent="0.15">
      <c r="E1546" s="8"/>
      <c r="F1546" s="8"/>
      <c r="G1546" s="8"/>
    </row>
    <row r="1547" spans="5:7" x14ac:dyDescent="0.15">
      <c r="E1547" s="8"/>
      <c r="F1547" s="8"/>
      <c r="G1547" s="8"/>
    </row>
    <row r="1548" spans="5:7" x14ac:dyDescent="0.15">
      <c r="E1548" s="8"/>
      <c r="F1548" s="8"/>
      <c r="G1548" s="8"/>
    </row>
    <row r="1549" spans="5:7" x14ac:dyDescent="0.15">
      <c r="E1549" s="8"/>
      <c r="F1549" s="8"/>
      <c r="G1549" s="8"/>
    </row>
    <row r="1550" spans="5:7" x14ac:dyDescent="0.15">
      <c r="E1550" s="8"/>
      <c r="F1550" s="8"/>
      <c r="G1550" s="8"/>
    </row>
    <row r="1551" spans="5:7" x14ac:dyDescent="0.15">
      <c r="E1551" s="8"/>
      <c r="F1551" s="8"/>
      <c r="G1551" s="8"/>
    </row>
    <row r="1552" spans="5:7" x14ac:dyDescent="0.15">
      <c r="E1552" s="8"/>
      <c r="F1552" s="8"/>
      <c r="G1552" s="8"/>
    </row>
    <row r="1553" spans="5:7" x14ac:dyDescent="0.15">
      <c r="E1553" s="8"/>
      <c r="F1553" s="8"/>
      <c r="G1553" s="8"/>
    </row>
    <row r="1554" spans="5:7" x14ac:dyDescent="0.15">
      <c r="E1554" s="8"/>
      <c r="F1554" s="8"/>
      <c r="G1554" s="8"/>
    </row>
    <row r="1555" spans="5:7" x14ac:dyDescent="0.15">
      <c r="E1555" s="8"/>
      <c r="F1555" s="8"/>
      <c r="G1555" s="8"/>
    </row>
    <row r="1556" spans="5:7" x14ac:dyDescent="0.15">
      <c r="E1556" s="8"/>
      <c r="F1556" s="8"/>
      <c r="G1556" s="8"/>
    </row>
    <row r="1557" spans="5:7" x14ac:dyDescent="0.15">
      <c r="E1557" s="8"/>
      <c r="F1557" s="8"/>
      <c r="G1557" s="8"/>
    </row>
    <row r="1558" spans="5:7" x14ac:dyDescent="0.15">
      <c r="E1558" s="8"/>
      <c r="F1558" s="8"/>
      <c r="G1558" s="8"/>
    </row>
    <row r="1559" spans="5:7" x14ac:dyDescent="0.15">
      <c r="E1559" s="8"/>
      <c r="F1559" s="8"/>
      <c r="G1559" s="8"/>
    </row>
    <row r="1560" spans="5:7" x14ac:dyDescent="0.15">
      <c r="E1560" s="8"/>
      <c r="F1560" s="8"/>
      <c r="G1560" s="8"/>
    </row>
    <row r="1561" spans="5:7" x14ac:dyDescent="0.15">
      <c r="E1561" s="8"/>
      <c r="F1561" s="8"/>
      <c r="G1561" s="8"/>
    </row>
    <row r="1562" spans="5:7" x14ac:dyDescent="0.15">
      <c r="E1562" s="8"/>
      <c r="F1562" s="8"/>
      <c r="G1562" s="8"/>
    </row>
    <row r="1563" spans="5:7" x14ac:dyDescent="0.15">
      <c r="E1563" s="8"/>
      <c r="F1563" s="8"/>
      <c r="G1563" s="8"/>
    </row>
    <row r="1564" spans="5:7" x14ac:dyDescent="0.15">
      <c r="E1564" s="8"/>
      <c r="F1564" s="8"/>
      <c r="G1564" s="8"/>
    </row>
    <row r="1565" spans="5:7" x14ac:dyDescent="0.15">
      <c r="E1565" s="8"/>
      <c r="F1565" s="8"/>
      <c r="G1565" s="8"/>
    </row>
    <row r="1566" spans="5:7" x14ac:dyDescent="0.15">
      <c r="E1566" s="8"/>
      <c r="F1566" s="8"/>
      <c r="G1566" s="8"/>
    </row>
    <row r="1567" spans="5:7" x14ac:dyDescent="0.15">
      <c r="E1567" s="8"/>
      <c r="F1567" s="8"/>
      <c r="G1567" s="8"/>
    </row>
    <row r="1568" spans="5:7" x14ac:dyDescent="0.15">
      <c r="E1568" s="8"/>
      <c r="F1568" s="8"/>
      <c r="G1568" s="8"/>
    </row>
    <row r="1569" spans="5:7" x14ac:dyDescent="0.15">
      <c r="E1569" s="8"/>
      <c r="F1569" s="8"/>
      <c r="G1569" s="8"/>
    </row>
    <row r="1570" spans="5:7" x14ac:dyDescent="0.15">
      <c r="E1570" s="8"/>
      <c r="F1570" s="8"/>
      <c r="G1570" s="8"/>
    </row>
    <row r="1571" spans="5:7" x14ac:dyDescent="0.15">
      <c r="E1571" s="8"/>
      <c r="F1571" s="8"/>
      <c r="G1571" s="8"/>
    </row>
    <row r="1572" spans="5:7" x14ac:dyDescent="0.15">
      <c r="E1572" s="8"/>
      <c r="F1572" s="8"/>
      <c r="G1572" s="8"/>
    </row>
    <row r="1573" spans="5:7" x14ac:dyDescent="0.15">
      <c r="E1573" s="8"/>
      <c r="F1573" s="8"/>
      <c r="G1573" s="8"/>
    </row>
    <row r="1574" spans="5:7" x14ac:dyDescent="0.15">
      <c r="E1574" s="8"/>
      <c r="F1574" s="8"/>
      <c r="G1574" s="8"/>
    </row>
    <row r="1575" spans="5:7" x14ac:dyDescent="0.15">
      <c r="E1575" s="8"/>
      <c r="F1575" s="8"/>
      <c r="G1575" s="8"/>
    </row>
    <row r="1576" spans="5:7" x14ac:dyDescent="0.15">
      <c r="E1576" s="8"/>
      <c r="F1576" s="8"/>
      <c r="G1576" s="8"/>
    </row>
    <row r="1577" spans="5:7" x14ac:dyDescent="0.15">
      <c r="E1577" s="8"/>
      <c r="F1577" s="8"/>
      <c r="G1577" s="8"/>
    </row>
    <row r="1578" spans="5:7" x14ac:dyDescent="0.15">
      <c r="E1578" s="8"/>
      <c r="F1578" s="8"/>
      <c r="G1578" s="8"/>
    </row>
    <row r="1579" spans="5:7" x14ac:dyDescent="0.15">
      <c r="E1579" s="8"/>
      <c r="F1579" s="8"/>
      <c r="G1579" s="8"/>
    </row>
    <row r="1580" spans="5:7" x14ac:dyDescent="0.15">
      <c r="E1580" s="8"/>
      <c r="F1580" s="8"/>
      <c r="G1580" s="8"/>
    </row>
    <row r="1581" spans="5:7" x14ac:dyDescent="0.15">
      <c r="E1581" s="8"/>
      <c r="F1581" s="8"/>
      <c r="G1581" s="8"/>
    </row>
    <row r="1582" spans="5:7" x14ac:dyDescent="0.15">
      <c r="E1582" s="8"/>
      <c r="F1582" s="8"/>
      <c r="G1582" s="8"/>
    </row>
    <row r="1583" spans="5:7" x14ac:dyDescent="0.15">
      <c r="E1583" s="8"/>
      <c r="F1583" s="8"/>
      <c r="G1583" s="8"/>
    </row>
    <row r="1584" spans="5:7" x14ac:dyDescent="0.15">
      <c r="E1584" s="8"/>
      <c r="F1584" s="8"/>
      <c r="G1584" s="8"/>
    </row>
    <row r="1585" spans="5:7" x14ac:dyDescent="0.15">
      <c r="E1585" s="8"/>
      <c r="F1585" s="8"/>
      <c r="G1585" s="8"/>
    </row>
    <row r="1586" spans="5:7" x14ac:dyDescent="0.15">
      <c r="E1586" s="8"/>
      <c r="F1586" s="8"/>
      <c r="G1586" s="8"/>
    </row>
    <row r="1587" spans="5:7" x14ac:dyDescent="0.15">
      <c r="E1587" s="8"/>
      <c r="F1587" s="8"/>
      <c r="G1587" s="8"/>
    </row>
    <row r="1588" spans="5:7" x14ac:dyDescent="0.15">
      <c r="E1588" s="8"/>
      <c r="F1588" s="8"/>
      <c r="G1588" s="8"/>
    </row>
    <row r="1589" spans="5:7" x14ac:dyDescent="0.15">
      <c r="E1589" s="8"/>
      <c r="F1589" s="8"/>
      <c r="G1589" s="8"/>
    </row>
    <row r="1590" spans="5:7" x14ac:dyDescent="0.15">
      <c r="E1590" s="8"/>
      <c r="F1590" s="8"/>
      <c r="G1590" s="8"/>
    </row>
    <row r="1591" spans="5:7" x14ac:dyDescent="0.15">
      <c r="E1591" s="8"/>
      <c r="F1591" s="8"/>
      <c r="G1591" s="8"/>
    </row>
    <row r="1592" spans="5:7" x14ac:dyDescent="0.15">
      <c r="E1592" s="8"/>
      <c r="F1592" s="8"/>
      <c r="G1592" s="8"/>
    </row>
    <row r="1593" spans="5:7" x14ac:dyDescent="0.15">
      <c r="E1593" s="8"/>
      <c r="F1593" s="8"/>
      <c r="G1593" s="8"/>
    </row>
    <row r="1594" spans="5:7" x14ac:dyDescent="0.15">
      <c r="E1594" s="8"/>
      <c r="F1594" s="8"/>
      <c r="G1594" s="8"/>
    </row>
    <row r="1595" spans="5:7" x14ac:dyDescent="0.15">
      <c r="E1595" s="8"/>
      <c r="F1595" s="8"/>
      <c r="G1595" s="8"/>
    </row>
    <row r="1596" spans="5:7" x14ac:dyDescent="0.15">
      <c r="E1596" s="8"/>
      <c r="F1596" s="8"/>
      <c r="G1596" s="8"/>
    </row>
    <row r="1597" spans="5:7" x14ac:dyDescent="0.15">
      <c r="E1597" s="8"/>
      <c r="F1597" s="8"/>
      <c r="G1597" s="8"/>
    </row>
    <row r="1598" spans="5:7" x14ac:dyDescent="0.15">
      <c r="E1598" s="8"/>
      <c r="F1598" s="8"/>
      <c r="G1598" s="8"/>
    </row>
    <row r="1599" spans="5:7" x14ac:dyDescent="0.15">
      <c r="E1599" s="8"/>
      <c r="F1599" s="8"/>
      <c r="G1599" s="8"/>
    </row>
    <row r="1600" spans="5:7" x14ac:dyDescent="0.15">
      <c r="E1600" s="8"/>
      <c r="F1600" s="8"/>
      <c r="G1600" s="8"/>
    </row>
    <row r="1601" spans="5:7" x14ac:dyDescent="0.15">
      <c r="E1601" s="8"/>
      <c r="F1601" s="8"/>
      <c r="G1601" s="8"/>
    </row>
    <row r="1602" spans="5:7" x14ac:dyDescent="0.15">
      <c r="E1602" s="8"/>
      <c r="F1602" s="8"/>
      <c r="G1602" s="8"/>
    </row>
    <row r="1603" spans="5:7" x14ac:dyDescent="0.15">
      <c r="E1603" s="8"/>
      <c r="F1603" s="8"/>
      <c r="G1603" s="8"/>
    </row>
    <row r="1604" spans="5:7" x14ac:dyDescent="0.15">
      <c r="E1604" s="8"/>
      <c r="F1604" s="8"/>
      <c r="G1604" s="8"/>
    </row>
    <row r="1605" spans="5:7" x14ac:dyDescent="0.15">
      <c r="E1605" s="8"/>
      <c r="F1605" s="8"/>
      <c r="G1605" s="8"/>
    </row>
    <row r="1606" spans="5:7" x14ac:dyDescent="0.15">
      <c r="E1606" s="8"/>
      <c r="F1606" s="8"/>
      <c r="G1606" s="8"/>
    </row>
    <row r="1607" spans="5:7" x14ac:dyDescent="0.15">
      <c r="E1607" s="8"/>
      <c r="F1607" s="8"/>
      <c r="G1607" s="8"/>
    </row>
    <row r="1608" spans="5:7" x14ac:dyDescent="0.15">
      <c r="E1608" s="8"/>
      <c r="F1608" s="8"/>
      <c r="G1608" s="8"/>
    </row>
    <row r="1609" spans="5:7" x14ac:dyDescent="0.15">
      <c r="E1609" s="8"/>
      <c r="F1609" s="8"/>
      <c r="G1609" s="8"/>
    </row>
    <row r="1610" spans="5:7" x14ac:dyDescent="0.15">
      <c r="E1610" s="8"/>
      <c r="F1610" s="8"/>
      <c r="G1610" s="8"/>
    </row>
    <row r="1611" spans="5:7" x14ac:dyDescent="0.15">
      <c r="E1611" s="8"/>
      <c r="F1611" s="8"/>
      <c r="G1611" s="8"/>
    </row>
    <row r="1612" spans="5:7" x14ac:dyDescent="0.15">
      <c r="E1612" s="8"/>
      <c r="F1612" s="8"/>
      <c r="G1612" s="8"/>
    </row>
    <row r="1613" spans="5:7" x14ac:dyDescent="0.15">
      <c r="E1613" s="8"/>
      <c r="F1613" s="8"/>
      <c r="G1613" s="8"/>
    </row>
    <row r="1614" spans="5:7" x14ac:dyDescent="0.15">
      <c r="E1614" s="8"/>
      <c r="F1614" s="8"/>
      <c r="G1614" s="8"/>
    </row>
    <row r="1615" spans="5:7" x14ac:dyDescent="0.15">
      <c r="E1615" s="8"/>
      <c r="F1615" s="8"/>
      <c r="G1615" s="8"/>
    </row>
    <row r="1616" spans="5:7" x14ac:dyDescent="0.15">
      <c r="E1616" s="8"/>
      <c r="F1616" s="8"/>
      <c r="G1616" s="8"/>
    </row>
    <row r="1617" spans="5:7" x14ac:dyDescent="0.15">
      <c r="E1617" s="8"/>
      <c r="F1617" s="8"/>
      <c r="G1617" s="8"/>
    </row>
    <row r="1618" spans="5:7" x14ac:dyDescent="0.15">
      <c r="E1618" s="8"/>
      <c r="F1618" s="8"/>
      <c r="G1618" s="8"/>
    </row>
    <row r="1619" spans="5:7" x14ac:dyDescent="0.15">
      <c r="E1619" s="8"/>
      <c r="F1619" s="8"/>
      <c r="G1619" s="8"/>
    </row>
    <row r="1620" spans="5:7" x14ac:dyDescent="0.15">
      <c r="E1620" s="8"/>
      <c r="F1620" s="8"/>
      <c r="G1620" s="8"/>
    </row>
    <row r="1621" spans="5:7" x14ac:dyDescent="0.15">
      <c r="E1621" s="8"/>
      <c r="F1621" s="8"/>
      <c r="G1621" s="8"/>
    </row>
    <row r="1622" spans="5:7" x14ac:dyDescent="0.15">
      <c r="E1622" s="8"/>
      <c r="F1622" s="8"/>
      <c r="G1622" s="8"/>
    </row>
    <row r="1623" spans="5:7" x14ac:dyDescent="0.15">
      <c r="E1623" s="8"/>
      <c r="F1623" s="8"/>
      <c r="G1623" s="8"/>
    </row>
    <row r="1624" spans="5:7" x14ac:dyDescent="0.15">
      <c r="E1624" s="8"/>
      <c r="F1624" s="8"/>
      <c r="G1624" s="8"/>
    </row>
    <row r="1625" spans="5:7" x14ac:dyDescent="0.15">
      <c r="E1625" s="8"/>
      <c r="F1625" s="8"/>
      <c r="G1625" s="8"/>
    </row>
    <row r="1626" spans="5:7" x14ac:dyDescent="0.15">
      <c r="E1626" s="8"/>
      <c r="F1626" s="8"/>
      <c r="G1626" s="8"/>
    </row>
    <row r="1627" spans="5:7" x14ac:dyDescent="0.15">
      <c r="E1627" s="8"/>
      <c r="F1627" s="8"/>
      <c r="G1627" s="8"/>
    </row>
    <row r="1628" spans="5:7" x14ac:dyDescent="0.15">
      <c r="E1628" s="8"/>
      <c r="F1628" s="8"/>
      <c r="G1628" s="8"/>
    </row>
    <row r="1629" spans="5:7" x14ac:dyDescent="0.15">
      <c r="E1629" s="8"/>
      <c r="F1629" s="8"/>
      <c r="G1629" s="8"/>
    </row>
    <row r="1630" spans="5:7" x14ac:dyDescent="0.15">
      <c r="E1630" s="8"/>
      <c r="F1630" s="8"/>
      <c r="G1630" s="8"/>
    </row>
    <row r="1631" spans="5:7" x14ac:dyDescent="0.15">
      <c r="E1631" s="8"/>
      <c r="F1631" s="8"/>
      <c r="G1631" s="8"/>
    </row>
    <row r="1632" spans="5:7" x14ac:dyDescent="0.15">
      <c r="E1632" s="8"/>
      <c r="F1632" s="8"/>
      <c r="G1632" s="8"/>
    </row>
    <row r="1633" spans="5:7" x14ac:dyDescent="0.15">
      <c r="E1633" s="8"/>
      <c r="F1633" s="8"/>
      <c r="G1633" s="8"/>
    </row>
    <row r="1634" spans="5:7" x14ac:dyDescent="0.15">
      <c r="E1634" s="8"/>
      <c r="F1634" s="8"/>
      <c r="G1634" s="8"/>
    </row>
    <row r="1635" spans="5:7" x14ac:dyDescent="0.15">
      <c r="E1635" s="8"/>
      <c r="F1635" s="8"/>
      <c r="G1635" s="8"/>
    </row>
    <row r="1636" spans="5:7" x14ac:dyDescent="0.15">
      <c r="E1636" s="8"/>
      <c r="F1636" s="8"/>
      <c r="G1636" s="8"/>
    </row>
    <row r="1637" spans="5:7" x14ac:dyDescent="0.15">
      <c r="E1637" s="8"/>
      <c r="F1637" s="8"/>
      <c r="G1637" s="8"/>
    </row>
    <row r="1638" spans="5:7" x14ac:dyDescent="0.15">
      <c r="E1638" s="8"/>
      <c r="F1638" s="8"/>
      <c r="G1638" s="8"/>
    </row>
    <row r="1639" spans="5:7" x14ac:dyDescent="0.15">
      <c r="E1639" s="8"/>
      <c r="F1639" s="8"/>
      <c r="G1639" s="8"/>
    </row>
    <row r="1640" spans="5:7" x14ac:dyDescent="0.15">
      <c r="E1640" s="8"/>
      <c r="F1640" s="8"/>
      <c r="G1640" s="8"/>
    </row>
    <row r="1641" spans="5:7" x14ac:dyDescent="0.15">
      <c r="E1641" s="8"/>
      <c r="F1641" s="8"/>
      <c r="G1641" s="8"/>
    </row>
    <row r="1642" spans="5:7" x14ac:dyDescent="0.15">
      <c r="E1642" s="8"/>
      <c r="F1642" s="8"/>
      <c r="G1642" s="8"/>
    </row>
    <row r="1643" spans="5:7" x14ac:dyDescent="0.15">
      <c r="E1643" s="8"/>
      <c r="F1643" s="8"/>
      <c r="G1643" s="8"/>
    </row>
    <row r="1644" spans="5:7" x14ac:dyDescent="0.15">
      <c r="E1644" s="8"/>
      <c r="F1644" s="8"/>
      <c r="G1644" s="8"/>
    </row>
    <row r="1645" spans="5:7" x14ac:dyDescent="0.15">
      <c r="E1645" s="8"/>
      <c r="F1645" s="8"/>
      <c r="G1645" s="8"/>
    </row>
    <row r="1646" spans="5:7" x14ac:dyDescent="0.15">
      <c r="E1646" s="8"/>
      <c r="F1646" s="8"/>
      <c r="G1646" s="8"/>
    </row>
    <row r="1647" spans="5:7" x14ac:dyDescent="0.15">
      <c r="E1647" s="8"/>
      <c r="F1647" s="8"/>
      <c r="G1647" s="8"/>
    </row>
    <row r="1648" spans="5:7" x14ac:dyDescent="0.15">
      <c r="E1648" s="8"/>
      <c r="F1648" s="8"/>
      <c r="G1648" s="8"/>
    </row>
    <row r="1649" spans="5:7" x14ac:dyDescent="0.15">
      <c r="E1649" s="8"/>
      <c r="F1649" s="8"/>
      <c r="G1649" s="8"/>
    </row>
    <row r="1650" spans="5:7" x14ac:dyDescent="0.15">
      <c r="E1650" s="8"/>
      <c r="F1650" s="8"/>
      <c r="G1650" s="8"/>
    </row>
    <row r="1651" spans="5:7" x14ac:dyDescent="0.15">
      <c r="E1651" s="8"/>
      <c r="F1651" s="8"/>
      <c r="G1651" s="8"/>
    </row>
    <row r="1652" spans="5:7" x14ac:dyDescent="0.15">
      <c r="E1652" s="8"/>
      <c r="F1652" s="8"/>
      <c r="G1652" s="8"/>
    </row>
    <row r="1653" spans="5:7" x14ac:dyDescent="0.15">
      <c r="E1653" s="8"/>
      <c r="F1653" s="8"/>
      <c r="G1653" s="8"/>
    </row>
    <row r="1654" spans="5:7" x14ac:dyDescent="0.15">
      <c r="E1654" s="8"/>
      <c r="F1654" s="8"/>
      <c r="G1654" s="8"/>
    </row>
    <row r="1655" spans="5:7" x14ac:dyDescent="0.15">
      <c r="E1655" s="8"/>
      <c r="F1655" s="8"/>
      <c r="G1655" s="8"/>
    </row>
    <row r="1656" spans="5:7" x14ac:dyDescent="0.15">
      <c r="E1656" s="8"/>
      <c r="F1656" s="8"/>
      <c r="G1656" s="8"/>
    </row>
    <row r="1657" spans="5:7" x14ac:dyDescent="0.15">
      <c r="E1657" s="8"/>
      <c r="F1657" s="8"/>
      <c r="G1657" s="8"/>
    </row>
    <row r="1658" spans="5:7" x14ac:dyDescent="0.15">
      <c r="E1658" s="8"/>
      <c r="F1658" s="8"/>
      <c r="G1658" s="8"/>
    </row>
    <row r="1659" spans="5:7" x14ac:dyDescent="0.15">
      <c r="E1659" s="8"/>
      <c r="F1659" s="8"/>
      <c r="G1659" s="8"/>
    </row>
    <row r="1660" spans="5:7" x14ac:dyDescent="0.15">
      <c r="E1660" s="8"/>
      <c r="F1660" s="8"/>
      <c r="G1660" s="8"/>
    </row>
    <row r="1661" spans="5:7" x14ac:dyDescent="0.15">
      <c r="E1661" s="8"/>
      <c r="F1661" s="8"/>
      <c r="G1661" s="8"/>
    </row>
    <row r="1662" spans="5:7" x14ac:dyDescent="0.15">
      <c r="E1662" s="8"/>
      <c r="F1662" s="8"/>
      <c r="G1662" s="8"/>
    </row>
    <row r="1663" spans="5:7" x14ac:dyDescent="0.15">
      <c r="E1663" s="8"/>
      <c r="F1663" s="8"/>
      <c r="G1663" s="8"/>
    </row>
    <row r="1664" spans="5:7" x14ac:dyDescent="0.15">
      <c r="E1664" s="8"/>
      <c r="F1664" s="8"/>
      <c r="G1664" s="8"/>
    </row>
    <row r="1665" spans="5:7" x14ac:dyDescent="0.15">
      <c r="E1665" s="8"/>
      <c r="F1665" s="8"/>
      <c r="G1665" s="8"/>
    </row>
    <row r="1666" spans="5:7" x14ac:dyDescent="0.15">
      <c r="E1666" s="8"/>
      <c r="F1666" s="8"/>
      <c r="G1666" s="8"/>
    </row>
    <row r="1667" spans="5:7" x14ac:dyDescent="0.15">
      <c r="E1667" s="8"/>
      <c r="F1667" s="8"/>
      <c r="G1667" s="8"/>
    </row>
    <row r="1668" spans="5:7" x14ac:dyDescent="0.15">
      <c r="E1668" s="8"/>
      <c r="F1668" s="8"/>
      <c r="G1668" s="8"/>
    </row>
    <row r="1669" spans="5:7" x14ac:dyDescent="0.15">
      <c r="E1669" s="8"/>
      <c r="F1669" s="8"/>
      <c r="G1669" s="8"/>
    </row>
    <row r="1670" spans="5:7" x14ac:dyDescent="0.15">
      <c r="E1670" s="8"/>
      <c r="F1670" s="8"/>
      <c r="G1670" s="8"/>
    </row>
    <row r="1671" spans="5:7" x14ac:dyDescent="0.15">
      <c r="E1671" s="8"/>
      <c r="F1671" s="8"/>
      <c r="G1671" s="8"/>
    </row>
    <row r="1672" spans="5:7" x14ac:dyDescent="0.15">
      <c r="E1672" s="8"/>
      <c r="F1672" s="8"/>
      <c r="G1672" s="8"/>
    </row>
    <row r="1673" spans="5:7" x14ac:dyDescent="0.15">
      <c r="E1673" s="8"/>
      <c r="F1673" s="8"/>
      <c r="G1673" s="8"/>
    </row>
    <row r="1674" spans="5:7" x14ac:dyDescent="0.15">
      <c r="E1674" s="8"/>
      <c r="F1674" s="8"/>
      <c r="G1674" s="8"/>
    </row>
    <row r="1675" spans="5:7" x14ac:dyDescent="0.15">
      <c r="E1675" s="8"/>
      <c r="F1675" s="8"/>
      <c r="G1675" s="8"/>
    </row>
    <row r="1676" spans="5:7" x14ac:dyDescent="0.15">
      <c r="E1676" s="8"/>
      <c r="F1676" s="8"/>
      <c r="G1676" s="8"/>
    </row>
    <row r="1677" spans="5:7" x14ac:dyDescent="0.15">
      <c r="E1677" s="8"/>
      <c r="F1677" s="8"/>
      <c r="G1677" s="8"/>
    </row>
    <row r="1678" spans="5:7" x14ac:dyDescent="0.15">
      <c r="E1678" s="8"/>
      <c r="F1678" s="8"/>
      <c r="G1678" s="8"/>
    </row>
    <row r="1679" spans="5:7" x14ac:dyDescent="0.15">
      <c r="E1679" s="8"/>
      <c r="F1679" s="8"/>
      <c r="G1679" s="8"/>
    </row>
    <row r="1680" spans="5:7" x14ac:dyDescent="0.15">
      <c r="E1680" s="8"/>
      <c r="F1680" s="8"/>
      <c r="G1680" s="8"/>
    </row>
    <row r="1681" spans="5:7" x14ac:dyDescent="0.15">
      <c r="E1681" s="8"/>
      <c r="F1681" s="8"/>
      <c r="G1681" s="8"/>
    </row>
    <row r="1682" spans="5:7" x14ac:dyDescent="0.15">
      <c r="E1682" s="8"/>
      <c r="F1682" s="8"/>
      <c r="G1682" s="8"/>
    </row>
    <row r="1683" spans="5:7" x14ac:dyDescent="0.15">
      <c r="E1683" s="8"/>
      <c r="F1683" s="8"/>
      <c r="G1683" s="8"/>
    </row>
    <row r="1684" spans="5:7" x14ac:dyDescent="0.15">
      <c r="E1684" s="8"/>
      <c r="F1684" s="8"/>
      <c r="G1684" s="8"/>
    </row>
    <row r="1685" spans="5:7" x14ac:dyDescent="0.15">
      <c r="E1685" s="8"/>
      <c r="F1685" s="8"/>
      <c r="G1685" s="8"/>
    </row>
    <row r="1686" spans="5:7" x14ac:dyDescent="0.15">
      <c r="E1686" s="8"/>
      <c r="F1686" s="8"/>
      <c r="G1686" s="8"/>
    </row>
    <row r="1687" spans="5:7" x14ac:dyDescent="0.15">
      <c r="E1687" s="8"/>
      <c r="F1687" s="8"/>
      <c r="G1687" s="8"/>
    </row>
    <row r="1688" spans="5:7" x14ac:dyDescent="0.15">
      <c r="E1688" s="8"/>
      <c r="F1688" s="8"/>
      <c r="G1688" s="8"/>
    </row>
    <row r="1689" spans="5:7" x14ac:dyDescent="0.15">
      <c r="E1689" s="8"/>
      <c r="F1689" s="8"/>
      <c r="G1689" s="8"/>
    </row>
    <row r="1690" spans="5:7" x14ac:dyDescent="0.15">
      <c r="E1690" s="8"/>
      <c r="F1690" s="8"/>
      <c r="G1690" s="8"/>
    </row>
    <row r="1691" spans="5:7" x14ac:dyDescent="0.15">
      <c r="E1691" s="8"/>
      <c r="F1691" s="8"/>
      <c r="G1691" s="8"/>
    </row>
    <row r="1692" spans="5:7" x14ac:dyDescent="0.15">
      <c r="E1692" s="8"/>
      <c r="F1692" s="8"/>
      <c r="G1692" s="8"/>
    </row>
    <row r="1693" spans="5:7" x14ac:dyDescent="0.15">
      <c r="E1693" s="8"/>
      <c r="F1693" s="8"/>
      <c r="G1693" s="8"/>
    </row>
    <row r="1694" spans="5:7" x14ac:dyDescent="0.15">
      <c r="E1694" s="8"/>
      <c r="F1694" s="8"/>
      <c r="G1694" s="8"/>
    </row>
    <row r="1695" spans="5:7" x14ac:dyDescent="0.15">
      <c r="E1695" s="8"/>
      <c r="F1695" s="8"/>
      <c r="G1695" s="8"/>
    </row>
    <row r="1696" spans="5:7" x14ac:dyDescent="0.15">
      <c r="E1696" s="8"/>
      <c r="F1696" s="8"/>
      <c r="G1696" s="8"/>
    </row>
    <row r="1697" spans="5:7" x14ac:dyDescent="0.15">
      <c r="E1697" s="8"/>
      <c r="F1697" s="8"/>
      <c r="G1697" s="8"/>
    </row>
    <row r="1698" spans="5:7" x14ac:dyDescent="0.15">
      <c r="E1698" s="8"/>
      <c r="F1698" s="8"/>
      <c r="G1698" s="8"/>
    </row>
    <row r="1699" spans="5:7" x14ac:dyDescent="0.15">
      <c r="E1699" s="8"/>
      <c r="F1699" s="8"/>
      <c r="G1699" s="8"/>
    </row>
    <row r="1700" spans="5:7" x14ac:dyDescent="0.15">
      <c r="E1700" s="8"/>
      <c r="F1700" s="8"/>
      <c r="G1700" s="8"/>
    </row>
    <row r="1701" spans="5:7" x14ac:dyDescent="0.15">
      <c r="E1701" s="8"/>
      <c r="F1701" s="8"/>
      <c r="G1701" s="8"/>
    </row>
    <row r="1702" spans="5:7" x14ac:dyDescent="0.15">
      <c r="E1702" s="8"/>
      <c r="F1702" s="8"/>
      <c r="G1702" s="8"/>
    </row>
    <row r="1703" spans="5:7" x14ac:dyDescent="0.15">
      <c r="E1703" s="8"/>
      <c r="F1703" s="8"/>
      <c r="G1703" s="8"/>
    </row>
    <row r="1704" spans="5:7" x14ac:dyDescent="0.15">
      <c r="E1704" s="8"/>
      <c r="F1704" s="8"/>
      <c r="G1704" s="8"/>
    </row>
    <row r="1705" spans="5:7" x14ac:dyDescent="0.15">
      <c r="E1705" s="8"/>
      <c r="F1705" s="8"/>
      <c r="G1705" s="8"/>
    </row>
    <row r="1706" spans="5:7" x14ac:dyDescent="0.15">
      <c r="E1706" s="8"/>
      <c r="F1706" s="8"/>
      <c r="G1706" s="8"/>
    </row>
    <row r="1707" spans="5:7" x14ac:dyDescent="0.15">
      <c r="E1707" s="8"/>
      <c r="F1707" s="8"/>
      <c r="G1707" s="8"/>
    </row>
    <row r="1708" spans="5:7" x14ac:dyDescent="0.15">
      <c r="E1708" s="8"/>
      <c r="F1708" s="8"/>
      <c r="G1708" s="8"/>
    </row>
    <row r="1709" spans="5:7" x14ac:dyDescent="0.15">
      <c r="E1709" s="8"/>
      <c r="F1709" s="8"/>
      <c r="G1709" s="8"/>
    </row>
    <row r="1710" spans="5:7" x14ac:dyDescent="0.15">
      <c r="E1710" s="8"/>
      <c r="F1710" s="8"/>
      <c r="G1710" s="8"/>
    </row>
    <row r="1711" spans="5:7" x14ac:dyDescent="0.15">
      <c r="E1711" s="8"/>
      <c r="F1711" s="8"/>
      <c r="G1711" s="8"/>
    </row>
    <row r="1712" spans="5:7" x14ac:dyDescent="0.15">
      <c r="E1712" s="8"/>
      <c r="F1712" s="8"/>
      <c r="G1712" s="8"/>
    </row>
    <row r="1713" spans="5:7" x14ac:dyDescent="0.15">
      <c r="E1713" s="8"/>
      <c r="F1713" s="8"/>
      <c r="G1713" s="8"/>
    </row>
    <row r="1714" spans="5:7" x14ac:dyDescent="0.15">
      <c r="E1714" s="8"/>
      <c r="F1714" s="8"/>
      <c r="G1714" s="8"/>
    </row>
    <row r="1715" spans="5:7" x14ac:dyDescent="0.15">
      <c r="E1715" s="8"/>
      <c r="F1715" s="8"/>
      <c r="G1715" s="8"/>
    </row>
    <row r="1716" spans="5:7" x14ac:dyDescent="0.15">
      <c r="E1716" s="8"/>
      <c r="F1716" s="8"/>
      <c r="G1716" s="8"/>
    </row>
    <row r="1717" spans="5:7" x14ac:dyDescent="0.15">
      <c r="E1717" s="8"/>
      <c r="F1717" s="8"/>
      <c r="G1717" s="8"/>
    </row>
    <row r="1718" spans="5:7" x14ac:dyDescent="0.15">
      <c r="E1718" s="8"/>
      <c r="F1718" s="8"/>
      <c r="G1718" s="8"/>
    </row>
    <row r="1719" spans="5:7" x14ac:dyDescent="0.15">
      <c r="E1719" s="8"/>
      <c r="F1719" s="8"/>
      <c r="G1719" s="8"/>
    </row>
    <row r="1720" spans="5:7" x14ac:dyDescent="0.15">
      <c r="E1720" s="8"/>
      <c r="F1720" s="8"/>
      <c r="G1720" s="8"/>
    </row>
    <row r="1721" spans="5:7" x14ac:dyDescent="0.15">
      <c r="E1721" s="8"/>
      <c r="F1721" s="8"/>
      <c r="G1721" s="8"/>
    </row>
    <row r="1722" spans="5:7" x14ac:dyDescent="0.15">
      <c r="E1722" s="8"/>
      <c r="F1722" s="8"/>
      <c r="G1722" s="8"/>
    </row>
    <row r="1723" spans="5:7" x14ac:dyDescent="0.15">
      <c r="E1723" s="8"/>
      <c r="F1723" s="8"/>
      <c r="G1723" s="8"/>
    </row>
    <row r="1724" spans="5:7" x14ac:dyDescent="0.15">
      <c r="E1724" s="8"/>
      <c r="F1724" s="8"/>
      <c r="G1724" s="8"/>
    </row>
    <row r="1725" spans="5:7" x14ac:dyDescent="0.15">
      <c r="E1725" s="8"/>
      <c r="F1725" s="8"/>
      <c r="G1725" s="8"/>
    </row>
    <row r="1726" spans="5:7" x14ac:dyDescent="0.15">
      <c r="E1726" s="8"/>
      <c r="F1726" s="8"/>
      <c r="G1726" s="8"/>
    </row>
    <row r="1727" spans="5:7" x14ac:dyDescent="0.15">
      <c r="E1727" s="8"/>
      <c r="F1727" s="8"/>
      <c r="G1727" s="8"/>
    </row>
    <row r="1728" spans="5:7" x14ac:dyDescent="0.15">
      <c r="E1728" s="8"/>
      <c r="F1728" s="8"/>
      <c r="G1728" s="8"/>
    </row>
    <row r="1729" spans="5:7" x14ac:dyDescent="0.15">
      <c r="E1729" s="8"/>
      <c r="F1729" s="8"/>
      <c r="G1729" s="8"/>
    </row>
    <row r="1730" spans="5:7" x14ac:dyDescent="0.15">
      <c r="E1730" s="8"/>
      <c r="F1730" s="8"/>
      <c r="G1730" s="8"/>
    </row>
    <row r="1731" spans="5:7" x14ac:dyDescent="0.15">
      <c r="E1731" s="8"/>
      <c r="F1731" s="8"/>
      <c r="G1731" s="8"/>
    </row>
    <row r="1732" spans="5:7" x14ac:dyDescent="0.15">
      <c r="E1732" s="8"/>
      <c r="F1732" s="8"/>
      <c r="G1732" s="8"/>
    </row>
    <row r="1733" spans="5:7" x14ac:dyDescent="0.15">
      <c r="E1733" s="8"/>
      <c r="F1733" s="8"/>
      <c r="G1733" s="8"/>
    </row>
    <row r="1734" spans="5:7" x14ac:dyDescent="0.15">
      <c r="E1734" s="8"/>
      <c r="F1734" s="8"/>
      <c r="G1734" s="8"/>
    </row>
    <row r="1735" spans="5:7" x14ac:dyDescent="0.15">
      <c r="E1735" s="8"/>
      <c r="F1735" s="8"/>
      <c r="G1735" s="8"/>
    </row>
    <row r="1736" spans="5:7" x14ac:dyDescent="0.15">
      <c r="E1736" s="8"/>
      <c r="F1736" s="8"/>
      <c r="G1736" s="8"/>
    </row>
    <row r="1737" spans="5:7" x14ac:dyDescent="0.15">
      <c r="E1737" s="8"/>
      <c r="F1737" s="8"/>
      <c r="G1737" s="8"/>
    </row>
    <row r="1738" spans="5:7" x14ac:dyDescent="0.15">
      <c r="E1738" s="8"/>
      <c r="F1738" s="8"/>
      <c r="G1738" s="8"/>
    </row>
    <row r="1739" spans="5:7" x14ac:dyDescent="0.15">
      <c r="E1739" s="8"/>
      <c r="F1739" s="8"/>
      <c r="G1739" s="8"/>
    </row>
    <row r="1740" spans="5:7" x14ac:dyDescent="0.15">
      <c r="E1740" s="8"/>
      <c r="F1740" s="8"/>
      <c r="G1740" s="8"/>
    </row>
    <row r="1741" spans="5:7" x14ac:dyDescent="0.15">
      <c r="E1741" s="8"/>
      <c r="F1741" s="8"/>
      <c r="G1741" s="8"/>
    </row>
    <row r="1742" spans="5:7" x14ac:dyDescent="0.15">
      <c r="E1742" s="8"/>
      <c r="F1742" s="8"/>
      <c r="G1742" s="8"/>
    </row>
    <row r="1743" spans="5:7" x14ac:dyDescent="0.15">
      <c r="E1743" s="8"/>
      <c r="F1743" s="8"/>
      <c r="G1743" s="8"/>
    </row>
    <row r="1744" spans="5:7" x14ac:dyDescent="0.15">
      <c r="E1744" s="8"/>
      <c r="F1744" s="8"/>
      <c r="G1744" s="8"/>
    </row>
    <row r="1745" spans="5:7" x14ac:dyDescent="0.15">
      <c r="E1745" s="8"/>
      <c r="F1745" s="8"/>
      <c r="G1745" s="8"/>
    </row>
    <row r="1746" spans="5:7" x14ac:dyDescent="0.15">
      <c r="E1746" s="8"/>
      <c r="F1746" s="8"/>
      <c r="G1746" s="8"/>
    </row>
    <row r="1747" spans="5:7" x14ac:dyDescent="0.15">
      <c r="E1747" s="8"/>
      <c r="F1747" s="8"/>
      <c r="G1747" s="8"/>
    </row>
    <row r="1748" spans="5:7" x14ac:dyDescent="0.15">
      <c r="E1748" s="8"/>
      <c r="F1748" s="8"/>
      <c r="G1748" s="8"/>
    </row>
    <row r="1749" spans="5:7" x14ac:dyDescent="0.15">
      <c r="E1749" s="8"/>
      <c r="F1749" s="8"/>
      <c r="G1749" s="8"/>
    </row>
    <row r="1750" spans="5:7" x14ac:dyDescent="0.15">
      <c r="E1750" s="8"/>
      <c r="F1750" s="8"/>
      <c r="G1750" s="8"/>
    </row>
    <row r="1751" spans="5:7" x14ac:dyDescent="0.15">
      <c r="E1751" s="8"/>
      <c r="F1751" s="8"/>
      <c r="G1751" s="8"/>
    </row>
    <row r="1752" spans="5:7" x14ac:dyDescent="0.15">
      <c r="E1752" s="8"/>
      <c r="F1752" s="8"/>
      <c r="G1752" s="8"/>
    </row>
    <row r="1753" spans="5:7" x14ac:dyDescent="0.15">
      <c r="E1753" s="8"/>
      <c r="F1753" s="8"/>
      <c r="G1753" s="8"/>
    </row>
    <row r="1754" spans="5:7" x14ac:dyDescent="0.15">
      <c r="E1754" s="8"/>
      <c r="F1754" s="8"/>
      <c r="G1754" s="8"/>
    </row>
    <row r="1755" spans="5:7" x14ac:dyDescent="0.15">
      <c r="E1755" s="8"/>
      <c r="F1755" s="8"/>
      <c r="G1755" s="8"/>
    </row>
    <row r="1756" spans="5:7" x14ac:dyDescent="0.15">
      <c r="E1756" s="8"/>
      <c r="F1756" s="8"/>
      <c r="G1756" s="8"/>
    </row>
    <row r="1757" spans="5:7" x14ac:dyDescent="0.15">
      <c r="E1757" s="8"/>
      <c r="F1757" s="8"/>
      <c r="G1757" s="8"/>
    </row>
    <row r="1758" spans="5:7" x14ac:dyDescent="0.15">
      <c r="E1758" s="8"/>
      <c r="F1758" s="8"/>
      <c r="G1758" s="8"/>
    </row>
    <row r="1759" spans="5:7" x14ac:dyDescent="0.15">
      <c r="E1759" s="8"/>
      <c r="F1759" s="8"/>
      <c r="G1759" s="8"/>
    </row>
    <row r="1760" spans="5:7" x14ac:dyDescent="0.15">
      <c r="E1760" s="8"/>
      <c r="F1760" s="8"/>
      <c r="G1760" s="8"/>
    </row>
    <row r="1761" spans="5:7" x14ac:dyDescent="0.15">
      <c r="E1761" s="8"/>
      <c r="F1761" s="8"/>
      <c r="G1761" s="8"/>
    </row>
    <row r="1762" spans="5:7" x14ac:dyDescent="0.15">
      <c r="E1762" s="8"/>
      <c r="F1762" s="8"/>
      <c r="G1762" s="8"/>
    </row>
    <row r="1763" spans="5:7" x14ac:dyDescent="0.15">
      <c r="E1763" s="8"/>
      <c r="F1763" s="8"/>
      <c r="G1763" s="8"/>
    </row>
    <row r="1764" spans="5:7" x14ac:dyDescent="0.15">
      <c r="E1764" s="8"/>
      <c r="F1764" s="8"/>
      <c r="G1764" s="8"/>
    </row>
    <row r="1765" spans="5:7" x14ac:dyDescent="0.15">
      <c r="E1765" s="8"/>
      <c r="F1765" s="8"/>
      <c r="G1765" s="8"/>
    </row>
    <row r="1766" spans="5:7" x14ac:dyDescent="0.15">
      <c r="E1766" s="8"/>
      <c r="F1766" s="8"/>
      <c r="G1766" s="8"/>
    </row>
    <row r="1767" spans="5:7" x14ac:dyDescent="0.15">
      <c r="E1767" s="8"/>
      <c r="F1767" s="8"/>
      <c r="G1767" s="8"/>
    </row>
    <row r="1768" spans="5:7" x14ac:dyDescent="0.15">
      <c r="E1768" s="8"/>
      <c r="F1768" s="8"/>
      <c r="G1768" s="8"/>
    </row>
    <row r="1769" spans="5:7" x14ac:dyDescent="0.15">
      <c r="E1769" s="8"/>
      <c r="F1769" s="8"/>
      <c r="G1769" s="8"/>
    </row>
    <row r="1770" spans="5:7" x14ac:dyDescent="0.15">
      <c r="E1770" s="8"/>
      <c r="F1770" s="8"/>
      <c r="G1770" s="8"/>
    </row>
    <row r="1771" spans="5:7" x14ac:dyDescent="0.15">
      <c r="E1771" s="8"/>
      <c r="F1771" s="8"/>
      <c r="G1771" s="8"/>
    </row>
    <row r="1772" spans="5:7" x14ac:dyDescent="0.15">
      <c r="E1772" s="8"/>
      <c r="F1772" s="8"/>
      <c r="G1772" s="8"/>
    </row>
    <row r="1773" spans="5:7" x14ac:dyDescent="0.15">
      <c r="E1773" s="8"/>
      <c r="F1773" s="8"/>
      <c r="G1773" s="8"/>
    </row>
    <row r="1774" spans="5:7" x14ac:dyDescent="0.15">
      <c r="E1774" s="8"/>
      <c r="F1774" s="8"/>
      <c r="G1774" s="8"/>
    </row>
    <row r="1775" spans="5:7" x14ac:dyDescent="0.15">
      <c r="E1775" s="8"/>
      <c r="F1775" s="8"/>
      <c r="G1775" s="8"/>
    </row>
    <row r="1776" spans="5:7" x14ac:dyDescent="0.15">
      <c r="E1776" s="8"/>
      <c r="F1776" s="8"/>
      <c r="G1776" s="8"/>
    </row>
    <row r="1777" spans="5:7" x14ac:dyDescent="0.15">
      <c r="E1777" s="8"/>
      <c r="F1777" s="8"/>
      <c r="G1777" s="8"/>
    </row>
    <row r="1778" spans="5:7" x14ac:dyDescent="0.15">
      <c r="E1778" s="8"/>
      <c r="F1778" s="8"/>
      <c r="G1778" s="8"/>
    </row>
    <row r="1779" spans="5:7" x14ac:dyDescent="0.15">
      <c r="E1779" s="8"/>
      <c r="F1779" s="8"/>
      <c r="G1779" s="8"/>
    </row>
    <row r="1780" spans="5:7" x14ac:dyDescent="0.15">
      <c r="E1780" s="8"/>
      <c r="F1780" s="8"/>
      <c r="G1780" s="8"/>
    </row>
    <row r="1781" spans="5:7" x14ac:dyDescent="0.15">
      <c r="E1781" s="8"/>
      <c r="F1781" s="8"/>
      <c r="G1781" s="8"/>
    </row>
    <row r="1782" spans="5:7" x14ac:dyDescent="0.15">
      <c r="E1782" s="8"/>
      <c r="F1782" s="8"/>
      <c r="G1782" s="8"/>
    </row>
    <row r="1783" spans="5:7" x14ac:dyDescent="0.15">
      <c r="E1783" s="8"/>
      <c r="F1783" s="8"/>
      <c r="G1783" s="8"/>
    </row>
    <row r="1784" spans="5:7" x14ac:dyDescent="0.15">
      <c r="E1784" s="8"/>
      <c r="F1784" s="8"/>
      <c r="G1784" s="8"/>
    </row>
    <row r="1785" spans="5:7" x14ac:dyDescent="0.15">
      <c r="E1785" s="8"/>
      <c r="F1785" s="8"/>
      <c r="G1785" s="8"/>
    </row>
    <row r="1786" spans="5:7" x14ac:dyDescent="0.15">
      <c r="E1786" s="8"/>
      <c r="F1786" s="8"/>
      <c r="G1786" s="8"/>
    </row>
    <row r="1787" spans="5:7" x14ac:dyDescent="0.15">
      <c r="E1787" s="8"/>
      <c r="F1787" s="8"/>
      <c r="G1787" s="8"/>
    </row>
    <row r="1788" spans="5:7" x14ac:dyDescent="0.15">
      <c r="E1788" s="8"/>
      <c r="F1788" s="8"/>
      <c r="G1788" s="8"/>
    </row>
    <row r="1789" spans="5:7" x14ac:dyDescent="0.15">
      <c r="E1789" s="8"/>
      <c r="F1789" s="8"/>
      <c r="G1789" s="8"/>
    </row>
    <row r="1790" spans="5:7" x14ac:dyDescent="0.15">
      <c r="E1790" s="8"/>
      <c r="F1790" s="8"/>
      <c r="G1790" s="8"/>
    </row>
    <row r="1791" spans="5:7" x14ac:dyDescent="0.15">
      <c r="E1791" s="8"/>
      <c r="F1791" s="8"/>
      <c r="G1791" s="8"/>
    </row>
    <row r="1792" spans="5:7" x14ac:dyDescent="0.15">
      <c r="E1792" s="8"/>
      <c r="F1792" s="8"/>
      <c r="G1792" s="8"/>
    </row>
    <row r="1793" spans="5:7" x14ac:dyDescent="0.15">
      <c r="E1793" s="8"/>
      <c r="F1793" s="8"/>
      <c r="G1793" s="8"/>
    </row>
    <row r="1794" spans="5:7" x14ac:dyDescent="0.15">
      <c r="E1794" s="8"/>
      <c r="F1794" s="8"/>
      <c r="G1794" s="8"/>
    </row>
    <row r="1795" spans="5:7" x14ac:dyDescent="0.15">
      <c r="E1795" s="8"/>
      <c r="F1795" s="8"/>
      <c r="G1795" s="8"/>
    </row>
    <row r="1796" spans="5:7" x14ac:dyDescent="0.15">
      <c r="E1796" s="8"/>
      <c r="F1796" s="8"/>
      <c r="G1796" s="8"/>
    </row>
    <row r="1797" spans="5:7" x14ac:dyDescent="0.15">
      <c r="E1797" s="8"/>
      <c r="F1797" s="8"/>
      <c r="G1797" s="8"/>
    </row>
    <row r="1798" spans="5:7" x14ac:dyDescent="0.15">
      <c r="E1798" s="8"/>
      <c r="F1798" s="8"/>
      <c r="G1798" s="8"/>
    </row>
    <row r="1799" spans="5:7" x14ac:dyDescent="0.15">
      <c r="E1799" s="8"/>
      <c r="F1799" s="8"/>
      <c r="G1799" s="8"/>
    </row>
    <row r="1800" spans="5:7" x14ac:dyDescent="0.15">
      <c r="E1800" s="8"/>
      <c r="F1800" s="8"/>
      <c r="G1800" s="8"/>
    </row>
    <row r="1801" spans="5:7" x14ac:dyDescent="0.15">
      <c r="E1801" s="8"/>
      <c r="F1801" s="8"/>
      <c r="G1801" s="8"/>
    </row>
    <row r="1802" spans="5:7" x14ac:dyDescent="0.15">
      <c r="E1802" s="8"/>
      <c r="F1802" s="8"/>
      <c r="G1802" s="8"/>
    </row>
    <row r="1803" spans="5:7" x14ac:dyDescent="0.15">
      <c r="E1803" s="8"/>
      <c r="F1803" s="8"/>
      <c r="G1803" s="8"/>
    </row>
    <row r="1804" spans="5:7" x14ac:dyDescent="0.15">
      <c r="E1804" s="8"/>
      <c r="F1804" s="8"/>
      <c r="G1804" s="8"/>
    </row>
    <row r="1805" spans="5:7" x14ac:dyDescent="0.15">
      <c r="E1805" s="8"/>
      <c r="F1805" s="8"/>
      <c r="G1805" s="8"/>
    </row>
    <row r="1806" spans="5:7" x14ac:dyDescent="0.15">
      <c r="E1806" s="8"/>
      <c r="F1806" s="8"/>
      <c r="G1806" s="8"/>
    </row>
    <row r="1807" spans="5:7" x14ac:dyDescent="0.15">
      <c r="E1807" s="8"/>
      <c r="F1807" s="8"/>
      <c r="G1807" s="8"/>
    </row>
    <row r="1808" spans="5:7" x14ac:dyDescent="0.15">
      <c r="E1808" s="8"/>
      <c r="F1808" s="8"/>
      <c r="G1808" s="8"/>
    </row>
    <row r="1809" spans="5:7" x14ac:dyDescent="0.15">
      <c r="E1809" s="8"/>
      <c r="F1809" s="8"/>
      <c r="G1809" s="8"/>
    </row>
    <row r="1810" spans="5:7" x14ac:dyDescent="0.15">
      <c r="E1810" s="8"/>
      <c r="F1810" s="8"/>
      <c r="G1810" s="8"/>
    </row>
    <row r="1811" spans="5:7" x14ac:dyDescent="0.15">
      <c r="E1811" s="8"/>
      <c r="F1811" s="8"/>
      <c r="G1811" s="8"/>
    </row>
    <row r="1812" spans="5:7" x14ac:dyDescent="0.15">
      <c r="E1812" s="8"/>
      <c r="F1812" s="8"/>
      <c r="G1812" s="8"/>
    </row>
    <row r="1813" spans="5:7" x14ac:dyDescent="0.15">
      <c r="E1813" s="8"/>
      <c r="F1813" s="8"/>
      <c r="G1813" s="8"/>
    </row>
    <row r="1814" spans="5:7" x14ac:dyDescent="0.15">
      <c r="E1814" s="8"/>
      <c r="F1814" s="8"/>
      <c r="G1814" s="8"/>
    </row>
    <row r="1815" spans="5:7" x14ac:dyDescent="0.15">
      <c r="E1815" s="8"/>
      <c r="F1815" s="8"/>
      <c r="G1815" s="8"/>
    </row>
    <row r="1816" spans="5:7" x14ac:dyDescent="0.15">
      <c r="E1816" s="8"/>
      <c r="F1816" s="8"/>
      <c r="G1816" s="8"/>
    </row>
    <row r="1817" spans="5:7" x14ac:dyDescent="0.15">
      <c r="E1817" s="8"/>
      <c r="F1817" s="8"/>
      <c r="G1817" s="8"/>
    </row>
    <row r="1818" spans="5:7" x14ac:dyDescent="0.15">
      <c r="E1818" s="8"/>
      <c r="F1818" s="8"/>
      <c r="G1818" s="8"/>
    </row>
    <row r="1819" spans="5:7" x14ac:dyDescent="0.15">
      <c r="E1819" s="8"/>
      <c r="F1819" s="8"/>
      <c r="G1819" s="8"/>
    </row>
    <row r="1820" spans="5:7" x14ac:dyDescent="0.15">
      <c r="E1820" s="8"/>
      <c r="F1820" s="8"/>
      <c r="G1820" s="8"/>
    </row>
    <row r="1821" spans="5:7" x14ac:dyDescent="0.15">
      <c r="E1821" s="8"/>
      <c r="F1821" s="8"/>
      <c r="G1821" s="8"/>
    </row>
    <row r="1822" spans="5:7" x14ac:dyDescent="0.15">
      <c r="E1822" s="8"/>
      <c r="F1822" s="8"/>
      <c r="G1822" s="8"/>
    </row>
    <row r="1823" spans="5:7" x14ac:dyDescent="0.15">
      <c r="E1823" s="8"/>
      <c r="F1823" s="8"/>
      <c r="G1823" s="8"/>
    </row>
    <row r="1824" spans="5:7" x14ac:dyDescent="0.15">
      <c r="E1824" s="8"/>
      <c r="F1824" s="8"/>
      <c r="G1824" s="8"/>
    </row>
    <row r="1825" spans="5:7" x14ac:dyDescent="0.15">
      <c r="E1825" s="8"/>
      <c r="F1825" s="8"/>
      <c r="G1825" s="8"/>
    </row>
    <row r="1826" spans="5:7" x14ac:dyDescent="0.15">
      <c r="E1826" s="8"/>
      <c r="F1826" s="8"/>
      <c r="G1826" s="8"/>
    </row>
    <row r="1827" spans="5:7" x14ac:dyDescent="0.15">
      <c r="E1827" s="8"/>
      <c r="F1827" s="8"/>
      <c r="G1827" s="8"/>
    </row>
    <row r="1828" spans="5:7" x14ac:dyDescent="0.15">
      <c r="E1828" s="8"/>
      <c r="F1828" s="8"/>
      <c r="G1828" s="8"/>
    </row>
    <row r="1829" spans="5:7" x14ac:dyDescent="0.15">
      <c r="E1829" s="8"/>
      <c r="F1829" s="8"/>
      <c r="G1829" s="8"/>
    </row>
    <row r="1830" spans="5:7" x14ac:dyDescent="0.15">
      <c r="E1830" s="8"/>
      <c r="F1830" s="8"/>
      <c r="G1830" s="8"/>
    </row>
    <row r="1831" spans="5:7" x14ac:dyDescent="0.15">
      <c r="E1831" s="8"/>
      <c r="F1831" s="8"/>
      <c r="G1831" s="8"/>
    </row>
    <row r="1832" spans="5:7" x14ac:dyDescent="0.15">
      <c r="E1832" s="8"/>
      <c r="F1832" s="8"/>
      <c r="G1832" s="8"/>
    </row>
    <row r="1833" spans="5:7" x14ac:dyDescent="0.15">
      <c r="E1833" s="8"/>
      <c r="F1833" s="8"/>
      <c r="G1833" s="8"/>
    </row>
    <row r="1834" spans="5:7" x14ac:dyDescent="0.15">
      <c r="E1834" s="8"/>
      <c r="F1834" s="8"/>
      <c r="G1834" s="8"/>
    </row>
    <row r="1835" spans="5:7" x14ac:dyDescent="0.15">
      <c r="E1835" s="8"/>
      <c r="F1835" s="8"/>
      <c r="G1835" s="8"/>
    </row>
    <row r="1836" spans="5:7" x14ac:dyDescent="0.15">
      <c r="E1836" s="8"/>
      <c r="F1836" s="8"/>
      <c r="G1836" s="8"/>
    </row>
    <row r="1837" spans="5:7" x14ac:dyDescent="0.15">
      <c r="E1837" s="8"/>
      <c r="F1837" s="8"/>
      <c r="G1837" s="8"/>
    </row>
    <row r="1838" spans="5:7" x14ac:dyDescent="0.15">
      <c r="E1838" s="8"/>
      <c r="F1838" s="8"/>
      <c r="G1838" s="8"/>
    </row>
    <row r="1839" spans="5:7" x14ac:dyDescent="0.15">
      <c r="E1839" s="8"/>
      <c r="F1839" s="8"/>
      <c r="G1839" s="8"/>
    </row>
    <row r="1840" spans="5:7" x14ac:dyDescent="0.15">
      <c r="E1840" s="8"/>
      <c r="F1840" s="8"/>
      <c r="G1840" s="8"/>
    </row>
    <row r="1841" spans="5:7" x14ac:dyDescent="0.15">
      <c r="E1841" s="8"/>
      <c r="F1841" s="8"/>
      <c r="G1841" s="8"/>
    </row>
    <row r="1842" spans="5:7" x14ac:dyDescent="0.15">
      <c r="E1842" s="8"/>
      <c r="F1842" s="8"/>
      <c r="G1842" s="8"/>
    </row>
    <row r="1843" spans="5:7" x14ac:dyDescent="0.15">
      <c r="E1843" s="8"/>
      <c r="F1843" s="8"/>
      <c r="G1843" s="8"/>
    </row>
    <row r="1844" spans="5:7" x14ac:dyDescent="0.15">
      <c r="E1844" s="8"/>
      <c r="F1844" s="8"/>
      <c r="G1844" s="8"/>
    </row>
    <row r="1845" spans="5:7" x14ac:dyDescent="0.15">
      <c r="E1845" s="8"/>
      <c r="F1845" s="8"/>
      <c r="G1845" s="8"/>
    </row>
    <row r="1846" spans="5:7" x14ac:dyDescent="0.15">
      <c r="E1846" s="8"/>
      <c r="F1846" s="8"/>
      <c r="G1846" s="8"/>
    </row>
    <row r="1847" spans="5:7" x14ac:dyDescent="0.15">
      <c r="E1847" s="8"/>
      <c r="F1847" s="8"/>
      <c r="G1847" s="8"/>
    </row>
    <row r="1848" spans="5:7" x14ac:dyDescent="0.15">
      <c r="E1848" s="8"/>
      <c r="F1848" s="8"/>
      <c r="G1848" s="8"/>
    </row>
    <row r="1849" spans="5:7" x14ac:dyDescent="0.15">
      <c r="E1849" s="8"/>
      <c r="F1849" s="8"/>
      <c r="G1849" s="8"/>
    </row>
    <row r="1850" spans="5:7" x14ac:dyDescent="0.15">
      <c r="E1850" s="8"/>
      <c r="F1850" s="8"/>
      <c r="G1850" s="8"/>
    </row>
    <row r="1851" spans="5:7" x14ac:dyDescent="0.15">
      <c r="E1851" s="8"/>
      <c r="F1851" s="8"/>
      <c r="G1851" s="8"/>
    </row>
    <row r="1852" spans="5:7" x14ac:dyDescent="0.15">
      <c r="E1852" s="8"/>
      <c r="F1852" s="8"/>
      <c r="G1852" s="8"/>
    </row>
    <row r="1853" spans="5:7" x14ac:dyDescent="0.15">
      <c r="E1853" s="8"/>
      <c r="F1853" s="8"/>
      <c r="G1853" s="8"/>
    </row>
    <row r="1854" spans="5:7" x14ac:dyDescent="0.15">
      <c r="E1854" s="8"/>
      <c r="F1854" s="8"/>
      <c r="G1854" s="8"/>
    </row>
    <row r="1855" spans="5:7" x14ac:dyDescent="0.15">
      <c r="E1855" s="8"/>
      <c r="F1855" s="8"/>
      <c r="G1855" s="8"/>
    </row>
    <row r="1856" spans="5:7" x14ac:dyDescent="0.15">
      <c r="E1856" s="8"/>
      <c r="F1856" s="8"/>
      <c r="G1856" s="8"/>
    </row>
    <row r="1857" spans="5:7" x14ac:dyDescent="0.15">
      <c r="E1857" s="8"/>
      <c r="F1857" s="8"/>
      <c r="G1857" s="8"/>
    </row>
    <row r="1858" spans="5:7" x14ac:dyDescent="0.15">
      <c r="E1858" s="8"/>
      <c r="F1858" s="8"/>
      <c r="G1858" s="8"/>
    </row>
    <row r="1859" spans="5:7" x14ac:dyDescent="0.15">
      <c r="E1859" s="8"/>
      <c r="F1859" s="8"/>
      <c r="G1859" s="8"/>
    </row>
    <row r="1860" spans="5:7" x14ac:dyDescent="0.15">
      <c r="E1860" s="8"/>
      <c r="F1860" s="8"/>
      <c r="G1860" s="8"/>
    </row>
    <row r="1861" spans="5:7" x14ac:dyDescent="0.15">
      <c r="E1861" s="8"/>
      <c r="F1861" s="8"/>
      <c r="G1861" s="8"/>
    </row>
    <row r="1862" spans="5:7" x14ac:dyDescent="0.15">
      <c r="E1862" s="8"/>
      <c r="F1862" s="8"/>
      <c r="G1862" s="8"/>
    </row>
    <row r="1863" spans="5:7" x14ac:dyDescent="0.15">
      <c r="E1863" s="8"/>
      <c r="F1863" s="8"/>
      <c r="G1863" s="8"/>
    </row>
    <row r="1864" spans="5:7" x14ac:dyDescent="0.15">
      <c r="E1864" s="8"/>
      <c r="F1864" s="8"/>
      <c r="G1864" s="8"/>
    </row>
    <row r="1865" spans="5:7" x14ac:dyDescent="0.15">
      <c r="E1865" s="8"/>
      <c r="F1865" s="8"/>
      <c r="G1865" s="8"/>
    </row>
    <row r="1866" spans="5:7" x14ac:dyDescent="0.15">
      <c r="E1866" s="8"/>
      <c r="F1866" s="8"/>
      <c r="G1866" s="8"/>
    </row>
    <row r="1867" spans="5:7" x14ac:dyDescent="0.15">
      <c r="E1867" s="8"/>
      <c r="F1867" s="8"/>
      <c r="G1867" s="8"/>
    </row>
    <row r="1868" spans="5:7" x14ac:dyDescent="0.15">
      <c r="E1868" s="8"/>
      <c r="F1868" s="8"/>
      <c r="G1868" s="8"/>
    </row>
    <row r="1869" spans="5:7" x14ac:dyDescent="0.15">
      <c r="E1869" s="8"/>
      <c r="F1869" s="8"/>
      <c r="G1869" s="8"/>
    </row>
    <row r="1870" spans="5:7" x14ac:dyDescent="0.15">
      <c r="E1870" s="8"/>
      <c r="F1870" s="8"/>
      <c r="G1870" s="8"/>
    </row>
    <row r="1871" spans="5:7" x14ac:dyDescent="0.15">
      <c r="E1871" s="8"/>
      <c r="F1871" s="8"/>
      <c r="G1871" s="8"/>
    </row>
    <row r="1872" spans="5:7" x14ac:dyDescent="0.15">
      <c r="E1872" s="8"/>
      <c r="F1872" s="8"/>
      <c r="G1872" s="8"/>
    </row>
    <row r="1873" spans="5:7" x14ac:dyDescent="0.15">
      <c r="E1873" s="8"/>
      <c r="F1873" s="8"/>
      <c r="G1873" s="8"/>
    </row>
    <row r="1874" spans="5:7" x14ac:dyDescent="0.15">
      <c r="E1874" s="8"/>
      <c r="F1874" s="8"/>
      <c r="G1874" s="8"/>
    </row>
    <row r="1875" spans="5:7" x14ac:dyDescent="0.15">
      <c r="E1875" s="8"/>
      <c r="F1875" s="8"/>
      <c r="G1875" s="8"/>
    </row>
    <row r="1876" spans="5:7" x14ac:dyDescent="0.15">
      <c r="E1876" s="8"/>
      <c r="F1876" s="8"/>
      <c r="G1876" s="8"/>
    </row>
    <row r="1877" spans="5:7" x14ac:dyDescent="0.15">
      <c r="E1877" s="8"/>
      <c r="F1877" s="8"/>
      <c r="G1877" s="8"/>
    </row>
    <row r="1878" spans="5:7" x14ac:dyDescent="0.15">
      <c r="E1878" s="8"/>
      <c r="F1878" s="8"/>
      <c r="G1878" s="8"/>
    </row>
    <row r="1879" spans="5:7" x14ac:dyDescent="0.15">
      <c r="E1879" s="8"/>
      <c r="F1879" s="8"/>
      <c r="G1879" s="8"/>
    </row>
    <row r="1880" spans="5:7" x14ac:dyDescent="0.15">
      <c r="E1880" s="8"/>
      <c r="F1880" s="8"/>
      <c r="G1880" s="8"/>
    </row>
    <row r="1881" spans="5:7" x14ac:dyDescent="0.15">
      <c r="E1881" s="8"/>
      <c r="F1881" s="8"/>
      <c r="G1881" s="8"/>
    </row>
    <row r="1882" spans="5:7" x14ac:dyDescent="0.15">
      <c r="E1882" s="8"/>
      <c r="F1882" s="8"/>
      <c r="G1882" s="8"/>
    </row>
    <row r="1883" spans="5:7" x14ac:dyDescent="0.15">
      <c r="E1883" s="8"/>
      <c r="F1883" s="8"/>
      <c r="G1883" s="8"/>
    </row>
    <row r="1884" spans="5:7" x14ac:dyDescent="0.15">
      <c r="E1884" s="8"/>
      <c r="F1884" s="8"/>
      <c r="G1884" s="8"/>
    </row>
    <row r="1885" spans="5:7" x14ac:dyDescent="0.15">
      <c r="E1885" s="8"/>
      <c r="F1885" s="8"/>
      <c r="G1885" s="8"/>
    </row>
    <row r="1886" spans="5:7" x14ac:dyDescent="0.15">
      <c r="E1886" s="8"/>
      <c r="F1886" s="8"/>
      <c r="G1886" s="8"/>
    </row>
    <row r="1887" spans="5:7" x14ac:dyDescent="0.15">
      <c r="E1887" s="8"/>
      <c r="F1887" s="8"/>
      <c r="G1887" s="8"/>
    </row>
    <row r="1888" spans="5:7" x14ac:dyDescent="0.15">
      <c r="E1888" s="8"/>
      <c r="F1888" s="8"/>
      <c r="G1888" s="8"/>
    </row>
    <row r="1889" spans="5:7" x14ac:dyDescent="0.15">
      <c r="E1889" s="8"/>
      <c r="F1889" s="8"/>
      <c r="G1889" s="8"/>
    </row>
    <row r="1890" spans="5:7" x14ac:dyDescent="0.15">
      <c r="E1890" s="8"/>
      <c r="F1890" s="8"/>
      <c r="G1890" s="8"/>
    </row>
    <row r="1891" spans="5:7" x14ac:dyDescent="0.15">
      <c r="E1891" s="8"/>
      <c r="F1891" s="8"/>
      <c r="G1891" s="8"/>
    </row>
    <row r="1892" spans="5:7" x14ac:dyDescent="0.15">
      <c r="E1892" s="8"/>
      <c r="F1892" s="8"/>
      <c r="G1892" s="8"/>
    </row>
    <row r="1893" spans="5:7" x14ac:dyDescent="0.15">
      <c r="E1893" s="8"/>
      <c r="F1893" s="8"/>
      <c r="G1893" s="8"/>
    </row>
    <row r="1894" spans="5:7" x14ac:dyDescent="0.15">
      <c r="E1894" s="8"/>
      <c r="F1894" s="8"/>
      <c r="G1894" s="8"/>
    </row>
    <row r="1895" spans="5:7" x14ac:dyDescent="0.15">
      <c r="E1895" s="8"/>
      <c r="F1895" s="8"/>
      <c r="G1895" s="8"/>
    </row>
    <row r="1896" spans="5:7" x14ac:dyDescent="0.15">
      <c r="E1896" s="8"/>
      <c r="F1896" s="8"/>
      <c r="G1896" s="8"/>
    </row>
    <row r="1897" spans="5:7" x14ac:dyDescent="0.15">
      <c r="E1897" s="8"/>
      <c r="F1897" s="8"/>
      <c r="G1897" s="8"/>
    </row>
    <row r="1898" spans="5:7" x14ac:dyDescent="0.15">
      <c r="E1898" s="8"/>
      <c r="F1898" s="8"/>
      <c r="G1898" s="8"/>
    </row>
    <row r="1899" spans="5:7" x14ac:dyDescent="0.15">
      <c r="E1899" s="8"/>
      <c r="F1899" s="8"/>
      <c r="G1899" s="8"/>
    </row>
    <row r="1900" spans="5:7" x14ac:dyDescent="0.15">
      <c r="E1900" s="8"/>
      <c r="F1900" s="8"/>
      <c r="G1900" s="8"/>
    </row>
    <row r="1901" spans="5:7" x14ac:dyDescent="0.15">
      <c r="E1901" s="8"/>
      <c r="F1901" s="8"/>
      <c r="G1901" s="8"/>
    </row>
    <row r="1902" spans="5:7" x14ac:dyDescent="0.15">
      <c r="E1902" s="8"/>
      <c r="F1902" s="8"/>
      <c r="G1902" s="8"/>
    </row>
    <row r="1903" spans="5:7" x14ac:dyDescent="0.15">
      <c r="E1903" s="8"/>
      <c r="F1903" s="8"/>
      <c r="G1903" s="8"/>
    </row>
    <row r="1904" spans="5:7" x14ac:dyDescent="0.15">
      <c r="E1904" s="8"/>
      <c r="F1904" s="8"/>
      <c r="G1904" s="8"/>
    </row>
    <row r="1905" spans="5:7" x14ac:dyDescent="0.15">
      <c r="E1905" s="8"/>
      <c r="F1905" s="8"/>
      <c r="G1905" s="8"/>
    </row>
    <row r="1906" spans="5:7" x14ac:dyDescent="0.15">
      <c r="E1906" s="8"/>
      <c r="F1906" s="8"/>
      <c r="G1906" s="8"/>
    </row>
    <row r="1907" spans="5:7" x14ac:dyDescent="0.15">
      <c r="E1907" s="8"/>
      <c r="F1907" s="8"/>
      <c r="G1907" s="8"/>
    </row>
    <row r="1908" spans="5:7" x14ac:dyDescent="0.15">
      <c r="E1908" s="8"/>
      <c r="F1908" s="8"/>
      <c r="G1908" s="8"/>
    </row>
    <row r="1909" spans="5:7" x14ac:dyDescent="0.15">
      <c r="E1909" s="8"/>
      <c r="F1909" s="8"/>
      <c r="G1909" s="8"/>
    </row>
    <row r="1910" spans="5:7" x14ac:dyDescent="0.15">
      <c r="E1910" s="8"/>
      <c r="F1910" s="8"/>
      <c r="G1910" s="8"/>
    </row>
    <row r="1911" spans="5:7" x14ac:dyDescent="0.15">
      <c r="E1911" s="8"/>
      <c r="F1911" s="8"/>
      <c r="G1911" s="8"/>
    </row>
    <row r="1912" spans="5:7" x14ac:dyDescent="0.15">
      <c r="E1912" s="8"/>
      <c r="F1912" s="8"/>
      <c r="G1912" s="8"/>
    </row>
    <row r="1913" spans="5:7" x14ac:dyDescent="0.15">
      <c r="E1913" s="8"/>
      <c r="F1913" s="8"/>
      <c r="G1913" s="8"/>
    </row>
    <row r="1914" spans="5:7" x14ac:dyDescent="0.15">
      <c r="E1914" s="8"/>
      <c r="F1914" s="8"/>
      <c r="G1914" s="8"/>
    </row>
    <row r="1915" spans="5:7" x14ac:dyDescent="0.15">
      <c r="E1915" s="8"/>
      <c r="F1915" s="8"/>
      <c r="G1915" s="8"/>
    </row>
    <row r="1916" spans="5:7" x14ac:dyDescent="0.15">
      <c r="E1916" s="8"/>
      <c r="F1916" s="8"/>
      <c r="G1916" s="8"/>
    </row>
    <row r="1917" spans="5:7" x14ac:dyDescent="0.15">
      <c r="E1917" s="8"/>
      <c r="F1917" s="8"/>
      <c r="G1917" s="8"/>
    </row>
    <row r="1918" spans="5:7" x14ac:dyDescent="0.15">
      <c r="E1918" s="8"/>
      <c r="F1918" s="8"/>
      <c r="G1918" s="8"/>
    </row>
    <row r="1919" spans="5:7" x14ac:dyDescent="0.15">
      <c r="E1919" s="8"/>
      <c r="F1919" s="8"/>
      <c r="G1919" s="8"/>
    </row>
    <row r="1920" spans="5:7" x14ac:dyDescent="0.15">
      <c r="E1920" s="8"/>
      <c r="F1920" s="8"/>
      <c r="G1920" s="8"/>
    </row>
    <row r="1921" spans="5:7" x14ac:dyDescent="0.15">
      <c r="E1921" s="8"/>
      <c r="F1921" s="8"/>
      <c r="G1921" s="8"/>
    </row>
    <row r="1922" spans="5:7" x14ac:dyDescent="0.15">
      <c r="E1922" s="8"/>
      <c r="F1922" s="8"/>
      <c r="G1922" s="8"/>
    </row>
    <row r="1923" spans="5:7" x14ac:dyDescent="0.15">
      <c r="E1923" s="8"/>
      <c r="F1923" s="8"/>
      <c r="G1923" s="8"/>
    </row>
    <row r="1924" spans="5:7" x14ac:dyDescent="0.15">
      <c r="E1924" s="8"/>
      <c r="F1924" s="8"/>
      <c r="G1924" s="8"/>
    </row>
    <row r="1925" spans="5:7" x14ac:dyDescent="0.15">
      <c r="E1925" s="8"/>
      <c r="F1925" s="8"/>
      <c r="G1925" s="8"/>
    </row>
    <row r="1926" spans="5:7" x14ac:dyDescent="0.15">
      <c r="E1926" s="8"/>
      <c r="F1926" s="8"/>
      <c r="G1926" s="8"/>
    </row>
    <row r="1927" spans="5:7" x14ac:dyDescent="0.15">
      <c r="E1927" s="8"/>
      <c r="F1927" s="8"/>
      <c r="G1927" s="8"/>
    </row>
    <row r="1928" spans="5:7" x14ac:dyDescent="0.15">
      <c r="E1928" s="8"/>
      <c r="F1928" s="8"/>
      <c r="G1928" s="8"/>
    </row>
    <row r="1929" spans="5:7" x14ac:dyDescent="0.15">
      <c r="E1929" s="8"/>
      <c r="F1929" s="8"/>
      <c r="G1929" s="8"/>
    </row>
    <row r="1930" spans="5:7" x14ac:dyDescent="0.15">
      <c r="E1930" s="8"/>
      <c r="F1930" s="8"/>
      <c r="G1930" s="8"/>
    </row>
    <row r="1931" spans="5:7" x14ac:dyDescent="0.15">
      <c r="E1931" s="8"/>
      <c r="F1931" s="8"/>
      <c r="G1931" s="8"/>
    </row>
    <row r="1932" spans="5:7" x14ac:dyDescent="0.15">
      <c r="E1932" s="8"/>
      <c r="F1932" s="8"/>
      <c r="G1932" s="8"/>
    </row>
    <row r="1933" spans="5:7" x14ac:dyDescent="0.15">
      <c r="E1933" s="8"/>
      <c r="F1933" s="8"/>
      <c r="G1933" s="8"/>
    </row>
    <row r="1934" spans="5:7" x14ac:dyDescent="0.15">
      <c r="E1934" s="8"/>
      <c r="F1934" s="8"/>
      <c r="G1934" s="8"/>
    </row>
    <row r="1935" spans="5:7" x14ac:dyDescent="0.15">
      <c r="E1935" s="8"/>
      <c r="F1935" s="8"/>
      <c r="G1935" s="8"/>
    </row>
    <row r="1936" spans="5:7" x14ac:dyDescent="0.15">
      <c r="E1936" s="8"/>
      <c r="F1936" s="8"/>
      <c r="G1936" s="8"/>
    </row>
    <row r="1937" spans="5:7" x14ac:dyDescent="0.15">
      <c r="E1937" s="8"/>
      <c r="F1937" s="8"/>
      <c r="G1937" s="8"/>
    </row>
    <row r="1938" spans="5:7" x14ac:dyDescent="0.15">
      <c r="E1938" s="8"/>
      <c r="F1938" s="8"/>
      <c r="G1938" s="8"/>
    </row>
    <row r="1939" spans="5:7" x14ac:dyDescent="0.15">
      <c r="E1939" s="8"/>
      <c r="F1939" s="8"/>
      <c r="G1939" s="8"/>
    </row>
    <row r="1940" spans="5:7" x14ac:dyDescent="0.15">
      <c r="E1940" s="8"/>
      <c r="F1940" s="8"/>
      <c r="G1940" s="8"/>
    </row>
    <row r="1941" spans="5:7" x14ac:dyDescent="0.15">
      <c r="E1941" s="8"/>
      <c r="F1941" s="8"/>
      <c r="G1941" s="8"/>
    </row>
    <row r="1942" spans="5:7" x14ac:dyDescent="0.15">
      <c r="E1942" s="8"/>
      <c r="F1942" s="8"/>
      <c r="G1942" s="8"/>
    </row>
    <row r="1943" spans="5:7" x14ac:dyDescent="0.15">
      <c r="E1943" s="8"/>
      <c r="F1943" s="8"/>
      <c r="G1943" s="8"/>
    </row>
    <row r="1944" spans="5:7" x14ac:dyDescent="0.15">
      <c r="E1944" s="8"/>
      <c r="F1944" s="8"/>
      <c r="G1944" s="8"/>
    </row>
    <row r="1945" spans="5:7" x14ac:dyDescent="0.15">
      <c r="E1945" s="8"/>
      <c r="F1945" s="8"/>
      <c r="G1945" s="8"/>
    </row>
    <row r="1946" spans="5:7" x14ac:dyDescent="0.15">
      <c r="E1946" s="8"/>
      <c r="F1946" s="8"/>
      <c r="G1946" s="8"/>
    </row>
    <row r="1947" spans="5:7" x14ac:dyDescent="0.15">
      <c r="E1947" s="8"/>
      <c r="F1947" s="8"/>
      <c r="G1947" s="8"/>
    </row>
    <row r="1948" spans="5:7" x14ac:dyDescent="0.15">
      <c r="E1948" s="8"/>
      <c r="F1948" s="8"/>
      <c r="G1948" s="8"/>
    </row>
    <row r="1949" spans="5:7" x14ac:dyDescent="0.15">
      <c r="E1949" s="8"/>
      <c r="F1949" s="8"/>
      <c r="G1949" s="8"/>
    </row>
    <row r="1950" spans="5:7" x14ac:dyDescent="0.15">
      <c r="E1950" s="8"/>
      <c r="F1950" s="8"/>
      <c r="G1950" s="8"/>
    </row>
    <row r="1951" spans="5:7" x14ac:dyDescent="0.15">
      <c r="E1951" s="8"/>
      <c r="F1951" s="8"/>
      <c r="G1951" s="8"/>
    </row>
    <row r="1952" spans="5:7" x14ac:dyDescent="0.15">
      <c r="E1952" s="8"/>
      <c r="F1952" s="8"/>
      <c r="G1952" s="8"/>
    </row>
    <row r="1953" spans="5:7" x14ac:dyDescent="0.15">
      <c r="E1953" s="8"/>
      <c r="F1953" s="8"/>
      <c r="G1953" s="8"/>
    </row>
    <row r="1954" spans="5:7" x14ac:dyDescent="0.15">
      <c r="E1954" s="8"/>
      <c r="F1954" s="8"/>
      <c r="G1954" s="8"/>
    </row>
    <row r="1955" spans="5:7" x14ac:dyDescent="0.15">
      <c r="E1955" s="8"/>
      <c r="F1955" s="8"/>
      <c r="G1955" s="8"/>
    </row>
    <row r="1956" spans="5:7" x14ac:dyDescent="0.15">
      <c r="E1956" s="8"/>
      <c r="F1956" s="8"/>
      <c r="G1956" s="8"/>
    </row>
    <row r="1957" spans="5:7" x14ac:dyDescent="0.15">
      <c r="E1957" s="8"/>
      <c r="F1957" s="8"/>
      <c r="G1957" s="8"/>
    </row>
    <row r="1958" spans="5:7" x14ac:dyDescent="0.15">
      <c r="E1958" s="8"/>
      <c r="F1958" s="8"/>
      <c r="G1958" s="8"/>
    </row>
    <row r="1959" spans="5:7" x14ac:dyDescent="0.15">
      <c r="E1959" s="8"/>
      <c r="F1959" s="8"/>
      <c r="G1959" s="8"/>
    </row>
    <row r="1960" spans="5:7" x14ac:dyDescent="0.15">
      <c r="E1960" s="8"/>
      <c r="F1960" s="8"/>
      <c r="G1960" s="8"/>
    </row>
    <row r="1961" spans="5:7" x14ac:dyDescent="0.15">
      <c r="E1961" s="8"/>
      <c r="F1961" s="8"/>
      <c r="G1961" s="8"/>
    </row>
    <row r="1962" spans="5:7" x14ac:dyDescent="0.15">
      <c r="E1962" s="8"/>
      <c r="F1962" s="8"/>
      <c r="G1962" s="8"/>
    </row>
    <row r="1963" spans="5:7" x14ac:dyDescent="0.15">
      <c r="E1963" s="8"/>
      <c r="F1963" s="8"/>
      <c r="G1963" s="8"/>
    </row>
    <row r="1964" spans="5:7" x14ac:dyDescent="0.15">
      <c r="E1964" s="8"/>
      <c r="F1964" s="8"/>
      <c r="G1964" s="8"/>
    </row>
    <row r="1965" spans="5:7" x14ac:dyDescent="0.15">
      <c r="E1965" s="8"/>
      <c r="F1965" s="8"/>
      <c r="G1965" s="8"/>
    </row>
    <row r="1966" spans="5:7" x14ac:dyDescent="0.15">
      <c r="E1966" s="8"/>
      <c r="F1966" s="8"/>
      <c r="G1966" s="8"/>
    </row>
    <row r="1967" spans="5:7" x14ac:dyDescent="0.15">
      <c r="E1967" s="8"/>
      <c r="F1967" s="8"/>
      <c r="G1967" s="8"/>
    </row>
    <row r="1968" spans="5:7" x14ac:dyDescent="0.15">
      <c r="E1968" s="8"/>
      <c r="F1968" s="8"/>
      <c r="G1968" s="8"/>
    </row>
    <row r="1969" spans="5:7" x14ac:dyDescent="0.15">
      <c r="E1969" s="8"/>
      <c r="F1969" s="8"/>
      <c r="G1969" s="8"/>
    </row>
    <row r="1970" spans="5:7" x14ac:dyDescent="0.15">
      <c r="E1970" s="8"/>
      <c r="F1970" s="8"/>
      <c r="G1970" s="8"/>
    </row>
    <row r="1971" spans="5:7" x14ac:dyDescent="0.15">
      <c r="E1971" s="8"/>
      <c r="F1971" s="8"/>
      <c r="G1971" s="8"/>
    </row>
    <row r="1972" spans="5:7" x14ac:dyDescent="0.15">
      <c r="E1972" s="8"/>
      <c r="F1972" s="8"/>
      <c r="G1972" s="8"/>
    </row>
    <row r="1973" spans="5:7" x14ac:dyDescent="0.15">
      <c r="E1973" s="8"/>
      <c r="F1973" s="8"/>
      <c r="G1973" s="8"/>
    </row>
    <row r="1974" spans="5:7" x14ac:dyDescent="0.15">
      <c r="E1974" s="8"/>
      <c r="F1974" s="8"/>
      <c r="G1974" s="8"/>
    </row>
    <row r="1975" spans="5:7" x14ac:dyDescent="0.15">
      <c r="E1975" s="8"/>
      <c r="F1975" s="8"/>
      <c r="G1975" s="8"/>
    </row>
    <row r="1976" spans="5:7" x14ac:dyDescent="0.15">
      <c r="E1976" s="8"/>
      <c r="F1976" s="8"/>
      <c r="G1976" s="8"/>
    </row>
    <row r="1977" spans="5:7" x14ac:dyDescent="0.15">
      <c r="E1977" s="8"/>
      <c r="F1977" s="8"/>
      <c r="G1977" s="8"/>
    </row>
    <row r="1978" spans="5:7" x14ac:dyDescent="0.15">
      <c r="E1978" s="8"/>
      <c r="F1978" s="8"/>
      <c r="G1978" s="8"/>
    </row>
    <row r="1979" spans="5:7" x14ac:dyDescent="0.15">
      <c r="E1979" s="8"/>
      <c r="F1979" s="8"/>
      <c r="G1979" s="8"/>
    </row>
    <row r="1980" spans="5:7" x14ac:dyDescent="0.15">
      <c r="E1980" s="8"/>
      <c r="F1980" s="8"/>
      <c r="G1980" s="8"/>
    </row>
    <row r="1981" spans="5:7" x14ac:dyDescent="0.15">
      <c r="E1981" s="8"/>
      <c r="F1981" s="8"/>
      <c r="G1981" s="8"/>
    </row>
    <row r="1982" spans="5:7" x14ac:dyDescent="0.15">
      <c r="E1982" s="8"/>
      <c r="F1982" s="8"/>
      <c r="G1982" s="8"/>
    </row>
    <row r="1983" spans="5:7" x14ac:dyDescent="0.15">
      <c r="E1983" s="8"/>
      <c r="F1983" s="8"/>
      <c r="G1983" s="8"/>
    </row>
    <row r="1984" spans="5:7" x14ac:dyDescent="0.15">
      <c r="E1984" s="8"/>
      <c r="F1984" s="8"/>
      <c r="G1984" s="8"/>
    </row>
    <row r="1985" spans="5:7" x14ac:dyDescent="0.15">
      <c r="E1985" s="8"/>
      <c r="F1985" s="8"/>
      <c r="G1985" s="8"/>
    </row>
    <row r="1986" spans="5:7" x14ac:dyDescent="0.15">
      <c r="E1986" s="8"/>
      <c r="F1986" s="8"/>
      <c r="G1986" s="8"/>
    </row>
    <row r="1987" spans="5:7" x14ac:dyDescent="0.15">
      <c r="E1987" s="8"/>
      <c r="F1987" s="8"/>
      <c r="G1987" s="8"/>
    </row>
    <row r="1988" spans="5:7" x14ac:dyDescent="0.15">
      <c r="E1988" s="8"/>
      <c r="F1988" s="8"/>
      <c r="G1988" s="8"/>
    </row>
    <row r="1989" spans="5:7" x14ac:dyDescent="0.15">
      <c r="E1989" s="8"/>
      <c r="F1989" s="8"/>
      <c r="G1989" s="8"/>
    </row>
    <row r="1990" spans="5:7" x14ac:dyDescent="0.15">
      <c r="E1990" s="8"/>
      <c r="F1990" s="8"/>
      <c r="G1990" s="8"/>
    </row>
    <row r="1991" spans="5:7" x14ac:dyDescent="0.15">
      <c r="E1991" s="8"/>
      <c r="F1991" s="8"/>
      <c r="G1991" s="8"/>
    </row>
    <row r="1992" spans="5:7" x14ac:dyDescent="0.15">
      <c r="E1992" s="8"/>
      <c r="F1992" s="8"/>
      <c r="G1992" s="8"/>
    </row>
    <row r="1993" spans="5:7" x14ac:dyDescent="0.15">
      <c r="E1993" s="8"/>
      <c r="F1993" s="8"/>
      <c r="G1993" s="8"/>
    </row>
    <row r="1994" spans="5:7" x14ac:dyDescent="0.15">
      <c r="E1994" s="8"/>
      <c r="F1994" s="8"/>
      <c r="G1994" s="8"/>
    </row>
    <row r="1995" spans="5:7" x14ac:dyDescent="0.15">
      <c r="E1995" s="8"/>
      <c r="F1995" s="8"/>
      <c r="G1995" s="8"/>
    </row>
    <row r="1996" spans="5:7" x14ac:dyDescent="0.15">
      <c r="E1996" s="8"/>
      <c r="F1996" s="8"/>
      <c r="G1996" s="8"/>
    </row>
    <row r="1997" spans="5:7" x14ac:dyDescent="0.15">
      <c r="E1997" s="8"/>
      <c r="F1997" s="8"/>
      <c r="G1997" s="8"/>
    </row>
    <row r="1998" spans="5:7" x14ac:dyDescent="0.15">
      <c r="E1998" s="8"/>
      <c r="F1998" s="8"/>
      <c r="G1998" s="8"/>
    </row>
    <row r="1999" spans="5:7" x14ac:dyDescent="0.15">
      <c r="E1999" s="8"/>
      <c r="F1999" s="8"/>
      <c r="G1999" s="8"/>
    </row>
    <row r="2000" spans="5:7" x14ac:dyDescent="0.15">
      <c r="E2000" s="8"/>
      <c r="F2000" s="8"/>
      <c r="G2000" s="8"/>
    </row>
    <row r="2001" spans="5:7" x14ac:dyDescent="0.15">
      <c r="E2001" s="8"/>
      <c r="F2001" s="8"/>
      <c r="G2001" s="8"/>
    </row>
    <row r="2002" spans="5:7" x14ac:dyDescent="0.15">
      <c r="E2002" s="8"/>
      <c r="F2002" s="8"/>
      <c r="G2002" s="8"/>
    </row>
    <row r="2003" spans="5:7" x14ac:dyDescent="0.15">
      <c r="E2003" s="8"/>
      <c r="F2003" s="8"/>
      <c r="G2003" s="8"/>
    </row>
    <row r="2004" spans="5:7" x14ac:dyDescent="0.15">
      <c r="E2004" s="8"/>
      <c r="F2004" s="8"/>
      <c r="G2004" s="8"/>
    </row>
    <row r="2005" spans="5:7" x14ac:dyDescent="0.15">
      <c r="E2005" s="8"/>
      <c r="F2005" s="8"/>
      <c r="G2005" s="8"/>
    </row>
    <row r="2006" spans="5:7" x14ac:dyDescent="0.15">
      <c r="E2006" s="8"/>
      <c r="F2006" s="8"/>
      <c r="G2006" s="8"/>
    </row>
    <row r="2007" spans="5:7" x14ac:dyDescent="0.15">
      <c r="E2007" s="8"/>
      <c r="F2007" s="8"/>
      <c r="G2007" s="8"/>
    </row>
    <row r="2008" spans="5:7" x14ac:dyDescent="0.15">
      <c r="E2008" s="8"/>
      <c r="F2008" s="8"/>
      <c r="G2008" s="8"/>
    </row>
    <row r="2009" spans="5:7" x14ac:dyDescent="0.15">
      <c r="E2009" s="8"/>
      <c r="F2009" s="8"/>
      <c r="G2009" s="8"/>
    </row>
    <row r="2010" spans="5:7" x14ac:dyDescent="0.15">
      <c r="E2010" s="8"/>
      <c r="F2010" s="8"/>
      <c r="G2010" s="8"/>
    </row>
    <row r="2011" spans="5:7" x14ac:dyDescent="0.15">
      <c r="E2011" s="8"/>
      <c r="F2011" s="8"/>
      <c r="G2011" s="8"/>
    </row>
    <row r="2012" spans="5:7" x14ac:dyDescent="0.15">
      <c r="E2012" s="8"/>
      <c r="F2012" s="8"/>
      <c r="G2012" s="8"/>
    </row>
    <row r="2013" spans="5:7" x14ac:dyDescent="0.15">
      <c r="E2013" s="8"/>
      <c r="F2013" s="8"/>
      <c r="G2013" s="8"/>
    </row>
    <row r="2014" spans="5:7" x14ac:dyDescent="0.15">
      <c r="E2014" s="8"/>
      <c r="F2014" s="8"/>
      <c r="G2014" s="8"/>
    </row>
    <row r="2015" spans="5:7" x14ac:dyDescent="0.15">
      <c r="E2015" s="8"/>
      <c r="F2015" s="8"/>
      <c r="G2015" s="8"/>
    </row>
    <row r="2016" spans="5:7" x14ac:dyDescent="0.15">
      <c r="E2016" s="8"/>
      <c r="F2016" s="8"/>
      <c r="G2016" s="8"/>
    </row>
    <row r="2017" spans="5:7" x14ac:dyDescent="0.15">
      <c r="E2017" s="8"/>
      <c r="F2017" s="8"/>
      <c r="G2017" s="8"/>
    </row>
    <row r="2018" spans="5:7" x14ac:dyDescent="0.15">
      <c r="E2018" s="8"/>
      <c r="F2018" s="8"/>
      <c r="G2018" s="8"/>
    </row>
    <row r="2019" spans="5:7" x14ac:dyDescent="0.15">
      <c r="E2019" s="8"/>
      <c r="F2019" s="8"/>
      <c r="G2019" s="8"/>
    </row>
    <row r="2020" spans="5:7" x14ac:dyDescent="0.15">
      <c r="E2020" s="8"/>
      <c r="F2020" s="8"/>
      <c r="G2020" s="8"/>
    </row>
    <row r="2021" spans="5:7" x14ac:dyDescent="0.15">
      <c r="E2021" s="8"/>
      <c r="F2021" s="8"/>
      <c r="G2021" s="8"/>
    </row>
    <row r="2022" spans="5:7" x14ac:dyDescent="0.15">
      <c r="E2022" s="8"/>
      <c r="F2022" s="8"/>
      <c r="G2022" s="8"/>
    </row>
    <row r="2023" spans="5:7" x14ac:dyDescent="0.15">
      <c r="E2023" s="8"/>
      <c r="F2023" s="8"/>
      <c r="G2023" s="8"/>
    </row>
    <row r="2024" spans="5:7" x14ac:dyDescent="0.15">
      <c r="E2024" s="8"/>
      <c r="F2024" s="8"/>
      <c r="G2024" s="8"/>
    </row>
    <row r="2025" spans="5:7" x14ac:dyDescent="0.15">
      <c r="E2025" s="8"/>
      <c r="F2025" s="8"/>
      <c r="G2025" s="8"/>
    </row>
    <row r="2026" spans="5:7" x14ac:dyDescent="0.15">
      <c r="E2026" s="8"/>
      <c r="F2026" s="8"/>
      <c r="G2026" s="8"/>
    </row>
    <row r="2027" spans="5:7" x14ac:dyDescent="0.15">
      <c r="E2027" s="8"/>
      <c r="F2027" s="8"/>
      <c r="G2027" s="8"/>
    </row>
    <row r="2028" spans="5:7" x14ac:dyDescent="0.15">
      <c r="E2028" s="8"/>
      <c r="F2028" s="8"/>
      <c r="G2028" s="8"/>
    </row>
    <row r="2029" spans="5:7" x14ac:dyDescent="0.15">
      <c r="E2029" s="8"/>
      <c r="F2029" s="8"/>
      <c r="G2029" s="8"/>
    </row>
    <row r="2030" spans="5:7" x14ac:dyDescent="0.15">
      <c r="E2030" s="8"/>
      <c r="F2030" s="8"/>
      <c r="G2030" s="8"/>
    </row>
    <row r="2031" spans="5:7" x14ac:dyDescent="0.15">
      <c r="E2031" s="8"/>
      <c r="F2031" s="8"/>
      <c r="G2031" s="8"/>
    </row>
    <row r="2032" spans="5:7" x14ac:dyDescent="0.15">
      <c r="E2032" s="8"/>
      <c r="F2032" s="8"/>
      <c r="G2032" s="8"/>
    </row>
    <row r="2033" spans="5:7" x14ac:dyDescent="0.15">
      <c r="E2033" s="8"/>
      <c r="F2033" s="8"/>
      <c r="G2033" s="8"/>
    </row>
    <row r="2034" spans="5:7" x14ac:dyDescent="0.15">
      <c r="E2034" s="8"/>
      <c r="F2034" s="8"/>
      <c r="G2034" s="8"/>
    </row>
    <row r="2035" spans="5:7" x14ac:dyDescent="0.15">
      <c r="E2035" s="8"/>
      <c r="F2035" s="8"/>
      <c r="G2035" s="8"/>
    </row>
    <row r="2036" spans="5:7" x14ac:dyDescent="0.15">
      <c r="E2036" s="8"/>
      <c r="F2036" s="8"/>
      <c r="G2036" s="8"/>
    </row>
    <row r="2037" spans="5:7" x14ac:dyDescent="0.15">
      <c r="E2037" s="8"/>
      <c r="F2037" s="8"/>
      <c r="G2037" s="8"/>
    </row>
    <row r="2038" spans="5:7" x14ac:dyDescent="0.15">
      <c r="E2038" s="8"/>
      <c r="F2038" s="8"/>
      <c r="G2038" s="8"/>
    </row>
    <row r="2039" spans="5:7" x14ac:dyDescent="0.15">
      <c r="E2039" s="8"/>
      <c r="F2039" s="8"/>
      <c r="G2039" s="8"/>
    </row>
    <row r="2040" spans="5:7" x14ac:dyDescent="0.15">
      <c r="E2040" s="8"/>
      <c r="F2040" s="8"/>
      <c r="G2040" s="8"/>
    </row>
    <row r="2041" spans="5:7" x14ac:dyDescent="0.15">
      <c r="E2041" s="8"/>
      <c r="F2041" s="8"/>
      <c r="G2041" s="8"/>
    </row>
    <row r="2042" spans="5:7" x14ac:dyDescent="0.15">
      <c r="E2042" s="8"/>
      <c r="F2042" s="8"/>
      <c r="G2042" s="8"/>
    </row>
    <row r="2043" spans="5:7" x14ac:dyDescent="0.15">
      <c r="E2043" s="8"/>
      <c r="F2043" s="8"/>
      <c r="G2043" s="8"/>
    </row>
    <row r="2044" spans="5:7" x14ac:dyDescent="0.15">
      <c r="E2044" s="8"/>
      <c r="F2044" s="8"/>
      <c r="G2044" s="8"/>
    </row>
    <row r="2045" spans="5:7" x14ac:dyDescent="0.15">
      <c r="E2045" s="8"/>
      <c r="F2045" s="8"/>
      <c r="G2045" s="8"/>
    </row>
    <row r="2046" spans="5:7" x14ac:dyDescent="0.15">
      <c r="E2046" s="8"/>
      <c r="F2046" s="8"/>
      <c r="G2046" s="8"/>
    </row>
    <row r="2047" spans="5:7" x14ac:dyDescent="0.15">
      <c r="E2047" s="8"/>
      <c r="F2047" s="8"/>
      <c r="G2047" s="8"/>
    </row>
    <row r="2048" spans="5:7" x14ac:dyDescent="0.15">
      <c r="E2048" s="8"/>
      <c r="F2048" s="8"/>
      <c r="G2048" s="8"/>
    </row>
    <row r="2049" spans="5:7" x14ac:dyDescent="0.15">
      <c r="E2049" s="8"/>
      <c r="F2049" s="8"/>
      <c r="G2049" s="8"/>
    </row>
    <row r="2050" spans="5:7" x14ac:dyDescent="0.15">
      <c r="E2050" s="8"/>
      <c r="F2050" s="8"/>
      <c r="G2050" s="8"/>
    </row>
    <row r="2051" spans="5:7" x14ac:dyDescent="0.15">
      <c r="E2051" s="8"/>
      <c r="F2051" s="8"/>
      <c r="G2051" s="8"/>
    </row>
    <row r="2052" spans="5:7" x14ac:dyDescent="0.15">
      <c r="E2052" s="8"/>
      <c r="F2052" s="8"/>
      <c r="G2052" s="8"/>
    </row>
    <row r="2053" spans="5:7" x14ac:dyDescent="0.15">
      <c r="E2053" s="8"/>
      <c r="F2053" s="8"/>
      <c r="G2053" s="8"/>
    </row>
    <row r="2054" spans="5:7" x14ac:dyDescent="0.15">
      <c r="E2054" s="8"/>
      <c r="F2054" s="8"/>
      <c r="G2054" s="8"/>
    </row>
    <row r="2055" spans="5:7" x14ac:dyDescent="0.15">
      <c r="E2055" s="8"/>
      <c r="F2055" s="8"/>
      <c r="G2055" s="8"/>
    </row>
    <row r="2056" spans="5:7" x14ac:dyDescent="0.15">
      <c r="E2056" s="8"/>
      <c r="F2056" s="8"/>
      <c r="G2056" s="8"/>
    </row>
    <row r="2057" spans="5:7" x14ac:dyDescent="0.15">
      <c r="E2057" s="8"/>
      <c r="F2057" s="8"/>
      <c r="G2057" s="8"/>
    </row>
    <row r="2058" spans="5:7" x14ac:dyDescent="0.15">
      <c r="E2058" s="8"/>
      <c r="F2058" s="8"/>
      <c r="G2058" s="8"/>
    </row>
    <row r="2059" spans="5:7" x14ac:dyDescent="0.15">
      <c r="E2059" s="8"/>
      <c r="F2059" s="8"/>
      <c r="G2059" s="8"/>
    </row>
    <row r="2060" spans="5:7" x14ac:dyDescent="0.15">
      <c r="E2060" s="8"/>
      <c r="F2060" s="8"/>
      <c r="G2060" s="8"/>
    </row>
    <row r="2061" spans="5:7" x14ac:dyDescent="0.15">
      <c r="E2061" s="8"/>
      <c r="F2061" s="8"/>
      <c r="G2061" s="8"/>
    </row>
    <row r="2062" spans="5:7" x14ac:dyDescent="0.15">
      <c r="E2062" s="8"/>
      <c r="F2062" s="8"/>
      <c r="G2062" s="8"/>
    </row>
    <row r="2063" spans="5:7" x14ac:dyDescent="0.15">
      <c r="E2063" s="8"/>
      <c r="F2063" s="8"/>
      <c r="G2063" s="8"/>
    </row>
    <row r="2064" spans="5:7" x14ac:dyDescent="0.15">
      <c r="E2064" s="8"/>
      <c r="F2064" s="8"/>
      <c r="G2064" s="8"/>
    </row>
    <row r="2065" spans="5:7" x14ac:dyDescent="0.15">
      <c r="E2065" s="8"/>
      <c r="F2065" s="8"/>
      <c r="G2065" s="8"/>
    </row>
    <row r="2066" spans="5:7" x14ac:dyDescent="0.15">
      <c r="E2066" s="8"/>
      <c r="F2066" s="8"/>
      <c r="G2066" s="8"/>
    </row>
    <row r="2067" spans="5:7" x14ac:dyDescent="0.15">
      <c r="E2067" s="8"/>
      <c r="F2067" s="8"/>
      <c r="G2067" s="8"/>
    </row>
    <row r="2068" spans="5:7" x14ac:dyDescent="0.15">
      <c r="E2068" s="8"/>
      <c r="F2068" s="8"/>
      <c r="G2068" s="8"/>
    </row>
    <row r="2069" spans="5:7" x14ac:dyDescent="0.15">
      <c r="E2069" s="8"/>
      <c r="F2069" s="8"/>
      <c r="G2069" s="8"/>
    </row>
    <row r="2070" spans="5:7" x14ac:dyDescent="0.15">
      <c r="E2070" s="8"/>
      <c r="F2070" s="8"/>
      <c r="G2070" s="8"/>
    </row>
    <row r="2071" spans="5:7" x14ac:dyDescent="0.15">
      <c r="E2071" s="8"/>
      <c r="F2071" s="8"/>
      <c r="G2071" s="8"/>
    </row>
    <row r="2072" spans="5:7" x14ac:dyDescent="0.15">
      <c r="E2072" s="8"/>
      <c r="F2072" s="8"/>
      <c r="G2072" s="8"/>
    </row>
    <row r="2073" spans="5:7" x14ac:dyDescent="0.15">
      <c r="E2073" s="8"/>
      <c r="F2073" s="8"/>
      <c r="G2073" s="8"/>
    </row>
    <row r="2074" spans="5:7" x14ac:dyDescent="0.15">
      <c r="E2074" s="8"/>
      <c r="F2074" s="8"/>
      <c r="G2074" s="8"/>
    </row>
    <row r="2075" spans="5:7" x14ac:dyDescent="0.15">
      <c r="E2075" s="8"/>
      <c r="F2075" s="8"/>
      <c r="G2075" s="8"/>
    </row>
    <row r="2076" spans="5:7" x14ac:dyDescent="0.15">
      <c r="E2076" s="8"/>
      <c r="F2076" s="8"/>
      <c r="G2076" s="8"/>
    </row>
    <row r="2077" spans="5:7" x14ac:dyDescent="0.15">
      <c r="E2077" s="8"/>
      <c r="F2077" s="8"/>
      <c r="G2077" s="8"/>
    </row>
    <row r="2078" spans="5:7" x14ac:dyDescent="0.15">
      <c r="E2078" s="8"/>
      <c r="F2078" s="8"/>
      <c r="G2078" s="8"/>
    </row>
    <row r="2079" spans="5:7" x14ac:dyDescent="0.15">
      <c r="E2079" s="8"/>
      <c r="F2079" s="8"/>
      <c r="G2079" s="8"/>
    </row>
    <row r="2080" spans="5:7" x14ac:dyDescent="0.15">
      <c r="E2080" s="8"/>
      <c r="F2080" s="8"/>
      <c r="G2080" s="8"/>
    </row>
    <row r="2081" spans="5:7" x14ac:dyDescent="0.15">
      <c r="E2081" s="8"/>
      <c r="F2081" s="8"/>
      <c r="G2081" s="8"/>
    </row>
    <row r="2082" spans="5:7" x14ac:dyDescent="0.15">
      <c r="E2082" s="8"/>
      <c r="F2082" s="8"/>
      <c r="G2082" s="8"/>
    </row>
    <row r="2083" spans="5:7" x14ac:dyDescent="0.15">
      <c r="E2083" s="8"/>
      <c r="F2083" s="8"/>
      <c r="G2083" s="8"/>
    </row>
    <row r="2084" spans="5:7" x14ac:dyDescent="0.15">
      <c r="E2084" s="8"/>
      <c r="F2084" s="8"/>
      <c r="G2084" s="8"/>
    </row>
    <row r="2085" spans="5:7" x14ac:dyDescent="0.15">
      <c r="E2085" s="8"/>
      <c r="F2085" s="8"/>
      <c r="G2085" s="8"/>
    </row>
    <row r="2086" spans="5:7" x14ac:dyDescent="0.15">
      <c r="E2086" s="8"/>
      <c r="F2086" s="8"/>
      <c r="G2086" s="8"/>
    </row>
    <row r="2087" spans="5:7" x14ac:dyDescent="0.15">
      <c r="E2087" s="8"/>
      <c r="F2087" s="8"/>
      <c r="G2087" s="8"/>
    </row>
    <row r="2088" spans="5:7" x14ac:dyDescent="0.15">
      <c r="E2088" s="8"/>
      <c r="F2088" s="8"/>
      <c r="G2088" s="8"/>
    </row>
    <row r="2089" spans="5:7" x14ac:dyDescent="0.15">
      <c r="E2089" s="8"/>
      <c r="F2089" s="8"/>
      <c r="G2089" s="8"/>
    </row>
    <row r="2090" spans="5:7" x14ac:dyDescent="0.15">
      <c r="E2090" s="8"/>
      <c r="F2090" s="8"/>
      <c r="G2090" s="8"/>
    </row>
    <row r="2091" spans="5:7" x14ac:dyDescent="0.15">
      <c r="E2091" s="8"/>
      <c r="F2091" s="8"/>
      <c r="G2091" s="8"/>
    </row>
    <row r="2092" spans="5:7" x14ac:dyDescent="0.15">
      <c r="E2092" s="8"/>
      <c r="F2092" s="8"/>
      <c r="G2092" s="8"/>
    </row>
    <row r="2093" spans="5:7" x14ac:dyDescent="0.15">
      <c r="E2093" s="8"/>
      <c r="F2093" s="8"/>
      <c r="G2093" s="8"/>
    </row>
    <row r="2094" spans="5:7" x14ac:dyDescent="0.15">
      <c r="E2094" s="8"/>
      <c r="F2094" s="8"/>
      <c r="G2094" s="8"/>
    </row>
    <row r="2095" spans="5:7" x14ac:dyDescent="0.15">
      <c r="E2095" s="8"/>
      <c r="F2095" s="8"/>
      <c r="G2095" s="8"/>
    </row>
    <row r="2096" spans="5:7" x14ac:dyDescent="0.15">
      <c r="E2096" s="8"/>
      <c r="F2096" s="8"/>
      <c r="G2096" s="8"/>
    </row>
    <row r="2097" spans="5:7" x14ac:dyDescent="0.15">
      <c r="E2097" s="8"/>
      <c r="F2097" s="8"/>
      <c r="G2097" s="8"/>
    </row>
    <row r="2098" spans="5:7" x14ac:dyDescent="0.15">
      <c r="E2098" s="8"/>
      <c r="F2098" s="8"/>
      <c r="G2098" s="8"/>
    </row>
    <row r="2099" spans="5:7" x14ac:dyDescent="0.15">
      <c r="E2099" s="8"/>
      <c r="F2099" s="8"/>
      <c r="G2099" s="8"/>
    </row>
    <row r="2100" spans="5:7" x14ac:dyDescent="0.15">
      <c r="E2100" s="8"/>
      <c r="F2100" s="8"/>
      <c r="G2100" s="8"/>
    </row>
    <row r="2101" spans="5:7" x14ac:dyDescent="0.15">
      <c r="E2101" s="8"/>
      <c r="F2101" s="8"/>
      <c r="G2101" s="8"/>
    </row>
    <row r="2102" spans="5:7" x14ac:dyDescent="0.15">
      <c r="E2102" s="8"/>
      <c r="F2102" s="8"/>
      <c r="G2102" s="8"/>
    </row>
    <row r="2103" spans="5:7" x14ac:dyDescent="0.15">
      <c r="E2103" s="8"/>
      <c r="F2103" s="8"/>
      <c r="G2103" s="8"/>
    </row>
    <row r="2104" spans="5:7" x14ac:dyDescent="0.15">
      <c r="E2104" s="8"/>
      <c r="F2104" s="8"/>
      <c r="G2104" s="8"/>
    </row>
    <row r="2105" spans="5:7" x14ac:dyDescent="0.15">
      <c r="E2105" s="8"/>
      <c r="F2105" s="8"/>
      <c r="G2105" s="8"/>
    </row>
    <row r="2106" spans="5:7" x14ac:dyDescent="0.15">
      <c r="E2106" s="8"/>
      <c r="F2106" s="8"/>
      <c r="G2106" s="8"/>
    </row>
    <row r="2107" spans="5:7" x14ac:dyDescent="0.15">
      <c r="E2107" s="8"/>
      <c r="F2107" s="8"/>
      <c r="G2107" s="8"/>
    </row>
    <row r="2108" spans="5:7" x14ac:dyDescent="0.15">
      <c r="E2108" s="8"/>
      <c r="F2108" s="8"/>
      <c r="G2108" s="8"/>
    </row>
    <row r="2109" spans="5:7" x14ac:dyDescent="0.15">
      <c r="E2109" s="8"/>
      <c r="F2109" s="8"/>
      <c r="G2109" s="8"/>
    </row>
    <row r="2110" spans="5:7" x14ac:dyDescent="0.15">
      <c r="E2110" s="8"/>
      <c r="F2110" s="8"/>
      <c r="G2110" s="8"/>
    </row>
    <row r="2111" spans="5:7" x14ac:dyDescent="0.15">
      <c r="E2111" s="8"/>
      <c r="F2111" s="8"/>
      <c r="G2111" s="8"/>
    </row>
    <row r="2112" spans="5:7" x14ac:dyDescent="0.15">
      <c r="E2112" s="8"/>
      <c r="F2112" s="8"/>
      <c r="G2112" s="8"/>
    </row>
    <row r="2113" spans="5:7" x14ac:dyDescent="0.15">
      <c r="E2113" s="8"/>
      <c r="F2113" s="8"/>
      <c r="G2113" s="8"/>
    </row>
    <row r="2114" spans="5:7" x14ac:dyDescent="0.15">
      <c r="E2114" s="8"/>
      <c r="F2114" s="8"/>
      <c r="G2114" s="8"/>
    </row>
    <row r="2115" spans="5:7" x14ac:dyDescent="0.15">
      <c r="E2115" s="8"/>
      <c r="F2115" s="8"/>
      <c r="G2115" s="8"/>
    </row>
    <row r="2116" spans="5:7" x14ac:dyDescent="0.15">
      <c r="E2116" s="8"/>
      <c r="F2116" s="8"/>
      <c r="G2116" s="8"/>
    </row>
    <row r="2117" spans="5:7" x14ac:dyDescent="0.15">
      <c r="E2117" s="8"/>
      <c r="F2117" s="8"/>
      <c r="G2117" s="8"/>
    </row>
    <row r="2118" spans="5:7" x14ac:dyDescent="0.15">
      <c r="E2118" s="8"/>
      <c r="F2118" s="8"/>
      <c r="G2118" s="8"/>
    </row>
    <row r="2119" spans="5:7" x14ac:dyDescent="0.15">
      <c r="E2119" s="8"/>
      <c r="F2119" s="8"/>
      <c r="G2119" s="8"/>
    </row>
    <row r="2120" spans="5:7" x14ac:dyDescent="0.15">
      <c r="E2120" s="8"/>
      <c r="F2120" s="8"/>
      <c r="G2120" s="8"/>
    </row>
    <row r="2121" spans="5:7" x14ac:dyDescent="0.15">
      <c r="E2121" s="8"/>
      <c r="F2121" s="8"/>
      <c r="G2121" s="8"/>
    </row>
    <row r="2122" spans="5:7" x14ac:dyDescent="0.15">
      <c r="E2122" s="8"/>
      <c r="F2122" s="8"/>
      <c r="G2122" s="8"/>
    </row>
    <row r="2123" spans="5:7" x14ac:dyDescent="0.15">
      <c r="E2123" s="8"/>
      <c r="F2123" s="8"/>
      <c r="G2123" s="8"/>
    </row>
    <row r="2124" spans="5:7" x14ac:dyDescent="0.15">
      <c r="E2124" s="8"/>
      <c r="F2124" s="8"/>
      <c r="G2124" s="8"/>
    </row>
    <row r="2125" spans="5:7" x14ac:dyDescent="0.15">
      <c r="E2125" s="8"/>
      <c r="F2125" s="8"/>
      <c r="G2125" s="8"/>
    </row>
    <row r="2126" spans="5:7" x14ac:dyDescent="0.15">
      <c r="E2126" s="8"/>
      <c r="F2126" s="8"/>
      <c r="G2126" s="8"/>
    </row>
    <row r="2127" spans="5:7" x14ac:dyDescent="0.15">
      <c r="E2127" s="8"/>
      <c r="F2127" s="8"/>
      <c r="G2127" s="8"/>
    </row>
    <row r="2128" spans="5:7" x14ac:dyDescent="0.15">
      <c r="E2128" s="8"/>
      <c r="F2128" s="8"/>
      <c r="G2128" s="8"/>
    </row>
    <row r="2129" spans="5:7" x14ac:dyDescent="0.15">
      <c r="E2129" s="8"/>
      <c r="F2129" s="8"/>
      <c r="G2129" s="8"/>
    </row>
    <row r="2130" spans="5:7" x14ac:dyDescent="0.15">
      <c r="E2130" s="8"/>
      <c r="F2130" s="8"/>
      <c r="G2130" s="8"/>
    </row>
    <row r="2131" spans="5:7" x14ac:dyDescent="0.15">
      <c r="E2131" s="8"/>
      <c r="F2131" s="8"/>
      <c r="G2131" s="8"/>
    </row>
    <row r="2132" spans="5:7" x14ac:dyDescent="0.15">
      <c r="E2132" s="8"/>
      <c r="F2132" s="8"/>
      <c r="G2132" s="8"/>
    </row>
    <row r="2133" spans="5:7" x14ac:dyDescent="0.15">
      <c r="E2133" s="8"/>
      <c r="F2133" s="8"/>
      <c r="G2133" s="8"/>
    </row>
    <row r="2134" spans="5:7" x14ac:dyDescent="0.15">
      <c r="E2134" s="8"/>
      <c r="F2134" s="8"/>
      <c r="G2134" s="8"/>
    </row>
    <row r="2135" spans="5:7" x14ac:dyDescent="0.15">
      <c r="E2135" s="8"/>
      <c r="F2135" s="8"/>
      <c r="G2135" s="8"/>
    </row>
    <row r="2136" spans="5:7" x14ac:dyDescent="0.15">
      <c r="E2136" s="8"/>
      <c r="F2136" s="8"/>
      <c r="G2136" s="8"/>
    </row>
    <row r="2137" spans="5:7" x14ac:dyDescent="0.15">
      <c r="E2137" s="8"/>
      <c r="F2137" s="8"/>
      <c r="G2137" s="8"/>
    </row>
    <row r="2138" spans="5:7" x14ac:dyDescent="0.15">
      <c r="E2138" s="8"/>
      <c r="F2138" s="8"/>
      <c r="G2138" s="8"/>
    </row>
    <row r="2139" spans="5:7" x14ac:dyDescent="0.15">
      <c r="E2139" s="8"/>
      <c r="F2139" s="8"/>
      <c r="G2139" s="8"/>
    </row>
    <row r="2140" spans="5:7" x14ac:dyDescent="0.15">
      <c r="E2140" s="8"/>
      <c r="F2140" s="8"/>
      <c r="G2140" s="8"/>
    </row>
    <row r="2141" spans="5:7" x14ac:dyDescent="0.15">
      <c r="E2141" s="8"/>
      <c r="F2141" s="8"/>
      <c r="G2141" s="8"/>
    </row>
    <row r="2142" spans="5:7" x14ac:dyDescent="0.15">
      <c r="E2142" s="8"/>
      <c r="F2142" s="8"/>
      <c r="G2142" s="8"/>
    </row>
    <row r="2143" spans="5:7" x14ac:dyDescent="0.15">
      <c r="E2143" s="8"/>
      <c r="F2143" s="8"/>
      <c r="G2143" s="8"/>
    </row>
    <row r="2144" spans="5:7" x14ac:dyDescent="0.15">
      <c r="E2144" s="8"/>
      <c r="F2144" s="8"/>
      <c r="G2144" s="8"/>
    </row>
    <row r="2145" spans="5:7" x14ac:dyDescent="0.15">
      <c r="E2145" s="8"/>
      <c r="F2145" s="8"/>
      <c r="G2145" s="8"/>
    </row>
    <row r="2146" spans="5:7" x14ac:dyDescent="0.15">
      <c r="E2146" s="8"/>
      <c r="F2146" s="8"/>
      <c r="G2146" s="8"/>
    </row>
    <row r="2147" spans="5:7" x14ac:dyDescent="0.15">
      <c r="E2147" s="8"/>
      <c r="F2147" s="8"/>
      <c r="G2147" s="8"/>
    </row>
    <row r="2148" spans="5:7" x14ac:dyDescent="0.15">
      <c r="E2148" s="8"/>
      <c r="F2148" s="8"/>
      <c r="G2148" s="8"/>
    </row>
    <row r="2149" spans="5:7" x14ac:dyDescent="0.15">
      <c r="E2149" s="8"/>
      <c r="F2149" s="8"/>
      <c r="G2149" s="8"/>
    </row>
    <row r="2150" spans="5:7" x14ac:dyDescent="0.15">
      <c r="E2150" s="8"/>
      <c r="F2150" s="8"/>
      <c r="G2150" s="8"/>
    </row>
    <row r="2151" spans="5:7" x14ac:dyDescent="0.15">
      <c r="E2151" s="8"/>
      <c r="F2151" s="8"/>
      <c r="G2151" s="8"/>
    </row>
    <row r="2152" spans="5:7" x14ac:dyDescent="0.15">
      <c r="E2152" s="8"/>
      <c r="F2152" s="8"/>
      <c r="G2152" s="8"/>
    </row>
    <row r="2153" spans="5:7" x14ac:dyDescent="0.15">
      <c r="E2153" s="8"/>
      <c r="F2153" s="8"/>
      <c r="G2153" s="8"/>
    </row>
    <row r="2154" spans="5:7" x14ac:dyDescent="0.15">
      <c r="E2154" s="8"/>
      <c r="F2154" s="8"/>
      <c r="G2154" s="8"/>
    </row>
    <row r="2155" spans="5:7" x14ac:dyDescent="0.15">
      <c r="E2155" s="8"/>
      <c r="F2155" s="8"/>
      <c r="G2155" s="8"/>
    </row>
    <row r="2156" spans="5:7" x14ac:dyDescent="0.15">
      <c r="E2156" s="8"/>
      <c r="F2156" s="8"/>
      <c r="G2156" s="8"/>
    </row>
    <row r="2157" spans="5:7" x14ac:dyDescent="0.15">
      <c r="E2157" s="8"/>
      <c r="F2157" s="8"/>
      <c r="G2157" s="8"/>
    </row>
    <row r="2158" spans="5:7" x14ac:dyDescent="0.15">
      <c r="E2158" s="8"/>
      <c r="F2158" s="8"/>
      <c r="G2158" s="8"/>
    </row>
    <row r="2159" spans="5:7" x14ac:dyDescent="0.15">
      <c r="E2159" s="8"/>
      <c r="F2159" s="8"/>
      <c r="G2159" s="8"/>
    </row>
    <row r="2160" spans="5:7" x14ac:dyDescent="0.15">
      <c r="E2160" s="8"/>
      <c r="F2160" s="8"/>
      <c r="G2160" s="8"/>
    </row>
    <row r="2161" spans="5:7" x14ac:dyDescent="0.15">
      <c r="E2161" s="8"/>
      <c r="F2161" s="8"/>
      <c r="G2161" s="8"/>
    </row>
    <row r="2162" spans="5:7" x14ac:dyDescent="0.15">
      <c r="E2162" s="8"/>
      <c r="F2162" s="8"/>
      <c r="G2162" s="8"/>
    </row>
    <row r="2163" spans="5:7" x14ac:dyDescent="0.15">
      <c r="E2163" s="8"/>
      <c r="F2163" s="8"/>
      <c r="G2163" s="8"/>
    </row>
    <row r="2164" spans="5:7" x14ac:dyDescent="0.15">
      <c r="E2164" s="8"/>
      <c r="F2164" s="8"/>
      <c r="G2164" s="8"/>
    </row>
    <row r="2165" spans="5:7" x14ac:dyDescent="0.15">
      <c r="E2165" s="8"/>
      <c r="F2165" s="8"/>
      <c r="G2165" s="8"/>
    </row>
    <row r="2166" spans="5:7" x14ac:dyDescent="0.15">
      <c r="E2166" s="8"/>
      <c r="F2166" s="8"/>
      <c r="G2166" s="8"/>
    </row>
    <row r="2167" spans="5:7" x14ac:dyDescent="0.15">
      <c r="E2167" s="8"/>
      <c r="F2167" s="8"/>
      <c r="G2167" s="8"/>
    </row>
    <row r="2168" spans="5:7" x14ac:dyDescent="0.15">
      <c r="E2168" s="8"/>
      <c r="F2168" s="8"/>
      <c r="G2168" s="8"/>
    </row>
    <row r="2169" spans="5:7" x14ac:dyDescent="0.15">
      <c r="E2169" s="8"/>
      <c r="F2169" s="8"/>
      <c r="G2169" s="8"/>
    </row>
    <row r="2170" spans="5:7" x14ac:dyDescent="0.15">
      <c r="E2170" s="8"/>
      <c r="F2170" s="8"/>
      <c r="G2170" s="8"/>
    </row>
    <row r="2171" spans="5:7" x14ac:dyDescent="0.15">
      <c r="E2171" s="8"/>
      <c r="F2171" s="8"/>
      <c r="G2171" s="8"/>
    </row>
    <row r="2172" spans="5:7" x14ac:dyDescent="0.15">
      <c r="E2172" s="8"/>
      <c r="F2172" s="8"/>
      <c r="G2172" s="8"/>
    </row>
    <row r="2173" spans="5:7" x14ac:dyDescent="0.15">
      <c r="E2173" s="8"/>
      <c r="F2173" s="8"/>
      <c r="G2173" s="8"/>
    </row>
    <row r="2174" spans="5:7" x14ac:dyDescent="0.15">
      <c r="E2174" s="8"/>
      <c r="F2174" s="8"/>
      <c r="G2174" s="8"/>
    </row>
    <row r="2175" spans="5:7" x14ac:dyDescent="0.15">
      <c r="E2175" s="8"/>
      <c r="F2175" s="8"/>
      <c r="G2175" s="8"/>
    </row>
    <row r="2176" spans="5:7" x14ac:dyDescent="0.15">
      <c r="E2176" s="8"/>
      <c r="F2176" s="8"/>
      <c r="G2176" s="8"/>
    </row>
    <row r="2177" spans="5:7" x14ac:dyDescent="0.15">
      <c r="E2177" s="8"/>
      <c r="F2177" s="8"/>
      <c r="G2177" s="8"/>
    </row>
    <row r="2178" spans="5:7" x14ac:dyDescent="0.15">
      <c r="E2178" s="8"/>
      <c r="F2178" s="8"/>
      <c r="G2178" s="8"/>
    </row>
    <row r="2179" spans="5:7" x14ac:dyDescent="0.15">
      <c r="E2179" s="8"/>
      <c r="F2179" s="8"/>
      <c r="G2179" s="8"/>
    </row>
    <row r="2180" spans="5:7" x14ac:dyDescent="0.15">
      <c r="E2180" s="8"/>
      <c r="F2180" s="8"/>
      <c r="G2180" s="8"/>
    </row>
    <row r="2181" spans="5:7" x14ac:dyDescent="0.15">
      <c r="E2181" s="8"/>
      <c r="F2181" s="8"/>
      <c r="G2181" s="8"/>
    </row>
    <row r="2182" spans="5:7" x14ac:dyDescent="0.15">
      <c r="E2182" s="8"/>
      <c r="F2182" s="8"/>
      <c r="G2182" s="8"/>
    </row>
    <row r="2183" spans="5:7" x14ac:dyDescent="0.15">
      <c r="E2183" s="8"/>
      <c r="F2183" s="8"/>
      <c r="G2183" s="8"/>
    </row>
    <row r="2184" spans="5:7" x14ac:dyDescent="0.15">
      <c r="E2184" s="8"/>
      <c r="F2184" s="8"/>
      <c r="G2184" s="8"/>
    </row>
    <row r="2185" spans="5:7" x14ac:dyDescent="0.15">
      <c r="E2185" s="8"/>
      <c r="F2185" s="8"/>
      <c r="G2185" s="8"/>
    </row>
    <row r="2186" spans="5:7" x14ac:dyDescent="0.15">
      <c r="E2186" s="8"/>
      <c r="F2186" s="8"/>
      <c r="G2186" s="8"/>
    </row>
    <row r="2187" spans="5:7" x14ac:dyDescent="0.15">
      <c r="E2187" s="8"/>
      <c r="F2187" s="8"/>
      <c r="G2187" s="8"/>
    </row>
    <row r="2188" spans="5:7" x14ac:dyDescent="0.15">
      <c r="E2188" s="8"/>
      <c r="F2188" s="8"/>
      <c r="G2188" s="8"/>
    </row>
    <row r="2189" spans="5:7" x14ac:dyDescent="0.15">
      <c r="E2189" s="8"/>
      <c r="F2189" s="8"/>
      <c r="G2189" s="8"/>
    </row>
    <row r="2190" spans="5:7" x14ac:dyDescent="0.15">
      <c r="E2190" s="8"/>
      <c r="F2190" s="8"/>
      <c r="G2190" s="8"/>
    </row>
    <row r="2191" spans="5:7" x14ac:dyDescent="0.15">
      <c r="E2191" s="8"/>
      <c r="F2191" s="8"/>
      <c r="G2191" s="8"/>
    </row>
    <row r="2192" spans="5:7" x14ac:dyDescent="0.15">
      <c r="E2192" s="8"/>
      <c r="F2192" s="8"/>
      <c r="G2192" s="8"/>
    </row>
    <row r="2193" spans="5:7" x14ac:dyDescent="0.15">
      <c r="E2193" s="8"/>
      <c r="F2193" s="8"/>
      <c r="G2193" s="8"/>
    </row>
    <row r="2194" spans="5:7" x14ac:dyDescent="0.15">
      <c r="E2194" s="8"/>
      <c r="F2194" s="8"/>
      <c r="G2194" s="8"/>
    </row>
    <row r="2195" spans="5:7" x14ac:dyDescent="0.15">
      <c r="E2195" s="8"/>
      <c r="F2195" s="8"/>
      <c r="G2195" s="8"/>
    </row>
    <row r="2196" spans="5:7" x14ac:dyDescent="0.15">
      <c r="E2196" s="8"/>
      <c r="F2196" s="8"/>
      <c r="G2196" s="8"/>
    </row>
    <row r="2197" spans="5:7" x14ac:dyDescent="0.15">
      <c r="E2197" s="8"/>
      <c r="F2197" s="8"/>
      <c r="G2197" s="8"/>
    </row>
    <row r="2198" spans="5:7" x14ac:dyDescent="0.15">
      <c r="E2198" s="8"/>
      <c r="F2198" s="8"/>
      <c r="G2198" s="8"/>
    </row>
    <row r="2199" spans="5:7" x14ac:dyDescent="0.15">
      <c r="E2199" s="8"/>
      <c r="F2199" s="8"/>
      <c r="G2199" s="8"/>
    </row>
    <row r="2200" spans="5:7" x14ac:dyDescent="0.15">
      <c r="E2200" s="8"/>
      <c r="F2200" s="8"/>
      <c r="G2200" s="8"/>
    </row>
    <row r="2201" spans="5:7" x14ac:dyDescent="0.15">
      <c r="E2201" s="8"/>
      <c r="F2201" s="8"/>
      <c r="G2201" s="8"/>
    </row>
    <row r="2202" spans="5:7" x14ac:dyDescent="0.15">
      <c r="E2202" s="8"/>
      <c r="F2202" s="8"/>
      <c r="G2202" s="8"/>
    </row>
    <row r="2203" spans="5:7" x14ac:dyDescent="0.15">
      <c r="E2203" s="8"/>
      <c r="F2203" s="8"/>
      <c r="G2203" s="8"/>
    </row>
    <row r="2204" spans="5:7" x14ac:dyDescent="0.15">
      <c r="E2204" s="8"/>
      <c r="F2204" s="8"/>
      <c r="G2204" s="8"/>
    </row>
    <row r="2205" spans="5:7" x14ac:dyDescent="0.15">
      <c r="E2205" s="8"/>
      <c r="F2205" s="8"/>
      <c r="G2205" s="8"/>
    </row>
    <row r="2206" spans="5:7" x14ac:dyDescent="0.15">
      <c r="E2206" s="8"/>
      <c r="F2206" s="8"/>
      <c r="G2206" s="8"/>
    </row>
    <row r="2207" spans="5:7" x14ac:dyDescent="0.15">
      <c r="E2207" s="8"/>
      <c r="F2207" s="8"/>
      <c r="G2207" s="8"/>
    </row>
    <row r="2208" spans="5:7" x14ac:dyDescent="0.15">
      <c r="E2208" s="8"/>
      <c r="F2208" s="8"/>
      <c r="G2208" s="8"/>
    </row>
    <row r="2209" spans="5:7" x14ac:dyDescent="0.15">
      <c r="E2209" s="8"/>
      <c r="F2209" s="8"/>
      <c r="G2209" s="8"/>
    </row>
    <row r="2210" spans="5:7" x14ac:dyDescent="0.15">
      <c r="E2210" s="8"/>
      <c r="F2210" s="8"/>
      <c r="G2210" s="8"/>
    </row>
    <row r="2211" spans="5:7" x14ac:dyDescent="0.15">
      <c r="E2211" s="8"/>
      <c r="F2211" s="8"/>
      <c r="G2211" s="8"/>
    </row>
    <row r="2212" spans="5:7" x14ac:dyDescent="0.15">
      <c r="E2212" s="8"/>
      <c r="F2212" s="8"/>
      <c r="G2212" s="8"/>
    </row>
    <row r="2213" spans="5:7" x14ac:dyDescent="0.15">
      <c r="E2213" s="8"/>
      <c r="F2213" s="8"/>
      <c r="G2213" s="8"/>
    </row>
    <row r="2214" spans="5:7" x14ac:dyDescent="0.15">
      <c r="E2214" s="8"/>
      <c r="F2214" s="8"/>
      <c r="G2214" s="8"/>
    </row>
    <row r="2215" spans="5:7" x14ac:dyDescent="0.15">
      <c r="E2215" s="8"/>
      <c r="F2215" s="8"/>
      <c r="G2215" s="8"/>
    </row>
    <row r="2216" spans="5:7" x14ac:dyDescent="0.15">
      <c r="E2216" s="8"/>
      <c r="F2216" s="8"/>
      <c r="G2216" s="8"/>
    </row>
    <row r="2217" spans="5:7" x14ac:dyDescent="0.15">
      <c r="E2217" s="8"/>
      <c r="F2217" s="8"/>
      <c r="G2217" s="8"/>
    </row>
    <row r="2218" spans="5:7" x14ac:dyDescent="0.15">
      <c r="E2218" s="8"/>
      <c r="F2218" s="8"/>
      <c r="G2218" s="8"/>
    </row>
    <row r="2219" spans="5:7" x14ac:dyDescent="0.15">
      <c r="E2219" s="8"/>
      <c r="F2219" s="8"/>
      <c r="G2219" s="8"/>
    </row>
    <row r="2220" spans="5:7" x14ac:dyDescent="0.15">
      <c r="E2220" s="8"/>
      <c r="F2220" s="8"/>
      <c r="G2220" s="8"/>
    </row>
    <row r="2221" spans="5:7" x14ac:dyDescent="0.15">
      <c r="E2221" s="8"/>
      <c r="F2221" s="8"/>
      <c r="G2221" s="8"/>
    </row>
    <row r="2222" spans="5:7" x14ac:dyDescent="0.15">
      <c r="E2222" s="8"/>
      <c r="F2222" s="8"/>
      <c r="G2222" s="8"/>
    </row>
    <row r="2223" spans="5:7" x14ac:dyDescent="0.15">
      <c r="E2223" s="8"/>
      <c r="F2223" s="8"/>
      <c r="G2223" s="8"/>
    </row>
    <row r="2224" spans="5:7" x14ac:dyDescent="0.15">
      <c r="E2224" s="8"/>
      <c r="F2224" s="8"/>
      <c r="G2224" s="8"/>
    </row>
    <row r="2225" spans="5:7" x14ac:dyDescent="0.15">
      <c r="E2225" s="8"/>
      <c r="F2225" s="8"/>
      <c r="G2225" s="8"/>
    </row>
    <row r="2226" spans="5:7" x14ac:dyDescent="0.15">
      <c r="E2226" s="8"/>
      <c r="F2226" s="8"/>
      <c r="G2226" s="8"/>
    </row>
    <row r="2227" spans="5:7" x14ac:dyDescent="0.15">
      <c r="E2227" s="8"/>
      <c r="F2227" s="8"/>
      <c r="G2227" s="8"/>
    </row>
    <row r="2228" spans="5:7" x14ac:dyDescent="0.15">
      <c r="E2228" s="8"/>
      <c r="F2228" s="8"/>
      <c r="G2228" s="8"/>
    </row>
    <row r="2229" spans="5:7" x14ac:dyDescent="0.15">
      <c r="E2229" s="8"/>
      <c r="F2229" s="8"/>
      <c r="G2229" s="8"/>
    </row>
    <row r="2230" spans="5:7" x14ac:dyDescent="0.15">
      <c r="E2230" s="8"/>
      <c r="F2230" s="8"/>
      <c r="G2230" s="8"/>
    </row>
    <row r="2231" spans="5:7" x14ac:dyDescent="0.15">
      <c r="E2231" s="8"/>
      <c r="F2231" s="8"/>
      <c r="G2231" s="8"/>
    </row>
    <row r="2232" spans="5:7" x14ac:dyDescent="0.15">
      <c r="E2232" s="8"/>
      <c r="F2232" s="8"/>
      <c r="G2232" s="8"/>
    </row>
    <row r="2233" spans="5:7" x14ac:dyDescent="0.15">
      <c r="E2233" s="8"/>
      <c r="F2233" s="8"/>
      <c r="G2233" s="8"/>
    </row>
    <row r="2234" spans="5:7" x14ac:dyDescent="0.15">
      <c r="E2234" s="8"/>
      <c r="F2234" s="8"/>
      <c r="G2234" s="8"/>
    </row>
    <row r="2235" spans="5:7" x14ac:dyDescent="0.15">
      <c r="E2235" s="8"/>
      <c r="F2235" s="8"/>
      <c r="G2235" s="8"/>
    </row>
    <row r="2236" spans="5:7" x14ac:dyDescent="0.15">
      <c r="E2236" s="8"/>
      <c r="F2236" s="8"/>
      <c r="G2236" s="8"/>
    </row>
    <row r="2237" spans="5:7" x14ac:dyDescent="0.15">
      <c r="E2237" s="8"/>
      <c r="F2237" s="8"/>
      <c r="G2237" s="8"/>
    </row>
    <row r="2238" spans="5:7" x14ac:dyDescent="0.15">
      <c r="E2238" s="8"/>
      <c r="F2238" s="8"/>
      <c r="G2238" s="8"/>
    </row>
    <row r="2239" spans="5:7" x14ac:dyDescent="0.15">
      <c r="E2239" s="8"/>
      <c r="F2239" s="8"/>
      <c r="G2239" s="8"/>
    </row>
    <row r="2240" spans="5:7" x14ac:dyDescent="0.15">
      <c r="E2240" s="8"/>
      <c r="F2240" s="8"/>
      <c r="G2240" s="8"/>
    </row>
    <row r="2241" spans="5:7" x14ac:dyDescent="0.15">
      <c r="E2241" s="8"/>
      <c r="F2241" s="8"/>
      <c r="G2241" s="8"/>
    </row>
    <row r="2242" spans="5:7" x14ac:dyDescent="0.15">
      <c r="E2242" s="8"/>
      <c r="F2242" s="8"/>
      <c r="G2242" s="8"/>
    </row>
    <row r="2243" spans="5:7" x14ac:dyDescent="0.15">
      <c r="E2243" s="8"/>
      <c r="F2243" s="8"/>
      <c r="G2243" s="8"/>
    </row>
    <row r="2244" spans="5:7" x14ac:dyDescent="0.15">
      <c r="E2244" s="8"/>
      <c r="F2244" s="8"/>
      <c r="G2244" s="8"/>
    </row>
    <row r="2245" spans="5:7" x14ac:dyDescent="0.15">
      <c r="E2245" s="8"/>
      <c r="F2245" s="8"/>
      <c r="G2245" s="8"/>
    </row>
    <row r="2246" spans="5:7" x14ac:dyDescent="0.15">
      <c r="E2246" s="8"/>
      <c r="F2246" s="8"/>
      <c r="G2246" s="8"/>
    </row>
    <row r="2247" spans="5:7" x14ac:dyDescent="0.15">
      <c r="E2247" s="8"/>
      <c r="F2247" s="8"/>
      <c r="G2247" s="8"/>
    </row>
    <row r="2248" spans="5:7" x14ac:dyDescent="0.15">
      <c r="E2248" s="8"/>
      <c r="F2248" s="8"/>
      <c r="G2248" s="8"/>
    </row>
    <row r="2249" spans="5:7" x14ac:dyDescent="0.15">
      <c r="E2249" s="8"/>
      <c r="F2249" s="8"/>
      <c r="G2249" s="8"/>
    </row>
    <row r="2250" spans="5:7" x14ac:dyDescent="0.15">
      <c r="E2250" s="8"/>
      <c r="F2250" s="8"/>
      <c r="G2250" s="8"/>
    </row>
    <row r="2251" spans="5:7" x14ac:dyDescent="0.15">
      <c r="E2251" s="8"/>
      <c r="F2251" s="8"/>
      <c r="G2251" s="8"/>
    </row>
    <row r="2252" spans="5:7" x14ac:dyDescent="0.15">
      <c r="E2252" s="8"/>
      <c r="F2252" s="8"/>
      <c r="G2252" s="8"/>
    </row>
    <row r="2253" spans="5:7" x14ac:dyDescent="0.15">
      <c r="E2253" s="8"/>
      <c r="F2253" s="8"/>
      <c r="G2253" s="8"/>
    </row>
    <row r="2254" spans="5:7" x14ac:dyDescent="0.15">
      <c r="E2254" s="8"/>
      <c r="F2254" s="8"/>
      <c r="G2254" s="8"/>
    </row>
    <row r="2255" spans="5:7" x14ac:dyDescent="0.15">
      <c r="E2255" s="8"/>
      <c r="F2255" s="8"/>
      <c r="G2255" s="8"/>
    </row>
    <row r="2256" spans="5:7" x14ac:dyDescent="0.15">
      <c r="E2256" s="8"/>
      <c r="F2256" s="8"/>
      <c r="G2256" s="8"/>
    </row>
    <row r="2257" spans="5:7" x14ac:dyDescent="0.15">
      <c r="E2257" s="8"/>
      <c r="F2257" s="8"/>
      <c r="G2257" s="8"/>
    </row>
    <row r="2258" spans="5:7" x14ac:dyDescent="0.15">
      <c r="E2258" s="8"/>
      <c r="F2258" s="8"/>
      <c r="G2258" s="8"/>
    </row>
    <row r="2259" spans="5:7" x14ac:dyDescent="0.15">
      <c r="E2259" s="8"/>
      <c r="F2259" s="8"/>
      <c r="G2259" s="8"/>
    </row>
    <row r="2260" spans="5:7" x14ac:dyDescent="0.15">
      <c r="E2260" s="8"/>
      <c r="F2260" s="8"/>
      <c r="G2260" s="8"/>
    </row>
    <row r="2261" spans="5:7" x14ac:dyDescent="0.15">
      <c r="E2261" s="8"/>
      <c r="F2261" s="8"/>
      <c r="G2261" s="8"/>
    </row>
    <row r="2262" spans="5:7" x14ac:dyDescent="0.15">
      <c r="E2262" s="8"/>
      <c r="F2262" s="8"/>
      <c r="G2262" s="8"/>
    </row>
    <row r="2263" spans="5:7" x14ac:dyDescent="0.15">
      <c r="E2263" s="8"/>
      <c r="F2263" s="8"/>
      <c r="G2263" s="8"/>
    </row>
    <row r="2264" spans="5:7" x14ac:dyDescent="0.15">
      <c r="E2264" s="8"/>
      <c r="F2264" s="8"/>
      <c r="G2264" s="8"/>
    </row>
    <row r="2265" spans="5:7" x14ac:dyDescent="0.15">
      <c r="E2265" s="8"/>
      <c r="F2265" s="8"/>
      <c r="G2265" s="8"/>
    </row>
    <row r="2266" spans="5:7" x14ac:dyDescent="0.15">
      <c r="E2266" s="8"/>
      <c r="F2266" s="8"/>
      <c r="G2266" s="8"/>
    </row>
    <row r="2267" spans="5:7" x14ac:dyDescent="0.15">
      <c r="E2267" s="8"/>
      <c r="F2267" s="8"/>
      <c r="G2267" s="8"/>
    </row>
    <row r="2268" spans="5:7" x14ac:dyDescent="0.15">
      <c r="E2268" s="8"/>
      <c r="F2268" s="8"/>
      <c r="G2268" s="8"/>
    </row>
    <row r="2269" spans="5:7" x14ac:dyDescent="0.15">
      <c r="E2269" s="8"/>
      <c r="F2269" s="8"/>
      <c r="G2269" s="8"/>
    </row>
    <row r="2270" spans="5:7" x14ac:dyDescent="0.15">
      <c r="E2270" s="8"/>
      <c r="F2270" s="8"/>
      <c r="G2270" s="8"/>
    </row>
    <row r="2271" spans="5:7" x14ac:dyDescent="0.15">
      <c r="E2271" s="8"/>
      <c r="F2271" s="8"/>
      <c r="G2271" s="8"/>
    </row>
    <row r="2272" spans="5:7" x14ac:dyDescent="0.15">
      <c r="E2272" s="8"/>
      <c r="F2272" s="8"/>
      <c r="G2272" s="8"/>
    </row>
    <row r="2273" spans="5:7" x14ac:dyDescent="0.15">
      <c r="E2273" s="8"/>
      <c r="F2273" s="8"/>
      <c r="G2273" s="8"/>
    </row>
    <row r="2274" spans="5:7" x14ac:dyDescent="0.15">
      <c r="E2274" s="8"/>
      <c r="F2274" s="8"/>
      <c r="G2274" s="8"/>
    </row>
    <row r="2275" spans="5:7" x14ac:dyDescent="0.15">
      <c r="E2275" s="8"/>
      <c r="F2275" s="8"/>
      <c r="G2275" s="8"/>
    </row>
    <row r="2276" spans="5:7" x14ac:dyDescent="0.15">
      <c r="E2276" s="8"/>
      <c r="F2276" s="8"/>
      <c r="G2276" s="8"/>
    </row>
    <row r="2277" spans="5:7" x14ac:dyDescent="0.15">
      <c r="E2277" s="8"/>
      <c r="F2277" s="8"/>
      <c r="G2277" s="8"/>
    </row>
    <row r="2278" spans="5:7" x14ac:dyDescent="0.15">
      <c r="E2278" s="8"/>
      <c r="F2278" s="8"/>
      <c r="G2278" s="8"/>
    </row>
    <row r="2279" spans="5:7" x14ac:dyDescent="0.15">
      <c r="E2279" s="8"/>
      <c r="F2279" s="8"/>
      <c r="G2279" s="8"/>
    </row>
    <row r="2280" spans="5:7" x14ac:dyDescent="0.15">
      <c r="E2280" s="8"/>
      <c r="F2280" s="8"/>
      <c r="G2280" s="8"/>
    </row>
    <row r="2281" spans="5:7" x14ac:dyDescent="0.15">
      <c r="E2281" s="8"/>
      <c r="F2281" s="8"/>
      <c r="G2281" s="8"/>
    </row>
    <row r="2282" spans="5:7" x14ac:dyDescent="0.15">
      <c r="E2282" s="8"/>
      <c r="F2282" s="8"/>
      <c r="G2282" s="8"/>
    </row>
    <row r="2283" spans="5:7" x14ac:dyDescent="0.15">
      <c r="E2283" s="8"/>
      <c r="F2283" s="8"/>
      <c r="G2283" s="8"/>
    </row>
    <row r="2284" spans="5:7" x14ac:dyDescent="0.15">
      <c r="E2284" s="8"/>
      <c r="F2284" s="8"/>
      <c r="G2284" s="8"/>
    </row>
    <row r="2285" spans="5:7" x14ac:dyDescent="0.15">
      <c r="E2285" s="8"/>
      <c r="F2285" s="8"/>
      <c r="G2285" s="8"/>
    </row>
    <row r="2286" spans="5:7" x14ac:dyDescent="0.15">
      <c r="E2286" s="8"/>
      <c r="F2286" s="8"/>
      <c r="G2286" s="8"/>
    </row>
    <row r="2287" spans="5:7" x14ac:dyDescent="0.15">
      <c r="E2287" s="8"/>
      <c r="F2287" s="8"/>
      <c r="G2287" s="8"/>
    </row>
    <row r="2288" spans="5:7" x14ac:dyDescent="0.15">
      <c r="E2288" s="8"/>
      <c r="F2288" s="8"/>
      <c r="G2288" s="8"/>
    </row>
    <row r="2289" spans="5:7" x14ac:dyDescent="0.15">
      <c r="E2289" s="8"/>
      <c r="F2289" s="8"/>
      <c r="G2289" s="8"/>
    </row>
    <row r="2290" spans="5:7" x14ac:dyDescent="0.15">
      <c r="E2290" s="8"/>
      <c r="F2290" s="8"/>
      <c r="G2290" s="8"/>
    </row>
    <row r="2291" spans="5:7" x14ac:dyDescent="0.15">
      <c r="E2291" s="8"/>
      <c r="F2291" s="8"/>
      <c r="G2291" s="8"/>
    </row>
    <row r="2292" spans="5:7" x14ac:dyDescent="0.15">
      <c r="E2292" s="8"/>
      <c r="F2292" s="8"/>
      <c r="G2292" s="8"/>
    </row>
    <row r="2293" spans="5:7" x14ac:dyDescent="0.15">
      <c r="E2293" s="8"/>
      <c r="F2293" s="8"/>
      <c r="G2293" s="8"/>
    </row>
    <row r="2294" spans="5:7" x14ac:dyDescent="0.15">
      <c r="E2294" s="8"/>
      <c r="F2294" s="8"/>
      <c r="G2294" s="8"/>
    </row>
    <row r="2295" spans="5:7" x14ac:dyDescent="0.15">
      <c r="E2295" s="8"/>
      <c r="F2295" s="8"/>
      <c r="G2295" s="8"/>
    </row>
    <row r="2296" spans="5:7" x14ac:dyDescent="0.15">
      <c r="E2296" s="8"/>
      <c r="F2296" s="8"/>
      <c r="G2296" s="8"/>
    </row>
    <row r="2297" spans="5:7" x14ac:dyDescent="0.15">
      <c r="E2297" s="8"/>
      <c r="F2297" s="8"/>
      <c r="G2297" s="8"/>
    </row>
    <row r="2298" spans="5:7" x14ac:dyDescent="0.15">
      <c r="E2298" s="8"/>
      <c r="F2298" s="8"/>
      <c r="G2298" s="8"/>
    </row>
    <row r="2299" spans="5:7" x14ac:dyDescent="0.15">
      <c r="E2299" s="8"/>
      <c r="F2299" s="8"/>
      <c r="G2299" s="8"/>
    </row>
    <row r="2300" spans="5:7" x14ac:dyDescent="0.15">
      <c r="E2300" s="8"/>
      <c r="F2300" s="8"/>
      <c r="G2300" s="8"/>
    </row>
    <row r="2301" spans="5:7" x14ac:dyDescent="0.15">
      <c r="E2301" s="8"/>
      <c r="F2301" s="8"/>
      <c r="G2301" s="8"/>
    </row>
    <row r="2302" spans="5:7" x14ac:dyDescent="0.15">
      <c r="E2302" s="8"/>
      <c r="F2302" s="8"/>
      <c r="G2302" s="8"/>
    </row>
    <row r="2303" spans="5:7" x14ac:dyDescent="0.15">
      <c r="E2303" s="8"/>
      <c r="F2303" s="8"/>
      <c r="G2303" s="8"/>
    </row>
    <row r="2304" spans="5:7" x14ac:dyDescent="0.15">
      <c r="E2304" s="8"/>
      <c r="F2304" s="8"/>
      <c r="G2304" s="8"/>
    </row>
    <row r="2305" spans="5:7" x14ac:dyDescent="0.15">
      <c r="E2305" s="8"/>
      <c r="F2305" s="8"/>
      <c r="G2305" s="8"/>
    </row>
    <row r="2306" spans="5:7" x14ac:dyDescent="0.15">
      <c r="E2306" s="8"/>
      <c r="F2306" s="8"/>
      <c r="G2306" s="8"/>
    </row>
    <row r="2307" spans="5:7" x14ac:dyDescent="0.15">
      <c r="E2307" s="8"/>
      <c r="F2307" s="8"/>
      <c r="G2307" s="8"/>
    </row>
    <row r="2308" spans="5:7" x14ac:dyDescent="0.15">
      <c r="E2308" s="8"/>
      <c r="F2308" s="8"/>
      <c r="G2308" s="8"/>
    </row>
    <row r="2309" spans="5:7" x14ac:dyDescent="0.15">
      <c r="E2309" s="8"/>
      <c r="F2309" s="8"/>
      <c r="G2309" s="8"/>
    </row>
    <row r="2310" spans="5:7" x14ac:dyDescent="0.15">
      <c r="E2310" s="8"/>
      <c r="F2310" s="8"/>
      <c r="G2310" s="8"/>
    </row>
    <row r="2311" spans="5:7" x14ac:dyDescent="0.15">
      <c r="E2311" s="8"/>
      <c r="F2311" s="8"/>
      <c r="G2311" s="8"/>
    </row>
    <row r="2312" spans="5:7" x14ac:dyDescent="0.15">
      <c r="E2312" s="8"/>
      <c r="F2312" s="8"/>
      <c r="G2312" s="8"/>
    </row>
    <row r="2313" spans="5:7" x14ac:dyDescent="0.15">
      <c r="E2313" s="8"/>
      <c r="F2313" s="8"/>
      <c r="G2313" s="8"/>
    </row>
    <row r="2314" spans="5:7" x14ac:dyDescent="0.15">
      <c r="E2314" s="8"/>
      <c r="F2314" s="8"/>
      <c r="G2314" s="8"/>
    </row>
    <row r="2315" spans="5:7" x14ac:dyDescent="0.15">
      <c r="E2315" s="8"/>
      <c r="F2315" s="8"/>
      <c r="G2315" s="8"/>
    </row>
    <row r="2316" spans="5:7" x14ac:dyDescent="0.15">
      <c r="E2316" s="8"/>
      <c r="F2316" s="8"/>
      <c r="G2316" s="8"/>
    </row>
    <row r="2317" spans="5:7" x14ac:dyDescent="0.15">
      <c r="E2317" s="8"/>
      <c r="F2317" s="8"/>
      <c r="G2317" s="8"/>
    </row>
    <row r="2318" spans="5:7" x14ac:dyDescent="0.15">
      <c r="E2318" s="8"/>
      <c r="F2318" s="8"/>
      <c r="G2318" s="8"/>
    </row>
    <row r="2319" spans="5:7" x14ac:dyDescent="0.15">
      <c r="E2319" s="8"/>
      <c r="F2319" s="8"/>
      <c r="G2319" s="8"/>
    </row>
    <row r="2320" spans="5:7" x14ac:dyDescent="0.15">
      <c r="E2320" s="8"/>
      <c r="F2320" s="8"/>
      <c r="G2320" s="8"/>
    </row>
    <row r="2321" spans="5:7" x14ac:dyDescent="0.15">
      <c r="E2321" s="8"/>
      <c r="F2321" s="8"/>
      <c r="G2321" s="8"/>
    </row>
    <row r="2322" spans="5:7" x14ac:dyDescent="0.15">
      <c r="E2322" s="8"/>
      <c r="F2322" s="8"/>
      <c r="G2322" s="8"/>
    </row>
    <row r="2323" spans="5:7" x14ac:dyDescent="0.15">
      <c r="E2323" s="8"/>
      <c r="F2323" s="8"/>
      <c r="G2323" s="8"/>
    </row>
    <row r="2324" spans="5:7" x14ac:dyDescent="0.15">
      <c r="E2324" s="8"/>
      <c r="F2324" s="8"/>
      <c r="G2324" s="8"/>
    </row>
    <row r="2325" spans="5:7" x14ac:dyDescent="0.15">
      <c r="E2325" s="8"/>
      <c r="F2325" s="8"/>
      <c r="G2325" s="8"/>
    </row>
    <row r="2326" spans="5:7" x14ac:dyDescent="0.15">
      <c r="E2326" s="8"/>
      <c r="F2326" s="8"/>
      <c r="G2326" s="8"/>
    </row>
    <row r="2327" spans="5:7" x14ac:dyDescent="0.15">
      <c r="E2327" s="8"/>
      <c r="F2327" s="8"/>
      <c r="G2327" s="8"/>
    </row>
    <row r="2328" spans="5:7" x14ac:dyDescent="0.15">
      <c r="E2328" s="8"/>
      <c r="F2328" s="8"/>
      <c r="G2328" s="8"/>
    </row>
    <row r="2329" spans="5:7" x14ac:dyDescent="0.15">
      <c r="E2329" s="8"/>
      <c r="F2329" s="8"/>
      <c r="G2329" s="8"/>
    </row>
    <row r="2330" spans="5:7" x14ac:dyDescent="0.15">
      <c r="E2330" s="8"/>
      <c r="F2330" s="8"/>
      <c r="G2330" s="8"/>
    </row>
    <row r="2331" spans="5:7" x14ac:dyDescent="0.15">
      <c r="E2331" s="8"/>
      <c r="F2331" s="8"/>
      <c r="G2331" s="8"/>
    </row>
    <row r="2332" spans="5:7" x14ac:dyDescent="0.15">
      <c r="E2332" s="8"/>
      <c r="F2332" s="8"/>
      <c r="G2332" s="8"/>
    </row>
    <row r="2333" spans="5:7" x14ac:dyDescent="0.15">
      <c r="E2333" s="8"/>
      <c r="F2333" s="8"/>
      <c r="G2333" s="8"/>
    </row>
    <row r="2334" spans="5:7" x14ac:dyDescent="0.15">
      <c r="E2334" s="8"/>
      <c r="F2334" s="8"/>
      <c r="G2334" s="8"/>
    </row>
    <row r="2335" spans="5:7" x14ac:dyDescent="0.15">
      <c r="E2335" s="8"/>
      <c r="F2335" s="8"/>
      <c r="G2335" s="8"/>
    </row>
    <row r="2336" spans="5:7" x14ac:dyDescent="0.15">
      <c r="E2336" s="8"/>
      <c r="F2336" s="8"/>
      <c r="G2336" s="8"/>
    </row>
    <row r="2337" spans="5:7" x14ac:dyDescent="0.15">
      <c r="E2337" s="8"/>
      <c r="F2337" s="8"/>
      <c r="G2337" s="8"/>
    </row>
    <row r="2338" spans="5:7" x14ac:dyDescent="0.15">
      <c r="E2338" s="8"/>
      <c r="F2338" s="8"/>
      <c r="G2338" s="8"/>
    </row>
    <row r="2339" spans="5:7" x14ac:dyDescent="0.15">
      <c r="E2339" s="8"/>
      <c r="F2339" s="8"/>
      <c r="G2339" s="8"/>
    </row>
    <row r="2340" spans="5:7" x14ac:dyDescent="0.15">
      <c r="E2340" s="8"/>
      <c r="F2340" s="8"/>
      <c r="G2340" s="8"/>
    </row>
    <row r="2341" spans="5:7" x14ac:dyDescent="0.15">
      <c r="E2341" s="8"/>
      <c r="F2341" s="8"/>
      <c r="G2341" s="8"/>
    </row>
    <row r="2342" spans="5:7" x14ac:dyDescent="0.15">
      <c r="E2342" s="8"/>
      <c r="F2342" s="8"/>
      <c r="G2342" s="8"/>
    </row>
    <row r="2343" spans="5:7" x14ac:dyDescent="0.15">
      <c r="E2343" s="8"/>
      <c r="F2343" s="8"/>
      <c r="G2343" s="8"/>
    </row>
    <row r="2344" spans="5:7" x14ac:dyDescent="0.15">
      <c r="E2344" s="8"/>
      <c r="F2344" s="8"/>
      <c r="G2344" s="8"/>
    </row>
    <row r="2345" spans="5:7" x14ac:dyDescent="0.15">
      <c r="E2345" s="8"/>
      <c r="F2345" s="8"/>
      <c r="G2345" s="8"/>
    </row>
    <row r="2346" spans="5:7" x14ac:dyDescent="0.15">
      <c r="E2346" s="8"/>
      <c r="F2346" s="8"/>
      <c r="G2346" s="8"/>
    </row>
    <row r="2347" spans="5:7" x14ac:dyDescent="0.15">
      <c r="E2347" s="8"/>
      <c r="F2347" s="8"/>
      <c r="G2347" s="8"/>
    </row>
    <row r="2348" spans="5:7" x14ac:dyDescent="0.15">
      <c r="E2348" s="8"/>
      <c r="F2348" s="8"/>
      <c r="G2348" s="8"/>
    </row>
    <row r="2349" spans="5:7" x14ac:dyDescent="0.15">
      <c r="E2349" s="8"/>
      <c r="F2349" s="8"/>
      <c r="G2349" s="8"/>
    </row>
    <row r="2350" spans="5:7" x14ac:dyDescent="0.15">
      <c r="E2350" s="8"/>
      <c r="F2350" s="8"/>
      <c r="G2350" s="8"/>
    </row>
    <row r="2351" spans="5:7" x14ac:dyDescent="0.15">
      <c r="E2351" s="8"/>
      <c r="F2351" s="8"/>
      <c r="G2351" s="8"/>
    </row>
    <row r="2352" spans="5:7" x14ac:dyDescent="0.15">
      <c r="E2352" s="8"/>
      <c r="F2352" s="8"/>
      <c r="G2352" s="8"/>
    </row>
    <row r="2353" spans="5:7" x14ac:dyDescent="0.15">
      <c r="E2353" s="8"/>
      <c r="F2353" s="8"/>
      <c r="G2353" s="8"/>
    </row>
    <row r="2354" spans="5:7" x14ac:dyDescent="0.15">
      <c r="E2354" s="8"/>
      <c r="F2354" s="8"/>
      <c r="G2354" s="8"/>
    </row>
    <row r="2355" spans="5:7" x14ac:dyDescent="0.15">
      <c r="E2355" s="8"/>
      <c r="F2355" s="8"/>
      <c r="G2355" s="8"/>
    </row>
    <row r="2356" spans="5:7" x14ac:dyDescent="0.15">
      <c r="E2356" s="8"/>
      <c r="F2356" s="8"/>
      <c r="G2356" s="8"/>
    </row>
    <row r="2357" spans="5:7" x14ac:dyDescent="0.15">
      <c r="E2357" s="8"/>
      <c r="F2357" s="8"/>
      <c r="G2357" s="8"/>
    </row>
    <row r="2358" spans="5:7" x14ac:dyDescent="0.15">
      <c r="E2358" s="8"/>
      <c r="F2358" s="8"/>
      <c r="G2358" s="8"/>
    </row>
    <row r="2359" spans="5:7" x14ac:dyDescent="0.15">
      <c r="E2359" s="8"/>
      <c r="F2359" s="8"/>
      <c r="G2359" s="8"/>
    </row>
    <row r="2360" spans="5:7" x14ac:dyDescent="0.15">
      <c r="E2360" s="8"/>
      <c r="F2360" s="8"/>
      <c r="G2360" s="8"/>
    </row>
    <row r="2361" spans="5:7" x14ac:dyDescent="0.15">
      <c r="E2361" s="8"/>
      <c r="F2361" s="8"/>
      <c r="G2361" s="8"/>
    </row>
    <row r="2362" spans="5:7" x14ac:dyDescent="0.15">
      <c r="E2362" s="8"/>
      <c r="F2362" s="8"/>
      <c r="G2362" s="8"/>
    </row>
    <row r="2363" spans="5:7" x14ac:dyDescent="0.15">
      <c r="E2363" s="8"/>
      <c r="F2363" s="8"/>
      <c r="G2363" s="8"/>
    </row>
    <row r="2364" spans="5:7" x14ac:dyDescent="0.15">
      <c r="E2364" s="8"/>
      <c r="F2364" s="8"/>
      <c r="G2364" s="8"/>
    </row>
    <row r="2365" spans="5:7" x14ac:dyDescent="0.15">
      <c r="E2365" s="8"/>
      <c r="F2365" s="8"/>
      <c r="G2365" s="8"/>
    </row>
    <row r="2366" spans="5:7" x14ac:dyDescent="0.15">
      <c r="E2366" s="8"/>
      <c r="F2366" s="8"/>
      <c r="G2366" s="8"/>
    </row>
    <row r="2367" spans="5:7" x14ac:dyDescent="0.15">
      <c r="E2367" s="8"/>
      <c r="F2367" s="8"/>
      <c r="G2367" s="8"/>
    </row>
    <row r="2368" spans="5:7" x14ac:dyDescent="0.15">
      <c r="E2368" s="8"/>
      <c r="F2368" s="8"/>
      <c r="G2368" s="8"/>
    </row>
    <row r="2369" spans="5:7" x14ac:dyDescent="0.15">
      <c r="E2369" s="8"/>
      <c r="F2369" s="8"/>
      <c r="G2369" s="8"/>
    </row>
    <row r="2370" spans="5:7" x14ac:dyDescent="0.15">
      <c r="E2370" s="8"/>
      <c r="F2370" s="8"/>
      <c r="G2370" s="8"/>
    </row>
    <row r="2371" spans="5:7" x14ac:dyDescent="0.15">
      <c r="E2371" s="8"/>
      <c r="F2371" s="8"/>
      <c r="G2371" s="8"/>
    </row>
    <row r="2372" spans="5:7" x14ac:dyDescent="0.15">
      <c r="E2372" s="8"/>
      <c r="F2372" s="8"/>
      <c r="G2372" s="8"/>
    </row>
    <row r="2373" spans="5:7" x14ac:dyDescent="0.15">
      <c r="E2373" s="8"/>
      <c r="F2373" s="8"/>
      <c r="G2373" s="8"/>
    </row>
    <row r="2374" spans="5:7" x14ac:dyDescent="0.15">
      <c r="E2374" s="8"/>
      <c r="F2374" s="8"/>
      <c r="G2374" s="8"/>
    </row>
    <row r="2375" spans="5:7" x14ac:dyDescent="0.15">
      <c r="E2375" s="8"/>
      <c r="F2375" s="8"/>
      <c r="G2375" s="8"/>
    </row>
    <row r="2376" spans="5:7" x14ac:dyDescent="0.15">
      <c r="E2376" s="8"/>
      <c r="F2376" s="8"/>
      <c r="G2376" s="8"/>
    </row>
    <row r="2377" spans="5:7" x14ac:dyDescent="0.15">
      <c r="E2377" s="8"/>
      <c r="F2377" s="8"/>
      <c r="G2377" s="8"/>
    </row>
    <row r="2378" spans="5:7" x14ac:dyDescent="0.15">
      <c r="E2378" s="8"/>
      <c r="F2378" s="8"/>
      <c r="G2378" s="8"/>
    </row>
    <row r="2379" spans="5:7" x14ac:dyDescent="0.15">
      <c r="E2379" s="8"/>
      <c r="F2379" s="8"/>
      <c r="G2379" s="8"/>
    </row>
    <row r="2380" spans="5:7" x14ac:dyDescent="0.15">
      <c r="E2380" s="8"/>
      <c r="F2380" s="8"/>
      <c r="G2380" s="8"/>
    </row>
    <row r="2381" spans="5:7" x14ac:dyDescent="0.15">
      <c r="E2381" s="8"/>
      <c r="F2381" s="8"/>
      <c r="G2381" s="8"/>
    </row>
    <row r="2382" spans="5:7" x14ac:dyDescent="0.15">
      <c r="E2382" s="8"/>
      <c r="F2382" s="8"/>
      <c r="G2382" s="8"/>
    </row>
    <row r="2383" spans="5:7" x14ac:dyDescent="0.15">
      <c r="E2383" s="8"/>
      <c r="F2383" s="8"/>
      <c r="G2383" s="8"/>
    </row>
    <row r="2384" spans="5:7" x14ac:dyDescent="0.15">
      <c r="E2384" s="8"/>
      <c r="F2384" s="8"/>
      <c r="G2384" s="8"/>
    </row>
    <row r="2385" spans="5:7" x14ac:dyDescent="0.15">
      <c r="E2385" s="8"/>
      <c r="F2385" s="8"/>
      <c r="G2385" s="8"/>
    </row>
    <row r="2386" spans="5:7" x14ac:dyDescent="0.15">
      <c r="E2386" s="8"/>
      <c r="F2386" s="8"/>
      <c r="G2386" s="8"/>
    </row>
    <row r="2387" spans="5:7" x14ac:dyDescent="0.15">
      <c r="E2387" s="8"/>
      <c r="F2387" s="8"/>
      <c r="G2387" s="8"/>
    </row>
    <row r="2388" spans="5:7" x14ac:dyDescent="0.15">
      <c r="E2388" s="8"/>
      <c r="F2388" s="8"/>
      <c r="G2388" s="8"/>
    </row>
    <row r="2389" spans="5:7" x14ac:dyDescent="0.15">
      <c r="E2389" s="8"/>
      <c r="F2389" s="8"/>
      <c r="G2389" s="8"/>
    </row>
    <row r="2390" spans="5:7" x14ac:dyDescent="0.15">
      <c r="E2390" s="8"/>
      <c r="F2390" s="8"/>
      <c r="G2390" s="8"/>
    </row>
    <row r="2391" spans="5:7" x14ac:dyDescent="0.15">
      <c r="E2391" s="8"/>
      <c r="F2391" s="8"/>
      <c r="G2391" s="8"/>
    </row>
    <row r="2392" spans="5:7" x14ac:dyDescent="0.15">
      <c r="E2392" s="8"/>
      <c r="F2392" s="8"/>
      <c r="G2392" s="8"/>
    </row>
    <row r="2393" spans="5:7" x14ac:dyDescent="0.15">
      <c r="E2393" s="8"/>
      <c r="F2393" s="8"/>
      <c r="G2393" s="8"/>
    </row>
    <row r="2394" spans="5:7" x14ac:dyDescent="0.15">
      <c r="E2394" s="8"/>
      <c r="F2394" s="8"/>
      <c r="G2394" s="8"/>
    </row>
    <row r="2395" spans="5:7" x14ac:dyDescent="0.15">
      <c r="E2395" s="8"/>
      <c r="F2395" s="8"/>
      <c r="G2395" s="8"/>
    </row>
    <row r="2396" spans="5:7" x14ac:dyDescent="0.15">
      <c r="E2396" s="8"/>
      <c r="F2396" s="8"/>
      <c r="G2396" s="8"/>
    </row>
    <row r="2397" spans="5:7" x14ac:dyDescent="0.15">
      <c r="E2397" s="8"/>
      <c r="F2397" s="8"/>
      <c r="G2397" s="8"/>
    </row>
    <row r="2398" spans="5:7" x14ac:dyDescent="0.15">
      <c r="E2398" s="8"/>
      <c r="F2398" s="8"/>
      <c r="G2398" s="8"/>
    </row>
    <row r="2399" spans="5:7" x14ac:dyDescent="0.15">
      <c r="E2399" s="8"/>
      <c r="F2399" s="8"/>
      <c r="G2399" s="8"/>
    </row>
    <row r="2400" spans="5:7" x14ac:dyDescent="0.15">
      <c r="E2400" s="8"/>
      <c r="F2400" s="8"/>
      <c r="G2400" s="8"/>
    </row>
    <row r="2401" spans="5:7" x14ac:dyDescent="0.15">
      <c r="E2401" s="8"/>
      <c r="F2401" s="8"/>
      <c r="G2401" s="8"/>
    </row>
    <row r="2402" spans="5:7" x14ac:dyDescent="0.15">
      <c r="E2402" s="8"/>
      <c r="F2402" s="8"/>
      <c r="G2402" s="8"/>
    </row>
    <row r="2403" spans="5:7" x14ac:dyDescent="0.15">
      <c r="E2403" s="8"/>
      <c r="F2403" s="8"/>
      <c r="G2403" s="8"/>
    </row>
    <row r="2404" spans="5:7" x14ac:dyDescent="0.15">
      <c r="E2404" s="8"/>
      <c r="F2404" s="8"/>
      <c r="G2404" s="8"/>
    </row>
    <row r="2405" spans="5:7" x14ac:dyDescent="0.15">
      <c r="E2405" s="8"/>
      <c r="F2405" s="8"/>
      <c r="G2405" s="8"/>
    </row>
    <row r="2406" spans="5:7" x14ac:dyDescent="0.15">
      <c r="E2406" s="8"/>
      <c r="F2406" s="8"/>
      <c r="G2406" s="8"/>
    </row>
    <row r="2407" spans="5:7" x14ac:dyDescent="0.15">
      <c r="E2407" s="8"/>
      <c r="F2407" s="8"/>
      <c r="G2407" s="8"/>
    </row>
    <row r="2408" spans="5:7" x14ac:dyDescent="0.15">
      <c r="E2408" s="8"/>
      <c r="F2408" s="8"/>
      <c r="G2408" s="8"/>
    </row>
    <row r="2409" spans="5:7" x14ac:dyDescent="0.15">
      <c r="E2409" s="8"/>
      <c r="F2409" s="8"/>
      <c r="G2409" s="8"/>
    </row>
    <row r="2410" spans="5:7" x14ac:dyDescent="0.15">
      <c r="E2410" s="8"/>
      <c r="F2410" s="8"/>
      <c r="G2410" s="8"/>
    </row>
    <row r="2411" spans="5:7" x14ac:dyDescent="0.15">
      <c r="E2411" s="8"/>
      <c r="F2411" s="8"/>
      <c r="G2411" s="8"/>
    </row>
    <row r="2412" spans="5:7" x14ac:dyDescent="0.15">
      <c r="E2412" s="8"/>
      <c r="F2412" s="8"/>
      <c r="G2412" s="8"/>
    </row>
    <row r="2413" spans="5:7" x14ac:dyDescent="0.15">
      <c r="E2413" s="8"/>
      <c r="F2413" s="8"/>
      <c r="G2413" s="8"/>
    </row>
    <row r="2414" spans="5:7" x14ac:dyDescent="0.15">
      <c r="E2414" s="8"/>
      <c r="F2414" s="8"/>
      <c r="G2414" s="8"/>
    </row>
    <row r="2415" spans="5:7" x14ac:dyDescent="0.15">
      <c r="E2415" s="8"/>
      <c r="F2415" s="8"/>
      <c r="G2415" s="8"/>
    </row>
    <row r="2416" spans="5:7" x14ac:dyDescent="0.15">
      <c r="E2416" s="8"/>
      <c r="F2416" s="8"/>
      <c r="G2416" s="8"/>
    </row>
    <row r="2417" spans="5:7" x14ac:dyDescent="0.15">
      <c r="E2417" s="8"/>
      <c r="F2417" s="8"/>
      <c r="G2417" s="8"/>
    </row>
    <row r="2418" spans="5:7" x14ac:dyDescent="0.15">
      <c r="E2418" s="8"/>
      <c r="F2418" s="8"/>
      <c r="G2418" s="8"/>
    </row>
    <row r="2419" spans="5:7" x14ac:dyDescent="0.15">
      <c r="E2419" s="8"/>
      <c r="F2419" s="8"/>
      <c r="G2419" s="8"/>
    </row>
    <row r="2420" spans="5:7" x14ac:dyDescent="0.15">
      <c r="E2420" s="8"/>
      <c r="F2420" s="8"/>
      <c r="G2420" s="8"/>
    </row>
    <row r="2421" spans="5:7" x14ac:dyDescent="0.15">
      <c r="E2421" s="8"/>
      <c r="F2421" s="8"/>
      <c r="G2421" s="8"/>
    </row>
    <row r="2422" spans="5:7" x14ac:dyDescent="0.15">
      <c r="E2422" s="8"/>
      <c r="F2422" s="8"/>
      <c r="G2422" s="8"/>
    </row>
    <row r="2423" spans="5:7" x14ac:dyDescent="0.15">
      <c r="E2423" s="8"/>
      <c r="F2423" s="8"/>
      <c r="G2423" s="8"/>
    </row>
    <row r="2424" spans="5:7" x14ac:dyDescent="0.15">
      <c r="E2424" s="8"/>
      <c r="F2424" s="8"/>
      <c r="G2424" s="8"/>
    </row>
    <row r="2425" spans="5:7" x14ac:dyDescent="0.15">
      <c r="E2425" s="8"/>
      <c r="F2425" s="8"/>
      <c r="G2425" s="8"/>
    </row>
    <row r="2426" spans="5:7" x14ac:dyDescent="0.15">
      <c r="E2426" s="8"/>
      <c r="F2426" s="8"/>
      <c r="G2426" s="8"/>
    </row>
    <row r="2427" spans="5:7" x14ac:dyDescent="0.15">
      <c r="E2427" s="8"/>
      <c r="F2427" s="8"/>
      <c r="G2427" s="8"/>
    </row>
    <row r="2428" spans="5:7" x14ac:dyDescent="0.15">
      <c r="E2428" s="8"/>
      <c r="F2428" s="8"/>
      <c r="G2428" s="8"/>
    </row>
    <row r="2429" spans="5:7" x14ac:dyDescent="0.15">
      <c r="E2429" s="8"/>
      <c r="F2429" s="8"/>
      <c r="G2429" s="8"/>
    </row>
    <row r="2430" spans="5:7" x14ac:dyDescent="0.15">
      <c r="E2430" s="8"/>
      <c r="F2430" s="8"/>
      <c r="G2430" s="8"/>
    </row>
    <row r="2431" spans="5:7" x14ac:dyDescent="0.15">
      <c r="E2431" s="8"/>
      <c r="F2431" s="8"/>
      <c r="G2431" s="8"/>
    </row>
    <row r="2432" spans="5:7" x14ac:dyDescent="0.15">
      <c r="E2432" s="8"/>
      <c r="F2432" s="8"/>
      <c r="G2432" s="8"/>
    </row>
    <row r="2433" spans="5:7" x14ac:dyDescent="0.15">
      <c r="E2433" s="8"/>
      <c r="F2433" s="8"/>
      <c r="G2433" s="8"/>
    </row>
    <row r="2434" spans="5:7" x14ac:dyDescent="0.15">
      <c r="E2434" s="8"/>
      <c r="F2434" s="8"/>
      <c r="G2434" s="8"/>
    </row>
    <row r="2435" spans="5:7" x14ac:dyDescent="0.15">
      <c r="E2435" s="8"/>
      <c r="F2435" s="8"/>
      <c r="G2435" s="8"/>
    </row>
    <row r="2436" spans="5:7" x14ac:dyDescent="0.15">
      <c r="E2436" s="8"/>
      <c r="F2436" s="8"/>
      <c r="G2436" s="8"/>
    </row>
    <row r="2437" spans="5:7" x14ac:dyDescent="0.15">
      <c r="E2437" s="8"/>
      <c r="F2437" s="8"/>
      <c r="G2437" s="8"/>
    </row>
    <row r="2438" spans="5:7" x14ac:dyDescent="0.15">
      <c r="E2438" s="8"/>
      <c r="F2438" s="8"/>
      <c r="G2438" s="8"/>
    </row>
    <row r="2439" spans="5:7" x14ac:dyDescent="0.15">
      <c r="E2439" s="8"/>
      <c r="F2439" s="8"/>
      <c r="G2439" s="8"/>
    </row>
    <row r="2440" spans="5:7" x14ac:dyDescent="0.15">
      <c r="E2440" s="8"/>
      <c r="F2440" s="8"/>
      <c r="G2440" s="8"/>
    </row>
    <row r="2441" spans="5:7" x14ac:dyDescent="0.15">
      <c r="E2441" s="8"/>
      <c r="F2441" s="8"/>
      <c r="G2441" s="8"/>
    </row>
    <row r="2442" spans="5:7" x14ac:dyDescent="0.15">
      <c r="E2442" s="8"/>
      <c r="F2442" s="8"/>
      <c r="G2442" s="8"/>
    </row>
    <row r="2443" spans="5:7" x14ac:dyDescent="0.15">
      <c r="E2443" s="8"/>
      <c r="F2443" s="8"/>
      <c r="G2443" s="8"/>
    </row>
    <row r="2444" spans="5:7" x14ac:dyDescent="0.15">
      <c r="E2444" s="8"/>
      <c r="F2444" s="8"/>
      <c r="G2444" s="8"/>
    </row>
    <row r="2445" spans="5:7" x14ac:dyDescent="0.15">
      <c r="E2445" s="8"/>
      <c r="F2445" s="8"/>
      <c r="G2445" s="8"/>
    </row>
    <row r="2446" spans="5:7" x14ac:dyDescent="0.15">
      <c r="E2446" s="8"/>
      <c r="F2446" s="8"/>
      <c r="G2446" s="8"/>
    </row>
    <row r="2447" spans="5:7" x14ac:dyDescent="0.15">
      <c r="E2447" s="8"/>
      <c r="F2447" s="8"/>
      <c r="G2447" s="8"/>
    </row>
    <row r="2448" spans="5:7" x14ac:dyDescent="0.15">
      <c r="E2448" s="8"/>
      <c r="F2448" s="8"/>
      <c r="G2448" s="8"/>
    </row>
    <row r="2449" spans="5:7" x14ac:dyDescent="0.15">
      <c r="E2449" s="8"/>
      <c r="F2449" s="8"/>
      <c r="G2449" s="8"/>
    </row>
    <row r="2450" spans="5:7" x14ac:dyDescent="0.15">
      <c r="E2450" s="8"/>
      <c r="F2450" s="8"/>
      <c r="G2450" s="8"/>
    </row>
    <row r="2451" spans="5:7" x14ac:dyDescent="0.15">
      <c r="E2451" s="8"/>
      <c r="F2451" s="8"/>
      <c r="G2451" s="8"/>
    </row>
    <row r="2452" spans="5:7" x14ac:dyDescent="0.15">
      <c r="E2452" s="8"/>
      <c r="F2452" s="8"/>
      <c r="G2452" s="8"/>
    </row>
    <row r="2453" spans="5:7" x14ac:dyDescent="0.15">
      <c r="E2453" s="8"/>
      <c r="F2453" s="8"/>
      <c r="G2453" s="8"/>
    </row>
    <row r="2454" spans="5:7" x14ac:dyDescent="0.15">
      <c r="E2454" s="8"/>
      <c r="F2454" s="8"/>
      <c r="G2454" s="8"/>
    </row>
    <row r="2455" spans="5:7" x14ac:dyDescent="0.15">
      <c r="E2455" s="8"/>
      <c r="F2455" s="8"/>
      <c r="G2455" s="8"/>
    </row>
    <row r="2456" spans="5:7" x14ac:dyDescent="0.15">
      <c r="E2456" s="8"/>
      <c r="F2456" s="8"/>
      <c r="G2456" s="8"/>
    </row>
    <row r="2457" spans="5:7" x14ac:dyDescent="0.15">
      <c r="E2457" s="8"/>
      <c r="F2457" s="8"/>
      <c r="G2457" s="8"/>
    </row>
    <row r="2458" spans="5:7" x14ac:dyDescent="0.15">
      <c r="E2458" s="8"/>
      <c r="F2458" s="8"/>
      <c r="G2458" s="8"/>
    </row>
    <row r="2459" spans="5:7" x14ac:dyDescent="0.15">
      <c r="E2459" s="8"/>
      <c r="F2459" s="8"/>
      <c r="G2459" s="8"/>
    </row>
    <row r="2460" spans="5:7" x14ac:dyDescent="0.15">
      <c r="E2460" s="8"/>
      <c r="F2460" s="8"/>
      <c r="G2460" s="8"/>
    </row>
    <row r="2461" spans="5:7" x14ac:dyDescent="0.15">
      <c r="E2461" s="8"/>
      <c r="F2461" s="8"/>
      <c r="G2461" s="8"/>
    </row>
    <row r="2462" spans="5:7" x14ac:dyDescent="0.15">
      <c r="E2462" s="8"/>
      <c r="F2462" s="8"/>
      <c r="G2462" s="8"/>
    </row>
    <row r="2463" spans="5:7" x14ac:dyDescent="0.15">
      <c r="E2463" s="8"/>
      <c r="F2463" s="8"/>
      <c r="G2463" s="8"/>
    </row>
    <row r="2464" spans="5:7" x14ac:dyDescent="0.15">
      <c r="E2464" s="8"/>
      <c r="F2464" s="8"/>
      <c r="G2464" s="8"/>
    </row>
    <row r="2465" spans="5:7" x14ac:dyDescent="0.15">
      <c r="E2465" s="8"/>
      <c r="F2465" s="8"/>
      <c r="G2465" s="8"/>
    </row>
    <row r="2466" spans="5:7" x14ac:dyDescent="0.15">
      <c r="E2466" s="8"/>
      <c r="F2466" s="8"/>
      <c r="G2466" s="8"/>
    </row>
    <row r="2467" spans="5:7" x14ac:dyDescent="0.15">
      <c r="E2467" s="8"/>
      <c r="F2467" s="8"/>
      <c r="G2467" s="8"/>
    </row>
    <row r="2468" spans="5:7" x14ac:dyDescent="0.15">
      <c r="E2468" s="8"/>
      <c r="F2468" s="8"/>
      <c r="G2468" s="8"/>
    </row>
    <row r="2469" spans="5:7" x14ac:dyDescent="0.15">
      <c r="E2469" s="8"/>
      <c r="F2469" s="8"/>
      <c r="G2469" s="8"/>
    </row>
    <row r="2470" spans="5:7" x14ac:dyDescent="0.15">
      <c r="E2470" s="8"/>
      <c r="F2470" s="8"/>
      <c r="G2470" s="8"/>
    </row>
    <row r="2471" spans="5:7" x14ac:dyDescent="0.15">
      <c r="E2471" s="8"/>
      <c r="F2471" s="8"/>
      <c r="G2471" s="8"/>
    </row>
    <row r="2472" spans="5:7" x14ac:dyDescent="0.15">
      <c r="E2472" s="8"/>
      <c r="F2472" s="8"/>
      <c r="G2472" s="8"/>
    </row>
    <row r="2473" spans="5:7" x14ac:dyDescent="0.15">
      <c r="E2473" s="8"/>
      <c r="F2473" s="8"/>
      <c r="G2473" s="8"/>
    </row>
    <row r="2474" spans="5:7" x14ac:dyDescent="0.15">
      <c r="E2474" s="8"/>
      <c r="F2474" s="8"/>
      <c r="G2474" s="8"/>
    </row>
    <row r="2475" spans="5:7" x14ac:dyDescent="0.15">
      <c r="E2475" s="8"/>
      <c r="F2475" s="8"/>
      <c r="G2475" s="8"/>
    </row>
    <row r="2476" spans="5:7" x14ac:dyDescent="0.15">
      <c r="E2476" s="8"/>
      <c r="F2476" s="8"/>
      <c r="G2476" s="8"/>
    </row>
    <row r="2477" spans="5:7" x14ac:dyDescent="0.15">
      <c r="E2477" s="8"/>
      <c r="F2477" s="8"/>
      <c r="G2477" s="8"/>
    </row>
    <row r="2478" spans="5:7" x14ac:dyDescent="0.15">
      <c r="E2478" s="8"/>
      <c r="F2478" s="8"/>
      <c r="G2478" s="8"/>
    </row>
    <row r="2479" spans="5:7" x14ac:dyDescent="0.15">
      <c r="E2479" s="8"/>
      <c r="F2479" s="8"/>
      <c r="G2479" s="8"/>
    </row>
    <row r="2480" spans="5:7" x14ac:dyDescent="0.15">
      <c r="E2480" s="8"/>
      <c r="F2480" s="8"/>
      <c r="G2480" s="8"/>
    </row>
    <row r="2481" spans="5:7" x14ac:dyDescent="0.15">
      <c r="E2481" s="8"/>
      <c r="F2481" s="8"/>
      <c r="G2481" s="8"/>
    </row>
    <row r="2482" spans="5:7" x14ac:dyDescent="0.15">
      <c r="E2482" s="8"/>
      <c r="F2482" s="8"/>
      <c r="G2482" s="8"/>
    </row>
    <row r="2483" spans="5:7" x14ac:dyDescent="0.15">
      <c r="E2483" s="8"/>
      <c r="F2483" s="8"/>
      <c r="G2483" s="8"/>
    </row>
    <row r="2484" spans="5:7" x14ac:dyDescent="0.15">
      <c r="E2484" s="8"/>
      <c r="F2484" s="8"/>
      <c r="G2484" s="8"/>
    </row>
    <row r="2485" spans="5:7" x14ac:dyDescent="0.15">
      <c r="E2485" s="8"/>
      <c r="F2485" s="8"/>
      <c r="G2485" s="8"/>
    </row>
    <row r="2486" spans="5:7" x14ac:dyDescent="0.15">
      <c r="E2486" s="8"/>
      <c r="F2486" s="8"/>
      <c r="G2486" s="8"/>
    </row>
    <row r="2487" spans="5:7" x14ac:dyDescent="0.15">
      <c r="E2487" s="8"/>
      <c r="F2487" s="8"/>
      <c r="G2487" s="8"/>
    </row>
    <row r="2488" spans="5:7" x14ac:dyDescent="0.15">
      <c r="E2488" s="8"/>
      <c r="F2488" s="8"/>
      <c r="G2488" s="8"/>
    </row>
    <row r="2489" spans="5:7" x14ac:dyDescent="0.15">
      <c r="E2489" s="8"/>
      <c r="F2489" s="8"/>
      <c r="G2489" s="8"/>
    </row>
    <row r="2490" spans="5:7" x14ac:dyDescent="0.15">
      <c r="E2490" s="8"/>
      <c r="F2490" s="8"/>
      <c r="G2490" s="8"/>
    </row>
    <row r="2491" spans="5:7" x14ac:dyDescent="0.15">
      <c r="E2491" s="8"/>
      <c r="F2491" s="8"/>
      <c r="G2491" s="8"/>
    </row>
    <row r="2492" spans="5:7" x14ac:dyDescent="0.15">
      <c r="E2492" s="8"/>
      <c r="F2492" s="8"/>
      <c r="G2492" s="8"/>
    </row>
    <row r="2493" spans="5:7" x14ac:dyDescent="0.15">
      <c r="E2493" s="8"/>
      <c r="F2493" s="8"/>
      <c r="G2493" s="8"/>
    </row>
    <row r="2494" spans="5:7" x14ac:dyDescent="0.15">
      <c r="E2494" s="8"/>
      <c r="F2494" s="8"/>
      <c r="G2494" s="8"/>
    </row>
    <row r="2495" spans="5:7" x14ac:dyDescent="0.15">
      <c r="E2495" s="8"/>
      <c r="F2495" s="8"/>
      <c r="G2495" s="8"/>
    </row>
    <row r="2496" spans="5:7" x14ac:dyDescent="0.15">
      <c r="E2496" s="8"/>
      <c r="F2496" s="8"/>
      <c r="G2496" s="8"/>
    </row>
    <row r="2497" spans="5:7" x14ac:dyDescent="0.15">
      <c r="E2497" s="8"/>
      <c r="F2497" s="8"/>
      <c r="G2497" s="8"/>
    </row>
    <row r="2498" spans="5:7" x14ac:dyDescent="0.15">
      <c r="E2498" s="8"/>
      <c r="F2498" s="8"/>
      <c r="G2498" s="8"/>
    </row>
    <row r="2499" spans="5:7" x14ac:dyDescent="0.15">
      <c r="E2499" s="8"/>
      <c r="F2499" s="8"/>
      <c r="G2499" s="8"/>
    </row>
    <row r="2500" spans="5:7" x14ac:dyDescent="0.15">
      <c r="E2500" s="8"/>
      <c r="F2500" s="8"/>
      <c r="G2500" s="8"/>
    </row>
    <row r="2501" spans="5:7" x14ac:dyDescent="0.15">
      <c r="E2501" s="8"/>
      <c r="F2501" s="8"/>
      <c r="G2501" s="8"/>
    </row>
    <row r="2502" spans="5:7" x14ac:dyDescent="0.15">
      <c r="E2502" s="8"/>
      <c r="F2502" s="8"/>
      <c r="G2502" s="8"/>
    </row>
    <row r="2503" spans="5:7" x14ac:dyDescent="0.15">
      <c r="E2503" s="8"/>
      <c r="F2503" s="8"/>
      <c r="G2503" s="8"/>
    </row>
    <row r="2504" spans="5:7" x14ac:dyDescent="0.15">
      <c r="E2504" s="8"/>
      <c r="F2504" s="8"/>
      <c r="G2504" s="8"/>
    </row>
    <row r="2505" spans="5:7" x14ac:dyDescent="0.15">
      <c r="E2505" s="8"/>
      <c r="F2505" s="8"/>
      <c r="G2505" s="8"/>
    </row>
    <row r="2506" spans="5:7" x14ac:dyDescent="0.15">
      <c r="E2506" s="8"/>
      <c r="F2506" s="8"/>
      <c r="G2506" s="8"/>
    </row>
    <row r="2507" spans="5:7" x14ac:dyDescent="0.15">
      <c r="E2507" s="8"/>
      <c r="F2507" s="8"/>
      <c r="G2507" s="8"/>
    </row>
    <row r="2508" spans="5:7" x14ac:dyDescent="0.15">
      <c r="E2508" s="8"/>
      <c r="F2508" s="8"/>
      <c r="G2508" s="8"/>
    </row>
    <row r="2509" spans="5:7" x14ac:dyDescent="0.15">
      <c r="E2509" s="8"/>
      <c r="F2509" s="8"/>
      <c r="G2509" s="8"/>
    </row>
    <row r="2510" spans="5:7" x14ac:dyDescent="0.15">
      <c r="E2510" s="8"/>
      <c r="F2510" s="8"/>
      <c r="G2510" s="8"/>
    </row>
    <row r="2511" spans="5:7" x14ac:dyDescent="0.15">
      <c r="E2511" s="8"/>
      <c r="F2511" s="8"/>
      <c r="G2511" s="8"/>
    </row>
    <row r="2512" spans="5:7" x14ac:dyDescent="0.15">
      <c r="E2512" s="8"/>
      <c r="F2512" s="8"/>
      <c r="G2512" s="8"/>
    </row>
    <row r="2513" spans="5:7" x14ac:dyDescent="0.15">
      <c r="E2513" s="8"/>
      <c r="F2513" s="8"/>
      <c r="G2513" s="8"/>
    </row>
    <row r="2514" spans="5:7" x14ac:dyDescent="0.15">
      <c r="E2514" s="8"/>
      <c r="F2514" s="8"/>
      <c r="G2514" s="8"/>
    </row>
    <row r="2515" spans="5:7" x14ac:dyDescent="0.15">
      <c r="E2515" s="8"/>
      <c r="F2515" s="8"/>
      <c r="G2515" s="8"/>
    </row>
    <row r="2516" spans="5:7" x14ac:dyDescent="0.15">
      <c r="E2516" s="8"/>
      <c r="F2516" s="8"/>
      <c r="G2516" s="8"/>
    </row>
    <row r="2517" spans="5:7" x14ac:dyDescent="0.15">
      <c r="E2517" s="8"/>
      <c r="F2517" s="8"/>
      <c r="G2517" s="8"/>
    </row>
    <row r="2518" spans="5:7" x14ac:dyDescent="0.15">
      <c r="E2518" s="8"/>
      <c r="F2518" s="8"/>
      <c r="G2518" s="8"/>
    </row>
    <row r="2519" spans="5:7" x14ac:dyDescent="0.15">
      <c r="E2519" s="8"/>
      <c r="F2519" s="8"/>
      <c r="G2519" s="8"/>
    </row>
    <row r="2520" spans="5:7" x14ac:dyDescent="0.15">
      <c r="E2520" s="8"/>
      <c r="F2520" s="8"/>
      <c r="G2520" s="8"/>
    </row>
    <row r="2521" spans="5:7" x14ac:dyDescent="0.15">
      <c r="E2521" s="8"/>
      <c r="F2521" s="8"/>
      <c r="G2521" s="8"/>
    </row>
    <row r="2522" spans="5:7" x14ac:dyDescent="0.15">
      <c r="E2522" s="8"/>
      <c r="F2522" s="8"/>
      <c r="G2522" s="8"/>
    </row>
    <row r="2523" spans="5:7" x14ac:dyDescent="0.15">
      <c r="E2523" s="8"/>
      <c r="F2523" s="8"/>
      <c r="G2523" s="8"/>
    </row>
    <row r="2524" spans="5:7" x14ac:dyDescent="0.15">
      <c r="E2524" s="8"/>
      <c r="F2524" s="8"/>
      <c r="G2524" s="8"/>
    </row>
    <row r="2525" spans="5:7" x14ac:dyDescent="0.15">
      <c r="E2525" s="8"/>
      <c r="F2525" s="8"/>
      <c r="G2525" s="8"/>
    </row>
    <row r="2526" spans="5:7" x14ac:dyDescent="0.15">
      <c r="E2526" s="8"/>
      <c r="F2526" s="8"/>
      <c r="G2526" s="8"/>
    </row>
    <row r="2527" spans="5:7" x14ac:dyDescent="0.15">
      <c r="E2527" s="8"/>
      <c r="F2527" s="8"/>
      <c r="G2527" s="8"/>
    </row>
    <row r="2528" spans="5:7" x14ac:dyDescent="0.15">
      <c r="E2528" s="8"/>
      <c r="F2528" s="8"/>
      <c r="G2528" s="8"/>
    </row>
    <row r="2529" spans="5:7" x14ac:dyDescent="0.15">
      <c r="E2529" s="8"/>
      <c r="F2529" s="8"/>
      <c r="G2529" s="8"/>
    </row>
    <row r="2530" spans="5:7" x14ac:dyDescent="0.15">
      <c r="E2530" s="8"/>
      <c r="F2530" s="8"/>
      <c r="G2530" s="8"/>
    </row>
    <row r="2531" spans="5:7" x14ac:dyDescent="0.15">
      <c r="E2531" s="8"/>
      <c r="F2531" s="8"/>
      <c r="G2531" s="8"/>
    </row>
    <row r="2532" spans="5:7" x14ac:dyDescent="0.15">
      <c r="E2532" s="8"/>
      <c r="F2532" s="8"/>
      <c r="G2532" s="8"/>
    </row>
    <row r="2533" spans="5:7" x14ac:dyDescent="0.15">
      <c r="E2533" s="8"/>
      <c r="F2533" s="8"/>
      <c r="G2533" s="8"/>
    </row>
    <row r="2534" spans="5:7" x14ac:dyDescent="0.15">
      <c r="E2534" s="8"/>
      <c r="F2534" s="8"/>
      <c r="G2534" s="8"/>
    </row>
    <row r="2535" spans="5:7" x14ac:dyDescent="0.15">
      <c r="E2535" s="8"/>
      <c r="F2535" s="8"/>
      <c r="G2535" s="8"/>
    </row>
    <row r="2536" spans="5:7" x14ac:dyDescent="0.15">
      <c r="E2536" s="8"/>
      <c r="F2536" s="8"/>
      <c r="G2536" s="8"/>
    </row>
    <row r="2537" spans="5:7" x14ac:dyDescent="0.15">
      <c r="E2537" s="8"/>
      <c r="F2537" s="8"/>
      <c r="G2537" s="8"/>
    </row>
    <row r="2538" spans="5:7" x14ac:dyDescent="0.15">
      <c r="E2538" s="8"/>
      <c r="F2538" s="8"/>
      <c r="G2538" s="8"/>
    </row>
    <row r="2539" spans="5:7" x14ac:dyDescent="0.15">
      <c r="E2539" s="8"/>
      <c r="F2539" s="8"/>
      <c r="G2539" s="8"/>
    </row>
    <row r="2540" spans="5:7" x14ac:dyDescent="0.15">
      <c r="E2540" s="8"/>
      <c r="F2540" s="8"/>
      <c r="G2540" s="8"/>
    </row>
    <row r="2541" spans="5:7" x14ac:dyDescent="0.15">
      <c r="E2541" s="8"/>
      <c r="F2541" s="8"/>
      <c r="G2541" s="8"/>
    </row>
    <row r="2542" spans="5:7" x14ac:dyDescent="0.15">
      <c r="E2542" s="8"/>
      <c r="F2542" s="8"/>
      <c r="G2542" s="8"/>
    </row>
    <row r="2543" spans="5:7" x14ac:dyDescent="0.15">
      <c r="E2543" s="8"/>
      <c r="F2543" s="8"/>
      <c r="G2543" s="8"/>
    </row>
    <row r="2544" spans="5:7" x14ac:dyDescent="0.15">
      <c r="E2544" s="8"/>
      <c r="F2544" s="8"/>
      <c r="G2544" s="8"/>
    </row>
    <row r="2545" spans="5:7" x14ac:dyDescent="0.15">
      <c r="E2545" s="8"/>
      <c r="F2545" s="8"/>
      <c r="G2545" s="8"/>
    </row>
    <row r="2546" spans="5:7" x14ac:dyDescent="0.15">
      <c r="E2546" s="8"/>
      <c r="F2546" s="8"/>
      <c r="G2546" s="8"/>
    </row>
    <row r="2547" spans="5:7" x14ac:dyDescent="0.15">
      <c r="E2547" s="8"/>
      <c r="F2547" s="8"/>
      <c r="G2547" s="8"/>
    </row>
    <row r="2548" spans="5:7" x14ac:dyDescent="0.15">
      <c r="E2548" s="8"/>
      <c r="F2548" s="8"/>
      <c r="G2548" s="8"/>
    </row>
    <row r="2549" spans="5:7" x14ac:dyDescent="0.15">
      <c r="E2549" s="8"/>
      <c r="F2549" s="8"/>
      <c r="G2549" s="8"/>
    </row>
    <row r="2550" spans="5:7" x14ac:dyDescent="0.15">
      <c r="E2550" s="8"/>
      <c r="F2550" s="8"/>
      <c r="G2550" s="8"/>
    </row>
    <row r="2551" spans="5:7" x14ac:dyDescent="0.15">
      <c r="E2551" s="8"/>
      <c r="F2551" s="8"/>
      <c r="G2551" s="8"/>
    </row>
    <row r="2552" spans="5:7" x14ac:dyDescent="0.15">
      <c r="E2552" s="8"/>
      <c r="F2552" s="8"/>
      <c r="G2552" s="8"/>
    </row>
    <row r="2553" spans="5:7" x14ac:dyDescent="0.15">
      <c r="E2553" s="8"/>
      <c r="F2553" s="8"/>
      <c r="G2553" s="8"/>
    </row>
    <row r="2554" spans="5:7" x14ac:dyDescent="0.15">
      <c r="E2554" s="8"/>
      <c r="F2554" s="8"/>
      <c r="G2554" s="8"/>
    </row>
    <row r="2555" spans="5:7" x14ac:dyDescent="0.15">
      <c r="E2555" s="8"/>
      <c r="F2555" s="8"/>
      <c r="G2555" s="8"/>
    </row>
    <row r="2556" spans="5:7" x14ac:dyDescent="0.15">
      <c r="E2556" s="8"/>
      <c r="F2556" s="8"/>
      <c r="G2556" s="8"/>
    </row>
    <row r="2557" spans="5:7" x14ac:dyDescent="0.15">
      <c r="E2557" s="8"/>
      <c r="F2557" s="8"/>
      <c r="G2557" s="8"/>
    </row>
    <row r="2558" spans="5:7" x14ac:dyDescent="0.15">
      <c r="E2558" s="8"/>
      <c r="F2558" s="8"/>
      <c r="G2558" s="8"/>
    </row>
    <row r="2559" spans="5:7" x14ac:dyDescent="0.15">
      <c r="E2559" s="8"/>
      <c r="F2559" s="8"/>
      <c r="G2559" s="8"/>
    </row>
    <row r="2560" spans="5:7" x14ac:dyDescent="0.15">
      <c r="E2560" s="8"/>
      <c r="F2560" s="8"/>
      <c r="G2560" s="8"/>
    </row>
    <row r="2561" spans="5:7" x14ac:dyDescent="0.15">
      <c r="E2561" s="8"/>
      <c r="F2561" s="8"/>
      <c r="G2561" s="8"/>
    </row>
    <row r="2562" spans="5:7" x14ac:dyDescent="0.15">
      <c r="E2562" s="8"/>
      <c r="F2562" s="8"/>
      <c r="G2562" s="8"/>
    </row>
    <row r="2563" spans="5:7" x14ac:dyDescent="0.15">
      <c r="E2563" s="8"/>
      <c r="F2563" s="8"/>
      <c r="G2563" s="8"/>
    </row>
    <row r="2564" spans="5:7" x14ac:dyDescent="0.15">
      <c r="E2564" s="8"/>
      <c r="F2564" s="8"/>
      <c r="G2564" s="8"/>
    </row>
    <row r="2565" spans="5:7" x14ac:dyDescent="0.15">
      <c r="E2565" s="8"/>
      <c r="F2565" s="8"/>
      <c r="G2565" s="8"/>
    </row>
    <row r="2566" spans="5:7" x14ac:dyDescent="0.15">
      <c r="E2566" s="8"/>
      <c r="F2566" s="8"/>
      <c r="G2566" s="8"/>
    </row>
    <row r="2567" spans="5:7" x14ac:dyDescent="0.15">
      <c r="E2567" s="8"/>
      <c r="F2567" s="8"/>
      <c r="G2567" s="8"/>
    </row>
    <row r="2568" spans="5:7" x14ac:dyDescent="0.15">
      <c r="E2568" s="8"/>
      <c r="F2568" s="8"/>
      <c r="G2568" s="8"/>
    </row>
    <row r="2569" spans="5:7" x14ac:dyDescent="0.15">
      <c r="E2569" s="8"/>
      <c r="F2569" s="8"/>
      <c r="G2569" s="8"/>
    </row>
    <row r="2570" spans="5:7" x14ac:dyDescent="0.15">
      <c r="E2570" s="8"/>
      <c r="F2570" s="8"/>
      <c r="G2570" s="8"/>
    </row>
    <row r="2571" spans="5:7" x14ac:dyDescent="0.15">
      <c r="E2571" s="8"/>
      <c r="F2571" s="8"/>
      <c r="G2571" s="8"/>
    </row>
    <row r="2572" spans="5:7" x14ac:dyDescent="0.15">
      <c r="E2572" s="8"/>
      <c r="F2572" s="8"/>
      <c r="G2572" s="8"/>
    </row>
    <row r="2573" spans="5:7" x14ac:dyDescent="0.15">
      <c r="E2573" s="8"/>
      <c r="F2573" s="8"/>
      <c r="G2573" s="8"/>
    </row>
    <row r="2574" spans="5:7" x14ac:dyDescent="0.15">
      <c r="E2574" s="8"/>
      <c r="F2574" s="8"/>
      <c r="G2574" s="8"/>
    </row>
    <row r="2575" spans="5:7" x14ac:dyDescent="0.15">
      <c r="E2575" s="8"/>
      <c r="F2575" s="8"/>
      <c r="G2575" s="8"/>
    </row>
    <row r="2576" spans="5:7" x14ac:dyDescent="0.15">
      <c r="E2576" s="8"/>
      <c r="F2576" s="8"/>
      <c r="G2576" s="8"/>
    </row>
    <row r="2577" spans="5:7" x14ac:dyDescent="0.15">
      <c r="E2577" s="8"/>
      <c r="F2577" s="8"/>
      <c r="G2577" s="8"/>
    </row>
    <row r="2578" spans="5:7" x14ac:dyDescent="0.15">
      <c r="E2578" s="8"/>
      <c r="F2578" s="8"/>
      <c r="G2578" s="8"/>
    </row>
    <row r="2579" spans="5:7" x14ac:dyDescent="0.15">
      <c r="E2579" s="8"/>
      <c r="F2579" s="8"/>
      <c r="G2579" s="8"/>
    </row>
    <row r="2580" spans="5:7" x14ac:dyDescent="0.15">
      <c r="E2580" s="8"/>
      <c r="F2580" s="8"/>
      <c r="G2580" s="8"/>
    </row>
    <row r="2581" spans="5:7" x14ac:dyDescent="0.15">
      <c r="E2581" s="8"/>
      <c r="F2581" s="8"/>
      <c r="G2581" s="8"/>
    </row>
    <row r="2582" spans="5:7" x14ac:dyDescent="0.15">
      <c r="E2582" s="8"/>
      <c r="F2582" s="8"/>
      <c r="G2582" s="8"/>
    </row>
    <row r="2583" spans="5:7" x14ac:dyDescent="0.15">
      <c r="E2583" s="8"/>
      <c r="F2583" s="8"/>
      <c r="G2583" s="8"/>
    </row>
    <row r="2584" spans="5:7" x14ac:dyDescent="0.15">
      <c r="E2584" s="8"/>
      <c r="F2584" s="8"/>
      <c r="G2584" s="8"/>
    </row>
    <row r="2585" spans="5:7" x14ac:dyDescent="0.15">
      <c r="E2585" s="8"/>
      <c r="F2585" s="8"/>
      <c r="G2585" s="8"/>
    </row>
    <row r="2586" spans="5:7" x14ac:dyDescent="0.15">
      <c r="E2586" s="8"/>
      <c r="F2586" s="8"/>
      <c r="G2586" s="8"/>
    </row>
    <row r="2587" spans="5:7" x14ac:dyDescent="0.15">
      <c r="E2587" s="8"/>
      <c r="F2587" s="8"/>
      <c r="G2587" s="8"/>
    </row>
    <row r="2588" spans="5:7" x14ac:dyDescent="0.15">
      <c r="E2588" s="8"/>
      <c r="F2588" s="8"/>
      <c r="G2588" s="8"/>
    </row>
    <row r="2589" spans="5:7" x14ac:dyDescent="0.15">
      <c r="E2589" s="8"/>
      <c r="F2589" s="8"/>
      <c r="G2589" s="8"/>
    </row>
    <row r="2590" spans="5:7" x14ac:dyDescent="0.15">
      <c r="E2590" s="8"/>
      <c r="F2590" s="8"/>
      <c r="G2590" s="8"/>
    </row>
    <row r="2591" spans="5:7" x14ac:dyDescent="0.15">
      <c r="E2591" s="8"/>
      <c r="F2591" s="8"/>
      <c r="G2591" s="8"/>
    </row>
    <row r="2592" spans="5:7" x14ac:dyDescent="0.15">
      <c r="E2592" s="8"/>
      <c r="F2592" s="8"/>
      <c r="G2592" s="8"/>
    </row>
    <row r="2593" spans="5:7" x14ac:dyDescent="0.15">
      <c r="E2593" s="8"/>
      <c r="F2593" s="8"/>
      <c r="G2593" s="8"/>
    </row>
    <row r="2594" spans="5:7" x14ac:dyDescent="0.15">
      <c r="E2594" s="8"/>
      <c r="F2594" s="8"/>
      <c r="G2594" s="8"/>
    </row>
    <row r="2595" spans="5:7" x14ac:dyDescent="0.15">
      <c r="E2595" s="8"/>
      <c r="F2595" s="8"/>
      <c r="G2595" s="8"/>
    </row>
    <row r="2596" spans="5:7" x14ac:dyDescent="0.15">
      <c r="E2596" s="8"/>
      <c r="F2596" s="8"/>
      <c r="G2596" s="8"/>
    </row>
    <row r="2597" spans="5:7" x14ac:dyDescent="0.15">
      <c r="E2597" s="8"/>
      <c r="F2597" s="8"/>
      <c r="G2597" s="8"/>
    </row>
    <row r="2598" spans="5:7" x14ac:dyDescent="0.15">
      <c r="E2598" s="8"/>
      <c r="F2598" s="8"/>
      <c r="G2598" s="8"/>
    </row>
    <row r="2599" spans="5:7" x14ac:dyDescent="0.15">
      <c r="E2599" s="8"/>
      <c r="F2599" s="8"/>
      <c r="G2599" s="8"/>
    </row>
    <row r="2600" spans="5:7" x14ac:dyDescent="0.15">
      <c r="E2600" s="8"/>
      <c r="F2600" s="8"/>
      <c r="G2600" s="8"/>
    </row>
    <row r="2601" spans="5:7" x14ac:dyDescent="0.15">
      <c r="E2601" s="8"/>
      <c r="F2601" s="8"/>
      <c r="G2601" s="8"/>
    </row>
    <row r="2602" spans="5:7" x14ac:dyDescent="0.15">
      <c r="E2602" s="8"/>
      <c r="F2602" s="8"/>
      <c r="G2602" s="8"/>
    </row>
    <row r="2603" spans="5:7" x14ac:dyDescent="0.15">
      <c r="E2603" s="8"/>
      <c r="F2603" s="8"/>
      <c r="G2603" s="8"/>
    </row>
    <row r="2604" spans="5:7" x14ac:dyDescent="0.15">
      <c r="E2604" s="8"/>
      <c r="F2604" s="8"/>
      <c r="G2604" s="8"/>
    </row>
    <row r="2605" spans="5:7" x14ac:dyDescent="0.15">
      <c r="E2605" s="8"/>
      <c r="F2605" s="8"/>
      <c r="G2605" s="8"/>
    </row>
    <row r="2606" spans="5:7" x14ac:dyDescent="0.15">
      <c r="E2606" s="8"/>
      <c r="F2606" s="8"/>
      <c r="G2606" s="8"/>
    </row>
    <row r="2607" spans="5:7" x14ac:dyDescent="0.15">
      <c r="E2607" s="8"/>
      <c r="F2607" s="8"/>
      <c r="G2607" s="8"/>
    </row>
    <row r="2608" spans="5:7" x14ac:dyDescent="0.15">
      <c r="E2608" s="8"/>
      <c r="F2608" s="8"/>
      <c r="G2608" s="8"/>
    </row>
    <row r="2609" spans="5:7" x14ac:dyDescent="0.15">
      <c r="E2609" s="8"/>
      <c r="F2609" s="8"/>
      <c r="G2609" s="8"/>
    </row>
    <row r="2610" spans="5:7" x14ac:dyDescent="0.15">
      <c r="E2610" s="8"/>
      <c r="F2610" s="8"/>
      <c r="G2610" s="8"/>
    </row>
    <row r="2611" spans="5:7" x14ac:dyDescent="0.15">
      <c r="E2611" s="8"/>
      <c r="F2611" s="8"/>
      <c r="G2611" s="8"/>
    </row>
    <row r="2612" spans="5:7" x14ac:dyDescent="0.15">
      <c r="E2612" s="8"/>
      <c r="F2612" s="8"/>
      <c r="G2612" s="8"/>
    </row>
    <row r="2613" spans="5:7" x14ac:dyDescent="0.15">
      <c r="E2613" s="8"/>
      <c r="F2613" s="8"/>
      <c r="G2613" s="8"/>
    </row>
    <row r="2614" spans="5:7" x14ac:dyDescent="0.15">
      <c r="E2614" s="8"/>
      <c r="F2614" s="8"/>
      <c r="G2614" s="8"/>
    </row>
    <row r="2615" spans="5:7" x14ac:dyDescent="0.15">
      <c r="E2615" s="8"/>
      <c r="F2615" s="8"/>
      <c r="G2615" s="8"/>
    </row>
    <row r="2616" spans="5:7" x14ac:dyDescent="0.15">
      <c r="E2616" s="8"/>
      <c r="F2616" s="8"/>
      <c r="G2616" s="8"/>
    </row>
    <row r="2617" spans="5:7" x14ac:dyDescent="0.15">
      <c r="E2617" s="8"/>
      <c r="F2617" s="8"/>
      <c r="G2617" s="8"/>
    </row>
    <row r="2618" spans="5:7" x14ac:dyDescent="0.15">
      <c r="E2618" s="8"/>
      <c r="F2618" s="8"/>
      <c r="G2618" s="8"/>
    </row>
    <row r="2619" spans="5:7" x14ac:dyDescent="0.15">
      <c r="E2619" s="8"/>
      <c r="F2619" s="8"/>
      <c r="G2619" s="8"/>
    </row>
    <row r="2620" spans="5:7" x14ac:dyDescent="0.15">
      <c r="E2620" s="8"/>
      <c r="F2620" s="8"/>
      <c r="G2620" s="8"/>
    </row>
    <row r="2621" spans="5:7" x14ac:dyDescent="0.15">
      <c r="E2621" s="8"/>
      <c r="F2621" s="8"/>
      <c r="G2621" s="8"/>
    </row>
    <row r="2622" spans="5:7" x14ac:dyDescent="0.15">
      <c r="E2622" s="8"/>
      <c r="F2622" s="8"/>
      <c r="G2622" s="8"/>
    </row>
    <row r="2623" spans="5:7" x14ac:dyDescent="0.15">
      <c r="E2623" s="8"/>
      <c r="F2623" s="8"/>
      <c r="G2623" s="8"/>
    </row>
    <row r="2624" spans="5:7" x14ac:dyDescent="0.15">
      <c r="E2624" s="8"/>
      <c r="F2624" s="8"/>
      <c r="G2624" s="8"/>
    </row>
    <row r="2625" spans="5:7" x14ac:dyDescent="0.15">
      <c r="E2625" s="8"/>
      <c r="F2625" s="8"/>
      <c r="G2625" s="8"/>
    </row>
    <row r="2626" spans="5:7" x14ac:dyDescent="0.15">
      <c r="E2626" s="8"/>
      <c r="F2626" s="8"/>
      <c r="G2626" s="8"/>
    </row>
    <row r="2627" spans="5:7" x14ac:dyDescent="0.15">
      <c r="E2627" s="8"/>
      <c r="F2627" s="8"/>
      <c r="G2627" s="8"/>
    </row>
    <row r="2628" spans="5:7" x14ac:dyDescent="0.15">
      <c r="E2628" s="8"/>
      <c r="F2628" s="8"/>
      <c r="G2628" s="8"/>
    </row>
    <row r="2629" spans="5:7" x14ac:dyDescent="0.15">
      <c r="E2629" s="8"/>
      <c r="F2629" s="8"/>
      <c r="G2629" s="8"/>
    </row>
    <row r="2630" spans="5:7" x14ac:dyDescent="0.15">
      <c r="E2630" s="8"/>
      <c r="F2630" s="8"/>
      <c r="G2630" s="8"/>
    </row>
    <row r="2631" spans="5:7" x14ac:dyDescent="0.15">
      <c r="E2631" s="8"/>
      <c r="F2631" s="8"/>
      <c r="G2631" s="8"/>
    </row>
    <row r="2632" spans="5:7" x14ac:dyDescent="0.15">
      <c r="E2632" s="8"/>
      <c r="F2632" s="8"/>
      <c r="G2632" s="8"/>
    </row>
    <row r="2633" spans="5:7" x14ac:dyDescent="0.15">
      <c r="E2633" s="8"/>
      <c r="F2633" s="8"/>
      <c r="G2633" s="8"/>
    </row>
    <row r="2634" spans="5:7" x14ac:dyDescent="0.15">
      <c r="E2634" s="8"/>
      <c r="F2634" s="8"/>
      <c r="G2634" s="8"/>
    </row>
    <row r="2635" spans="5:7" x14ac:dyDescent="0.15">
      <c r="E2635" s="8"/>
      <c r="F2635" s="8"/>
      <c r="G2635" s="8"/>
    </row>
    <row r="2636" spans="5:7" x14ac:dyDescent="0.15">
      <c r="E2636" s="8"/>
      <c r="F2636" s="8"/>
      <c r="G2636" s="8"/>
    </row>
    <row r="2637" spans="5:7" x14ac:dyDescent="0.15">
      <c r="E2637" s="8"/>
      <c r="F2637" s="8"/>
      <c r="G2637" s="8"/>
    </row>
    <row r="2638" spans="5:7" x14ac:dyDescent="0.15">
      <c r="E2638" s="8"/>
      <c r="F2638" s="8"/>
      <c r="G2638" s="8"/>
    </row>
    <row r="2639" spans="5:7" x14ac:dyDescent="0.15">
      <c r="E2639" s="8"/>
      <c r="F2639" s="8"/>
      <c r="G2639" s="8"/>
    </row>
    <row r="2640" spans="5:7" x14ac:dyDescent="0.15">
      <c r="E2640" s="8"/>
      <c r="F2640" s="8"/>
      <c r="G2640" s="8"/>
    </row>
    <row r="2641" spans="5:7" x14ac:dyDescent="0.15">
      <c r="E2641" s="8"/>
      <c r="F2641" s="8"/>
      <c r="G2641" s="8"/>
    </row>
    <row r="2642" spans="5:7" x14ac:dyDescent="0.15">
      <c r="E2642" s="8"/>
      <c r="F2642" s="8"/>
      <c r="G2642" s="8"/>
    </row>
    <row r="2643" spans="5:7" x14ac:dyDescent="0.15">
      <c r="E2643" s="8"/>
      <c r="F2643" s="8"/>
      <c r="G2643" s="8"/>
    </row>
    <row r="2644" spans="5:7" x14ac:dyDescent="0.15">
      <c r="E2644" s="8"/>
      <c r="F2644" s="8"/>
      <c r="G2644" s="8"/>
    </row>
    <row r="2645" spans="5:7" x14ac:dyDescent="0.15">
      <c r="E2645" s="8"/>
      <c r="F2645" s="8"/>
      <c r="G2645" s="8"/>
    </row>
    <row r="2646" spans="5:7" x14ac:dyDescent="0.15">
      <c r="E2646" s="8"/>
      <c r="F2646" s="8"/>
      <c r="G2646" s="8"/>
    </row>
    <row r="2647" spans="5:7" x14ac:dyDescent="0.15">
      <c r="E2647" s="8"/>
      <c r="F2647" s="8"/>
      <c r="G2647" s="8"/>
    </row>
    <row r="2648" spans="5:7" x14ac:dyDescent="0.15">
      <c r="E2648" s="8"/>
      <c r="F2648" s="8"/>
      <c r="G2648" s="8"/>
    </row>
    <row r="2649" spans="5:7" x14ac:dyDescent="0.15">
      <c r="E2649" s="8"/>
      <c r="F2649" s="8"/>
      <c r="G2649" s="8"/>
    </row>
    <row r="2650" spans="5:7" x14ac:dyDescent="0.15">
      <c r="E2650" s="8"/>
      <c r="F2650" s="8"/>
      <c r="G2650" s="8"/>
    </row>
    <row r="2651" spans="5:7" x14ac:dyDescent="0.15">
      <c r="E2651" s="8"/>
      <c r="F2651" s="8"/>
      <c r="G2651" s="8"/>
    </row>
    <row r="2652" spans="5:7" x14ac:dyDescent="0.15">
      <c r="E2652" s="8"/>
      <c r="F2652" s="8"/>
      <c r="G2652" s="8"/>
    </row>
    <row r="2653" spans="5:7" x14ac:dyDescent="0.15">
      <c r="E2653" s="8"/>
      <c r="F2653" s="8"/>
      <c r="G2653" s="8"/>
    </row>
    <row r="2654" spans="5:7" x14ac:dyDescent="0.15">
      <c r="E2654" s="8"/>
      <c r="F2654" s="8"/>
      <c r="G2654" s="8"/>
    </row>
    <row r="2655" spans="5:7" x14ac:dyDescent="0.15">
      <c r="E2655" s="8"/>
      <c r="F2655" s="8"/>
      <c r="G2655" s="8"/>
    </row>
    <row r="2656" spans="5:7" x14ac:dyDescent="0.15">
      <c r="E2656" s="8"/>
      <c r="F2656" s="8"/>
      <c r="G2656" s="8"/>
    </row>
    <row r="2657" spans="5:7" x14ac:dyDescent="0.15">
      <c r="E2657" s="8"/>
      <c r="F2657" s="8"/>
      <c r="G2657" s="8"/>
    </row>
    <row r="2658" spans="5:7" x14ac:dyDescent="0.15">
      <c r="E2658" s="8"/>
      <c r="F2658" s="8"/>
      <c r="G2658" s="8"/>
    </row>
    <row r="2659" spans="5:7" x14ac:dyDescent="0.15">
      <c r="E2659" s="8"/>
      <c r="F2659" s="8"/>
      <c r="G2659" s="8"/>
    </row>
    <row r="2660" spans="5:7" x14ac:dyDescent="0.15">
      <c r="E2660" s="8"/>
      <c r="F2660" s="8"/>
      <c r="G2660" s="8"/>
    </row>
    <row r="2661" spans="5:7" x14ac:dyDescent="0.15">
      <c r="E2661" s="8"/>
      <c r="F2661" s="8"/>
      <c r="G2661" s="8"/>
    </row>
    <row r="2662" spans="5:7" x14ac:dyDescent="0.15">
      <c r="E2662" s="8"/>
      <c r="F2662" s="8"/>
      <c r="G2662" s="8"/>
    </row>
    <row r="2663" spans="5:7" x14ac:dyDescent="0.15">
      <c r="E2663" s="8"/>
      <c r="F2663" s="8"/>
      <c r="G2663" s="8"/>
    </row>
    <row r="2664" spans="5:7" x14ac:dyDescent="0.15">
      <c r="E2664" s="8"/>
      <c r="F2664" s="8"/>
      <c r="G2664" s="8"/>
    </row>
    <row r="2665" spans="5:7" x14ac:dyDescent="0.15">
      <c r="E2665" s="8"/>
      <c r="F2665" s="8"/>
      <c r="G2665" s="8"/>
    </row>
    <row r="2666" spans="5:7" x14ac:dyDescent="0.15">
      <c r="E2666" s="8"/>
      <c r="F2666" s="8"/>
      <c r="G2666" s="8"/>
    </row>
    <row r="2667" spans="5:7" x14ac:dyDescent="0.15">
      <c r="E2667" s="8"/>
      <c r="F2667" s="8"/>
      <c r="G2667" s="8"/>
    </row>
    <row r="2668" spans="5:7" x14ac:dyDescent="0.15">
      <c r="E2668" s="8"/>
      <c r="F2668" s="8"/>
      <c r="G2668" s="8"/>
    </row>
    <row r="2669" spans="5:7" x14ac:dyDescent="0.15">
      <c r="E2669" s="8"/>
      <c r="F2669" s="8"/>
      <c r="G2669" s="8"/>
    </row>
    <row r="2670" spans="5:7" x14ac:dyDescent="0.15">
      <c r="E2670" s="8"/>
      <c r="F2670" s="8"/>
      <c r="G2670" s="8"/>
    </row>
    <row r="2671" spans="5:7" x14ac:dyDescent="0.15">
      <c r="E2671" s="8"/>
      <c r="F2671" s="8"/>
      <c r="G2671" s="8"/>
    </row>
    <row r="2672" spans="5:7" x14ac:dyDescent="0.15">
      <c r="E2672" s="8"/>
      <c r="F2672" s="8"/>
      <c r="G2672" s="8"/>
    </row>
    <row r="2673" spans="5:7" x14ac:dyDescent="0.15">
      <c r="E2673" s="8"/>
      <c r="F2673" s="8"/>
      <c r="G2673" s="8"/>
    </row>
    <row r="2674" spans="5:7" x14ac:dyDescent="0.15">
      <c r="E2674" s="8"/>
      <c r="F2674" s="8"/>
      <c r="G2674" s="8"/>
    </row>
    <row r="2675" spans="5:7" x14ac:dyDescent="0.15">
      <c r="E2675" s="8"/>
      <c r="F2675" s="8"/>
      <c r="G2675" s="8"/>
    </row>
    <row r="2676" spans="5:7" x14ac:dyDescent="0.15">
      <c r="E2676" s="8"/>
      <c r="F2676" s="8"/>
      <c r="G2676" s="8"/>
    </row>
    <row r="2677" spans="5:7" x14ac:dyDescent="0.15">
      <c r="E2677" s="8"/>
      <c r="F2677" s="8"/>
      <c r="G2677" s="8"/>
    </row>
    <row r="2678" spans="5:7" x14ac:dyDescent="0.15">
      <c r="E2678" s="8"/>
      <c r="F2678" s="8"/>
      <c r="G2678" s="8"/>
    </row>
    <row r="2679" spans="5:7" x14ac:dyDescent="0.15">
      <c r="E2679" s="8"/>
      <c r="F2679" s="8"/>
      <c r="G2679" s="8"/>
    </row>
    <row r="2680" spans="5:7" x14ac:dyDescent="0.15">
      <c r="E2680" s="8"/>
      <c r="F2680" s="8"/>
      <c r="G2680" s="8"/>
    </row>
    <row r="2681" spans="5:7" x14ac:dyDescent="0.15">
      <c r="E2681" s="8"/>
      <c r="F2681" s="8"/>
      <c r="G2681" s="8"/>
    </row>
    <row r="2682" spans="5:7" x14ac:dyDescent="0.15">
      <c r="E2682" s="8"/>
      <c r="F2682" s="8"/>
      <c r="G2682" s="8"/>
    </row>
    <row r="2683" spans="5:7" x14ac:dyDescent="0.15">
      <c r="E2683" s="8"/>
      <c r="F2683" s="8"/>
      <c r="G2683" s="8"/>
    </row>
    <row r="2684" spans="5:7" x14ac:dyDescent="0.15">
      <c r="E2684" s="8"/>
      <c r="F2684" s="8"/>
      <c r="G2684" s="8"/>
    </row>
    <row r="2685" spans="5:7" x14ac:dyDescent="0.15">
      <c r="E2685" s="8"/>
      <c r="F2685" s="8"/>
      <c r="G2685" s="8"/>
    </row>
    <row r="2686" spans="5:7" x14ac:dyDescent="0.15">
      <c r="E2686" s="8"/>
      <c r="F2686" s="8"/>
      <c r="G2686" s="8"/>
    </row>
    <row r="2687" spans="5:7" x14ac:dyDescent="0.15">
      <c r="E2687" s="8"/>
      <c r="F2687" s="8"/>
      <c r="G2687" s="8"/>
    </row>
    <row r="2688" spans="5:7" x14ac:dyDescent="0.15">
      <c r="E2688" s="8"/>
      <c r="F2688" s="8"/>
      <c r="G2688" s="8"/>
    </row>
    <row r="2689" spans="5:7" x14ac:dyDescent="0.15">
      <c r="E2689" s="8"/>
      <c r="F2689" s="8"/>
      <c r="G2689" s="8"/>
    </row>
    <row r="2690" spans="5:7" x14ac:dyDescent="0.15">
      <c r="E2690" s="8"/>
      <c r="F2690" s="8"/>
      <c r="G2690" s="8"/>
    </row>
    <row r="2691" spans="5:7" x14ac:dyDescent="0.15">
      <c r="E2691" s="8"/>
      <c r="F2691" s="8"/>
      <c r="G2691" s="8"/>
    </row>
    <row r="2692" spans="5:7" x14ac:dyDescent="0.15">
      <c r="E2692" s="8"/>
      <c r="F2692" s="8"/>
      <c r="G2692" s="8"/>
    </row>
    <row r="2693" spans="5:7" x14ac:dyDescent="0.15">
      <c r="E2693" s="8"/>
      <c r="F2693" s="8"/>
      <c r="G2693" s="8"/>
    </row>
    <row r="2694" spans="5:7" x14ac:dyDescent="0.15">
      <c r="E2694" s="8"/>
      <c r="F2694" s="8"/>
      <c r="G2694" s="8"/>
    </row>
    <row r="2695" spans="5:7" x14ac:dyDescent="0.15">
      <c r="E2695" s="8"/>
      <c r="F2695" s="8"/>
      <c r="G2695" s="8"/>
    </row>
    <row r="2696" spans="5:7" x14ac:dyDescent="0.15">
      <c r="E2696" s="8"/>
      <c r="F2696" s="8"/>
      <c r="G2696" s="8"/>
    </row>
    <row r="2697" spans="5:7" x14ac:dyDescent="0.15">
      <c r="E2697" s="8"/>
      <c r="F2697" s="8"/>
      <c r="G2697" s="8"/>
    </row>
    <row r="2698" spans="5:7" x14ac:dyDescent="0.15">
      <c r="E2698" s="8"/>
      <c r="F2698" s="8"/>
      <c r="G2698" s="8"/>
    </row>
    <row r="2699" spans="5:7" x14ac:dyDescent="0.15">
      <c r="E2699" s="8"/>
      <c r="F2699" s="8"/>
      <c r="G2699" s="8"/>
    </row>
    <row r="2700" spans="5:7" x14ac:dyDescent="0.15">
      <c r="E2700" s="8"/>
      <c r="F2700" s="8"/>
      <c r="G2700" s="8"/>
    </row>
    <row r="2701" spans="5:7" x14ac:dyDescent="0.15">
      <c r="E2701" s="8"/>
      <c r="F2701" s="8"/>
      <c r="G2701" s="8"/>
    </row>
    <row r="2702" spans="5:7" x14ac:dyDescent="0.15">
      <c r="E2702" s="8"/>
      <c r="F2702" s="8"/>
      <c r="G2702" s="8"/>
    </row>
    <row r="2703" spans="5:7" x14ac:dyDescent="0.15">
      <c r="E2703" s="8"/>
      <c r="F2703" s="8"/>
      <c r="G2703" s="8"/>
    </row>
    <row r="2704" spans="5:7" x14ac:dyDescent="0.15">
      <c r="E2704" s="8"/>
      <c r="F2704" s="8"/>
      <c r="G2704" s="8"/>
    </row>
    <row r="2705" spans="5:7" x14ac:dyDescent="0.15">
      <c r="E2705" s="8"/>
      <c r="F2705" s="8"/>
      <c r="G2705" s="8"/>
    </row>
    <row r="2706" spans="5:7" x14ac:dyDescent="0.15">
      <c r="E2706" s="8"/>
      <c r="F2706" s="8"/>
      <c r="G2706" s="8"/>
    </row>
    <row r="2707" spans="5:7" x14ac:dyDescent="0.15">
      <c r="E2707" s="8"/>
      <c r="F2707" s="8"/>
      <c r="G2707" s="8"/>
    </row>
    <row r="2708" spans="5:7" x14ac:dyDescent="0.15">
      <c r="E2708" s="8"/>
      <c r="F2708" s="8"/>
      <c r="G2708" s="8"/>
    </row>
    <row r="2709" spans="5:7" x14ac:dyDescent="0.15">
      <c r="E2709" s="8"/>
      <c r="F2709" s="8"/>
      <c r="G2709" s="8"/>
    </row>
    <row r="2710" spans="5:7" x14ac:dyDescent="0.15">
      <c r="E2710" s="8"/>
      <c r="F2710" s="8"/>
      <c r="G2710" s="8"/>
    </row>
    <row r="2711" spans="5:7" x14ac:dyDescent="0.15">
      <c r="E2711" s="8"/>
      <c r="F2711" s="8"/>
      <c r="G2711" s="8"/>
    </row>
    <row r="2712" spans="5:7" x14ac:dyDescent="0.15">
      <c r="E2712" s="8"/>
      <c r="F2712" s="8"/>
      <c r="G2712" s="8"/>
    </row>
    <row r="2713" spans="5:7" x14ac:dyDescent="0.15">
      <c r="E2713" s="8"/>
      <c r="F2713" s="8"/>
      <c r="G2713" s="8"/>
    </row>
    <row r="2714" spans="5:7" x14ac:dyDescent="0.15">
      <c r="E2714" s="8"/>
      <c r="F2714" s="8"/>
      <c r="G2714" s="8"/>
    </row>
    <row r="2715" spans="5:7" x14ac:dyDescent="0.15">
      <c r="E2715" s="8"/>
      <c r="F2715" s="8"/>
      <c r="G2715" s="8"/>
    </row>
    <row r="2716" spans="5:7" x14ac:dyDescent="0.15">
      <c r="E2716" s="8"/>
      <c r="F2716" s="8"/>
      <c r="G2716" s="8"/>
    </row>
    <row r="2717" spans="5:7" x14ac:dyDescent="0.15">
      <c r="E2717" s="8"/>
      <c r="F2717" s="8"/>
      <c r="G2717" s="8"/>
    </row>
    <row r="2718" spans="5:7" x14ac:dyDescent="0.15">
      <c r="E2718" s="8"/>
      <c r="F2718" s="8"/>
      <c r="G2718" s="8"/>
    </row>
    <row r="2719" spans="5:7" x14ac:dyDescent="0.15">
      <c r="E2719" s="8"/>
      <c r="F2719" s="8"/>
      <c r="G2719" s="8"/>
    </row>
    <row r="2720" spans="5:7" x14ac:dyDescent="0.15">
      <c r="E2720" s="8"/>
      <c r="F2720" s="8"/>
      <c r="G2720" s="8"/>
    </row>
    <row r="2721" spans="5:7" x14ac:dyDescent="0.15">
      <c r="E2721" s="8"/>
      <c r="F2721" s="8"/>
      <c r="G2721" s="8"/>
    </row>
    <row r="2722" spans="5:7" x14ac:dyDescent="0.15">
      <c r="E2722" s="8"/>
      <c r="F2722" s="8"/>
      <c r="G2722" s="8"/>
    </row>
    <row r="2723" spans="5:7" x14ac:dyDescent="0.15">
      <c r="E2723" s="8"/>
      <c r="F2723" s="8"/>
      <c r="G2723" s="8"/>
    </row>
    <row r="2724" spans="5:7" x14ac:dyDescent="0.15">
      <c r="E2724" s="8"/>
      <c r="F2724" s="8"/>
      <c r="G2724" s="8"/>
    </row>
    <row r="2725" spans="5:7" x14ac:dyDescent="0.15">
      <c r="E2725" s="8"/>
      <c r="F2725" s="8"/>
      <c r="G2725" s="8"/>
    </row>
    <row r="2726" spans="5:7" x14ac:dyDescent="0.15">
      <c r="E2726" s="8"/>
      <c r="F2726" s="8"/>
      <c r="G2726" s="8"/>
    </row>
    <row r="2727" spans="5:7" x14ac:dyDescent="0.15">
      <c r="E2727" s="8"/>
      <c r="F2727" s="8"/>
      <c r="G2727" s="8"/>
    </row>
    <row r="2728" spans="5:7" x14ac:dyDescent="0.15">
      <c r="E2728" s="8"/>
      <c r="F2728" s="8"/>
      <c r="G2728" s="8"/>
    </row>
    <row r="2729" spans="5:7" x14ac:dyDescent="0.15">
      <c r="E2729" s="8"/>
      <c r="F2729" s="8"/>
      <c r="G2729" s="8"/>
    </row>
    <row r="2730" spans="5:7" x14ac:dyDescent="0.15">
      <c r="E2730" s="8"/>
      <c r="F2730" s="8"/>
      <c r="G2730" s="8"/>
    </row>
    <row r="2731" spans="5:7" x14ac:dyDescent="0.15">
      <c r="E2731" s="8"/>
      <c r="F2731" s="8"/>
      <c r="G2731" s="8"/>
    </row>
    <row r="2732" spans="5:7" x14ac:dyDescent="0.15">
      <c r="E2732" s="8"/>
      <c r="F2732" s="8"/>
      <c r="G2732" s="8"/>
    </row>
    <row r="2733" spans="5:7" x14ac:dyDescent="0.15">
      <c r="E2733" s="8"/>
      <c r="F2733" s="8"/>
      <c r="G2733" s="8"/>
    </row>
    <row r="2734" spans="5:7" x14ac:dyDescent="0.15">
      <c r="E2734" s="8"/>
      <c r="F2734" s="8"/>
      <c r="G2734" s="8"/>
    </row>
    <row r="2735" spans="5:7" x14ac:dyDescent="0.15">
      <c r="E2735" s="8"/>
      <c r="F2735" s="8"/>
      <c r="G2735" s="8"/>
    </row>
    <row r="2736" spans="5:7" x14ac:dyDescent="0.15">
      <c r="E2736" s="8"/>
      <c r="F2736" s="8"/>
      <c r="G2736" s="8"/>
    </row>
    <row r="2737" spans="5:7" x14ac:dyDescent="0.15">
      <c r="E2737" s="8"/>
      <c r="F2737" s="8"/>
      <c r="G2737" s="8"/>
    </row>
    <row r="2738" spans="5:7" x14ac:dyDescent="0.15">
      <c r="E2738" s="8"/>
      <c r="F2738" s="8"/>
      <c r="G2738" s="8"/>
    </row>
    <row r="2739" spans="5:7" x14ac:dyDescent="0.15">
      <c r="E2739" s="8"/>
      <c r="F2739" s="8"/>
      <c r="G2739" s="8"/>
    </row>
    <row r="2740" spans="5:7" x14ac:dyDescent="0.15">
      <c r="E2740" s="8"/>
      <c r="F2740" s="8"/>
      <c r="G2740" s="8"/>
    </row>
    <row r="2741" spans="5:7" x14ac:dyDescent="0.15">
      <c r="E2741" s="8"/>
      <c r="F2741" s="8"/>
      <c r="G2741" s="8"/>
    </row>
    <row r="2742" spans="5:7" x14ac:dyDescent="0.15">
      <c r="E2742" s="8"/>
      <c r="F2742" s="8"/>
      <c r="G2742" s="8"/>
    </row>
    <row r="2743" spans="5:7" x14ac:dyDescent="0.15">
      <c r="E2743" s="8"/>
      <c r="F2743" s="8"/>
      <c r="G2743" s="8"/>
    </row>
    <row r="2744" spans="5:7" x14ac:dyDescent="0.15">
      <c r="E2744" s="8"/>
      <c r="F2744" s="8"/>
      <c r="G2744" s="8"/>
    </row>
    <row r="2745" spans="5:7" x14ac:dyDescent="0.15">
      <c r="E2745" s="8"/>
      <c r="F2745" s="8"/>
      <c r="G2745" s="8"/>
    </row>
    <row r="2746" spans="5:7" x14ac:dyDescent="0.15">
      <c r="E2746" s="8"/>
      <c r="F2746" s="8"/>
      <c r="G2746" s="8"/>
    </row>
    <row r="2747" spans="5:7" x14ac:dyDescent="0.15">
      <c r="E2747" s="8"/>
      <c r="F2747" s="8"/>
      <c r="G2747" s="8"/>
    </row>
    <row r="2748" spans="5:7" x14ac:dyDescent="0.15">
      <c r="E2748" s="8"/>
      <c r="F2748" s="8"/>
      <c r="G2748" s="8"/>
    </row>
    <row r="2749" spans="5:7" x14ac:dyDescent="0.15">
      <c r="E2749" s="8"/>
      <c r="F2749" s="8"/>
      <c r="G2749" s="8"/>
    </row>
    <row r="2750" spans="5:7" x14ac:dyDescent="0.15">
      <c r="E2750" s="8"/>
      <c r="F2750" s="8"/>
      <c r="G2750" s="8"/>
    </row>
    <row r="2751" spans="5:7" x14ac:dyDescent="0.15">
      <c r="E2751" s="8"/>
      <c r="F2751" s="8"/>
      <c r="G2751" s="8"/>
    </row>
    <row r="2752" spans="5:7" x14ac:dyDescent="0.15">
      <c r="E2752" s="8"/>
      <c r="F2752" s="8"/>
      <c r="G2752" s="8"/>
    </row>
    <row r="2753" spans="5:7" x14ac:dyDescent="0.15">
      <c r="E2753" s="8"/>
      <c r="F2753" s="8"/>
      <c r="G2753" s="8"/>
    </row>
    <row r="2754" spans="5:7" x14ac:dyDescent="0.15">
      <c r="E2754" s="8"/>
      <c r="F2754" s="8"/>
      <c r="G2754" s="8"/>
    </row>
    <row r="2755" spans="5:7" x14ac:dyDescent="0.15">
      <c r="E2755" s="8"/>
      <c r="F2755" s="8"/>
      <c r="G2755" s="8"/>
    </row>
    <row r="2756" spans="5:7" x14ac:dyDescent="0.15">
      <c r="E2756" s="8"/>
      <c r="F2756" s="8"/>
      <c r="G2756" s="8"/>
    </row>
    <row r="2757" spans="5:7" x14ac:dyDescent="0.15">
      <c r="E2757" s="8"/>
      <c r="F2757" s="8"/>
      <c r="G2757" s="8"/>
    </row>
    <row r="2758" spans="5:7" x14ac:dyDescent="0.15">
      <c r="E2758" s="8"/>
      <c r="F2758" s="8"/>
      <c r="G2758" s="8"/>
    </row>
    <row r="2759" spans="5:7" x14ac:dyDescent="0.15">
      <c r="E2759" s="8"/>
      <c r="F2759" s="8"/>
      <c r="G2759" s="8"/>
    </row>
    <row r="2760" spans="5:7" x14ac:dyDescent="0.15">
      <c r="E2760" s="8"/>
      <c r="F2760" s="8"/>
      <c r="G2760" s="8"/>
    </row>
    <row r="2761" spans="5:7" x14ac:dyDescent="0.15">
      <c r="E2761" s="8"/>
      <c r="F2761" s="8"/>
      <c r="G2761" s="8"/>
    </row>
    <row r="2762" spans="5:7" x14ac:dyDescent="0.15">
      <c r="E2762" s="8"/>
      <c r="F2762" s="8"/>
      <c r="G2762" s="8"/>
    </row>
    <row r="2763" spans="5:7" x14ac:dyDescent="0.15">
      <c r="E2763" s="8"/>
      <c r="F2763" s="8"/>
      <c r="G2763" s="8"/>
    </row>
    <row r="2764" spans="5:7" x14ac:dyDescent="0.15">
      <c r="E2764" s="8"/>
      <c r="F2764" s="8"/>
      <c r="G2764" s="8"/>
    </row>
    <row r="2765" spans="5:7" x14ac:dyDescent="0.15">
      <c r="E2765" s="8"/>
      <c r="F2765" s="8"/>
      <c r="G2765" s="8"/>
    </row>
    <row r="2766" spans="5:7" x14ac:dyDescent="0.15">
      <c r="E2766" s="8"/>
      <c r="F2766" s="8"/>
      <c r="G2766" s="8"/>
    </row>
    <row r="2767" spans="5:7" x14ac:dyDescent="0.15">
      <c r="E2767" s="8"/>
      <c r="F2767" s="8"/>
      <c r="G2767" s="8"/>
    </row>
    <row r="2768" spans="5:7" x14ac:dyDescent="0.15">
      <c r="E2768" s="8"/>
      <c r="F2768" s="8"/>
      <c r="G2768" s="8"/>
    </row>
    <row r="2769" spans="5:7" x14ac:dyDescent="0.15">
      <c r="E2769" s="8"/>
      <c r="F2769" s="8"/>
      <c r="G2769" s="8"/>
    </row>
    <row r="2770" spans="5:7" x14ac:dyDescent="0.15">
      <c r="E2770" s="8"/>
      <c r="F2770" s="8"/>
      <c r="G2770" s="8"/>
    </row>
    <row r="2771" spans="5:7" x14ac:dyDescent="0.15">
      <c r="E2771" s="8"/>
      <c r="F2771" s="8"/>
      <c r="G2771" s="8"/>
    </row>
    <row r="2772" spans="5:7" x14ac:dyDescent="0.15">
      <c r="E2772" s="8"/>
      <c r="F2772" s="8"/>
      <c r="G2772" s="8"/>
    </row>
    <row r="2773" spans="5:7" x14ac:dyDescent="0.15">
      <c r="E2773" s="8"/>
      <c r="F2773" s="8"/>
      <c r="G2773" s="8"/>
    </row>
    <row r="2774" spans="5:7" x14ac:dyDescent="0.15">
      <c r="E2774" s="8"/>
      <c r="F2774" s="8"/>
      <c r="G2774" s="8"/>
    </row>
    <row r="2775" spans="5:7" x14ac:dyDescent="0.15">
      <c r="E2775" s="8"/>
      <c r="F2775" s="8"/>
      <c r="G2775" s="8"/>
    </row>
    <row r="2776" spans="5:7" x14ac:dyDescent="0.15">
      <c r="E2776" s="8"/>
      <c r="F2776" s="8"/>
      <c r="G2776" s="8"/>
    </row>
    <row r="2777" spans="5:7" x14ac:dyDescent="0.15">
      <c r="E2777" s="8"/>
      <c r="F2777" s="8"/>
      <c r="G2777" s="8"/>
    </row>
    <row r="2778" spans="5:7" x14ac:dyDescent="0.15">
      <c r="E2778" s="8"/>
      <c r="F2778" s="8"/>
      <c r="G2778" s="8"/>
    </row>
    <row r="2779" spans="5:7" x14ac:dyDescent="0.15">
      <c r="E2779" s="8"/>
      <c r="F2779" s="8"/>
      <c r="G2779" s="8"/>
    </row>
    <row r="2780" spans="5:7" x14ac:dyDescent="0.15">
      <c r="E2780" s="8"/>
      <c r="F2780" s="8"/>
      <c r="G2780" s="8"/>
    </row>
    <row r="2781" spans="5:7" x14ac:dyDescent="0.15">
      <c r="E2781" s="8"/>
      <c r="F2781" s="8"/>
      <c r="G2781" s="8"/>
    </row>
    <row r="2782" spans="5:7" x14ac:dyDescent="0.15">
      <c r="E2782" s="8"/>
      <c r="F2782" s="8"/>
      <c r="G2782" s="8"/>
    </row>
    <row r="2783" spans="5:7" x14ac:dyDescent="0.15">
      <c r="E2783" s="8"/>
      <c r="F2783" s="8"/>
      <c r="G2783" s="8"/>
    </row>
    <row r="2784" spans="5:7" x14ac:dyDescent="0.15">
      <c r="E2784" s="8"/>
      <c r="F2784" s="8"/>
      <c r="G2784" s="8"/>
    </row>
    <row r="2785" spans="5:7" x14ac:dyDescent="0.15">
      <c r="E2785" s="8"/>
      <c r="F2785" s="8"/>
      <c r="G2785" s="8"/>
    </row>
    <row r="2786" spans="5:7" x14ac:dyDescent="0.15">
      <c r="E2786" s="8"/>
      <c r="F2786" s="8"/>
      <c r="G2786" s="8"/>
    </row>
    <row r="2787" spans="5:7" x14ac:dyDescent="0.15">
      <c r="E2787" s="8"/>
      <c r="F2787" s="8"/>
      <c r="G2787" s="8"/>
    </row>
    <row r="2788" spans="5:7" x14ac:dyDescent="0.15">
      <c r="E2788" s="8"/>
      <c r="F2788" s="8"/>
      <c r="G2788" s="8"/>
    </row>
    <row r="2789" spans="5:7" x14ac:dyDescent="0.15">
      <c r="E2789" s="8"/>
      <c r="F2789" s="8"/>
      <c r="G2789" s="8"/>
    </row>
    <row r="2790" spans="5:7" x14ac:dyDescent="0.15">
      <c r="E2790" s="8"/>
      <c r="F2790" s="8"/>
      <c r="G2790" s="8"/>
    </row>
    <row r="2791" spans="5:7" x14ac:dyDescent="0.15">
      <c r="E2791" s="8"/>
      <c r="F2791" s="8"/>
      <c r="G2791" s="8"/>
    </row>
    <row r="2792" spans="5:7" x14ac:dyDescent="0.15">
      <c r="E2792" s="8"/>
      <c r="F2792" s="8"/>
      <c r="G2792" s="8"/>
    </row>
    <row r="2793" spans="5:7" x14ac:dyDescent="0.15">
      <c r="E2793" s="8"/>
      <c r="F2793" s="8"/>
      <c r="G2793" s="8"/>
    </row>
    <row r="2794" spans="5:7" x14ac:dyDescent="0.15">
      <c r="E2794" s="8"/>
      <c r="F2794" s="8"/>
      <c r="G2794" s="8"/>
    </row>
    <row r="2795" spans="5:7" x14ac:dyDescent="0.15">
      <c r="E2795" s="8"/>
      <c r="F2795" s="8"/>
      <c r="G2795" s="8"/>
    </row>
    <row r="2796" spans="5:7" x14ac:dyDescent="0.15">
      <c r="E2796" s="8"/>
      <c r="F2796" s="8"/>
      <c r="G2796" s="8"/>
    </row>
    <row r="2797" spans="5:7" x14ac:dyDescent="0.15">
      <c r="E2797" s="8"/>
      <c r="F2797" s="8"/>
      <c r="G2797" s="8"/>
    </row>
    <row r="2798" spans="5:7" x14ac:dyDescent="0.15">
      <c r="E2798" s="8"/>
      <c r="F2798" s="8"/>
      <c r="G2798" s="8"/>
    </row>
    <row r="2799" spans="5:7" x14ac:dyDescent="0.15">
      <c r="E2799" s="8"/>
      <c r="F2799" s="8"/>
      <c r="G2799" s="8"/>
    </row>
    <row r="2800" spans="5:7" x14ac:dyDescent="0.15">
      <c r="E2800" s="8"/>
      <c r="F2800" s="8"/>
      <c r="G2800" s="8"/>
    </row>
    <row r="2801" spans="5:7" x14ac:dyDescent="0.15">
      <c r="E2801" s="8"/>
      <c r="F2801" s="8"/>
      <c r="G2801" s="8"/>
    </row>
    <row r="2802" spans="5:7" x14ac:dyDescent="0.15">
      <c r="E2802" s="8"/>
      <c r="F2802" s="8"/>
      <c r="G2802" s="8"/>
    </row>
    <row r="2803" spans="5:7" x14ac:dyDescent="0.15">
      <c r="E2803" s="8"/>
      <c r="F2803" s="8"/>
      <c r="G2803" s="8"/>
    </row>
    <row r="2804" spans="5:7" x14ac:dyDescent="0.15">
      <c r="E2804" s="8"/>
      <c r="F2804" s="8"/>
      <c r="G2804" s="8"/>
    </row>
    <row r="2805" spans="5:7" x14ac:dyDescent="0.15">
      <c r="E2805" s="8"/>
      <c r="F2805" s="8"/>
      <c r="G2805" s="8"/>
    </row>
    <row r="2806" spans="5:7" x14ac:dyDescent="0.15">
      <c r="E2806" s="8"/>
      <c r="F2806" s="8"/>
      <c r="G2806" s="8"/>
    </row>
    <row r="2807" spans="5:7" x14ac:dyDescent="0.15">
      <c r="E2807" s="8"/>
      <c r="F2807" s="8"/>
      <c r="G2807" s="8"/>
    </row>
    <row r="2808" spans="5:7" x14ac:dyDescent="0.15">
      <c r="E2808" s="8"/>
      <c r="F2808" s="8"/>
      <c r="G2808" s="8"/>
    </row>
    <row r="2809" spans="5:7" x14ac:dyDescent="0.15">
      <c r="E2809" s="8"/>
      <c r="F2809" s="8"/>
      <c r="G2809" s="8"/>
    </row>
    <row r="2810" spans="5:7" x14ac:dyDescent="0.15">
      <c r="E2810" s="8"/>
      <c r="F2810" s="8"/>
      <c r="G2810" s="8"/>
    </row>
    <row r="2811" spans="5:7" x14ac:dyDescent="0.15">
      <c r="E2811" s="8"/>
      <c r="F2811" s="8"/>
      <c r="G2811" s="8"/>
    </row>
    <row r="2812" spans="5:7" x14ac:dyDescent="0.15">
      <c r="E2812" s="8"/>
      <c r="F2812" s="8"/>
      <c r="G2812" s="8"/>
    </row>
    <row r="2813" spans="5:7" x14ac:dyDescent="0.15">
      <c r="E2813" s="8"/>
      <c r="F2813" s="8"/>
      <c r="G2813" s="8"/>
    </row>
    <row r="2814" spans="5:7" x14ac:dyDescent="0.15">
      <c r="E2814" s="8"/>
      <c r="F2814" s="8"/>
      <c r="G2814" s="8"/>
    </row>
    <row r="2815" spans="5:7" x14ac:dyDescent="0.15">
      <c r="E2815" s="8"/>
      <c r="F2815" s="8"/>
      <c r="G2815" s="8"/>
    </row>
    <row r="2816" spans="5:7" x14ac:dyDescent="0.15">
      <c r="E2816" s="8"/>
      <c r="F2816" s="8"/>
      <c r="G2816" s="8"/>
    </row>
    <row r="2817" spans="5:7" x14ac:dyDescent="0.15">
      <c r="E2817" s="8"/>
      <c r="F2817" s="8"/>
      <c r="G2817" s="8"/>
    </row>
    <row r="2818" spans="5:7" x14ac:dyDescent="0.15">
      <c r="E2818" s="8"/>
      <c r="F2818" s="8"/>
      <c r="G2818" s="8"/>
    </row>
    <row r="2819" spans="5:7" x14ac:dyDescent="0.15">
      <c r="E2819" s="8"/>
      <c r="F2819" s="8"/>
      <c r="G2819" s="8"/>
    </row>
    <row r="2820" spans="5:7" x14ac:dyDescent="0.15">
      <c r="E2820" s="8"/>
      <c r="F2820" s="8"/>
      <c r="G2820" s="8"/>
    </row>
    <row r="2821" spans="5:7" x14ac:dyDescent="0.15">
      <c r="E2821" s="8"/>
      <c r="F2821" s="8"/>
      <c r="G2821" s="8"/>
    </row>
    <row r="2822" spans="5:7" x14ac:dyDescent="0.15">
      <c r="E2822" s="8"/>
      <c r="F2822" s="8"/>
      <c r="G2822" s="8"/>
    </row>
    <row r="2823" spans="5:7" x14ac:dyDescent="0.15">
      <c r="E2823" s="8"/>
      <c r="F2823" s="8"/>
      <c r="G2823" s="8"/>
    </row>
    <row r="2824" spans="5:7" x14ac:dyDescent="0.15">
      <c r="E2824" s="8"/>
      <c r="F2824" s="8"/>
      <c r="G2824" s="8"/>
    </row>
    <row r="2825" spans="5:7" x14ac:dyDescent="0.15">
      <c r="E2825" s="8"/>
      <c r="F2825" s="8"/>
      <c r="G2825" s="8"/>
    </row>
    <row r="2826" spans="5:7" x14ac:dyDescent="0.15">
      <c r="E2826" s="8"/>
      <c r="F2826" s="8"/>
      <c r="G2826" s="8"/>
    </row>
    <row r="2827" spans="5:7" x14ac:dyDescent="0.15">
      <c r="E2827" s="8"/>
      <c r="F2827" s="8"/>
      <c r="G2827" s="8"/>
    </row>
    <row r="2828" spans="5:7" x14ac:dyDescent="0.15">
      <c r="E2828" s="8"/>
      <c r="F2828" s="8"/>
      <c r="G2828" s="8"/>
    </row>
    <row r="2829" spans="5:7" x14ac:dyDescent="0.15">
      <c r="E2829" s="8"/>
      <c r="F2829" s="8"/>
      <c r="G2829" s="8"/>
    </row>
    <row r="2830" spans="5:7" x14ac:dyDescent="0.15">
      <c r="E2830" s="8"/>
      <c r="F2830" s="8"/>
      <c r="G2830" s="8"/>
    </row>
    <row r="2831" spans="5:7" x14ac:dyDescent="0.15">
      <c r="E2831" s="8"/>
      <c r="F2831" s="8"/>
      <c r="G2831" s="8"/>
    </row>
    <row r="2832" spans="5:7" x14ac:dyDescent="0.15">
      <c r="E2832" s="8"/>
      <c r="F2832" s="8"/>
      <c r="G2832" s="8"/>
    </row>
    <row r="2833" spans="5:7" x14ac:dyDescent="0.15">
      <c r="E2833" s="8"/>
      <c r="F2833" s="8"/>
      <c r="G2833" s="8"/>
    </row>
    <row r="2834" spans="5:7" x14ac:dyDescent="0.15">
      <c r="E2834" s="8"/>
      <c r="F2834" s="8"/>
      <c r="G2834" s="8"/>
    </row>
    <row r="2835" spans="5:7" x14ac:dyDescent="0.15">
      <c r="E2835" s="8"/>
      <c r="F2835" s="8"/>
      <c r="G2835" s="8"/>
    </row>
    <row r="2836" spans="5:7" x14ac:dyDescent="0.15">
      <c r="E2836" s="8"/>
      <c r="F2836" s="8"/>
      <c r="G2836" s="8"/>
    </row>
    <row r="2837" spans="5:7" x14ac:dyDescent="0.15">
      <c r="E2837" s="8"/>
      <c r="F2837" s="8"/>
      <c r="G2837" s="8"/>
    </row>
    <row r="2838" spans="5:7" x14ac:dyDescent="0.15">
      <c r="E2838" s="8"/>
      <c r="F2838" s="8"/>
      <c r="G2838" s="8"/>
    </row>
    <row r="2839" spans="5:7" x14ac:dyDescent="0.15">
      <c r="E2839" s="8"/>
      <c r="F2839" s="8"/>
      <c r="G2839" s="8"/>
    </row>
    <row r="2840" spans="5:7" x14ac:dyDescent="0.15">
      <c r="E2840" s="8"/>
      <c r="F2840" s="8"/>
      <c r="G2840" s="8"/>
    </row>
    <row r="2841" spans="5:7" x14ac:dyDescent="0.15">
      <c r="E2841" s="8"/>
      <c r="F2841" s="8"/>
      <c r="G2841" s="8"/>
    </row>
    <row r="2842" spans="5:7" x14ac:dyDescent="0.15">
      <c r="E2842" s="8"/>
      <c r="F2842" s="8"/>
      <c r="G2842" s="8"/>
    </row>
    <row r="2843" spans="5:7" x14ac:dyDescent="0.15">
      <c r="E2843" s="8"/>
      <c r="F2843" s="8"/>
      <c r="G2843" s="8"/>
    </row>
    <row r="2844" spans="5:7" x14ac:dyDescent="0.15">
      <c r="E2844" s="8"/>
      <c r="F2844" s="8"/>
      <c r="G2844" s="8"/>
    </row>
    <row r="2845" spans="5:7" x14ac:dyDescent="0.15">
      <c r="E2845" s="8"/>
      <c r="F2845" s="8"/>
      <c r="G2845" s="8"/>
    </row>
    <row r="2846" spans="5:7" x14ac:dyDescent="0.15">
      <c r="E2846" s="8"/>
      <c r="F2846" s="8"/>
      <c r="G2846" s="8"/>
    </row>
    <row r="2847" spans="5:7" x14ac:dyDescent="0.15">
      <c r="E2847" s="8"/>
      <c r="F2847" s="8"/>
      <c r="G2847" s="8"/>
    </row>
    <row r="2848" spans="5:7" x14ac:dyDescent="0.15">
      <c r="E2848" s="8"/>
      <c r="F2848" s="8"/>
      <c r="G2848" s="8"/>
    </row>
    <row r="2849" spans="5:7" x14ac:dyDescent="0.15">
      <c r="E2849" s="8"/>
      <c r="F2849" s="8"/>
      <c r="G2849" s="8"/>
    </row>
    <row r="2850" spans="5:7" x14ac:dyDescent="0.15">
      <c r="E2850" s="8"/>
      <c r="F2850" s="8"/>
      <c r="G2850" s="8"/>
    </row>
    <row r="2851" spans="5:7" x14ac:dyDescent="0.15">
      <c r="E2851" s="8"/>
      <c r="F2851" s="8"/>
      <c r="G2851" s="8"/>
    </row>
    <row r="2852" spans="5:7" x14ac:dyDescent="0.15">
      <c r="E2852" s="8"/>
      <c r="F2852" s="8"/>
      <c r="G2852" s="8"/>
    </row>
    <row r="2853" spans="5:7" x14ac:dyDescent="0.15">
      <c r="E2853" s="8"/>
      <c r="F2853" s="8"/>
      <c r="G2853" s="8"/>
    </row>
    <row r="2854" spans="5:7" x14ac:dyDescent="0.15">
      <c r="E2854" s="8"/>
      <c r="F2854" s="8"/>
      <c r="G2854" s="8"/>
    </row>
    <row r="2855" spans="5:7" x14ac:dyDescent="0.15">
      <c r="E2855" s="8"/>
      <c r="F2855" s="8"/>
      <c r="G2855" s="8"/>
    </row>
    <row r="2856" spans="5:7" x14ac:dyDescent="0.15">
      <c r="E2856" s="8"/>
      <c r="F2856" s="8"/>
      <c r="G2856" s="8"/>
    </row>
    <row r="2857" spans="5:7" x14ac:dyDescent="0.15">
      <c r="E2857" s="8"/>
      <c r="F2857" s="8"/>
      <c r="G2857" s="8"/>
    </row>
    <row r="2858" spans="5:7" x14ac:dyDescent="0.15">
      <c r="E2858" s="8"/>
      <c r="F2858" s="8"/>
      <c r="G2858" s="8"/>
    </row>
    <row r="2859" spans="5:7" x14ac:dyDescent="0.15">
      <c r="E2859" s="8"/>
      <c r="F2859" s="8"/>
      <c r="G2859" s="8"/>
    </row>
    <row r="2860" spans="5:7" x14ac:dyDescent="0.15">
      <c r="E2860" s="8"/>
      <c r="F2860" s="8"/>
      <c r="G2860" s="8"/>
    </row>
    <row r="2861" spans="5:7" x14ac:dyDescent="0.15">
      <c r="E2861" s="8"/>
      <c r="F2861" s="8"/>
      <c r="G2861" s="8"/>
    </row>
    <row r="2862" spans="5:7" x14ac:dyDescent="0.15">
      <c r="E2862" s="8"/>
      <c r="F2862" s="8"/>
      <c r="G2862" s="8"/>
    </row>
    <row r="2863" spans="5:7" x14ac:dyDescent="0.15">
      <c r="E2863" s="8"/>
      <c r="F2863" s="8"/>
      <c r="G2863" s="8"/>
    </row>
    <row r="2864" spans="5:7" x14ac:dyDescent="0.15">
      <c r="E2864" s="8"/>
      <c r="F2864" s="8"/>
      <c r="G2864" s="8"/>
    </row>
    <row r="2865" spans="5:7" x14ac:dyDescent="0.15">
      <c r="E2865" s="8"/>
      <c r="F2865" s="8"/>
      <c r="G2865" s="8"/>
    </row>
    <row r="2866" spans="5:7" x14ac:dyDescent="0.15">
      <c r="E2866" s="8"/>
      <c r="F2866" s="8"/>
      <c r="G2866" s="8"/>
    </row>
    <row r="2867" spans="5:7" x14ac:dyDescent="0.15">
      <c r="E2867" s="8"/>
      <c r="F2867" s="8"/>
      <c r="G2867" s="8"/>
    </row>
    <row r="2868" spans="5:7" x14ac:dyDescent="0.15">
      <c r="E2868" s="8"/>
      <c r="F2868" s="8"/>
      <c r="G2868" s="8"/>
    </row>
    <row r="2869" spans="5:7" x14ac:dyDescent="0.15">
      <c r="E2869" s="8"/>
      <c r="F2869" s="8"/>
      <c r="G2869" s="8"/>
    </row>
    <row r="2870" spans="5:7" x14ac:dyDescent="0.15">
      <c r="E2870" s="8"/>
      <c r="F2870" s="8"/>
      <c r="G2870" s="8"/>
    </row>
    <row r="2871" spans="5:7" x14ac:dyDescent="0.15">
      <c r="E2871" s="8"/>
      <c r="F2871" s="8"/>
      <c r="G2871" s="8"/>
    </row>
    <row r="2872" spans="5:7" x14ac:dyDescent="0.15">
      <c r="E2872" s="8"/>
      <c r="F2872" s="8"/>
      <c r="G2872" s="8"/>
    </row>
    <row r="2873" spans="5:7" x14ac:dyDescent="0.15">
      <c r="E2873" s="8"/>
      <c r="F2873" s="8"/>
      <c r="G2873" s="8"/>
    </row>
    <row r="2874" spans="5:7" x14ac:dyDescent="0.15">
      <c r="E2874" s="8"/>
      <c r="F2874" s="8"/>
      <c r="G2874" s="8"/>
    </row>
    <row r="2875" spans="5:7" x14ac:dyDescent="0.15">
      <c r="E2875" s="8"/>
      <c r="F2875" s="8"/>
      <c r="G2875" s="8"/>
    </row>
    <row r="2876" spans="5:7" x14ac:dyDescent="0.15">
      <c r="E2876" s="8"/>
      <c r="F2876" s="8"/>
      <c r="G2876" s="8"/>
    </row>
    <row r="2877" spans="5:7" x14ac:dyDescent="0.15">
      <c r="E2877" s="8"/>
      <c r="F2877" s="8"/>
      <c r="G2877" s="8"/>
    </row>
    <row r="2878" spans="5:7" x14ac:dyDescent="0.15">
      <c r="E2878" s="8"/>
      <c r="F2878" s="8"/>
      <c r="G2878" s="8"/>
    </row>
    <row r="2879" spans="5:7" x14ac:dyDescent="0.15">
      <c r="E2879" s="8"/>
      <c r="F2879" s="8"/>
      <c r="G2879" s="8"/>
    </row>
    <row r="2880" spans="5:7" x14ac:dyDescent="0.15">
      <c r="E2880" s="8"/>
      <c r="F2880" s="8"/>
      <c r="G2880" s="8"/>
    </row>
    <row r="2881" spans="5:7" x14ac:dyDescent="0.15">
      <c r="E2881" s="8"/>
      <c r="F2881" s="8"/>
      <c r="G2881" s="8"/>
    </row>
    <row r="2882" spans="5:7" x14ac:dyDescent="0.15">
      <c r="E2882" s="8"/>
      <c r="F2882" s="8"/>
      <c r="G2882" s="8"/>
    </row>
    <row r="2883" spans="5:7" x14ac:dyDescent="0.15">
      <c r="E2883" s="8"/>
      <c r="F2883" s="8"/>
      <c r="G2883" s="8"/>
    </row>
    <row r="2884" spans="5:7" x14ac:dyDescent="0.15">
      <c r="E2884" s="8"/>
      <c r="F2884" s="8"/>
      <c r="G2884" s="8"/>
    </row>
    <row r="2885" spans="5:7" x14ac:dyDescent="0.15">
      <c r="E2885" s="8"/>
      <c r="F2885" s="8"/>
      <c r="G2885" s="8"/>
    </row>
    <row r="2886" spans="5:7" x14ac:dyDescent="0.15">
      <c r="E2886" s="8"/>
      <c r="F2886" s="8"/>
      <c r="G2886" s="8"/>
    </row>
    <row r="2887" spans="5:7" x14ac:dyDescent="0.15">
      <c r="E2887" s="8"/>
      <c r="F2887" s="8"/>
      <c r="G2887" s="8"/>
    </row>
    <row r="2888" spans="5:7" x14ac:dyDescent="0.15">
      <c r="E2888" s="8"/>
      <c r="F2888" s="8"/>
      <c r="G2888" s="8"/>
    </row>
    <row r="2889" spans="5:7" x14ac:dyDescent="0.15">
      <c r="E2889" s="8"/>
      <c r="F2889" s="8"/>
      <c r="G2889" s="8"/>
    </row>
    <row r="2890" spans="5:7" x14ac:dyDescent="0.15">
      <c r="E2890" s="8"/>
      <c r="F2890" s="8"/>
      <c r="G2890" s="8"/>
    </row>
    <row r="2891" spans="5:7" x14ac:dyDescent="0.15">
      <c r="E2891" s="8"/>
      <c r="F2891" s="8"/>
      <c r="G2891" s="8"/>
    </row>
    <row r="2892" spans="5:7" x14ac:dyDescent="0.15">
      <c r="E2892" s="8"/>
      <c r="F2892" s="8"/>
      <c r="G2892" s="8"/>
    </row>
    <row r="2893" spans="5:7" x14ac:dyDescent="0.15">
      <c r="E2893" s="8"/>
      <c r="F2893" s="8"/>
      <c r="G2893" s="8"/>
    </row>
    <row r="2894" spans="5:7" x14ac:dyDescent="0.15">
      <c r="E2894" s="8"/>
      <c r="F2894" s="8"/>
      <c r="G2894" s="8"/>
    </row>
    <row r="2895" spans="5:7" x14ac:dyDescent="0.15">
      <c r="E2895" s="8"/>
      <c r="F2895" s="8"/>
      <c r="G2895" s="8"/>
    </row>
    <row r="2896" spans="5:7" x14ac:dyDescent="0.15">
      <c r="E2896" s="8"/>
      <c r="F2896" s="8"/>
      <c r="G2896" s="8"/>
    </row>
    <row r="2897" spans="5:7" x14ac:dyDescent="0.15">
      <c r="E2897" s="8"/>
      <c r="F2897" s="8"/>
      <c r="G2897" s="8"/>
    </row>
    <row r="2898" spans="5:7" x14ac:dyDescent="0.15">
      <c r="E2898" s="8"/>
      <c r="F2898" s="8"/>
      <c r="G2898" s="8"/>
    </row>
    <row r="2899" spans="5:7" x14ac:dyDescent="0.15">
      <c r="E2899" s="8"/>
      <c r="F2899" s="8"/>
      <c r="G2899" s="8"/>
    </row>
    <row r="2900" spans="5:7" x14ac:dyDescent="0.15">
      <c r="E2900" s="8"/>
      <c r="F2900" s="8"/>
      <c r="G2900" s="8"/>
    </row>
    <row r="2901" spans="5:7" x14ac:dyDescent="0.15">
      <c r="E2901" s="8"/>
      <c r="F2901" s="8"/>
      <c r="G2901" s="8"/>
    </row>
    <row r="2902" spans="5:7" x14ac:dyDescent="0.15">
      <c r="E2902" s="8"/>
      <c r="F2902" s="8"/>
      <c r="G2902" s="8"/>
    </row>
    <row r="2903" spans="5:7" x14ac:dyDescent="0.15">
      <c r="E2903" s="8"/>
      <c r="F2903" s="8"/>
      <c r="G2903" s="8"/>
    </row>
    <row r="2904" spans="5:7" x14ac:dyDescent="0.15">
      <c r="E2904" s="8"/>
      <c r="F2904" s="8"/>
      <c r="G2904" s="8"/>
    </row>
    <row r="2905" spans="5:7" x14ac:dyDescent="0.15">
      <c r="E2905" s="8"/>
      <c r="F2905" s="8"/>
      <c r="G2905" s="8"/>
    </row>
    <row r="2906" spans="5:7" x14ac:dyDescent="0.15">
      <c r="E2906" s="8"/>
      <c r="F2906" s="8"/>
      <c r="G2906" s="8"/>
    </row>
    <row r="2907" spans="5:7" x14ac:dyDescent="0.15">
      <c r="E2907" s="8"/>
      <c r="F2907" s="8"/>
      <c r="G2907" s="8"/>
    </row>
    <row r="2908" spans="5:7" x14ac:dyDescent="0.15">
      <c r="E2908" s="8"/>
      <c r="F2908" s="8"/>
      <c r="G2908" s="8"/>
    </row>
    <row r="2909" spans="5:7" x14ac:dyDescent="0.15">
      <c r="E2909" s="8"/>
      <c r="F2909" s="8"/>
      <c r="G2909" s="8"/>
    </row>
    <row r="2910" spans="5:7" x14ac:dyDescent="0.15">
      <c r="E2910" s="8"/>
      <c r="F2910" s="8"/>
      <c r="G2910" s="8"/>
    </row>
    <row r="2911" spans="5:7" x14ac:dyDescent="0.15">
      <c r="E2911" s="8"/>
      <c r="F2911" s="8"/>
      <c r="G2911" s="8"/>
    </row>
    <row r="2912" spans="5:7" x14ac:dyDescent="0.15">
      <c r="E2912" s="8"/>
      <c r="F2912" s="8"/>
      <c r="G2912" s="8"/>
    </row>
    <row r="2913" spans="5:7" x14ac:dyDescent="0.15">
      <c r="E2913" s="8"/>
      <c r="F2913" s="8"/>
      <c r="G2913" s="8"/>
    </row>
    <row r="2914" spans="5:7" x14ac:dyDescent="0.15">
      <c r="E2914" s="8"/>
      <c r="F2914" s="8"/>
      <c r="G2914" s="8"/>
    </row>
    <row r="2915" spans="5:7" x14ac:dyDescent="0.15">
      <c r="E2915" s="8"/>
      <c r="F2915" s="8"/>
      <c r="G2915" s="8"/>
    </row>
    <row r="2916" spans="5:7" x14ac:dyDescent="0.15">
      <c r="E2916" s="8"/>
      <c r="F2916" s="8"/>
      <c r="G2916" s="8"/>
    </row>
    <row r="2917" spans="5:7" x14ac:dyDescent="0.15">
      <c r="E2917" s="8"/>
      <c r="F2917" s="8"/>
      <c r="G2917" s="8"/>
    </row>
    <row r="2918" spans="5:7" x14ac:dyDescent="0.15">
      <c r="E2918" s="8"/>
      <c r="F2918" s="8"/>
      <c r="G2918" s="8"/>
    </row>
    <row r="2919" spans="5:7" x14ac:dyDescent="0.15">
      <c r="E2919" s="8"/>
      <c r="F2919" s="8"/>
      <c r="G2919" s="8"/>
    </row>
    <row r="2920" spans="5:7" x14ac:dyDescent="0.15">
      <c r="E2920" s="8"/>
      <c r="F2920" s="8"/>
      <c r="G2920" s="8"/>
    </row>
    <row r="2921" spans="5:7" x14ac:dyDescent="0.15">
      <c r="E2921" s="8"/>
      <c r="F2921" s="8"/>
      <c r="G2921" s="8"/>
    </row>
    <row r="2922" spans="5:7" x14ac:dyDescent="0.15">
      <c r="E2922" s="8"/>
      <c r="F2922" s="8"/>
      <c r="G2922" s="8"/>
    </row>
    <row r="2923" spans="5:7" x14ac:dyDescent="0.15">
      <c r="E2923" s="8"/>
      <c r="F2923" s="8"/>
      <c r="G2923" s="8"/>
    </row>
    <row r="2924" spans="5:7" x14ac:dyDescent="0.15">
      <c r="E2924" s="8"/>
      <c r="F2924" s="8"/>
      <c r="G2924" s="8"/>
    </row>
    <row r="2925" spans="5:7" x14ac:dyDescent="0.15">
      <c r="E2925" s="8"/>
      <c r="F2925" s="8"/>
      <c r="G2925" s="8"/>
    </row>
    <row r="2926" spans="5:7" x14ac:dyDescent="0.15">
      <c r="E2926" s="8"/>
      <c r="F2926" s="8"/>
      <c r="G2926" s="8"/>
    </row>
    <row r="2927" spans="5:7" x14ac:dyDescent="0.15">
      <c r="E2927" s="8"/>
      <c r="F2927" s="8"/>
      <c r="G2927" s="8"/>
    </row>
    <row r="2928" spans="5:7" x14ac:dyDescent="0.15">
      <c r="E2928" s="8"/>
      <c r="F2928" s="8"/>
      <c r="G2928" s="8"/>
    </row>
    <row r="2929" spans="5:7" x14ac:dyDescent="0.15">
      <c r="E2929" s="8"/>
      <c r="F2929" s="8"/>
      <c r="G2929" s="8"/>
    </row>
    <row r="2930" spans="5:7" x14ac:dyDescent="0.15">
      <c r="E2930" s="8"/>
      <c r="F2930" s="8"/>
      <c r="G2930" s="8"/>
    </row>
    <row r="2931" spans="5:7" x14ac:dyDescent="0.15">
      <c r="E2931" s="8"/>
      <c r="F2931" s="8"/>
      <c r="G2931" s="8"/>
    </row>
    <row r="2932" spans="5:7" x14ac:dyDescent="0.15">
      <c r="E2932" s="8"/>
      <c r="F2932" s="8"/>
      <c r="G2932" s="8"/>
    </row>
    <row r="2933" spans="5:7" x14ac:dyDescent="0.15">
      <c r="E2933" s="8"/>
      <c r="F2933" s="8"/>
      <c r="G2933" s="8"/>
    </row>
    <row r="2934" spans="5:7" x14ac:dyDescent="0.15">
      <c r="E2934" s="8"/>
      <c r="F2934" s="8"/>
      <c r="G2934" s="8"/>
    </row>
    <row r="2935" spans="5:7" x14ac:dyDescent="0.15">
      <c r="E2935" s="8"/>
      <c r="F2935" s="8"/>
      <c r="G2935" s="8"/>
    </row>
    <row r="2936" spans="5:7" x14ac:dyDescent="0.15">
      <c r="E2936" s="8"/>
      <c r="F2936" s="8"/>
      <c r="G2936" s="8"/>
    </row>
    <row r="2937" spans="5:7" x14ac:dyDescent="0.15">
      <c r="E2937" s="8"/>
      <c r="F2937" s="8"/>
      <c r="G2937" s="8"/>
    </row>
    <row r="2938" spans="5:7" x14ac:dyDescent="0.15">
      <c r="E2938" s="8"/>
      <c r="F2938" s="8"/>
      <c r="G2938" s="8"/>
    </row>
    <row r="2939" spans="5:7" x14ac:dyDescent="0.15">
      <c r="E2939" s="8"/>
      <c r="F2939" s="8"/>
      <c r="G2939" s="8"/>
    </row>
    <row r="2940" spans="5:7" x14ac:dyDescent="0.15">
      <c r="E2940" s="8"/>
      <c r="F2940" s="8"/>
      <c r="G2940" s="8"/>
    </row>
    <row r="2941" spans="5:7" x14ac:dyDescent="0.15">
      <c r="E2941" s="8"/>
      <c r="F2941" s="8"/>
      <c r="G2941" s="8"/>
    </row>
    <row r="2942" spans="5:7" x14ac:dyDescent="0.15">
      <c r="E2942" s="8"/>
      <c r="F2942" s="8"/>
      <c r="G2942" s="8"/>
    </row>
    <row r="2943" spans="5:7" x14ac:dyDescent="0.15">
      <c r="E2943" s="8"/>
      <c r="F2943" s="8"/>
      <c r="G2943" s="8"/>
    </row>
    <row r="2944" spans="5:7" x14ac:dyDescent="0.15">
      <c r="E2944" s="8"/>
      <c r="F2944" s="8"/>
      <c r="G2944" s="8"/>
    </row>
    <row r="2945" spans="5:7" x14ac:dyDescent="0.15">
      <c r="E2945" s="8"/>
      <c r="F2945" s="8"/>
      <c r="G2945" s="8"/>
    </row>
    <row r="2946" spans="5:7" x14ac:dyDescent="0.15">
      <c r="E2946" s="8"/>
      <c r="F2946" s="8"/>
      <c r="G2946" s="8"/>
    </row>
    <row r="2947" spans="5:7" x14ac:dyDescent="0.15">
      <c r="E2947" s="8"/>
      <c r="F2947" s="8"/>
      <c r="G2947" s="8"/>
    </row>
    <row r="2948" spans="5:7" x14ac:dyDescent="0.15">
      <c r="E2948" s="8"/>
      <c r="F2948" s="8"/>
      <c r="G2948" s="8"/>
    </row>
    <row r="2949" spans="5:7" x14ac:dyDescent="0.15">
      <c r="E2949" s="8"/>
      <c r="F2949" s="8"/>
      <c r="G2949" s="8"/>
    </row>
    <row r="2950" spans="5:7" x14ac:dyDescent="0.15">
      <c r="E2950" s="8"/>
      <c r="F2950" s="8"/>
      <c r="G2950" s="8"/>
    </row>
    <row r="2951" spans="5:7" x14ac:dyDescent="0.15">
      <c r="E2951" s="8"/>
      <c r="F2951" s="8"/>
      <c r="G2951" s="8"/>
    </row>
    <row r="2952" spans="5:7" x14ac:dyDescent="0.15">
      <c r="E2952" s="8"/>
      <c r="F2952" s="8"/>
      <c r="G2952" s="8"/>
    </row>
    <row r="2953" spans="5:7" x14ac:dyDescent="0.15">
      <c r="E2953" s="8"/>
      <c r="F2953" s="8"/>
      <c r="G2953" s="8"/>
    </row>
    <row r="2954" spans="5:7" x14ac:dyDescent="0.15">
      <c r="E2954" s="8"/>
      <c r="F2954" s="8"/>
      <c r="G2954" s="8"/>
    </row>
    <row r="2955" spans="5:7" x14ac:dyDescent="0.15">
      <c r="E2955" s="8"/>
      <c r="F2955" s="8"/>
      <c r="G2955" s="8"/>
    </row>
    <row r="2956" spans="5:7" x14ac:dyDescent="0.15">
      <c r="E2956" s="8"/>
      <c r="F2956" s="8"/>
      <c r="G2956" s="8"/>
    </row>
    <row r="2957" spans="5:7" x14ac:dyDescent="0.15">
      <c r="E2957" s="8"/>
      <c r="F2957" s="8"/>
      <c r="G2957" s="8"/>
    </row>
    <row r="2958" spans="5:7" x14ac:dyDescent="0.15">
      <c r="E2958" s="8"/>
      <c r="F2958" s="8"/>
      <c r="G2958" s="8"/>
    </row>
    <row r="2959" spans="5:7" x14ac:dyDescent="0.15">
      <c r="E2959" s="8"/>
      <c r="F2959" s="8"/>
      <c r="G2959" s="8"/>
    </row>
    <row r="2960" spans="5:7" x14ac:dyDescent="0.15">
      <c r="E2960" s="8"/>
      <c r="F2960" s="8"/>
      <c r="G2960" s="8"/>
    </row>
    <row r="2961" spans="5:7" x14ac:dyDescent="0.15">
      <c r="E2961" s="8"/>
      <c r="F2961" s="8"/>
      <c r="G2961" s="8"/>
    </row>
    <row r="2962" spans="5:7" x14ac:dyDescent="0.15">
      <c r="E2962" s="8"/>
      <c r="F2962" s="8"/>
      <c r="G2962" s="8"/>
    </row>
    <row r="2963" spans="5:7" x14ac:dyDescent="0.15">
      <c r="E2963" s="8"/>
      <c r="F2963" s="8"/>
      <c r="G2963" s="8"/>
    </row>
    <row r="2964" spans="5:7" x14ac:dyDescent="0.15">
      <c r="E2964" s="8"/>
      <c r="F2964" s="8"/>
      <c r="G2964" s="8"/>
    </row>
    <row r="2965" spans="5:7" x14ac:dyDescent="0.15">
      <c r="E2965" s="8"/>
      <c r="F2965" s="8"/>
      <c r="G2965" s="8"/>
    </row>
    <row r="2966" spans="5:7" x14ac:dyDescent="0.15">
      <c r="E2966" s="8"/>
      <c r="F2966" s="8"/>
      <c r="G2966" s="8"/>
    </row>
    <row r="2967" spans="5:7" x14ac:dyDescent="0.15">
      <c r="E2967" s="8"/>
      <c r="F2967" s="8"/>
      <c r="G2967" s="8"/>
    </row>
    <row r="2968" spans="5:7" x14ac:dyDescent="0.15">
      <c r="E2968" s="8"/>
      <c r="F2968" s="8"/>
      <c r="G2968" s="8"/>
    </row>
    <row r="2969" spans="5:7" x14ac:dyDescent="0.15">
      <c r="E2969" s="8"/>
      <c r="F2969" s="8"/>
      <c r="G2969" s="8"/>
    </row>
    <row r="2970" spans="5:7" x14ac:dyDescent="0.15">
      <c r="E2970" s="8"/>
      <c r="F2970" s="8"/>
      <c r="G2970" s="8"/>
    </row>
    <row r="2971" spans="5:7" x14ac:dyDescent="0.15">
      <c r="E2971" s="8"/>
      <c r="F2971" s="8"/>
      <c r="G2971" s="8"/>
    </row>
    <row r="2972" spans="5:7" x14ac:dyDescent="0.15">
      <c r="E2972" s="8"/>
      <c r="F2972" s="8"/>
      <c r="G2972" s="8"/>
    </row>
    <row r="2973" spans="5:7" x14ac:dyDescent="0.15">
      <c r="E2973" s="8"/>
      <c r="F2973" s="8"/>
      <c r="G2973" s="8"/>
    </row>
    <row r="2974" spans="5:7" x14ac:dyDescent="0.15">
      <c r="E2974" s="8"/>
      <c r="F2974" s="8"/>
      <c r="G2974" s="8"/>
    </row>
    <row r="2975" spans="5:7" x14ac:dyDescent="0.15">
      <c r="E2975" s="8"/>
      <c r="F2975" s="8"/>
      <c r="G2975" s="8"/>
    </row>
    <row r="2976" spans="5:7" x14ac:dyDescent="0.15">
      <c r="E2976" s="8"/>
      <c r="F2976" s="8"/>
      <c r="G2976" s="8"/>
    </row>
    <row r="2977" spans="5:7" x14ac:dyDescent="0.15">
      <c r="E2977" s="8"/>
      <c r="F2977" s="8"/>
      <c r="G2977" s="8"/>
    </row>
    <row r="2978" spans="5:7" x14ac:dyDescent="0.15">
      <c r="E2978" s="8"/>
      <c r="F2978" s="8"/>
      <c r="G2978" s="8"/>
    </row>
    <row r="2979" spans="5:7" x14ac:dyDescent="0.15">
      <c r="E2979" s="8"/>
      <c r="F2979" s="8"/>
      <c r="G2979" s="8"/>
    </row>
    <row r="2980" spans="5:7" x14ac:dyDescent="0.15">
      <c r="E2980" s="8"/>
      <c r="F2980" s="8"/>
      <c r="G2980" s="8"/>
    </row>
    <row r="2981" spans="5:7" x14ac:dyDescent="0.15">
      <c r="E2981" s="8"/>
      <c r="F2981" s="8"/>
      <c r="G2981" s="8"/>
    </row>
    <row r="2982" spans="5:7" x14ac:dyDescent="0.15">
      <c r="E2982" s="8"/>
      <c r="F2982" s="8"/>
      <c r="G2982" s="8"/>
    </row>
    <row r="2983" spans="5:7" x14ac:dyDescent="0.15">
      <c r="E2983" s="8"/>
      <c r="F2983" s="8"/>
      <c r="G2983" s="8"/>
    </row>
    <row r="2984" spans="5:7" x14ac:dyDescent="0.15">
      <c r="E2984" s="8"/>
      <c r="F2984" s="8"/>
      <c r="G2984" s="8"/>
    </row>
    <row r="2985" spans="5:7" x14ac:dyDescent="0.15">
      <c r="E2985" s="8"/>
      <c r="F2985" s="8"/>
      <c r="G2985" s="8"/>
    </row>
    <row r="2986" spans="5:7" x14ac:dyDescent="0.15">
      <c r="E2986" s="8"/>
      <c r="F2986" s="8"/>
      <c r="G2986" s="8"/>
    </row>
    <row r="2987" spans="5:7" x14ac:dyDescent="0.15">
      <c r="E2987" s="8"/>
      <c r="F2987" s="8"/>
      <c r="G2987" s="8"/>
    </row>
    <row r="2988" spans="5:7" x14ac:dyDescent="0.15">
      <c r="E2988" s="8"/>
      <c r="F2988" s="8"/>
      <c r="G2988" s="8"/>
    </row>
    <row r="2989" spans="5:7" x14ac:dyDescent="0.15">
      <c r="E2989" s="8"/>
      <c r="F2989" s="8"/>
      <c r="G2989" s="8"/>
    </row>
    <row r="2990" spans="5:7" x14ac:dyDescent="0.15">
      <c r="E2990" s="8"/>
      <c r="F2990" s="8"/>
      <c r="G2990" s="8"/>
    </row>
    <row r="2991" spans="5:7" x14ac:dyDescent="0.15">
      <c r="E2991" s="8"/>
      <c r="F2991" s="8"/>
      <c r="G2991" s="8"/>
    </row>
    <row r="2992" spans="5:7" x14ac:dyDescent="0.15">
      <c r="E2992" s="8"/>
      <c r="F2992" s="8"/>
      <c r="G2992" s="8"/>
    </row>
    <row r="2993" spans="5:7" x14ac:dyDescent="0.15">
      <c r="E2993" s="8"/>
      <c r="F2993" s="8"/>
      <c r="G2993" s="8"/>
    </row>
    <row r="2994" spans="5:7" x14ac:dyDescent="0.15">
      <c r="E2994" s="8"/>
      <c r="F2994" s="8"/>
      <c r="G2994" s="8"/>
    </row>
    <row r="2995" spans="5:7" x14ac:dyDescent="0.15">
      <c r="E2995" s="8"/>
      <c r="F2995" s="8"/>
      <c r="G2995" s="8"/>
    </row>
    <row r="2996" spans="5:7" x14ac:dyDescent="0.15">
      <c r="E2996" s="8"/>
      <c r="F2996" s="8"/>
      <c r="G2996" s="8"/>
    </row>
    <row r="2997" spans="5:7" x14ac:dyDescent="0.15">
      <c r="E2997" s="8"/>
      <c r="F2997" s="8"/>
      <c r="G2997" s="8"/>
    </row>
    <row r="2998" spans="5:7" x14ac:dyDescent="0.15">
      <c r="E2998" s="8"/>
      <c r="F2998" s="8"/>
      <c r="G2998" s="8"/>
    </row>
    <row r="2999" spans="5:7" x14ac:dyDescent="0.15">
      <c r="E2999" s="8"/>
      <c r="F2999" s="8"/>
      <c r="G2999" s="8"/>
    </row>
    <row r="3000" spans="5:7" x14ac:dyDescent="0.15">
      <c r="E3000" s="8"/>
      <c r="F3000" s="8"/>
      <c r="G3000" s="8"/>
    </row>
    <row r="3001" spans="5:7" x14ac:dyDescent="0.15">
      <c r="E3001" s="8"/>
      <c r="F3001" s="8"/>
      <c r="G3001" s="8"/>
    </row>
    <row r="3002" spans="5:7" x14ac:dyDescent="0.15">
      <c r="E3002" s="8"/>
      <c r="F3002" s="8"/>
      <c r="G3002" s="8"/>
    </row>
    <row r="3003" spans="5:7" x14ac:dyDescent="0.15">
      <c r="E3003" s="8"/>
      <c r="F3003" s="8"/>
      <c r="G3003" s="8"/>
    </row>
    <row r="3004" spans="5:7" x14ac:dyDescent="0.15">
      <c r="E3004" s="8"/>
      <c r="F3004" s="8"/>
      <c r="G3004" s="8"/>
    </row>
    <row r="3005" spans="5:7" x14ac:dyDescent="0.15">
      <c r="E3005" s="8"/>
      <c r="F3005" s="8"/>
      <c r="G3005" s="8"/>
    </row>
    <row r="3006" spans="5:7" x14ac:dyDescent="0.15">
      <c r="E3006" s="8"/>
      <c r="F3006" s="8"/>
      <c r="G3006" s="8"/>
    </row>
    <row r="3007" spans="5:7" x14ac:dyDescent="0.15">
      <c r="E3007" s="8"/>
      <c r="F3007" s="8"/>
      <c r="G3007" s="8"/>
    </row>
    <row r="3008" spans="5:7" x14ac:dyDescent="0.15">
      <c r="E3008" s="8"/>
      <c r="F3008" s="8"/>
      <c r="G3008" s="8"/>
    </row>
    <row r="3009" spans="5:7" x14ac:dyDescent="0.15">
      <c r="E3009" s="8"/>
      <c r="F3009" s="8"/>
      <c r="G3009" s="8"/>
    </row>
    <row r="3010" spans="5:7" x14ac:dyDescent="0.15">
      <c r="E3010" s="8"/>
      <c r="F3010" s="8"/>
      <c r="G3010" s="8"/>
    </row>
    <row r="3011" spans="5:7" x14ac:dyDescent="0.15">
      <c r="E3011" s="8"/>
      <c r="F3011" s="8"/>
      <c r="G3011" s="8"/>
    </row>
    <row r="3012" spans="5:7" x14ac:dyDescent="0.15">
      <c r="E3012" s="8"/>
      <c r="F3012" s="8"/>
      <c r="G3012" s="8"/>
    </row>
    <row r="3013" spans="5:7" x14ac:dyDescent="0.15">
      <c r="E3013" s="8"/>
      <c r="F3013" s="8"/>
      <c r="G3013" s="8"/>
    </row>
    <row r="3014" spans="5:7" x14ac:dyDescent="0.15">
      <c r="E3014" s="8"/>
      <c r="F3014" s="8"/>
      <c r="G3014" s="8"/>
    </row>
    <row r="3015" spans="5:7" x14ac:dyDescent="0.15">
      <c r="E3015" s="8"/>
      <c r="F3015" s="8"/>
      <c r="G3015" s="8"/>
    </row>
    <row r="3016" spans="5:7" x14ac:dyDescent="0.15">
      <c r="E3016" s="8"/>
      <c r="F3016" s="8"/>
      <c r="G3016" s="8"/>
    </row>
    <row r="3017" spans="5:7" x14ac:dyDescent="0.15">
      <c r="E3017" s="8"/>
      <c r="F3017" s="8"/>
      <c r="G3017" s="8"/>
    </row>
    <row r="3018" spans="5:7" x14ac:dyDescent="0.15">
      <c r="E3018" s="8"/>
      <c r="F3018" s="8"/>
      <c r="G3018" s="8"/>
    </row>
    <row r="3019" spans="5:7" x14ac:dyDescent="0.15">
      <c r="E3019" s="8"/>
      <c r="F3019" s="8"/>
      <c r="G3019" s="8"/>
    </row>
    <row r="3020" spans="5:7" x14ac:dyDescent="0.15">
      <c r="E3020" s="8"/>
      <c r="F3020" s="8"/>
      <c r="G3020" s="8"/>
    </row>
    <row r="3021" spans="5:7" x14ac:dyDescent="0.15">
      <c r="E3021" s="8"/>
      <c r="F3021" s="8"/>
      <c r="G3021" s="8"/>
    </row>
    <row r="3022" spans="5:7" x14ac:dyDescent="0.15">
      <c r="E3022" s="8"/>
      <c r="F3022" s="8"/>
      <c r="G3022" s="8"/>
    </row>
    <row r="3023" spans="5:7" x14ac:dyDescent="0.15">
      <c r="E3023" s="8"/>
      <c r="F3023" s="8"/>
      <c r="G3023" s="8"/>
    </row>
    <row r="3024" spans="5:7" x14ac:dyDescent="0.15">
      <c r="E3024" s="8"/>
      <c r="F3024" s="8"/>
      <c r="G3024" s="8"/>
    </row>
    <row r="3025" spans="5:7" x14ac:dyDescent="0.15">
      <c r="E3025" s="8"/>
      <c r="F3025" s="8"/>
      <c r="G3025" s="8"/>
    </row>
    <row r="3026" spans="5:7" x14ac:dyDescent="0.15">
      <c r="E3026" s="8"/>
      <c r="F3026" s="8"/>
      <c r="G3026" s="8"/>
    </row>
    <row r="3027" spans="5:7" x14ac:dyDescent="0.15">
      <c r="E3027" s="8"/>
      <c r="F3027" s="8"/>
      <c r="G3027" s="8"/>
    </row>
    <row r="3028" spans="5:7" x14ac:dyDescent="0.15">
      <c r="E3028" s="8"/>
      <c r="F3028" s="8"/>
      <c r="G3028" s="8"/>
    </row>
    <row r="3029" spans="5:7" x14ac:dyDescent="0.15">
      <c r="E3029" s="8"/>
      <c r="F3029" s="8"/>
      <c r="G3029" s="8"/>
    </row>
    <row r="3030" spans="5:7" x14ac:dyDescent="0.15">
      <c r="E3030" s="8"/>
      <c r="F3030" s="8"/>
      <c r="G3030" s="8"/>
    </row>
    <row r="3031" spans="5:7" x14ac:dyDescent="0.15">
      <c r="E3031" s="8"/>
      <c r="F3031" s="8"/>
      <c r="G3031" s="8"/>
    </row>
    <row r="3032" spans="5:7" x14ac:dyDescent="0.15">
      <c r="E3032" s="8"/>
      <c r="F3032" s="8"/>
      <c r="G3032" s="8"/>
    </row>
    <row r="3033" spans="5:7" x14ac:dyDescent="0.15">
      <c r="E3033" s="8"/>
      <c r="F3033" s="8"/>
      <c r="G3033" s="8"/>
    </row>
    <row r="3034" spans="5:7" x14ac:dyDescent="0.15">
      <c r="E3034" s="8"/>
      <c r="F3034" s="8"/>
      <c r="G3034" s="8"/>
    </row>
    <row r="3035" spans="5:7" x14ac:dyDescent="0.15">
      <c r="E3035" s="8"/>
      <c r="F3035" s="8"/>
      <c r="G3035" s="8"/>
    </row>
    <row r="3036" spans="5:7" x14ac:dyDescent="0.15">
      <c r="E3036" s="8"/>
      <c r="F3036" s="8"/>
      <c r="G3036" s="8"/>
    </row>
    <row r="3037" spans="5:7" x14ac:dyDescent="0.15">
      <c r="E3037" s="8"/>
      <c r="F3037" s="8"/>
      <c r="G3037" s="8"/>
    </row>
    <row r="3038" spans="5:7" x14ac:dyDescent="0.15">
      <c r="E3038" s="8"/>
      <c r="F3038" s="8"/>
      <c r="G3038" s="8"/>
    </row>
    <row r="3039" spans="5:7" x14ac:dyDescent="0.15">
      <c r="E3039" s="8"/>
      <c r="F3039" s="8"/>
      <c r="G3039" s="8"/>
    </row>
    <row r="3040" spans="5:7" x14ac:dyDescent="0.15">
      <c r="E3040" s="8"/>
      <c r="F3040" s="8"/>
      <c r="G3040" s="8"/>
    </row>
    <row r="3041" spans="5:7" x14ac:dyDescent="0.15">
      <c r="E3041" s="8"/>
      <c r="F3041" s="8"/>
      <c r="G3041" s="8"/>
    </row>
    <row r="3042" spans="5:7" x14ac:dyDescent="0.15">
      <c r="E3042" s="8"/>
      <c r="F3042" s="8"/>
      <c r="G3042" s="8"/>
    </row>
    <row r="3043" spans="5:7" x14ac:dyDescent="0.15">
      <c r="E3043" s="8"/>
      <c r="F3043" s="8"/>
      <c r="G3043" s="8"/>
    </row>
    <row r="3044" spans="5:7" x14ac:dyDescent="0.15">
      <c r="E3044" s="8"/>
      <c r="F3044" s="8"/>
      <c r="G3044" s="8"/>
    </row>
    <row r="3045" spans="5:7" x14ac:dyDescent="0.15">
      <c r="E3045" s="8"/>
      <c r="F3045" s="8"/>
      <c r="G3045" s="8"/>
    </row>
    <row r="3046" spans="5:7" x14ac:dyDescent="0.15">
      <c r="E3046" s="8"/>
      <c r="F3046" s="8"/>
      <c r="G3046" s="8"/>
    </row>
    <row r="3047" spans="5:7" x14ac:dyDescent="0.15">
      <c r="E3047" s="8"/>
      <c r="F3047" s="8"/>
      <c r="G3047" s="8"/>
    </row>
    <row r="3048" spans="5:7" x14ac:dyDescent="0.15">
      <c r="E3048" s="8"/>
      <c r="F3048" s="8"/>
      <c r="G3048" s="8"/>
    </row>
    <row r="3049" spans="5:7" x14ac:dyDescent="0.15">
      <c r="E3049" s="8"/>
      <c r="F3049" s="8"/>
      <c r="G3049" s="8"/>
    </row>
    <row r="3050" spans="5:7" x14ac:dyDescent="0.15">
      <c r="E3050" s="8"/>
      <c r="F3050" s="8"/>
      <c r="G3050" s="8"/>
    </row>
    <row r="3051" spans="5:7" x14ac:dyDescent="0.15">
      <c r="E3051" s="8"/>
      <c r="F3051" s="8"/>
      <c r="G3051" s="8"/>
    </row>
    <row r="3052" spans="5:7" x14ac:dyDescent="0.15">
      <c r="E3052" s="8"/>
      <c r="F3052" s="8"/>
      <c r="G3052" s="8"/>
    </row>
    <row r="3053" spans="5:7" x14ac:dyDescent="0.15">
      <c r="E3053" s="8"/>
      <c r="F3053" s="8"/>
      <c r="G3053" s="8"/>
    </row>
    <row r="3054" spans="5:7" x14ac:dyDescent="0.15">
      <c r="E3054" s="8"/>
      <c r="F3054" s="8"/>
      <c r="G3054" s="8"/>
    </row>
    <row r="3055" spans="5:7" x14ac:dyDescent="0.15">
      <c r="E3055" s="8"/>
      <c r="F3055" s="8"/>
      <c r="G3055" s="8"/>
    </row>
    <row r="3056" spans="5:7" x14ac:dyDescent="0.15">
      <c r="E3056" s="8"/>
      <c r="F3056" s="8"/>
      <c r="G3056" s="8"/>
    </row>
    <row r="3057" spans="5:7" x14ac:dyDescent="0.15">
      <c r="E3057" s="8"/>
      <c r="F3057" s="8"/>
      <c r="G3057" s="8"/>
    </row>
    <row r="3058" spans="5:7" x14ac:dyDescent="0.15">
      <c r="E3058" s="8"/>
      <c r="F3058" s="8"/>
      <c r="G3058" s="8"/>
    </row>
    <row r="3059" spans="5:7" x14ac:dyDescent="0.15">
      <c r="E3059" s="8"/>
      <c r="F3059" s="8"/>
      <c r="G3059" s="8"/>
    </row>
    <row r="3060" spans="5:7" x14ac:dyDescent="0.15">
      <c r="E3060" s="8"/>
      <c r="F3060" s="8"/>
      <c r="G3060" s="8"/>
    </row>
    <row r="3061" spans="5:7" x14ac:dyDescent="0.15">
      <c r="E3061" s="8"/>
      <c r="F3061" s="8"/>
      <c r="G3061" s="8"/>
    </row>
    <row r="3062" spans="5:7" x14ac:dyDescent="0.15">
      <c r="E3062" s="8"/>
      <c r="F3062" s="8"/>
      <c r="G3062" s="8"/>
    </row>
    <row r="3063" spans="5:7" x14ac:dyDescent="0.15">
      <c r="E3063" s="8"/>
      <c r="F3063" s="8"/>
      <c r="G3063" s="8"/>
    </row>
    <row r="3064" spans="5:7" x14ac:dyDescent="0.15">
      <c r="E3064" s="8"/>
      <c r="F3064" s="8"/>
      <c r="G3064" s="8"/>
    </row>
    <row r="3065" spans="5:7" x14ac:dyDescent="0.15">
      <c r="E3065" s="8"/>
      <c r="F3065" s="8"/>
      <c r="G3065" s="8"/>
    </row>
    <row r="3066" spans="5:7" x14ac:dyDescent="0.15">
      <c r="E3066" s="8"/>
      <c r="F3066" s="8"/>
      <c r="G3066" s="8"/>
    </row>
    <row r="3067" spans="5:7" x14ac:dyDescent="0.15">
      <c r="E3067" s="8"/>
      <c r="F3067" s="8"/>
      <c r="G3067" s="8"/>
    </row>
    <row r="3068" spans="5:7" x14ac:dyDescent="0.15">
      <c r="E3068" s="8"/>
      <c r="F3068" s="8"/>
      <c r="G3068" s="8"/>
    </row>
    <row r="3069" spans="5:7" x14ac:dyDescent="0.15">
      <c r="E3069" s="8"/>
      <c r="F3069" s="8"/>
      <c r="G3069" s="8"/>
    </row>
    <row r="3070" spans="5:7" x14ac:dyDescent="0.15">
      <c r="E3070" s="8"/>
      <c r="F3070" s="8"/>
      <c r="G3070" s="8"/>
    </row>
    <row r="3071" spans="5:7" x14ac:dyDescent="0.15">
      <c r="E3071" s="8"/>
      <c r="F3071" s="8"/>
      <c r="G3071" s="8"/>
    </row>
    <row r="3072" spans="5:7" x14ac:dyDescent="0.15">
      <c r="E3072" s="8"/>
      <c r="F3072" s="8"/>
      <c r="G3072" s="8"/>
    </row>
    <row r="3073" spans="5:7" x14ac:dyDescent="0.15">
      <c r="E3073" s="8"/>
      <c r="F3073" s="8"/>
      <c r="G3073" s="8"/>
    </row>
    <row r="3074" spans="5:7" x14ac:dyDescent="0.15">
      <c r="E3074" s="8"/>
      <c r="F3074" s="8"/>
      <c r="G3074" s="8"/>
    </row>
    <row r="3075" spans="5:7" x14ac:dyDescent="0.15">
      <c r="E3075" s="8"/>
      <c r="F3075" s="8"/>
      <c r="G3075" s="8"/>
    </row>
    <row r="3076" spans="5:7" x14ac:dyDescent="0.15">
      <c r="E3076" s="8"/>
      <c r="F3076" s="8"/>
      <c r="G3076" s="8"/>
    </row>
    <row r="3077" spans="5:7" x14ac:dyDescent="0.15">
      <c r="E3077" s="8"/>
      <c r="F3077" s="8"/>
      <c r="G3077" s="8"/>
    </row>
    <row r="3078" spans="5:7" x14ac:dyDescent="0.15">
      <c r="E3078" s="8"/>
      <c r="F3078" s="8"/>
      <c r="G3078" s="8"/>
    </row>
    <row r="3079" spans="5:7" x14ac:dyDescent="0.15">
      <c r="E3079" s="8"/>
      <c r="F3079" s="8"/>
      <c r="G3079" s="8"/>
    </row>
    <row r="3080" spans="5:7" x14ac:dyDescent="0.15">
      <c r="E3080" s="8"/>
      <c r="F3080" s="8"/>
      <c r="G3080" s="8"/>
    </row>
    <row r="3081" spans="5:7" x14ac:dyDescent="0.15">
      <c r="E3081" s="8"/>
      <c r="F3081" s="8"/>
      <c r="G3081" s="8"/>
    </row>
    <row r="3082" spans="5:7" x14ac:dyDescent="0.15">
      <c r="E3082" s="8"/>
      <c r="F3082" s="8"/>
      <c r="G3082" s="8"/>
    </row>
    <row r="3083" spans="5:7" x14ac:dyDescent="0.15">
      <c r="E3083" s="8"/>
      <c r="F3083" s="8"/>
      <c r="G3083" s="8"/>
    </row>
    <row r="3084" spans="5:7" x14ac:dyDescent="0.15">
      <c r="E3084" s="8"/>
      <c r="F3084" s="8"/>
      <c r="G3084" s="8"/>
    </row>
    <row r="3085" spans="5:7" x14ac:dyDescent="0.15">
      <c r="E3085" s="8"/>
      <c r="F3085" s="8"/>
      <c r="G3085" s="8"/>
    </row>
    <row r="3086" spans="5:7" x14ac:dyDescent="0.15">
      <c r="E3086" s="8"/>
      <c r="F3086" s="8"/>
      <c r="G3086" s="8"/>
    </row>
    <row r="3087" spans="5:7" x14ac:dyDescent="0.15">
      <c r="E3087" s="8"/>
      <c r="F3087" s="8"/>
      <c r="G3087" s="8"/>
    </row>
    <row r="3088" spans="5:7" x14ac:dyDescent="0.15">
      <c r="E3088" s="8"/>
      <c r="F3088" s="8"/>
      <c r="G3088" s="8"/>
    </row>
    <row r="3089" spans="5:7" x14ac:dyDescent="0.15">
      <c r="E3089" s="8"/>
      <c r="F3089" s="8"/>
      <c r="G3089" s="8"/>
    </row>
    <row r="3090" spans="5:7" x14ac:dyDescent="0.15">
      <c r="E3090" s="8"/>
      <c r="F3090" s="8"/>
      <c r="G3090" s="8"/>
    </row>
    <row r="3091" spans="5:7" x14ac:dyDescent="0.15">
      <c r="E3091" s="8"/>
      <c r="F3091" s="8"/>
      <c r="G3091" s="8"/>
    </row>
    <row r="3092" spans="5:7" x14ac:dyDescent="0.15">
      <c r="E3092" s="8"/>
      <c r="F3092" s="8"/>
      <c r="G3092" s="8"/>
    </row>
    <row r="3093" spans="5:7" x14ac:dyDescent="0.15">
      <c r="E3093" s="8"/>
      <c r="F3093" s="8"/>
      <c r="G3093" s="8"/>
    </row>
    <row r="3094" spans="5:7" x14ac:dyDescent="0.15">
      <c r="E3094" s="8"/>
      <c r="F3094" s="8"/>
      <c r="G3094" s="8"/>
    </row>
    <row r="3095" spans="5:7" x14ac:dyDescent="0.15">
      <c r="E3095" s="8"/>
      <c r="F3095" s="8"/>
      <c r="G3095" s="8"/>
    </row>
    <row r="3096" spans="5:7" x14ac:dyDescent="0.15">
      <c r="E3096" s="8"/>
      <c r="F3096" s="8"/>
      <c r="G3096" s="8"/>
    </row>
    <row r="3097" spans="5:7" x14ac:dyDescent="0.15">
      <c r="E3097" s="8"/>
      <c r="F3097" s="8"/>
      <c r="G3097" s="8"/>
    </row>
    <row r="3098" spans="5:7" x14ac:dyDescent="0.15">
      <c r="E3098" s="8"/>
      <c r="F3098" s="8"/>
      <c r="G3098" s="8"/>
    </row>
    <row r="3099" spans="5:7" x14ac:dyDescent="0.15">
      <c r="E3099" s="8"/>
      <c r="F3099" s="8"/>
      <c r="G3099" s="8"/>
    </row>
    <row r="3100" spans="5:7" x14ac:dyDescent="0.15">
      <c r="E3100" s="8"/>
      <c r="F3100" s="8"/>
      <c r="G3100" s="8"/>
    </row>
    <row r="3101" spans="5:7" x14ac:dyDescent="0.15">
      <c r="E3101" s="8"/>
      <c r="F3101" s="8"/>
      <c r="G3101" s="8"/>
    </row>
    <row r="3102" spans="5:7" x14ac:dyDescent="0.15">
      <c r="E3102" s="8"/>
      <c r="F3102" s="8"/>
      <c r="G3102" s="8"/>
    </row>
    <row r="3103" spans="5:7" x14ac:dyDescent="0.15">
      <c r="E3103" s="8"/>
      <c r="F3103" s="8"/>
      <c r="G3103" s="8"/>
    </row>
    <row r="3104" spans="5:7" x14ac:dyDescent="0.15">
      <c r="E3104" s="8"/>
      <c r="F3104" s="8"/>
      <c r="G3104" s="8"/>
    </row>
    <row r="3105" spans="5:7" x14ac:dyDescent="0.15">
      <c r="E3105" s="8"/>
      <c r="F3105" s="8"/>
      <c r="G3105" s="8"/>
    </row>
    <row r="3106" spans="5:7" x14ac:dyDescent="0.15">
      <c r="E3106" s="8"/>
      <c r="F3106" s="8"/>
      <c r="G3106" s="8"/>
    </row>
    <row r="3107" spans="5:7" x14ac:dyDescent="0.15">
      <c r="E3107" s="8"/>
      <c r="F3107" s="8"/>
      <c r="G3107" s="8"/>
    </row>
    <row r="3108" spans="5:7" x14ac:dyDescent="0.15">
      <c r="E3108" s="8"/>
      <c r="F3108" s="8"/>
      <c r="G3108" s="8"/>
    </row>
    <row r="3109" spans="5:7" x14ac:dyDescent="0.15">
      <c r="E3109" s="8"/>
      <c r="F3109" s="8"/>
      <c r="G3109" s="8"/>
    </row>
    <row r="3110" spans="5:7" x14ac:dyDescent="0.15">
      <c r="E3110" s="8"/>
      <c r="F3110" s="8"/>
      <c r="G3110" s="8"/>
    </row>
    <row r="3111" spans="5:7" x14ac:dyDescent="0.15">
      <c r="E3111" s="8"/>
      <c r="F3111" s="8"/>
      <c r="G3111" s="8"/>
    </row>
    <row r="3112" spans="5:7" x14ac:dyDescent="0.15">
      <c r="E3112" s="8"/>
      <c r="F3112" s="8"/>
      <c r="G3112" s="8"/>
    </row>
    <row r="3113" spans="5:7" x14ac:dyDescent="0.15">
      <c r="E3113" s="8"/>
      <c r="F3113" s="8"/>
      <c r="G3113" s="8"/>
    </row>
    <row r="3114" spans="5:7" x14ac:dyDescent="0.15">
      <c r="E3114" s="8"/>
      <c r="F3114" s="8"/>
      <c r="G3114" s="8"/>
    </row>
    <row r="3115" spans="5:7" x14ac:dyDescent="0.15">
      <c r="E3115" s="8"/>
      <c r="F3115" s="8"/>
      <c r="G3115" s="8"/>
    </row>
    <row r="3116" spans="5:7" x14ac:dyDescent="0.15">
      <c r="E3116" s="8"/>
      <c r="F3116" s="8"/>
      <c r="G3116" s="8"/>
    </row>
    <row r="3117" spans="5:7" x14ac:dyDescent="0.15">
      <c r="E3117" s="8"/>
      <c r="F3117" s="8"/>
      <c r="G3117" s="8"/>
    </row>
    <row r="3118" spans="5:7" x14ac:dyDescent="0.15">
      <c r="E3118" s="8"/>
      <c r="F3118" s="8"/>
      <c r="G3118" s="8"/>
    </row>
    <row r="3119" spans="5:7" x14ac:dyDescent="0.15">
      <c r="E3119" s="8"/>
      <c r="F3119" s="8"/>
      <c r="G3119" s="8"/>
    </row>
    <row r="3120" spans="5:7" x14ac:dyDescent="0.15">
      <c r="E3120" s="8"/>
      <c r="F3120" s="8"/>
      <c r="G3120" s="8"/>
    </row>
    <row r="3121" spans="5:7" x14ac:dyDescent="0.15">
      <c r="E3121" s="8"/>
      <c r="F3121" s="8"/>
      <c r="G3121" s="8"/>
    </row>
    <row r="3122" spans="5:7" x14ac:dyDescent="0.15">
      <c r="E3122" s="8"/>
      <c r="F3122" s="8"/>
      <c r="G3122" s="8"/>
    </row>
    <row r="3123" spans="5:7" x14ac:dyDescent="0.15">
      <c r="E3123" s="8"/>
      <c r="F3123" s="8"/>
      <c r="G3123" s="8"/>
    </row>
    <row r="3124" spans="5:7" x14ac:dyDescent="0.15">
      <c r="E3124" s="8"/>
      <c r="F3124" s="8"/>
      <c r="G3124" s="8"/>
    </row>
    <row r="3125" spans="5:7" x14ac:dyDescent="0.15">
      <c r="E3125" s="8"/>
      <c r="F3125" s="8"/>
      <c r="G3125" s="8"/>
    </row>
    <row r="3126" spans="5:7" x14ac:dyDescent="0.15">
      <c r="E3126" s="8"/>
      <c r="F3126" s="8"/>
      <c r="G3126" s="8"/>
    </row>
    <row r="3127" spans="5:7" x14ac:dyDescent="0.15">
      <c r="E3127" s="8"/>
      <c r="F3127" s="8"/>
      <c r="G3127" s="8"/>
    </row>
    <row r="3128" spans="5:7" x14ac:dyDescent="0.15">
      <c r="E3128" s="8"/>
      <c r="F3128" s="8"/>
      <c r="G3128" s="8"/>
    </row>
    <row r="3129" spans="5:7" x14ac:dyDescent="0.15">
      <c r="E3129" s="8"/>
      <c r="F3129" s="8"/>
      <c r="G3129" s="8"/>
    </row>
    <row r="3130" spans="5:7" x14ac:dyDescent="0.15">
      <c r="E3130" s="8"/>
      <c r="F3130" s="8"/>
      <c r="G3130" s="8"/>
    </row>
    <row r="3131" spans="5:7" x14ac:dyDescent="0.15">
      <c r="E3131" s="8"/>
      <c r="F3131" s="8"/>
      <c r="G3131" s="8"/>
    </row>
    <row r="3132" spans="5:7" x14ac:dyDescent="0.15">
      <c r="E3132" s="8"/>
      <c r="F3132" s="8"/>
      <c r="G3132" s="8"/>
    </row>
    <row r="3133" spans="5:7" x14ac:dyDescent="0.15">
      <c r="E3133" s="8"/>
      <c r="F3133" s="8"/>
      <c r="G3133" s="8"/>
    </row>
    <row r="3134" spans="5:7" x14ac:dyDescent="0.15">
      <c r="E3134" s="8"/>
      <c r="F3134" s="8"/>
      <c r="G3134" s="8"/>
    </row>
    <row r="3135" spans="5:7" x14ac:dyDescent="0.15">
      <c r="E3135" s="8"/>
      <c r="F3135" s="8"/>
      <c r="G3135" s="8"/>
    </row>
    <row r="3136" spans="5:7" x14ac:dyDescent="0.15">
      <c r="E3136" s="8"/>
      <c r="F3136" s="8"/>
      <c r="G3136" s="8"/>
    </row>
    <row r="3137" spans="5:7" x14ac:dyDescent="0.15">
      <c r="E3137" s="8"/>
      <c r="F3137" s="8"/>
      <c r="G3137" s="8"/>
    </row>
    <row r="3138" spans="5:7" x14ac:dyDescent="0.15">
      <c r="E3138" s="8"/>
      <c r="F3138" s="8"/>
      <c r="G3138" s="8"/>
    </row>
    <row r="3139" spans="5:7" x14ac:dyDescent="0.15">
      <c r="E3139" s="8"/>
      <c r="F3139" s="8"/>
      <c r="G3139" s="8"/>
    </row>
    <row r="3140" spans="5:7" x14ac:dyDescent="0.15">
      <c r="E3140" s="8"/>
      <c r="F3140" s="8"/>
      <c r="G3140" s="8"/>
    </row>
    <row r="3141" spans="5:7" x14ac:dyDescent="0.15">
      <c r="E3141" s="8"/>
      <c r="F3141" s="8"/>
      <c r="G3141" s="8"/>
    </row>
    <row r="3142" spans="5:7" x14ac:dyDescent="0.15">
      <c r="E3142" s="8"/>
      <c r="F3142" s="8"/>
      <c r="G3142" s="8"/>
    </row>
    <row r="3143" spans="5:7" x14ac:dyDescent="0.15">
      <c r="E3143" s="8"/>
      <c r="F3143" s="8"/>
      <c r="G3143" s="8"/>
    </row>
    <row r="3144" spans="5:7" x14ac:dyDescent="0.15">
      <c r="E3144" s="8"/>
      <c r="F3144" s="8"/>
      <c r="G3144" s="8"/>
    </row>
    <row r="3145" spans="5:7" x14ac:dyDescent="0.15">
      <c r="E3145" s="8"/>
      <c r="F3145" s="8"/>
      <c r="G3145" s="8"/>
    </row>
    <row r="3146" spans="5:7" x14ac:dyDescent="0.15">
      <c r="E3146" s="8"/>
      <c r="F3146" s="8"/>
      <c r="G3146" s="8"/>
    </row>
    <row r="3147" spans="5:7" x14ac:dyDescent="0.15">
      <c r="E3147" s="8"/>
      <c r="F3147" s="8"/>
      <c r="G3147" s="8"/>
    </row>
    <row r="3148" spans="5:7" x14ac:dyDescent="0.15">
      <c r="E3148" s="8"/>
      <c r="F3148" s="8"/>
      <c r="G3148" s="8"/>
    </row>
    <row r="3149" spans="5:7" x14ac:dyDescent="0.15">
      <c r="E3149" s="8"/>
      <c r="F3149" s="8"/>
      <c r="G3149" s="8"/>
    </row>
    <row r="3150" spans="5:7" x14ac:dyDescent="0.15">
      <c r="E3150" s="8"/>
      <c r="F3150" s="8"/>
      <c r="G3150" s="8"/>
    </row>
    <row r="3151" spans="5:7" x14ac:dyDescent="0.15">
      <c r="E3151" s="8"/>
      <c r="F3151" s="8"/>
      <c r="G3151" s="8"/>
    </row>
    <row r="3152" spans="5:7" x14ac:dyDescent="0.15">
      <c r="E3152" s="8"/>
      <c r="F3152" s="8"/>
      <c r="G3152" s="8"/>
    </row>
    <row r="3153" spans="5:7" x14ac:dyDescent="0.15">
      <c r="E3153" s="8"/>
      <c r="F3153" s="8"/>
      <c r="G3153" s="8"/>
    </row>
    <row r="3154" spans="5:7" x14ac:dyDescent="0.15">
      <c r="E3154" s="8"/>
      <c r="F3154" s="8"/>
      <c r="G3154" s="8"/>
    </row>
    <row r="3155" spans="5:7" x14ac:dyDescent="0.15">
      <c r="E3155" s="8"/>
      <c r="F3155" s="8"/>
      <c r="G3155" s="8"/>
    </row>
    <row r="3156" spans="5:7" x14ac:dyDescent="0.15">
      <c r="E3156" s="8"/>
      <c r="F3156" s="8"/>
      <c r="G3156" s="8"/>
    </row>
    <row r="3157" spans="5:7" x14ac:dyDescent="0.15">
      <c r="E3157" s="8"/>
      <c r="F3157" s="8"/>
      <c r="G3157" s="8"/>
    </row>
    <row r="3158" spans="5:7" x14ac:dyDescent="0.15">
      <c r="E3158" s="8"/>
      <c r="F3158" s="8"/>
      <c r="G3158" s="8"/>
    </row>
    <row r="3159" spans="5:7" x14ac:dyDescent="0.15">
      <c r="E3159" s="8"/>
      <c r="F3159" s="8"/>
      <c r="G3159" s="8"/>
    </row>
    <row r="3160" spans="5:7" x14ac:dyDescent="0.15">
      <c r="E3160" s="8"/>
      <c r="F3160" s="8"/>
      <c r="G3160" s="8"/>
    </row>
    <row r="3161" spans="5:7" x14ac:dyDescent="0.15">
      <c r="E3161" s="8"/>
      <c r="F3161" s="8"/>
      <c r="G3161" s="8"/>
    </row>
    <row r="3162" spans="5:7" x14ac:dyDescent="0.15">
      <c r="E3162" s="8"/>
      <c r="F3162" s="8"/>
      <c r="G3162" s="8"/>
    </row>
    <row r="3163" spans="5:7" x14ac:dyDescent="0.15">
      <c r="E3163" s="8"/>
      <c r="F3163" s="8"/>
      <c r="G3163" s="8"/>
    </row>
    <row r="3164" spans="5:7" x14ac:dyDescent="0.15">
      <c r="E3164" s="8"/>
      <c r="F3164" s="8"/>
      <c r="G3164" s="8"/>
    </row>
    <row r="3165" spans="5:7" x14ac:dyDescent="0.15">
      <c r="E3165" s="8"/>
      <c r="F3165" s="8"/>
      <c r="G3165" s="8"/>
    </row>
    <row r="3166" spans="5:7" x14ac:dyDescent="0.15">
      <c r="E3166" s="8"/>
      <c r="F3166" s="8"/>
      <c r="G3166" s="8"/>
    </row>
    <row r="3167" spans="5:7" x14ac:dyDescent="0.15">
      <c r="E3167" s="8"/>
      <c r="F3167" s="8"/>
      <c r="G3167" s="8"/>
    </row>
    <row r="3168" spans="5:7" x14ac:dyDescent="0.15">
      <c r="E3168" s="8"/>
      <c r="F3168" s="8"/>
      <c r="G3168" s="8"/>
    </row>
    <row r="3169" spans="5:7" x14ac:dyDescent="0.15">
      <c r="E3169" s="8"/>
      <c r="F3169" s="8"/>
      <c r="G3169" s="8"/>
    </row>
    <row r="3170" spans="5:7" x14ac:dyDescent="0.15">
      <c r="E3170" s="8"/>
      <c r="F3170" s="8"/>
      <c r="G3170" s="8"/>
    </row>
    <row r="3171" spans="5:7" x14ac:dyDescent="0.15">
      <c r="E3171" s="8"/>
      <c r="F3171" s="8"/>
      <c r="G3171" s="8"/>
    </row>
    <row r="3172" spans="5:7" x14ac:dyDescent="0.15">
      <c r="E3172" s="8"/>
      <c r="F3172" s="8"/>
      <c r="G3172" s="8"/>
    </row>
    <row r="3173" spans="5:7" x14ac:dyDescent="0.15">
      <c r="E3173" s="8"/>
      <c r="F3173" s="8"/>
      <c r="G3173" s="8"/>
    </row>
    <row r="3174" spans="5:7" x14ac:dyDescent="0.15">
      <c r="E3174" s="8"/>
      <c r="F3174" s="8"/>
      <c r="G3174" s="8"/>
    </row>
    <row r="3175" spans="5:7" x14ac:dyDescent="0.15">
      <c r="E3175" s="8"/>
      <c r="F3175" s="8"/>
      <c r="G3175" s="8"/>
    </row>
    <row r="3176" spans="5:7" x14ac:dyDescent="0.15">
      <c r="E3176" s="8"/>
      <c r="F3176" s="8"/>
      <c r="G3176" s="8"/>
    </row>
    <row r="3177" spans="5:7" x14ac:dyDescent="0.15">
      <c r="E3177" s="8"/>
      <c r="F3177" s="8"/>
      <c r="G3177" s="8"/>
    </row>
    <row r="3178" spans="5:7" x14ac:dyDescent="0.15">
      <c r="E3178" s="8"/>
      <c r="F3178" s="8"/>
      <c r="G3178" s="8"/>
    </row>
    <row r="3179" spans="5:7" x14ac:dyDescent="0.15">
      <c r="E3179" s="8"/>
      <c r="F3179" s="8"/>
      <c r="G3179" s="8"/>
    </row>
    <row r="3180" spans="5:7" x14ac:dyDescent="0.15">
      <c r="E3180" s="8"/>
      <c r="F3180" s="8"/>
      <c r="G3180" s="8"/>
    </row>
    <row r="3181" spans="5:7" x14ac:dyDescent="0.15">
      <c r="E3181" s="8"/>
      <c r="F3181" s="8"/>
      <c r="G3181" s="8"/>
    </row>
    <row r="3182" spans="5:7" x14ac:dyDescent="0.15">
      <c r="E3182" s="8"/>
      <c r="F3182" s="8"/>
      <c r="G3182" s="8"/>
    </row>
    <row r="3183" spans="5:7" x14ac:dyDescent="0.15">
      <c r="E3183" s="8"/>
      <c r="F3183" s="8"/>
      <c r="G3183" s="8"/>
    </row>
    <row r="3184" spans="5:7" x14ac:dyDescent="0.15">
      <c r="E3184" s="8"/>
      <c r="F3184" s="8"/>
      <c r="G3184" s="8"/>
    </row>
    <row r="3185" spans="5:7" x14ac:dyDescent="0.15">
      <c r="E3185" s="8"/>
      <c r="F3185" s="8"/>
      <c r="G3185" s="8"/>
    </row>
    <row r="3186" spans="5:7" x14ac:dyDescent="0.15">
      <c r="E3186" s="8"/>
      <c r="F3186" s="8"/>
      <c r="G3186" s="8"/>
    </row>
    <row r="3187" spans="5:7" x14ac:dyDescent="0.15">
      <c r="E3187" s="8"/>
      <c r="F3187" s="8"/>
      <c r="G3187" s="8"/>
    </row>
    <row r="3188" spans="5:7" x14ac:dyDescent="0.15">
      <c r="E3188" s="8"/>
      <c r="F3188" s="8"/>
      <c r="G3188" s="8"/>
    </row>
    <row r="3189" spans="5:7" x14ac:dyDescent="0.15">
      <c r="E3189" s="8"/>
      <c r="F3189" s="8"/>
      <c r="G3189" s="8"/>
    </row>
    <row r="3190" spans="5:7" x14ac:dyDescent="0.15">
      <c r="E3190" s="8"/>
      <c r="F3190" s="8"/>
      <c r="G3190" s="8"/>
    </row>
    <row r="3191" spans="5:7" x14ac:dyDescent="0.15">
      <c r="E3191" s="8"/>
      <c r="F3191" s="8"/>
      <c r="G3191" s="8"/>
    </row>
    <row r="3192" spans="5:7" x14ac:dyDescent="0.15">
      <c r="E3192" s="8"/>
      <c r="F3192" s="8"/>
      <c r="G3192" s="8"/>
    </row>
    <row r="3193" spans="5:7" x14ac:dyDescent="0.15">
      <c r="E3193" s="8"/>
      <c r="F3193" s="8"/>
      <c r="G3193" s="8"/>
    </row>
    <row r="3194" spans="5:7" x14ac:dyDescent="0.15">
      <c r="E3194" s="8"/>
      <c r="F3194" s="8"/>
      <c r="G3194" s="8"/>
    </row>
    <row r="3195" spans="5:7" x14ac:dyDescent="0.15">
      <c r="E3195" s="8"/>
      <c r="F3195" s="8"/>
      <c r="G3195" s="8"/>
    </row>
    <row r="3196" spans="5:7" x14ac:dyDescent="0.15">
      <c r="E3196" s="8"/>
      <c r="F3196" s="8"/>
      <c r="G3196" s="8"/>
    </row>
    <row r="3197" spans="5:7" x14ac:dyDescent="0.15">
      <c r="E3197" s="8"/>
      <c r="F3197" s="8"/>
      <c r="G3197" s="8"/>
    </row>
    <row r="3198" spans="5:7" x14ac:dyDescent="0.15">
      <c r="E3198" s="8"/>
      <c r="F3198" s="8"/>
      <c r="G3198" s="8"/>
    </row>
    <row r="3199" spans="5:7" x14ac:dyDescent="0.15">
      <c r="E3199" s="8"/>
      <c r="F3199" s="8"/>
      <c r="G3199" s="8"/>
    </row>
    <row r="3200" spans="5:7" x14ac:dyDescent="0.15">
      <c r="E3200" s="8"/>
      <c r="F3200" s="8"/>
      <c r="G3200" s="8"/>
    </row>
    <row r="3201" spans="5:7" x14ac:dyDescent="0.15">
      <c r="E3201" s="8"/>
      <c r="F3201" s="8"/>
      <c r="G3201" s="8"/>
    </row>
    <row r="3202" spans="5:7" x14ac:dyDescent="0.15">
      <c r="E3202" s="8"/>
      <c r="F3202" s="8"/>
      <c r="G3202" s="8"/>
    </row>
    <row r="3203" spans="5:7" x14ac:dyDescent="0.15">
      <c r="E3203" s="8"/>
      <c r="F3203" s="8"/>
      <c r="G3203" s="8"/>
    </row>
    <row r="3204" spans="5:7" x14ac:dyDescent="0.15">
      <c r="E3204" s="8"/>
      <c r="F3204" s="8"/>
      <c r="G3204" s="8"/>
    </row>
    <row r="3205" spans="5:7" x14ac:dyDescent="0.15">
      <c r="E3205" s="8"/>
      <c r="F3205" s="8"/>
      <c r="G3205" s="8"/>
    </row>
    <row r="3206" spans="5:7" x14ac:dyDescent="0.15">
      <c r="E3206" s="8"/>
      <c r="F3206" s="8"/>
      <c r="G3206" s="8"/>
    </row>
    <row r="3207" spans="5:7" x14ac:dyDescent="0.15">
      <c r="E3207" s="8"/>
      <c r="F3207" s="8"/>
      <c r="G3207" s="8"/>
    </row>
    <row r="3208" spans="5:7" x14ac:dyDescent="0.15">
      <c r="E3208" s="8"/>
      <c r="F3208" s="8"/>
      <c r="G3208" s="8"/>
    </row>
    <row r="3209" spans="5:7" x14ac:dyDescent="0.15">
      <c r="E3209" s="8"/>
      <c r="F3209" s="8"/>
      <c r="G3209" s="8"/>
    </row>
    <row r="3210" spans="5:7" x14ac:dyDescent="0.15">
      <c r="E3210" s="8"/>
      <c r="F3210" s="8"/>
      <c r="G3210" s="8"/>
    </row>
    <row r="3211" spans="5:7" x14ac:dyDescent="0.15">
      <c r="E3211" s="8"/>
      <c r="F3211" s="8"/>
      <c r="G3211" s="8"/>
    </row>
    <row r="3212" spans="5:7" x14ac:dyDescent="0.15">
      <c r="E3212" s="8"/>
      <c r="F3212" s="8"/>
      <c r="G3212" s="8"/>
    </row>
    <row r="3213" spans="5:7" x14ac:dyDescent="0.15">
      <c r="E3213" s="8"/>
      <c r="F3213" s="8"/>
      <c r="G3213" s="8"/>
    </row>
    <row r="3214" spans="5:7" x14ac:dyDescent="0.15">
      <c r="E3214" s="8"/>
      <c r="F3214" s="8"/>
      <c r="G3214" s="8"/>
    </row>
    <row r="3215" spans="5:7" x14ac:dyDescent="0.15">
      <c r="E3215" s="8"/>
      <c r="F3215" s="8"/>
      <c r="G3215" s="8"/>
    </row>
    <row r="3216" spans="5:7" x14ac:dyDescent="0.15">
      <c r="E3216" s="8"/>
      <c r="F3216" s="8"/>
      <c r="G3216" s="8"/>
    </row>
    <row r="3217" spans="5:7" x14ac:dyDescent="0.15">
      <c r="E3217" s="8"/>
      <c r="F3217" s="8"/>
      <c r="G3217" s="8"/>
    </row>
    <row r="3218" spans="5:7" x14ac:dyDescent="0.15">
      <c r="E3218" s="8"/>
      <c r="F3218" s="8"/>
      <c r="G3218" s="8"/>
    </row>
    <row r="3219" spans="5:7" x14ac:dyDescent="0.15">
      <c r="E3219" s="8"/>
      <c r="F3219" s="8"/>
      <c r="G3219" s="8"/>
    </row>
    <row r="3220" spans="5:7" x14ac:dyDescent="0.15">
      <c r="E3220" s="8"/>
      <c r="F3220" s="8"/>
      <c r="G3220" s="8"/>
    </row>
    <row r="3221" spans="5:7" x14ac:dyDescent="0.15">
      <c r="E3221" s="8"/>
      <c r="F3221" s="8"/>
      <c r="G3221" s="8"/>
    </row>
    <row r="3222" spans="5:7" x14ac:dyDescent="0.15">
      <c r="E3222" s="8"/>
      <c r="F3222" s="8"/>
      <c r="G3222" s="8"/>
    </row>
    <row r="3223" spans="5:7" x14ac:dyDescent="0.15">
      <c r="E3223" s="8"/>
      <c r="F3223" s="8"/>
      <c r="G3223" s="8"/>
    </row>
    <row r="3224" spans="5:7" x14ac:dyDescent="0.15">
      <c r="E3224" s="8"/>
      <c r="F3224" s="8"/>
      <c r="G3224" s="8"/>
    </row>
    <row r="3225" spans="5:7" x14ac:dyDescent="0.15">
      <c r="E3225" s="8"/>
      <c r="F3225" s="8"/>
      <c r="G3225" s="8"/>
    </row>
    <row r="3226" spans="5:7" x14ac:dyDescent="0.15">
      <c r="E3226" s="8"/>
      <c r="F3226" s="8"/>
      <c r="G3226" s="8"/>
    </row>
    <row r="3227" spans="5:7" x14ac:dyDescent="0.15">
      <c r="E3227" s="8"/>
      <c r="F3227" s="8"/>
      <c r="G3227" s="8"/>
    </row>
    <row r="3228" spans="5:7" x14ac:dyDescent="0.15">
      <c r="E3228" s="8"/>
      <c r="F3228" s="8"/>
      <c r="G3228" s="8"/>
    </row>
    <row r="3229" spans="5:7" x14ac:dyDescent="0.15">
      <c r="E3229" s="8"/>
      <c r="F3229" s="8"/>
      <c r="G3229" s="8"/>
    </row>
    <row r="3230" spans="5:7" x14ac:dyDescent="0.15">
      <c r="E3230" s="8"/>
      <c r="F3230" s="8"/>
      <c r="G3230" s="8"/>
    </row>
    <row r="3231" spans="5:7" x14ac:dyDescent="0.15">
      <c r="E3231" s="8"/>
      <c r="F3231" s="8"/>
      <c r="G3231" s="8"/>
    </row>
    <row r="3232" spans="5:7" x14ac:dyDescent="0.15">
      <c r="E3232" s="8"/>
      <c r="F3232" s="8"/>
      <c r="G3232" s="8"/>
    </row>
    <row r="3233" spans="5:7" x14ac:dyDescent="0.15">
      <c r="E3233" s="8"/>
      <c r="F3233" s="8"/>
      <c r="G3233" s="8"/>
    </row>
    <row r="3234" spans="5:7" x14ac:dyDescent="0.15">
      <c r="E3234" s="8"/>
      <c r="F3234" s="8"/>
      <c r="G3234" s="8"/>
    </row>
    <row r="3235" spans="5:7" x14ac:dyDescent="0.15">
      <c r="E3235" s="8"/>
      <c r="F3235" s="8"/>
      <c r="G3235" s="8"/>
    </row>
    <row r="3236" spans="5:7" x14ac:dyDescent="0.15">
      <c r="E3236" s="8"/>
      <c r="F3236" s="8"/>
      <c r="G3236" s="8"/>
    </row>
    <row r="3237" spans="5:7" x14ac:dyDescent="0.15">
      <c r="E3237" s="8"/>
      <c r="F3237" s="8"/>
      <c r="G3237" s="8"/>
    </row>
    <row r="3238" spans="5:7" x14ac:dyDescent="0.15">
      <c r="E3238" s="8"/>
      <c r="F3238" s="8"/>
      <c r="G3238" s="8"/>
    </row>
    <row r="3239" spans="5:7" x14ac:dyDescent="0.15">
      <c r="E3239" s="8"/>
      <c r="F3239" s="8"/>
      <c r="G3239" s="8"/>
    </row>
    <row r="3240" spans="5:7" x14ac:dyDescent="0.15">
      <c r="E3240" s="8"/>
      <c r="F3240" s="8"/>
      <c r="G3240" s="8"/>
    </row>
    <row r="3241" spans="5:7" x14ac:dyDescent="0.15">
      <c r="E3241" s="8"/>
      <c r="F3241" s="8"/>
      <c r="G3241" s="8"/>
    </row>
    <row r="3242" spans="5:7" x14ac:dyDescent="0.15">
      <c r="E3242" s="8"/>
      <c r="F3242" s="8"/>
      <c r="G3242" s="8"/>
    </row>
    <row r="3243" spans="5:7" x14ac:dyDescent="0.15">
      <c r="E3243" s="8"/>
      <c r="F3243" s="8"/>
      <c r="G3243" s="8"/>
    </row>
    <row r="3244" spans="5:7" x14ac:dyDescent="0.15">
      <c r="E3244" s="8"/>
      <c r="F3244" s="8"/>
      <c r="G3244" s="8"/>
    </row>
    <row r="3245" spans="5:7" x14ac:dyDescent="0.15">
      <c r="E3245" s="8"/>
      <c r="F3245" s="8"/>
      <c r="G3245" s="8"/>
    </row>
    <row r="3246" spans="5:7" x14ac:dyDescent="0.15">
      <c r="E3246" s="8"/>
      <c r="F3246" s="8"/>
      <c r="G3246" s="8"/>
    </row>
    <row r="3247" spans="5:7" x14ac:dyDescent="0.15">
      <c r="E3247" s="8"/>
      <c r="F3247" s="8"/>
      <c r="G3247" s="8"/>
    </row>
    <row r="3248" spans="5:7" x14ac:dyDescent="0.15">
      <c r="E3248" s="8"/>
      <c r="F3248" s="8"/>
      <c r="G3248" s="8"/>
    </row>
    <row r="3249" spans="5:7" x14ac:dyDescent="0.15">
      <c r="E3249" s="8"/>
      <c r="F3249" s="8"/>
      <c r="G3249" s="8"/>
    </row>
    <row r="3250" spans="5:7" x14ac:dyDescent="0.15">
      <c r="E3250" s="8"/>
      <c r="F3250" s="8"/>
      <c r="G3250" s="8"/>
    </row>
    <row r="3251" spans="5:7" x14ac:dyDescent="0.15">
      <c r="E3251" s="8"/>
      <c r="F3251" s="8"/>
      <c r="G3251" s="8"/>
    </row>
    <row r="3252" spans="5:7" x14ac:dyDescent="0.15">
      <c r="E3252" s="8"/>
      <c r="F3252" s="8"/>
      <c r="G3252" s="8"/>
    </row>
    <row r="3253" spans="5:7" x14ac:dyDescent="0.15">
      <c r="E3253" s="8"/>
      <c r="F3253" s="8"/>
      <c r="G3253" s="8"/>
    </row>
    <row r="3254" spans="5:7" x14ac:dyDescent="0.15">
      <c r="E3254" s="8"/>
      <c r="F3254" s="8"/>
      <c r="G3254" s="8"/>
    </row>
    <row r="3255" spans="5:7" x14ac:dyDescent="0.15">
      <c r="E3255" s="8"/>
      <c r="F3255" s="8"/>
      <c r="G3255" s="8"/>
    </row>
    <row r="3256" spans="5:7" x14ac:dyDescent="0.15">
      <c r="E3256" s="8"/>
      <c r="F3256" s="8"/>
      <c r="G3256" s="8"/>
    </row>
    <row r="3257" spans="5:7" x14ac:dyDescent="0.15">
      <c r="E3257" s="8"/>
      <c r="F3257" s="8"/>
      <c r="G3257" s="8"/>
    </row>
    <row r="3258" spans="5:7" x14ac:dyDescent="0.15">
      <c r="E3258" s="8"/>
      <c r="F3258" s="8"/>
      <c r="G3258" s="8"/>
    </row>
    <row r="3259" spans="5:7" x14ac:dyDescent="0.15">
      <c r="E3259" s="8"/>
      <c r="F3259" s="8"/>
      <c r="G3259" s="8"/>
    </row>
    <row r="3260" spans="5:7" x14ac:dyDescent="0.15">
      <c r="E3260" s="8"/>
      <c r="F3260" s="8"/>
      <c r="G3260" s="8"/>
    </row>
    <row r="3261" spans="5:7" x14ac:dyDescent="0.15">
      <c r="E3261" s="8"/>
      <c r="F3261" s="8"/>
      <c r="G3261" s="8"/>
    </row>
    <row r="3262" spans="5:7" x14ac:dyDescent="0.15">
      <c r="E3262" s="8"/>
      <c r="F3262" s="8"/>
      <c r="G3262" s="8"/>
    </row>
    <row r="3263" spans="5:7" x14ac:dyDescent="0.15">
      <c r="E3263" s="8"/>
      <c r="F3263" s="8"/>
      <c r="G3263" s="8"/>
    </row>
    <row r="3264" spans="5:7" x14ac:dyDescent="0.15">
      <c r="E3264" s="8"/>
      <c r="F3264" s="8"/>
      <c r="G3264" s="8"/>
    </row>
    <row r="3265" spans="5:7" x14ac:dyDescent="0.15">
      <c r="E3265" s="8"/>
      <c r="F3265" s="8"/>
      <c r="G3265" s="8"/>
    </row>
    <row r="3266" spans="5:7" x14ac:dyDescent="0.15">
      <c r="E3266" s="8"/>
      <c r="F3266" s="8"/>
      <c r="G3266" s="8"/>
    </row>
    <row r="3267" spans="5:7" x14ac:dyDescent="0.15">
      <c r="E3267" s="8"/>
      <c r="F3267" s="8"/>
      <c r="G3267" s="8"/>
    </row>
    <row r="3268" spans="5:7" x14ac:dyDescent="0.15">
      <c r="E3268" s="8"/>
      <c r="F3268" s="8"/>
      <c r="G3268" s="8"/>
    </row>
    <row r="3269" spans="5:7" x14ac:dyDescent="0.15">
      <c r="E3269" s="8"/>
      <c r="F3269" s="8"/>
      <c r="G3269" s="8"/>
    </row>
    <row r="3270" spans="5:7" x14ac:dyDescent="0.15">
      <c r="E3270" s="8"/>
      <c r="F3270" s="8"/>
      <c r="G3270" s="8"/>
    </row>
    <row r="3271" spans="5:7" x14ac:dyDescent="0.15">
      <c r="E3271" s="8"/>
      <c r="F3271" s="8"/>
      <c r="G3271" s="8"/>
    </row>
    <row r="3272" spans="5:7" x14ac:dyDescent="0.15">
      <c r="E3272" s="8"/>
      <c r="F3272" s="8"/>
      <c r="G3272" s="8"/>
    </row>
    <row r="3273" spans="5:7" x14ac:dyDescent="0.15">
      <c r="E3273" s="8"/>
      <c r="F3273" s="8"/>
      <c r="G3273" s="8"/>
    </row>
    <row r="3274" spans="5:7" x14ac:dyDescent="0.15">
      <c r="E3274" s="8"/>
      <c r="F3274" s="8"/>
      <c r="G3274" s="8"/>
    </row>
    <row r="3275" spans="5:7" x14ac:dyDescent="0.15">
      <c r="E3275" s="8"/>
      <c r="F3275" s="8"/>
      <c r="G3275" s="8"/>
    </row>
    <row r="3276" spans="5:7" x14ac:dyDescent="0.15">
      <c r="E3276" s="8"/>
      <c r="F3276" s="8"/>
      <c r="G3276" s="8"/>
    </row>
    <row r="3277" spans="5:7" x14ac:dyDescent="0.15">
      <c r="E3277" s="8"/>
      <c r="F3277" s="8"/>
      <c r="G3277" s="8"/>
    </row>
    <row r="3278" spans="5:7" x14ac:dyDescent="0.15">
      <c r="E3278" s="8"/>
      <c r="F3278" s="8"/>
      <c r="G3278" s="8"/>
    </row>
    <row r="3279" spans="5:7" x14ac:dyDescent="0.15">
      <c r="E3279" s="8"/>
      <c r="F3279" s="8"/>
      <c r="G3279" s="8"/>
    </row>
    <row r="3280" spans="5:7" x14ac:dyDescent="0.15">
      <c r="E3280" s="8"/>
      <c r="F3280" s="8"/>
      <c r="G3280" s="8"/>
    </row>
    <row r="3281" spans="5:7" x14ac:dyDescent="0.15">
      <c r="E3281" s="8"/>
      <c r="F3281" s="8"/>
      <c r="G3281" s="8"/>
    </row>
    <row r="3282" spans="5:7" x14ac:dyDescent="0.15">
      <c r="E3282" s="8"/>
      <c r="F3282" s="8"/>
      <c r="G3282" s="8"/>
    </row>
    <row r="3283" spans="5:7" x14ac:dyDescent="0.15">
      <c r="E3283" s="8"/>
      <c r="F3283" s="8"/>
      <c r="G3283" s="8"/>
    </row>
    <row r="3284" spans="5:7" x14ac:dyDescent="0.15">
      <c r="E3284" s="8"/>
      <c r="F3284" s="8"/>
      <c r="G3284" s="8"/>
    </row>
    <row r="3285" spans="5:7" x14ac:dyDescent="0.15">
      <c r="E3285" s="8"/>
      <c r="F3285" s="8"/>
      <c r="G3285" s="8"/>
    </row>
    <row r="3286" spans="5:7" x14ac:dyDescent="0.15">
      <c r="E3286" s="8"/>
      <c r="F3286" s="8"/>
      <c r="G3286" s="8"/>
    </row>
    <row r="3287" spans="5:7" x14ac:dyDescent="0.15">
      <c r="E3287" s="8"/>
      <c r="F3287" s="8"/>
      <c r="G3287" s="8"/>
    </row>
    <row r="3288" spans="5:7" x14ac:dyDescent="0.15">
      <c r="E3288" s="8"/>
      <c r="F3288" s="8"/>
      <c r="G3288" s="8"/>
    </row>
    <row r="3289" spans="5:7" x14ac:dyDescent="0.15">
      <c r="E3289" s="8"/>
      <c r="F3289" s="8"/>
      <c r="G3289" s="8"/>
    </row>
    <row r="3290" spans="5:7" x14ac:dyDescent="0.15">
      <c r="E3290" s="8"/>
      <c r="F3290" s="8"/>
      <c r="G3290" s="8"/>
    </row>
    <row r="3291" spans="5:7" x14ac:dyDescent="0.15">
      <c r="E3291" s="8"/>
      <c r="F3291" s="8"/>
      <c r="G3291" s="8"/>
    </row>
    <row r="3292" spans="5:7" x14ac:dyDescent="0.15">
      <c r="E3292" s="8"/>
      <c r="F3292" s="8"/>
      <c r="G3292" s="8"/>
    </row>
    <row r="3293" spans="5:7" x14ac:dyDescent="0.15">
      <c r="E3293" s="8"/>
      <c r="F3293" s="8"/>
      <c r="G3293" s="8"/>
    </row>
    <row r="3294" spans="5:7" x14ac:dyDescent="0.15">
      <c r="E3294" s="8"/>
      <c r="F3294" s="8"/>
      <c r="G3294" s="8"/>
    </row>
    <row r="3295" spans="5:7" x14ac:dyDescent="0.15">
      <c r="E3295" s="8"/>
      <c r="F3295" s="8"/>
      <c r="G3295" s="8"/>
    </row>
    <row r="3296" spans="5:7" x14ac:dyDescent="0.15">
      <c r="E3296" s="8"/>
      <c r="F3296" s="8"/>
      <c r="G3296" s="8"/>
    </row>
    <row r="3297" spans="5:7" x14ac:dyDescent="0.15">
      <c r="E3297" s="8"/>
      <c r="F3297" s="8"/>
      <c r="G3297" s="8"/>
    </row>
    <row r="3298" spans="5:7" x14ac:dyDescent="0.15">
      <c r="E3298" s="8"/>
      <c r="F3298" s="8"/>
      <c r="G3298" s="8"/>
    </row>
    <row r="3299" spans="5:7" x14ac:dyDescent="0.15">
      <c r="E3299" s="8"/>
      <c r="F3299" s="8"/>
      <c r="G3299" s="8"/>
    </row>
    <row r="3300" spans="5:7" x14ac:dyDescent="0.15">
      <c r="E3300" s="8"/>
      <c r="F3300" s="8"/>
      <c r="G3300" s="8"/>
    </row>
    <row r="3301" spans="5:7" x14ac:dyDescent="0.15">
      <c r="E3301" s="8"/>
      <c r="F3301" s="8"/>
      <c r="G3301" s="8"/>
    </row>
    <row r="3302" spans="5:7" x14ac:dyDescent="0.15">
      <c r="E3302" s="8"/>
      <c r="F3302" s="8"/>
      <c r="G3302" s="8"/>
    </row>
    <row r="3303" spans="5:7" x14ac:dyDescent="0.15">
      <c r="E3303" s="8"/>
      <c r="F3303" s="8"/>
      <c r="G3303" s="8"/>
    </row>
    <row r="3304" spans="5:7" x14ac:dyDescent="0.15">
      <c r="E3304" s="8"/>
      <c r="F3304" s="8"/>
      <c r="G3304" s="8"/>
    </row>
    <row r="3305" spans="5:7" x14ac:dyDescent="0.15">
      <c r="E3305" s="8"/>
      <c r="F3305" s="8"/>
      <c r="G3305" s="8"/>
    </row>
    <row r="3306" spans="5:7" x14ac:dyDescent="0.15">
      <c r="E3306" s="8"/>
      <c r="F3306" s="8"/>
      <c r="G3306" s="8"/>
    </row>
    <row r="3307" spans="5:7" x14ac:dyDescent="0.15">
      <c r="E3307" s="8"/>
      <c r="F3307" s="8"/>
      <c r="G3307" s="8"/>
    </row>
    <row r="3308" spans="5:7" x14ac:dyDescent="0.15">
      <c r="E3308" s="8"/>
      <c r="F3308" s="8"/>
      <c r="G3308" s="8"/>
    </row>
    <row r="3309" spans="5:7" x14ac:dyDescent="0.15">
      <c r="E3309" s="8"/>
      <c r="F3309" s="8"/>
      <c r="G3309" s="8"/>
    </row>
    <row r="3310" spans="5:7" x14ac:dyDescent="0.15">
      <c r="E3310" s="8"/>
      <c r="F3310" s="8"/>
      <c r="G3310" s="8"/>
    </row>
    <row r="3311" spans="5:7" x14ac:dyDescent="0.15">
      <c r="E3311" s="8"/>
      <c r="F3311" s="8"/>
      <c r="G3311" s="8"/>
    </row>
    <row r="3312" spans="5:7" x14ac:dyDescent="0.15">
      <c r="E3312" s="8"/>
      <c r="F3312" s="8"/>
      <c r="G3312" s="8"/>
    </row>
    <row r="3313" spans="5:7" x14ac:dyDescent="0.15">
      <c r="E3313" s="8"/>
      <c r="F3313" s="8"/>
      <c r="G3313" s="8"/>
    </row>
    <row r="3314" spans="5:7" x14ac:dyDescent="0.15">
      <c r="E3314" s="8"/>
      <c r="F3314" s="8"/>
      <c r="G3314" s="8"/>
    </row>
    <row r="3315" spans="5:7" x14ac:dyDescent="0.15">
      <c r="E3315" s="8"/>
      <c r="F3315" s="8"/>
      <c r="G3315" s="8"/>
    </row>
    <row r="3316" spans="5:7" x14ac:dyDescent="0.15">
      <c r="E3316" s="8"/>
      <c r="F3316" s="8"/>
      <c r="G3316" s="8"/>
    </row>
    <row r="3317" spans="5:7" x14ac:dyDescent="0.15">
      <c r="E3317" s="8"/>
      <c r="F3317" s="8"/>
      <c r="G3317" s="8"/>
    </row>
    <row r="3318" spans="5:7" x14ac:dyDescent="0.15">
      <c r="E3318" s="8"/>
      <c r="F3318" s="8"/>
      <c r="G3318" s="8"/>
    </row>
    <row r="3319" spans="5:7" x14ac:dyDescent="0.15">
      <c r="E3319" s="8"/>
      <c r="F3319" s="8"/>
      <c r="G3319" s="8"/>
    </row>
    <row r="3320" spans="5:7" x14ac:dyDescent="0.15">
      <c r="E3320" s="8"/>
      <c r="F3320" s="8"/>
      <c r="G3320" s="8"/>
    </row>
    <row r="3321" spans="5:7" x14ac:dyDescent="0.15">
      <c r="E3321" s="8"/>
      <c r="F3321" s="8"/>
      <c r="G3321" s="8"/>
    </row>
    <row r="3322" spans="5:7" x14ac:dyDescent="0.15">
      <c r="E3322" s="8"/>
      <c r="F3322" s="8"/>
      <c r="G3322" s="8"/>
    </row>
    <row r="3323" spans="5:7" x14ac:dyDescent="0.15">
      <c r="E3323" s="8"/>
      <c r="F3323" s="8"/>
      <c r="G3323" s="8"/>
    </row>
    <row r="3324" spans="5:7" x14ac:dyDescent="0.15">
      <c r="E3324" s="8"/>
      <c r="F3324" s="8"/>
      <c r="G3324" s="8"/>
    </row>
    <row r="3325" spans="5:7" x14ac:dyDescent="0.15">
      <c r="E3325" s="8"/>
      <c r="F3325" s="8"/>
      <c r="G3325" s="8"/>
    </row>
    <row r="3326" spans="5:7" x14ac:dyDescent="0.15">
      <c r="E3326" s="8"/>
      <c r="F3326" s="8"/>
      <c r="G3326" s="8"/>
    </row>
    <row r="3327" spans="5:7" x14ac:dyDescent="0.15">
      <c r="E3327" s="8"/>
      <c r="F3327" s="8"/>
      <c r="G3327" s="8"/>
    </row>
    <row r="3328" spans="5:7" x14ac:dyDescent="0.15">
      <c r="E3328" s="8"/>
      <c r="F3328" s="8"/>
      <c r="G3328" s="8"/>
    </row>
    <row r="3329" spans="5:7" x14ac:dyDescent="0.15">
      <c r="E3329" s="8"/>
      <c r="F3329" s="8"/>
      <c r="G3329" s="8"/>
    </row>
    <row r="3330" spans="5:7" x14ac:dyDescent="0.15">
      <c r="E3330" s="8"/>
      <c r="F3330" s="8"/>
      <c r="G3330" s="8"/>
    </row>
    <row r="3331" spans="5:7" x14ac:dyDescent="0.15">
      <c r="E3331" s="8"/>
      <c r="F3331" s="8"/>
      <c r="G3331" s="8"/>
    </row>
    <row r="3332" spans="5:7" x14ac:dyDescent="0.15">
      <c r="E3332" s="8"/>
      <c r="F3332" s="8"/>
      <c r="G3332" s="8"/>
    </row>
    <row r="3333" spans="5:7" x14ac:dyDescent="0.15">
      <c r="E3333" s="8"/>
      <c r="F3333" s="8"/>
      <c r="G3333" s="8"/>
    </row>
    <row r="3334" spans="5:7" x14ac:dyDescent="0.15">
      <c r="E3334" s="8"/>
      <c r="F3334" s="8"/>
      <c r="G3334" s="8"/>
    </row>
    <row r="3335" spans="5:7" x14ac:dyDescent="0.15">
      <c r="E3335" s="8"/>
      <c r="F3335" s="8"/>
      <c r="G3335" s="8"/>
    </row>
    <row r="3336" spans="5:7" x14ac:dyDescent="0.15">
      <c r="E3336" s="8"/>
      <c r="F3336" s="8"/>
      <c r="G3336" s="8"/>
    </row>
    <row r="3337" spans="5:7" x14ac:dyDescent="0.15">
      <c r="E3337" s="8"/>
      <c r="F3337" s="8"/>
      <c r="G3337" s="8"/>
    </row>
    <row r="3338" spans="5:7" x14ac:dyDescent="0.15">
      <c r="E3338" s="8"/>
      <c r="F3338" s="8"/>
      <c r="G3338" s="8"/>
    </row>
    <row r="3339" spans="5:7" x14ac:dyDescent="0.15">
      <c r="E3339" s="8"/>
      <c r="F3339" s="8"/>
      <c r="G3339" s="8"/>
    </row>
    <row r="3340" spans="5:7" x14ac:dyDescent="0.15">
      <c r="E3340" s="8"/>
      <c r="F3340" s="8"/>
      <c r="G3340" s="8"/>
    </row>
    <row r="3341" spans="5:7" x14ac:dyDescent="0.15">
      <c r="E3341" s="8"/>
      <c r="F3341" s="8"/>
      <c r="G3341" s="8"/>
    </row>
    <row r="3342" spans="5:7" x14ac:dyDescent="0.15">
      <c r="E3342" s="8"/>
      <c r="F3342" s="8"/>
      <c r="G3342" s="8"/>
    </row>
    <row r="3343" spans="5:7" x14ac:dyDescent="0.15">
      <c r="E3343" s="8"/>
      <c r="F3343" s="8"/>
      <c r="G3343" s="8"/>
    </row>
    <row r="3344" spans="5:7" x14ac:dyDescent="0.15">
      <c r="E3344" s="8"/>
      <c r="F3344" s="8"/>
      <c r="G3344" s="8"/>
    </row>
    <row r="3345" spans="5:7" x14ac:dyDescent="0.15">
      <c r="E3345" s="8"/>
      <c r="F3345" s="8"/>
      <c r="G3345" s="8"/>
    </row>
    <row r="3346" spans="5:7" x14ac:dyDescent="0.15">
      <c r="E3346" s="8"/>
      <c r="F3346" s="8"/>
      <c r="G3346" s="8"/>
    </row>
    <row r="3347" spans="5:7" x14ac:dyDescent="0.15">
      <c r="E3347" s="8"/>
      <c r="F3347" s="8"/>
      <c r="G3347" s="8"/>
    </row>
    <row r="3348" spans="5:7" x14ac:dyDescent="0.15">
      <c r="E3348" s="8"/>
      <c r="F3348" s="8"/>
      <c r="G3348" s="8"/>
    </row>
    <row r="3349" spans="5:7" x14ac:dyDescent="0.15">
      <c r="E3349" s="8"/>
      <c r="F3349" s="8"/>
      <c r="G3349" s="8"/>
    </row>
    <row r="3350" spans="5:7" x14ac:dyDescent="0.15">
      <c r="E3350" s="8"/>
      <c r="F3350" s="8"/>
      <c r="G3350" s="8"/>
    </row>
    <row r="3351" spans="5:7" x14ac:dyDescent="0.15">
      <c r="E3351" s="8"/>
      <c r="F3351" s="8"/>
      <c r="G3351" s="8"/>
    </row>
    <row r="3352" spans="5:7" x14ac:dyDescent="0.15">
      <c r="E3352" s="8"/>
      <c r="F3352" s="8"/>
      <c r="G3352" s="8"/>
    </row>
    <row r="3353" spans="5:7" x14ac:dyDescent="0.15">
      <c r="E3353" s="8"/>
      <c r="F3353" s="8"/>
      <c r="G3353" s="8"/>
    </row>
    <row r="3354" spans="5:7" x14ac:dyDescent="0.15">
      <c r="E3354" s="8"/>
      <c r="F3354" s="8"/>
      <c r="G3354" s="8"/>
    </row>
    <row r="3355" spans="5:7" x14ac:dyDescent="0.15">
      <c r="E3355" s="8"/>
      <c r="F3355" s="8"/>
      <c r="G3355" s="8"/>
    </row>
    <row r="3356" spans="5:7" x14ac:dyDescent="0.15">
      <c r="E3356" s="8"/>
      <c r="F3356" s="8"/>
      <c r="G3356" s="8"/>
    </row>
    <row r="3357" spans="5:7" x14ac:dyDescent="0.15">
      <c r="E3357" s="8"/>
      <c r="F3357" s="8"/>
      <c r="G3357" s="8"/>
    </row>
    <row r="3358" spans="5:7" x14ac:dyDescent="0.15">
      <c r="E3358" s="8"/>
      <c r="F3358" s="8"/>
      <c r="G3358" s="8"/>
    </row>
    <row r="3359" spans="5:7" x14ac:dyDescent="0.15">
      <c r="E3359" s="8"/>
      <c r="F3359" s="8"/>
      <c r="G3359" s="8"/>
    </row>
    <row r="3360" spans="5:7" x14ac:dyDescent="0.15">
      <c r="E3360" s="8"/>
      <c r="F3360" s="8"/>
      <c r="G3360" s="8"/>
    </row>
    <row r="3361" spans="5:7" x14ac:dyDescent="0.15">
      <c r="E3361" s="8"/>
      <c r="F3361" s="8"/>
      <c r="G3361" s="8"/>
    </row>
    <row r="3362" spans="5:7" x14ac:dyDescent="0.15">
      <c r="E3362" s="8"/>
      <c r="F3362" s="8"/>
      <c r="G3362" s="8"/>
    </row>
    <row r="3363" spans="5:7" x14ac:dyDescent="0.15">
      <c r="E3363" s="8"/>
      <c r="F3363" s="8"/>
      <c r="G3363" s="8"/>
    </row>
    <row r="3364" spans="5:7" x14ac:dyDescent="0.15">
      <c r="E3364" s="8"/>
      <c r="F3364" s="8"/>
      <c r="G3364" s="8"/>
    </row>
    <row r="3365" spans="5:7" x14ac:dyDescent="0.15">
      <c r="E3365" s="8"/>
      <c r="F3365" s="8"/>
      <c r="G3365" s="8"/>
    </row>
    <row r="3366" spans="5:7" x14ac:dyDescent="0.15">
      <c r="E3366" s="8"/>
      <c r="F3366" s="8"/>
      <c r="G3366" s="8"/>
    </row>
    <row r="3367" spans="5:7" x14ac:dyDescent="0.15">
      <c r="E3367" s="8"/>
      <c r="F3367" s="8"/>
      <c r="G3367" s="8"/>
    </row>
    <row r="3368" spans="5:7" x14ac:dyDescent="0.15">
      <c r="E3368" s="8"/>
      <c r="F3368" s="8"/>
      <c r="G3368" s="8"/>
    </row>
    <row r="3369" spans="5:7" x14ac:dyDescent="0.15">
      <c r="E3369" s="8"/>
      <c r="F3369" s="8"/>
      <c r="G3369" s="8"/>
    </row>
    <row r="3370" spans="5:7" x14ac:dyDescent="0.15">
      <c r="E3370" s="8"/>
      <c r="F3370" s="8"/>
      <c r="G3370" s="8"/>
    </row>
    <row r="3371" spans="5:7" x14ac:dyDescent="0.15">
      <c r="E3371" s="8"/>
      <c r="F3371" s="8"/>
      <c r="G3371" s="8"/>
    </row>
    <row r="3372" spans="5:7" x14ac:dyDescent="0.15">
      <c r="E3372" s="8"/>
      <c r="F3372" s="8"/>
      <c r="G3372" s="8"/>
    </row>
    <row r="3373" spans="5:7" x14ac:dyDescent="0.15">
      <c r="E3373" s="8"/>
      <c r="F3373" s="8"/>
      <c r="G3373" s="8"/>
    </row>
    <row r="3374" spans="5:7" x14ac:dyDescent="0.15">
      <c r="E3374" s="8"/>
      <c r="F3374" s="8"/>
      <c r="G3374" s="8"/>
    </row>
    <row r="3375" spans="5:7" x14ac:dyDescent="0.15">
      <c r="E3375" s="8"/>
      <c r="F3375" s="8"/>
      <c r="G3375" s="8"/>
    </row>
    <row r="3376" spans="5:7" x14ac:dyDescent="0.15">
      <c r="E3376" s="8"/>
      <c r="F3376" s="8"/>
      <c r="G3376" s="8"/>
    </row>
    <row r="3377" spans="5:7" x14ac:dyDescent="0.15">
      <c r="E3377" s="8"/>
      <c r="F3377" s="8"/>
      <c r="G3377" s="8"/>
    </row>
    <row r="3378" spans="5:7" x14ac:dyDescent="0.15">
      <c r="E3378" s="8"/>
      <c r="F3378" s="8"/>
      <c r="G3378" s="8"/>
    </row>
    <row r="3379" spans="5:7" x14ac:dyDescent="0.15">
      <c r="E3379" s="8"/>
      <c r="F3379" s="8"/>
      <c r="G3379" s="8"/>
    </row>
    <row r="3380" spans="5:7" x14ac:dyDescent="0.15">
      <c r="E3380" s="8"/>
      <c r="F3380" s="8"/>
      <c r="G3380" s="8"/>
    </row>
    <row r="3381" spans="5:7" x14ac:dyDescent="0.15">
      <c r="E3381" s="8"/>
      <c r="F3381" s="8"/>
      <c r="G3381" s="8"/>
    </row>
    <row r="3382" spans="5:7" x14ac:dyDescent="0.15">
      <c r="E3382" s="8"/>
      <c r="F3382" s="8"/>
      <c r="G3382" s="8"/>
    </row>
    <row r="3383" spans="5:7" x14ac:dyDescent="0.15">
      <c r="E3383" s="8"/>
      <c r="F3383" s="8"/>
      <c r="G3383" s="8"/>
    </row>
    <row r="3384" spans="5:7" x14ac:dyDescent="0.15">
      <c r="E3384" s="8"/>
      <c r="F3384" s="8"/>
      <c r="G3384" s="8"/>
    </row>
    <row r="3385" spans="5:7" x14ac:dyDescent="0.15">
      <c r="E3385" s="8"/>
      <c r="F3385" s="8"/>
      <c r="G3385" s="8"/>
    </row>
    <row r="3386" spans="5:7" x14ac:dyDescent="0.15">
      <c r="E3386" s="8"/>
      <c r="F3386" s="8"/>
      <c r="G3386" s="8"/>
    </row>
    <row r="3387" spans="5:7" x14ac:dyDescent="0.15">
      <c r="E3387" s="8"/>
      <c r="F3387" s="8"/>
      <c r="G3387" s="8"/>
    </row>
    <row r="3388" spans="5:7" x14ac:dyDescent="0.15">
      <c r="E3388" s="8"/>
      <c r="F3388" s="8"/>
      <c r="G3388" s="8"/>
    </row>
    <row r="3389" spans="5:7" x14ac:dyDescent="0.15">
      <c r="E3389" s="8"/>
      <c r="F3389" s="8"/>
      <c r="G3389" s="8"/>
    </row>
    <row r="3390" spans="5:7" x14ac:dyDescent="0.15">
      <c r="E3390" s="8"/>
      <c r="F3390" s="8"/>
      <c r="G3390" s="8"/>
    </row>
    <row r="3391" spans="5:7" x14ac:dyDescent="0.15">
      <c r="E3391" s="8"/>
      <c r="F3391" s="8"/>
      <c r="G3391" s="8"/>
    </row>
    <row r="3392" spans="5:7" x14ac:dyDescent="0.15">
      <c r="E3392" s="8"/>
      <c r="F3392" s="8"/>
      <c r="G3392" s="8"/>
    </row>
    <row r="3393" spans="5:7" x14ac:dyDescent="0.15">
      <c r="E3393" s="8"/>
      <c r="F3393" s="8"/>
      <c r="G3393" s="8"/>
    </row>
    <row r="3394" spans="5:7" x14ac:dyDescent="0.15">
      <c r="E3394" s="8"/>
      <c r="F3394" s="8"/>
      <c r="G3394" s="8"/>
    </row>
    <row r="3395" spans="5:7" x14ac:dyDescent="0.15">
      <c r="E3395" s="8"/>
      <c r="F3395" s="8"/>
      <c r="G3395" s="8"/>
    </row>
    <row r="3396" spans="5:7" x14ac:dyDescent="0.15">
      <c r="E3396" s="8"/>
      <c r="F3396" s="8"/>
      <c r="G3396" s="8"/>
    </row>
    <row r="3397" spans="5:7" x14ac:dyDescent="0.15">
      <c r="E3397" s="8"/>
      <c r="F3397" s="8"/>
      <c r="G3397" s="8"/>
    </row>
    <row r="3398" spans="5:7" x14ac:dyDescent="0.15">
      <c r="E3398" s="8"/>
      <c r="F3398" s="8"/>
      <c r="G3398" s="8"/>
    </row>
    <row r="3399" spans="5:7" x14ac:dyDescent="0.15">
      <c r="E3399" s="8"/>
      <c r="F3399" s="8"/>
      <c r="G3399" s="8"/>
    </row>
    <row r="3400" spans="5:7" x14ac:dyDescent="0.15">
      <c r="E3400" s="8"/>
      <c r="F3400" s="8"/>
      <c r="G3400" s="8"/>
    </row>
    <row r="3401" spans="5:7" x14ac:dyDescent="0.15">
      <c r="E3401" s="8"/>
      <c r="F3401" s="8"/>
      <c r="G3401" s="8"/>
    </row>
    <row r="3402" spans="5:7" x14ac:dyDescent="0.15">
      <c r="E3402" s="8"/>
      <c r="F3402" s="8"/>
      <c r="G3402" s="8"/>
    </row>
    <row r="3403" spans="5:7" x14ac:dyDescent="0.15">
      <c r="E3403" s="8"/>
      <c r="F3403" s="8"/>
      <c r="G3403" s="8"/>
    </row>
    <row r="3404" spans="5:7" x14ac:dyDescent="0.15">
      <c r="E3404" s="8"/>
      <c r="F3404" s="8"/>
      <c r="G3404" s="8"/>
    </row>
    <row r="3405" spans="5:7" x14ac:dyDescent="0.15">
      <c r="E3405" s="8"/>
      <c r="F3405" s="8"/>
      <c r="G3405" s="8"/>
    </row>
    <row r="3406" spans="5:7" x14ac:dyDescent="0.15">
      <c r="E3406" s="8"/>
      <c r="F3406" s="8"/>
      <c r="G3406" s="8"/>
    </row>
    <row r="3407" spans="5:7" x14ac:dyDescent="0.15">
      <c r="E3407" s="8"/>
      <c r="F3407" s="8"/>
      <c r="G3407" s="8"/>
    </row>
    <row r="3408" spans="5:7" x14ac:dyDescent="0.15">
      <c r="E3408" s="8"/>
      <c r="F3408" s="8"/>
      <c r="G3408" s="8"/>
    </row>
    <row r="3409" spans="5:7" x14ac:dyDescent="0.15">
      <c r="E3409" s="8"/>
      <c r="F3409" s="8"/>
      <c r="G3409" s="8"/>
    </row>
    <row r="3410" spans="5:7" x14ac:dyDescent="0.15">
      <c r="E3410" s="8"/>
      <c r="F3410" s="8"/>
      <c r="G3410" s="8"/>
    </row>
    <row r="3411" spans="5:7" x14ac:dyDescent="0.15">
      <c r="E3411" s="8"/>
      <c r="F3411" s="8"/>
      <c r="G3411" s="8"/>
    </row>
    <row r="3412" spans="5:7" x14ac:dyDescent="0.15">
      <c r="E3412" s="8"/>
      <c r="F3412" s="8"/>
      <c r="G3412" s="8"/>
    </row>
    <row r="3413" spans="5:7" x14ac:dyDescent="0.15">
      <c r="E3413" s="8"/>
      <c r="F3413" s="8"/>
      <c r="G3413" s="8"/>
    </row>
    <row r="3414" spans="5:7" x14ac:dyDescent="0.15">
      <c r="E3414" s="8"/>
      <c r="F3414" s="8"/>
      <c r="G3414" s="8"/>
    </row>
    <row r="3415" spans="5:7" x14ac:dyDescent="0.15">
      <c r="E3415" s="8"/>
      <c r="F3415" s="8"/>
      <c r="G3415" s="8"/>
    </row>
    <row r="3416" spans="5:7" x14ac:dyDescent="0.15">
      <c r="E3416" s="8"/>
      <c r="F3416" s="8"/>
      <c r="G3416" s="8"/>
    </row>
    <row r="3417" spans="5:7" x14ac:dyDescent="0.15">
      <c r="E3417" s="8"/>
      <c r="F3417" s="8"/>
      <c r="G3417" s="8"/>
    </row>
    <row r="3418" spans="5:7" x14ac:dyDescent="0.15">
      <c r="E3418" s="8"/>
      <c r="F3418" s="8"/>
      <c r="G3418" s="8"/>
    </row>
    <row r="3419" spans="5:7" x14ac:dyDescent="0.15">
      <c r="E3419" s="8"/>
      <c r="F3419" s="8"/>
      <c r="G3419" s="8"/>
    </row>
    <row r="3420" spans="5:7" x14ac:dyDescent="0.15">
      <c r="E3420" s="8"/>
      <c r="F3420" s="8"/>
      <c r="G3420" s="8"/>
    </row>
    <row r="3421" spans="5:7" x14ac:dyDescent="0.15">
      <c r="E3421" s="8"/>
      <c r="F3421" s="8"/>
      <c r="G3421" s="8"/>
    </row>
    <row r="3422" spans="5:7" x14ac:dyDescent="0.15">
      <c r="E3422" s="8"/>
      <c r="F3422" s="8"/>
      <c r="G3422" s="8"/>
    </row>
    <row r="3423" spans="5:7" x14ac:dyDescent="0.15">
      <c r="E3423" s="8"/>
      <c r="F3423" s="8"/>
      <c r="G3423" s="8"/>
    </row>
    <row r="3424" spans="5:7" x14ac:dyDescent="0.15">
      <c r="E3424" s="8"/>
      <c r="F3424" s="8"/>
      <c r="G3424" s="8"/>
    </row>
    <row r="3425" spans="5:7" x14ac:dyDescent="0.15">
      <c r="E3425" s="8"/>
      <c r="F3425" s="8"/>
      <c r="G3425" s="8"/>
    </row>
    <row r="3426" spans="5:7" x14ac:dyDescent="0.15">
      <c r="E3426" s="8"/>
      <c r="F3426" s="8"/>
      <c r="G3426" s="8"/>
    </row>
    <row r="3427" spans="5:7" x14ac:dyDescent="0.15">
      <c r="E3427" s="8"/>
      <c r="F3427" s="8"/>
      <c r="G3427" s="8"/>
    </row>
    <row r="3428" spans="5:7" x14ac:dyDescent="0.15">
      <c r="E3428" s="8"/>
      <c r="F3428" s="8"/>
      <c r="G3428" s="8"/>
    </row>
    <row r="3429" spans="5:7" x14ac:dyDescent="0.15">
      <c r="E3429" s="8"/>
      <c r="F3429" s="8"/>
      <c r="G3429" s="8"/>
    </row>
    <row r="3430" spans="5:7" x14ac:dyDescent="0.15">
      <c r="E3430" s="8"/>
      <c r="F3430" s="8"/>
      <c r="G3430" s="8"/>
    </row>
    <row r="3431" spans="5:7" x14ac:dyDescent="0.15">
      <c r="E3431" s="8"/>
      <c r="F3431" s="8"/>
      <c r="G3431" s="8"/>
    </row>
    <row r="3432" spans="5:7" x14ac:dyDescent="0.15">
      <c r="E3432" s="8"/>
      <c r="F3432" s="8"/>
      <c r="G3432" s="8"/>
    </row>
    <row r="3433" spans="5:7" x14ac:dyDescent="0.15">
      <c r="E3433" s="8"/>
      <c r="F3433" s="8"/>
      <c r="G3433" s="8"/>
    </row>
    <row r="3434" spans="5:7" x14ac:dyDescent="0.15">
      <c r="E3434" s="8"/>
      <c r="F3434" s="8"/>
      <c r="G3434" s="8"/>
    </row>
    <row r="3435" spans="5:7" x14ac:dyDescent="0.15">
      <c r="E3435" s="8"/>
      <c r="F3435" s="8"/>
      <c r="G3435" s="8"/>
    </row>
    <row r="3436" spans="5:7" x14ac:dyDescent="0.15">
      <c r="E3436" s="8"/>
      <c r="F3436" s="8"/>
      <c r="G3436" s="8"/>
    </row>
    <row r="3437" spans="5:7" x14ac:dyDescent="0.15">
      <c r="E3437" s="8"/>
      <c r="F3437" s="8"/>
      <c r="G3437" s="8"/>
    </row>
    <row r="3438" spans="5:7" x14ac:dyDescent="0.15">
      <c r="E3438" s="8"/>
      <c r="F3438" s="8"/>
      <c r="G3438" s="8"/>
    </row>
    <row r="3439" spans="5:7" x14ac:dyDescent="0.15">
      <c r="E3439" s="8"/>
      <c r="F3439" s="8"/>
      <c r="G3439" s="8"/>
    </row>
    <row r="3440" spans="5:7" x14ac:dyDescent="0.15">
      <c r="E3440" s="8"/>
      <c r="F3440" s="8"/>
      <c r="G3440" s="8"/>
    </row>
    <row r="3441" spans="5:7" x14ac:dyDescent="0.15">
      <c r="E3441" s="8"/>
      <c r="F3441" s="8"/>
      <c r="G3441" s="8"/>
    </row>
    <row r="3442" spans="5:7" x14ac:dyDescent="0.15">
      <c r="E3442" s="8"/>
      <c r="F3442" s="8"/>
      <c r="G3442" s="8"/>
    </row>
    <row r="3443" spans="5:7" x14ac:dyDescent="0.15">
      <c r="E3443" s="8"/>
      <c r="F3443" s="8"/>
      <c r="G3443" s="8"/>
    </row>
    <row r="3444" spans="5:7" x14ac:dyDescent="0.15">
      <c r="E3444" s="8"/>
      <c r="F3444" s="8"/>
      <c r="G3444" s="8"/>
    </row>
    <row r="3445" spans="5:7" x14ac:dyDescent="0.15">
      <c r="E3445" s="8"/>
      <c r="F3445" s="8"/>
      <c r="G3445" s="8"/>
    </row>
    <row r="3446" spans="5:7" x14ac:dyDescent="0.15">
      <c r="E3446" s="8"/>
      <c r="F3446" s="8"/>
      <c r="G3446" s="8"/>
    </row>
    <row r="3447" spans="5:7" x14ac:dyDescent="0.15">
      <c r="E3447" s="8"/>
      <c r="F3447" s="8"/>
      <c r="G3447" s="8"/>
    </row>
    <row r="3448" spans="5:7" x14ac:dyDescent="0.15">
      <c r="E3448" s="8"/>
      <c r="F3448" s="8"/>
      <c r="G3448" s="8"/>
    </row>
    <row r="3449" spans="5:7" x14ac:dyDescent="0.15">
      <c r="E3449" s="8"/>
      <c r="F3449" s="8"/>
      <c r="G3449" s="8"/>
    </row>
    <row r="3450" spans="5:7" x14ac:dyDescent="0.15">
      <c r="E3450" s="8"/>
      <c r="F3450" s="8"/>
      <c r="G3450" s="8"/>
    </row>
    <row r="3451" spans="5:7" x14ac:dyDescent="0.15">
      <c r="E3451" s="8"/>
      <c r="F3451" s="8"/>
      <c r="G3451" s="8"/>
    </row>
    <row r="3452" spans="5:7" x14ac:dyDescent="0.15">
      <c r="E3452" s="8"/>
      <c r="F3452" s="8"/>
      <c r="G3452" s="8"/>
    </row>
    <row r="3453" spans="5:7" x14ac:dyDescent="0.15">
      <c r="E3453" s="8"/>
      <c r="F3453" s="8"/>
      <c r="G3453" s="8"/>
    </row>
    <row r="3454" spans="5:7" x14ac:dyDescent="0.15">
      <c r="E3454" s="8"/>
      <c r="F3454" s="8"/>
      <c r="G3454" s="8"/>
    </row>
    <row r="3455" spans="5:7" x14ac:dyDescent="0.15">
      <c r="E3455" s="8"/>
      <c r="F3455" s="8"/>
      <c r="G3455" s="8"/>
    </row>
    <row r="3456" spans="5:7" x14ac:dyDescent="0.15">
      <c r="E3456" s="8"/>
      <c r="F3456" s="8"/>
      <c r="G3456" s="8"/>
    </row>
    <row r="3457" spans="5:7" x14ac:dyDescent="0.15">
      <c r="E3457" s="8"/>
      <c r="F3457" s="8"/>
      <c r="G3457" s="8"/>
    </row>
    <row r="3458" spans="5:7" x14ac:dyDescent="0.15">
      <c r="E3458" s="8"/>
      <c r="F3458" s="8"/>
      <c r="G3458" s="8"/>
    </row>
    <row r="3459" spans="5:7" x14ac:dyDescent="0.15">
      <c r="E3459" s="8"/>
      <c r="F3459" s="8"/>
      <c r="G3459" s="8"/>
    </row>
    <row r="3460" spans="5:7" x14ac:dyDescent="0.15">
      <c r="E3460" s="8"/>
      <c r="F3460" s="8"/>
      <c r="G3460" s="8"/>
    </row>
    <row r="3461" spans="5:7" x14ac:dyDescent="0.15">
      <c r="E3461" s="8"/>
      <c r="F3461" s="8"/>
      <c r="G3461" s="8"/>
    </row>
    <row r="3462" spans="5:7" x14ac:dyDescent="0.15">
      <c r="E3462" s="8"/>
      <c r="F3462" s="8"/>
      <c r="G3462" s="8"/>
    </row>
    <row r="3463" spans="5:7" x14ac:dyDescent="0.15">
      <c r="E3463" s="8"/>
      <c r="F3463" s="8"/>
      <c r="G3463" s="8"/>
    </row>
    <row r="3464" spans="5:7" x14ac:dyDescent="0.15">
      <c r="E3464" s="8"/>
      <c r="F3464" s="8"/>
      <c r="G3464" s="8"/>
    </row>
    <row r="3465" spans="5:7" x14ac:dyDescent="0.15">
      <c r="E3465" s="8"/>
      <c r="F3465" s="8"/>
      <c r="G3465" s="8"/>
    </row>
    <row r="3466" spans="5:7" x14ac:dyDescent="0.15">
      <c r="E3466" s="8"/>
      <c r="F3466" s="8"/>
      <c r="G3466" s="8"/>
    </row>
    <row r="3467" spans="5:7" x14ac:dyDescent="0.15">
      <c r="E3467" s="8"/>
      <c r="F3467" s="8"/>
      <c r="G3467" s="8"/>
    </row>
    <row r="3468" spans="5:7" x14ac:dyDescent="0.15">
      <c r="E3468" s="8"/>
      <c r="F3468" s="8"/>
      <c r="G3468" s="8"/>
    </row>
    <row r="3469" spans="5:7" x14ac:dyDescent="0.15">
      <c r="E3469" s="8"/>
      <c r="F3469" s="8"/>
      <c r="G3469" s="8"/>
    </row>
    <row r="3470" spans="5:7" x14ac:dyDescent="0.15">
      <c r="E3470" s="8"/>
      <c r="F3470" s="8"/>
      <c r="G3470" s="8"/>
    </row>
    <row r="3471" spans="5:7" x14ac:dyDescent="0.15">
      <c r="E3471" s="8"/>
      <c r="F3471" s="8"/>
      <c r="G3471" s="8"/>
    </row>
    <row r="3472" spans="5:7" x14ac:dyDescent="0.15">
      <c r="E3472" s="8"/>
      <c r="F3472" s="8"/>
      <c r="G3472" s="8"/>
    </row>
    <row r="3473" spans="5:7" x14ac:dyDescent="0.15">
      <c r="E3473" s="8"/>
      <c r="F3473" s="8"/>
      <c r="G3473" s="8"/>
    </row>
    <row r="3474" spans="5:7" x14ac:dyDescent="0.15">
      <c r="E3474" s="8"/>
      <c r="F3474" s="8"/>
      <c r="G3474" s="8"/>
    </row>
    <row r="3475" spans="5:7" x14ac:dyDescent="0.15">
      <c r="E3475" s="8"/>
      <c r="F3475" s="8"/>
      <c r="G3475" s="8"/>
    </row>
    <row r="3476" spans="5:7" x14ac:dyDescent="0.15">
      <c r="E3476" s="8"/>
      <c r="F3476" s="8"/>
      <c r="G3476" s="8"/>
    </row>
    <row r="3477" spans="5:7" x14ac:dyDescent="0.15">
      <c r="E3477" s="8"/>
      <c r="F3477" s="8"/>
      <c r="G3477" s="8"/>
    </row>
    <row r="3478" spans="5:7" x14ac:dyDescent="0.15">
      <c r="E3478" s="8"/>
      <c r="F3478" s="8"/>
      <c r="G3478" s="8"/>
    </row>
    <row r="3479" spans="5:7" x14ac:dyDescent="0.15">
      <c r="E3479" s="8"/>
      <c r="F3479" s="8"/>
      <c r="G3479" s="8"/>
    </row>
    <row r="3480" spans="5:7" x14ac:dyDescent="0.15">
      <c r="E3480" s="8"/>
      <c r="F3480" s="8"/>
      <c r="G3480" s="8"/>
    </row>
    <row r="3481" spans="5:7" x14ac:dyDescent="0.15">
      <c r="E3481" s="8"/>
      <c r="F3481" s="8"/>
      <c r="G3481" s="8"/>
    </row>
    <row r="3482" spans="5:7" x14ac:dyDescent="0.15">
      <c r="E3482" s="8"/>
      <c r="F3482" s="8"/>
      <c r="G3482" s="8"/>
    </row>
    <row r="3483" spans="5:7" x14ac:dyDescent="0.15">
      <c r="E3483" s="8"/>
      <c r="F3483" s="8"/>
      <c r="G3483" s="8"/>
    </row>
    <row r="3484" spans="5:7" x14ac:dyDescent="0.15">
      <c r="E3484" s="8"/>
      <c r="F3484" s="8"/>
      <c r="G3484" s="8"/>
    </row>
    <row r="3485" spans="5:7" x14ac:dyDescent="0.15">
      <c r="E3485" s="8"/>
      <c r="F3485" s="8"/>
      <c r="G3485" s="8"/>
    </row>
    <row r="3486" spans="5:7" x14ac:dyDescent="0.15">
      <c r="E3486" s="8"/>
      <c r="F3486" s="8"/>
      <c r="G3486" s="8"/>
    </row>
    <row r="3487" spans="5:7" x14ac:dyDescent="0.15">
      <c r="E3487" s="8"/>
      <c r="F3487" s="8"/>
      <c r="G3487" s="8"/>
    </row>
    <row r="3488" spans="5:7" x14ac:dyDescent="0.15">
      <c r="E3488" s="8"/>
      <c r="F3488" s="8"/>
      <c r="G3488" s="8"/>
    </row>
    <row r="3489" spans="5:7" x14ac:dyDescent="0.15">
      <c r="E3489" s="8"/>
      <c r="F3489" s="8"/>
      <c r="G3489" s="8"/>
    </row>
    <row r="3490" spans="5:7" x14ac:dyDescent="0.15">
      <c r="E3490" s="8"/>
      <c r="F3490" s="8"/>
      <c r="G3490" s="8"/>
    </row>
    <row r="3491" spans="5:7" x14ac:dyDescent="0.15">
      <c r="E3491" s="8"/>
      <c r="F3491" s="8"/>
      <c r="G3491" s="8"/>
    </row>
    <row r="3492" spans="5:7" x14ac:dyDescent="0.15">
      <c r="E3492" s="8"/>
      <c r="F3492" s="8"/>
      <c r="G3492" s="8"/>
    </row>
    <row r="3493" spans="5:7" x14ac:dyDescent="0.15">
      <c r="E3493" s="8"/>
      <c r="F3493" s="8"/>
      <c r="G3493" s="8"/>
    </row>
    <row r="3494" spans="5:7" x14ac:dyDescent="0.15">
      <c r="E3494" s="8"/>
      <c r="F3494" s="8"/>
      <c r="G3494" s="8"/>
    </row>
    <row r="3495" spans="5:7" x14ac:dyDescent="0.15">
      <c r="E3495" s="8"/>
      <c r="F3495" s="8"/>
      <c r="G3495" s="8"/>
    </row>
    <row r="3496" spans="5:7" x14ac:dyDescent="0.15">
      <c r="E3496" s="8"/>
      <c r="F3496" s="8"/>
      <c r="G3496" s="8"/>
    </row>
    <row r="3497" spans="5:7" x14ac:dyDescent="0.15">
      <c r="E3497" s="8"/>
      <c r="F3497" s="8"/>
      <c r="G3497" s="8"/>
    </row>
    <row r="3498" spans="5:7" x14ac:dyDescent="0.15">
      <c r="E3498" s="8"/>
      <c r="F3498" s="8"/>
      <c r="G3498" s="8"/>
    </row>
    <row r="3499" spans="5:7" x14ac:dyDescent="0.15">
      <c r="E3499" s="8"/>
      <c r="F3499" s="8"/>
      <c r="G3499" s="8"/>
    </row>
    <row r="3500" spans="5:7" x14ac:dyDescent="0.15">
      <c r="E3500" s="8"/>
      <c r="F3500" s="8"/>
      <c r="G3500" s="8"/>
    </row>
    <row r="3501" spans="5:7" x14ac:dyDescent="0.15">
      <c r="E3501" s="8"/>
      <c r="F3501" s="8"/>
      <c r="G3501" s="8"/>
    </row>
    <row r="3502" spans="5:7" x14ac:dyDescent="0.15">
      <c r="E3502" s="8"/>
      <c r="F3502" s="8"/>
      <c r="G3502" s="8"/>
    </row>
    <row r="3503" spans="5:7" x14ac:dyDescent="0.15">
      <c r="E3503" s="8"/>
      <c r="F3503" s="8"/>
      <c r="G3503" s="8"/>
    </row>
    <row r="3504" spans="5:7" x14ac:dyDescent="0.15">
      <c r="E3504" s="8"/>
      <c r="F3504" s="8"/>
      <c r="G3504" s="8"/>
    </row>
    <row r="3505" spans="5:7" x14ac:dyDescent="0.15">
      <c r="E3505" s="8"/>
      <c r="F3505" s="8"/>
      <c r="G3505" s="8"/>
    </row>
    <row r="3506" spans="5:7" x14ac:dyDescent="0.15">
      <c r="E3506" s="8"/>
      <c r="F3506" s="8"/>
      <c r="G3506" s="8"/>
    </row>
    <row r="3507" spans="5:7" x14ac:dyDescent="0.15">
      <c r="E3507" s="8"/>
      <c r="F3507" s="8"/>
      <c r="G3507" s="8"/>
    </row>
    <row r="3508" spans="5:7" x14ac:dyDescent="0.15">
      <c r="E3508" s="8"/>
      <c r="F3508" s="8"/>
      <c r="G3508" s="8"/>
    </row>
    <row r="3509" spans="5:7" x14ac:dyDescent="0.15">
      <c r="E3509" s="8"/>
      <c r="F3509" s="8"/>
      <c r="G3509" s="8"/>
    </row>
    <row r="3510" spans="5:7" x14ac:dyDescent="0.15">
      <c r="E3510" s="8"/>
      <c r="F3510" s="8"/>
      <c r="G3510" s="8"/>
    </row>
    <row r="3511" spans="5:7" x14ac:dyDescent="0.15">
      <c r="E3511" s="8"/>
      <c r="F3511" s="8"/>
      <c r="G3511" s="8"/>
    </row>
    <row r="3512" spans="5:7" x14ac:dyDescent="0.15">
      <c r="E3512" s="8"/>
      <c r="F3512" s="8"/>
      <c r="G3512" s="8"/>
    </row>
    <row r="3513" spans="5:7" x14ac:dyDescent="0.15">
      <c r="E3513" s="8"/>
      <c r="F3513" s="8"/>
      <c r="G3513" s="8"/>
    </row>
    <row r="3514" spans="5:7" x14ac:dyDescent="0.15">
      <c r="E3514" s="8"/>
      <c r="F3514" s="8"/>
      <c r="G3514" s="8"/>
    </row>
    <row r="3515" spans="5:7" x14ac:dyDescent="0.15">
      <c r="E3515" s="8"/>
      <c r="F3515" s="8"/>
      <c r="G3515" s="8"/>
    </row>
    <row r="3516" spans="5:7" x14ac:dyDescent="0.15">
      <c r="E3516" s="8"/>
      <c r="F3516" s="8"/>
      <c r="G3516" s="8"/>
    </row>
    <row r="3517" spans="5:7" x14ac:dyDescent="0.15">
      <c r="E3517" s="8"/>
      <c r="F3517" s="8"/>
      <c r="G3517" s="8"/>
    </row>
    <row r="3518" spans="5:7" x14ac:dyDescent="0.15">
      <c r="E3518" s="8"/>
      <c r="F3518" s="8"/>
      <c r="G3518" s="8"/>
    </row>
    <row r="3519" spans="5:7" x14ac:dyDescent="0.15">
      <c r="E3519" s="8"/>
      <c r="F3519" s="8"/>
      <c r="G3519" s="8"/>
    </row>
    <row r="3520" spans="5:7" x14ac:dyDescent="0.15">
      <c r="E3520" s="8"/>
      <c r="F3520" s="8"/>
      <c r="G3520" s="8"/>
    </row>
    <row r="3521" spans="5:7" x14ac:dyDescent="0.15">
      <c r="E3521" s="8"/>
      <c r="F3521" s="8"/>
      <c r="G3521" s="8"/>
    </row>
    <row r="3522" spans="5:7" x14ac:dyDescent="0.15">
      <c r="E3522" s="8"/>
      <c r="F3522" s="8"/>
      <c r="G3522" s="8"/>
    </row>
    <row r="3523" spans="5:7" x14ac:dyDescent="0.15">
      <c r="E3523" s="8"/>
      <c r="F3523" s="8"/>
      <c r="G3523" s="8"/>
    </row>
    <row r="3524" spans="5:7" x14ac:dyDescent="0.15">
      <c r="E3524" s="8"/>
      <c r="F3524" s="8"/>
      <c r="G3524" s="8"/>
    </row>
    <row r="3525" spans="5:7" x14ac:dyDescent="0.15">
      <c r="E3525" s="8"/>
      <c r="F3525" s="8"/>
      <c r="G3525" s="8"/>
    </row>
    <row r="3526" spans="5:7" x14ac:dyDescent="0.15">
      <c r="E3526" s="8"/>
      <c r="F3526" s="8"/>
      <c r="G3526" s="8"/>
    </row>
    <row r="3527" spans="5:7" x14ac:dyDescent="0.15">
      <c r="E3527" s="8"/>
      <c r="F3527" s="8"/>
      <c r="G3527" s="8"/>
    </row>
    <row r="3528" spans="5:7" x14ac:dyDescent="0.15">
      <c r="E3528" s="8"/>
      <c r="F3528" s="8"/>
      <c r="G3528" s="8"/>
    </row>
    <row r="3529" spans="5:7" x14ac:dyDescent="0.15">
      <c r="E3529" s="8"/>
      <c r="F3529" s="8"/>
      <c r="G3529" s="8"/>
    </row>
    <row r="3530" spans="5:7" x14ac:dyDescent="0.15">
      <c r="E3530" s="8"/>
      <c r="F3530" s="8"/>
      <c r="G3530" s="8"/>
    </row>
    <row r="3531" spans="5:7" x14ac:dyDescent="0.15">
      <c r="E3531" s="8"/>
      <c r="F3531" s="8"/>
      <c r="G3531" s="8"/>
    </row>
    <row r="3532" spans="5:7" x14ac:dyDescent="0.15">
      <c r="E3532" s="8"/>
      <c r="F3532" s="8"/>
      <c r="G3532" s="8"/>
    </row>
    <row r="3533" spans="5:7" x14ac:dyDescent="0.15">
      <c r="E3533" s="8"/>
      <c r="F3533" s="8"/>
      <c r="G3533" s="8"/>
    </row>
    <row r="3534" spans="5:7" x14ac:dyDescent="0.15">
      <c r="E3534" s="8"/>
      <c r="F3534" s="8"/>
      <c r="G3534" s="8"/>
    </row>
    <row r="3535" spans="5:7" x14ac:dyDescent="0.15">
      <c r="E3535" s="8"/>
      <c r="F3535" s="8"/>
      <c r="G3535" s="8"/>
    </row>
    <row r="3536" spans="5:7" x14ac:dyDescent="0.15">
      <c r="E3536" s="8"/>
      <c r="F3536" s="8"/>
      <c r="G3536" s="8"/>
    </row>
    <row r="3537" spans="5:7" x14ac:dyDescent="0.15">
      <c r="E3537" s="8"/>
      <c r="F3537" s="8"/>
      <c r="G3537" s="8"/>
    </row>
    <row r="3538" spans="5:7" x14ac:dyDescent="0.15">
      <c r="E3538" s="8"/>
      <c r="F3538" s="8"/>
      <c r="G3538" s="8"/>
    </row>
    <row r="3539" spans="5:7" x14ac:dyDescent="0.15">
      <c r="E3539" s="8"/>
      <c r="F3539" s="8"/>
      <c r="G3539" s="8"/>
    </row>
    <row r="3540" spans="5:7" x14ac:dyDescent="0.15">
      <c r="E3540" s="8"/>
      <c r="F3540" s="8"/>
      <c r="G3540" s="8"/>
    </row>
    <row r="3541" spans="5:7" x14ac:dyDescent="0.15">
      <c r="E3541" s="8"/>
      <c r="F3541" s="8"/>
      <c r="G3541" s="8"/>
    </row>
    <row r="3542" spans="5:7" x14ac:dyDescent="0.15">
      <c r="E3542" s="8"/>
      <c r="F3542" s="8"/>
      <c r="G3542" s="8"/>
    </row>
    <row r="3543" spans="5:7" x14ac:dyDescent="0.15">
      <c r="E3543" s="8"/>
      <c r="F3543" s="8"/>
      <c r="G3543" s="8"/>
    </row>
    <row r="3544" spans="5:7" x14ac:dyDescent="0.15">
      <c r="E3544" s="8"/>
      <c r="F3544" s="8"/>
      <c r="G3544" s="8"/>
    </row>
    <row r="3545" spans="5:7" x14ac:dyDescent="0.15">
      <c r="E3545" s="8"/>
      <c r="F3545" s="8"/>
      <c r="G3545" s="8"/>
    </row>
    <row r="3546" spans="5:7" x14ac:dyDescent="0.15">
      <c r="E3546" s="8"/>
      <c r="F3546" s="8"/>
      <c r="G3546" s="8"/>
    </row>
    <row r="3547" spans="5:7" x14ac:dyDescent="0.15">
      <c r="E3547" s="8"/>
      <c r="F3547" s="8"/>
      <c r="G3547" s="8"/>
    </row>
    <row r="3548" spans="5:7" x14ac:dyDescent="0.15">
      <c r="E3548" s="8"/>
      <c r="F3548" s="8"/>
      <c r="G3548" s="8"/>
    </row>
    <row r="3549" spans="5:7" x14ac:dyDescent="0.15">
      <c r="E3549" s="8"/>
      <c r="F3549" s="8"/>
      <c r="G3549" s="8"/>
    </row>
    <row r="3550" spans="5:7" x14ac:dyDescent="0.15">
      <c r="E3550" s="8"/>
      <c r="F3550" s="8"/>
      <c r="G3550" s="8"/>
    </row>
    <row r="3551" spans="5:7" x14ac:dyDescent="0.15">
      <c r="E3551" s="8"/>
      <c r="F3551" s="8"/>
      <c r="G3551" s="8"/>
    </row>
    <row r="3552" spans="5:7" x14ac:dyDescent="0.15">
      <c r="E3552" s="8"/>
      <c r="F3552" s="8"/>
      <c r="G3552" s="8"/>
    </row>
    <row r="3553" spans="5:7" x14ac:dyDescent="0.15">
      <c r="E3553" s="8"/>
      <c r="F3553" s="8"/>
      <c r="G3553" s="8"/>
    </row>
    <row r="3554" spans="5:7" x14ac:dyDescent="0.15">
      <c r="E3554" s="8"/>
      <c r="F3554" s="8"/>
      <c r="G3554" s="8"/>
    </row>
    <row r="3555" spans="5:7" x14ac:dyDescent="0.15">
      <c r="E3555" s="8"/>
      <c r="F3555" s="8"/>
      <c r="G3555" s="8"/>
    </row>
    <row r="3556" spans="5:7" x14ac:dyDescent="0.15">
      <c r="E3556" s="8"/>
      <c r="F3556" s="8"/>
      <c r="G3556" s="8"/>
    </row>
    <row r="3557" spans="5:7" x14ac:dyDescent="0.15">
      <c r="E3557" s="8"/>
      <c r="F3557" s="8"/>
      <c r="G3557" s="8"/>
    </row>
    <row r="3558" spans="5:7" x14ac:dyDescent="0.15">
      <c r="E3558" s="8"/>
      <c r="F3558" s="8"/>
      <c r="G3558" s="8"/>
    </row>
    <row r="3559" spans="5:7" x14ac:dyDescent="0.15">
      <c r="E3559" s="8"/>
      <c r="F3559" s="8"/>
      <c r="G3559" s="8"/>
    </row>
    <row r="3560" spans="5:7" x14ac:dyDescent="0.15">
      <c r="E3560" s="8"/>
      <c r="F3560" s="8"/>
      <c r="G3560" s="8"/>
    </row>
    <row r="3561" spans="5:7" x14ac:dyDescent="0.15">
      <c r="E3561" s="8"/>
      <c r="F3561" s="8"/>
      <c r="G3561" s="8"/>
    </row>
    <row r="3562" spans="5:7" x14ac:dyDescent="0.15">
      <c r="E3562" s="8"/>
      <c r="F3562" s="8"/>
      <c r="G3562" s="8"/>
    </row>
    <row r="3563" spans="5:7" x14ac:dyDescent="0.15">
      <c r="E3563" s="8"/>
      <c r="F3563" s="8"/>
      <c r="G3563" s="8"/>
    </row>
    <row r="3564" spans="5:7" x14ac:dyDescent="0.15">
      <c r="E3564" s="8"/>
      <c r="F3564" s="8"/>
      <c r="G3564" s="8"/>
    </row>
    <row r="3565" spans="5:7" x14ac:dyDescent="0.15">
      <c r="E3565" s="8"/>
      <c r="F3565" s="8"/>
      <c r="G3565" s="8"/>
    </row>
    <row r="3566" spans="5:7" x14ac:dyDescent="0.15">
      <c r="E3566" s="8"/>
      <c r="F3566" s="8"/>
      <c r="G3566" s="8"/>
    </row>
    <row r="3567" spans="5:7" x14ac:dyDescent="0.15">
      <c r="E3567" s="8"/>
      <c r="F3567" s="8"/>
      <c r="G3567" s="8"/>
    </row>
    <row r="3568" spans="5:7" x14ac:dyDescent="0.15">
      <c r="E3568" s="8"/>
      <c r="F3568" s="8"/>
      <c r="G3568" s="8"/>
    </row>
    <row r="3569" spans="5:7" x14ac:dyDescent="0.15">
      <c r="E3569" s="8"/>
      <c r="F3569" s="8"/>
      <c r="G3569" s="8"/>
    </row>
    <row r="3570" spans="5:7" x14ac:dyDescent="0.15">
      <c r="E3570" s="8"/>
      <c r="F3570" s="8"/>
      <c r="G3570" s="8"/>
    </row>
    <row r="3571" spans="5:7" x14ac:dyDescent="0.15">
      <c r="E3571" s="8"/>
      <c r="F3571" s="8"/>
      <c r="G3571" s="8"/>
    </row>
    <row r="3572" spans="5:7" x14ac:dyDescent="0.15">
      <c r="E3572" s="8"/>
      <c r="F3572" s="8"/>
      <c r="G3572" s="8"/>
    </row>
    <row r="3573" spans="5:7" x14ac:dyDescent="0.15">
      <c r="E3573" s="8"/>
      <c r="F3573" s="8"/>
      <c r="G3573" s="8"/>
    </row>
    <row r="3574" spans="5:7" x14ac:dyDescent="0.15">
      <c r="E3574" s="8"/>
      <c r="F3574" s="8"/>
      <c r="G3574" s="8"/>
    </row>
    <row r="3575" spans="5:7" x14ac:dyDescent="0.15">
      <c r="E3575" s="8"/>
      <c r="F3575" s="8"/>
      <c r="G3575" s="8"/>
    </row>
    <row r="3576" spans="5:7" x14ac:dyDescent="0.15">
      <c r="E3576" s="8"/>
      <c r="F3576" s="8"/>
      <c r="G3576" s="8"/>
    </row>
    <row r="3577" spans="5:7" x14ac:dyDescent="0.15">
      <c r="E3577" s="8"/>
      <c r="F3577" s="8"/>
      <c r="G3577" s="8"/>
    </row>
    <row r="3578" spans="5:7" x14ac:dyDescent="0.15">
      <c r="E3578" s="8"/>
      <c r="F3578" s="8"/>
      <c r="G3578" s="8"/>
    </row>
    <row r="3579" spans="5:7" x14ac:dyDescent="0.15">
      <c r="E3579" s="8"/>
      <c r="F3579" s="8"/>
      <c r="G3579" s="8"/>
    </row>
    <row r="3580" spans="5:7" x14ac:dyDescent="0.15">
      <c r="E3580" s="8"/>
      <c r="F3580" s="8"/>
      <c r="G3580" s="8"/>
    </row>
    <row r="3581" spans="5:7" x14ac:dyDescent="0.15">
      <c r="E3581" s="8"/>
      <c r="F3581" s="8"/>
      <c r="G3581" s="8"/>
    </row>
    <row r="3582" spans="5:7" x14ac:dyDescent="0.15">
      <c r="E3582" s="8"/>
      <c r="F3582" s="8"/>
      <c r="G3582" s="8"/>
    </row>
    <row r="3583" spans="5:7" x14ac:dyDescent="0.15">
      <c r="E3583" s="8"/>
      <c r="F3583" s="8"/>
      <c r="G3583" s="8"/>
    </row>
    <row r="3584" spans="5:7" x14ac:dyDescent="0.15">
      <c r="E3584" s="8"/>
      <c r="F3584" s="8"/>
      <c r="G3584" s="8"/>
    </row>
    <row r="3585" spans="5:7" x14ac:dyDescent="0.15">
      <c r="E3585" s="8"/>
      <c r="F3585" s="8"/>
      <c r="G3585" s="8"/>
    </row>
    <row r="3586" spans="5:7" x14ac:dyDescent="0.15">
      <c r="E3586" s="8"/>
      <c r="F3586" s="8"/>
      <c r="G3586" s="8"/>
    </row>
    <row r="3587" spans="5:7" x14ac:dyDescent="0.15">
      <c r="E3587" s="8"/>
      <c r="F3587" s="8"/>
      <c r="G3587" s="8"/>
    </row>
    <row r="3588" spans="5:7" x14ac:dyDescent="0.15">
      <c r="E3588" s="8"/>
      <c r="F3588" s="8"/>
      <c r="G3588" s="8"/>
    </row>
    <row r="3589" spans="5:7" x14ac:dyDescent="0.15">
      <c r="E3589" s="8"/>
      <c r="F3589" s="8"/>
      <c r="G3589" s="8"/>
    </row>
    <row r="3590" spans="5:7" x14ac:dyDescent="0.15">
      <c r="E3590" s="8"/>
      <c r="F3590" s="8"/>
      <c r="G3590" s="8"/>
    </row>
    <row r="3591" spans="5:7" x14ac:dyDescent="0.15">
      <c r="E3591" s="8"/>
      <c r="F3591" s="8"/>
      <c r="G3591" s="8"/>
    </row>
    <row r="3592" spans="5:7" x14ac:dyDescent="0.15">
      <c r="E3592" s="8"/>
      <c r="F3592" s="8"/>
      <c r="G3592" s="8"/>
    </row>
    <row r="3593" spans="5:7" x14ac:dyDescent="0.15">
      <c r="E3593" s="8"/>
      <c r="F3593" s="8"/>
      <c r="G3593" s="8"/>
    </row>
    <row r="3594" spans="5:7" x14ac:dyDescent="0.15">
      <c r="E3594" s="8"/>
      <c r="F3594" s="8"/>
      <c r="G3594" s="8"/>
    </row>
    <row r="3595" spans="5:7" x14ac:dyDescent="0.15">
      <c r="E3595" s="8"/>
      <c r="F3595" s="8"/>
      <c r="G3595" s="8"/>
    </row>
    <row r="3596" spans="5:7" x14ac:dyDescent="0.15">
      <c r="E3596" s="8"/>
      <c r="F3596" s="8"/>
      <c r="G3596" s="8"/>
    </row>
    <row r="3597" spans="5:7" x14ac:dyDescent="0.15">
      <c r="E3597" s="8"/>
      <c r="F3597" s="8"/>
      <c r="G3597" s="8"/>
    </row>
    <row r="3598" spans="5:7" x14ac:dyDescent="0.15">
      <c r="E3598" s="8"/>
      <c r="F3598" s="8"/>
      <c r="G3598" s="8"/>
    </row>
    <row r="3599" spans="5:7" x14ac:dyDescent="0.15">
      <c r="E3599" s="8"/>
      <c r="F3599" s="8"/>
      <c r="G3599" s="8"/>
    </row>
    <row r="3600" spans="5:7" x14ac:dyDescent="0.15">
      <c r="E3600" s="8"/>
      <c r="F3600" s="8"/>
      <c r="G3600" s="8"/>
    </row>
    <row r="3601" spans="5:7" x14ac:dyDescent="0.15">
      <c r="E3601" s="8"/>
      <c r="F3601" s="8"/>
      <c r="G3601" s="8"/>
    </row>
    <row r="3602" spans="5:7" x14ac:dyDescent="0.15">
      <c r="E3602" s="8"/>
      <c r="F3602" s="8"/>
      <c r="G3602" s="8"/>
    </row>
    <row r="3603" spans="5:7" x14ac:dyDescent="0.15">
      <c r="E3603" s="8"/>
      <c r="F3603" s="8"/>
      <c r="G3603" s="8"/>
    </row>
    <row r="3604" spans="5:7" x14ac:dyDescent="0.15">
      <c r="E3604" s="8"/>
      <c r="F3604" s="8"/>
      <c r="G3604" s="8"/>
    </row>
    <row r="3605" spans="5:7" x14ac:dyDescent="0.15">
      <c r="E3605" s="8"/>
      <c r="F3605" s="8"/>
      <c r="G3605" s="8"/>
    </row>
    <row r="3606" spans="5:7" x14ac:dyDescent="0.15">
      <c r="E3606" s="8"/>
      <c r="F3606" s="8"/>
      <c r="G3606" s="8"/>
    </row>
    <row r="3607" spans="5:7" x14ac:dyDescent="0.15">
      <c r="E3607" s="8"/>
      <c r="F3607" s="8"/>
      <c r="G3607" s="8"/>
    </row>
    <row r="3608" spans="5:7" x14ac:dyDescent="0.15">
      <c r="E3608" s="8"/>
      <c r="F3608" s="8"/>
      <c r="G3608" s="8"/>
    </row>
    <row r="3609" spans="5:7" x14ac:dyDescent="0.15">
      <c r="E3609" s="8"/>
      <c r="F3609" s="8"/>
      <c r="G3609" s="8"/>
    </row>
    <row r="3610" spans="5:7" x14ac:dyDescent="0.15">
      <c r="E3610" s="8"/>
      <c r="F3610" s="8"/>
      <c r="G3610" s="8"/>
    </row>
    <row r="3611" spans="5:7" x14ac:dyDescent="0.15">
      <c r="E3611" s="8"/>
      <c r="F3611" s="8"/>
      <c r="G3611" s="8"/>
    </row>
    <row r="3612" spans="5:7" x14ac:dyDescent="0.15">
      <c r="E3612" s="8"/>
      <c r="F3612" s="8"/>
      <c r="G3612" s="8"/>
    </row>
    <row r="3613" spans="5:7" x14ac:dyDescent="0.15">
      <c r="E3613" s="8"/>
      <c r="F3613" s="8"/>
      <c r="G3613" s="8"/>
    </row>
    <row r="3614" spans="5:7" x14ac:dyDescent="0.15">
      <c r="E3614" s="8"/>
      <c r="F3614" s="8"/>
      <c r="G3614" s="8"/>
    </row>
    <row r="3615" spans="5:7" x14ac:dyDescent="0.15">
      <c r="E3615" s="8"/>
      <c r="F3615" s="8"/>
      <c r="G3615" s="8"/>
    </row>
    <row r="3616" spans="5:7" x14ac:dyDescent="0.15">
      <c r="E3616" s="8"/>
      <c r="F3616" s="8"/>
      <c r="G3616" s="8"/>
    </row>
    <row r="3617" spans="5:7" x14ac:dyDescent="0.15">
      <c r="E3617" s="8"/>
      <c r="F3617" s="8"/>
      <c r="G3617" s="8"/>
    </row>
    <row r="3618" spans="5:7" x14ac:dyDescent="0.15">
      <c r="E3618" s="8"/>
      <c r="F3618" s="8"/>
      <c r="G3618" s="8"/>
    </row>
    <row r="3619" spans="5:7" x14ac:dyDescent="0.15">
      <c r="E3619" s="8"/>
      <c r="F3619" s="8"/>
      <c r="G3619" s="8"/>
    </row>
    <row r="3620" spans="5:7" x14ac:dyDescent="0.15">
      <c r="E3620" s="8"/>
      <c r="F3620" s="8"/>
      <c r="G3620" s="8"/>
    </row>
    <row r="3621" spans="5:7" x14ac:dyDescent="0.15">
      <c r="E3621" s="8"/>
      <c r="F3621" s="8"/>
      <c r="G3621" s="8"/>
    </row>
    <row r="3622" spans="5:7" x14ac:dyDescent="0.15">
      <c r="E3622" s="8"/>
      <c r="F3622" s="8"/>
      <c r="G3622" s="8"/>
    </row>
    <row r="3623" spans="5:7" x14ac:dyDescent="0.15">
      <c r="E3623" s="8"/>
      <c r="F3623" s="8"/>
      <c r="G3623" s="8"/>
    </row>
    <row r="3624" spans="5:7" x14ac:dyDescent="0.15">
      <c r="E3624" s="8"/>
      <c r="F3624" s="8"/>
      <c r="G3624" s="8"/>
    </row>
    <row r="3625" spans="5:7" x14ac:dyDescent="0.15">
      <c r="E3625" s="8"/>
      <c r="F3625" s="8"/>
      <c r="G3625" s="8"/>
    </row>
    <row r="3626" spans="5:7" x14ac:dyDescent="0.15">
      <c r="E3626" s="8"/>
      <c r="F3626" s="8"/>
      <c r="G3626" s="8"/>
    </row>
    <row r="3627" spans="5:7" x14ac:dyDescent="0.15">
      <c r="E3627" s="8"/>
      <c r="F3627" s="8"/>
      <c r="G3627" s="8"/>
    </row>
    <row r="3628" spans="5:7" x14ac:dyDescent="0.15">
      <c r="E3628" s="8"/>
      <c r="F3628" s="8"/>
      <c r="G3628" s="8"/>
    </row>
    <row r="3629" spans="5:7" x14ac:dyDescent="0.15">
      <c r="E3629" s="8"/>
      <c r="F3629" s="8"/>
      <c r="G3629" s="8"/>
    </row>
    <row r="3630" spans="5:7" x14ac:dyDescent="0.15">
      <c r="E3630" s="8"/>
      <c r="F3630" s="8"/>
      <c r="G3630" s="8"/>
    </row>
    <row r="3631" spans="5:7" x14ac:dyDescent="0.15">
      <c r="E3631" s="8"/>
      <c r="F3631" s="8"/>
      <c r="G3631" s="8"/>
    </row>
    <row r="3632" spans="5:7" x14ac:dyDescent="0.15">
      <c r="E3632" s="8"/>
      <c r="F3632" s="8"/>
      <c r="G3632" s="8"/>
    </row>
    <row r="3633" spans="5:7" x14ac:dyDescent="0.15">
      <c r="E3633" s="8"/>
      <c r="F3633" s="8"/>
      <c r="G3633" s="8"/>
    </row>
    <row r="3634" spans="5:7" x14ac:dyDescent="0.15">
      <c r="E3634" s="8"/>
      <c r="F3634" s="8"/>
      <c r="G3634" s="8"/>
    </row>
    <row r="3635" spans="5:7" x14ac:dyDescent="0.15">
      <c r="E3635" s="8"/>
      <c r="F3635" s="8"/>
      <c r="G3635" s="8"/>
    </row>
    <row r="3636" spans="5:7" x14ac:dyDescent="0.15">
      <c r="E3636" s="8"/>
      <c r="F3636" s="8"/>
      <c r="G3636" s="8"/>
    </row>
    <row r="3637" spans="5:7" x14ac:dyDescent="0.15">
      <c r="E3637" s="8"/>
      <c r="F3637" s="8"/>
      <c r="G3637" s="8"/>
    </row>
    <row r="3638" spans="5:7" x14ac:dyDescent="0.15">
      <c r="E3638" s="8"/>
      <c r="F3638" s="8"/>
      <c r="G3638" s="8"/>
    </row>
    <row r="3639" spans="5:7" x14ac:dyDescent="0.15">
      <c r="E3639" s="8"/>
      <c r="F3639" s="8"/>
      <c r="G3639" s="8"/>
    </row>
    <row r="3640" spans="5:7" x14ac:dyDescent="0.15">
      <c r="E3640" s="8"/>
      <c r="F3640" s="8"/>
      <c r="G3640" s="8"/>
    </row>
    <row r="3641" spans="5:7" x14ac:dyDescent="0.15">
      <c r="E3641" s="8"/>
      <c r="F3641" s="8"/>
      <c r="G3641" s="8"/>
    </row>
    <row r="3642" spans="5:7" x14ac:dyDescent="0.15">
      <c r="E3642" s="8"/>
      <c r="F3642" s="8"/>
      <c r="G3642" s="8"/>
    </row>
    <row r="3643" spans="5:7" x14ac:dyDescent="0.15">
      <c r="E3643" s="8"/>
      <c r="F3643" s="8"/>
      <c r="G3643" s="8"/>
    </row>
    <row r="3644" spans="5:7" x14ac:dyDescent="0.15">
      <c r="E3644" s="8"/>
      <c r="F3644" s="8"/>
      <c r="G3644" s="8"/>
    </row>
    <row r="3645" spans="5:7" x14ac:dyDescent="0.15">
      <c r="E3645" s="8"/>
      <c r="F3645" s="8"/>
      <c r="G3645" s="8"/>
    </row>
    <row r="3646" spans="5:7" x14ac:dyDescent="0.15">
      <c r="E3646" s="8"/>
      <c r="F3646" s="8"/>
      <c r="G3646" s="8"/>
    </row>
    <row r="3647" spans="5:7" x14ac:dyDescent="0.15">
      <c r="E3647" s="8"/>
      <c r="F3647" s="8"/>
      <c r="G3647" s="8"/>
    </row>
    <row r="3648" spans="5:7" x14ac:dyDescent="0.15">
      <c r="E3648" s="8"/>
      <c r="F3648" s="8"/>
      <c r="G3648" s="8"/>
    </row>
    <row r="3649" spans="5:7" x14ac:dyDescent="0.15">
      <c r="E3649" s="8"/>
      <c r="F3649" s="8"/>
      <c r="G3649" s="8"/>
    </row>
    <row r="3650" spans="5:7" x14ac:dyDescent="0.15">
      <c r="E3650" s="8"/>
      <c r="F3650" s="8"/>
      <c r="G3650" s="8"/>
    </row>
    <row r="3651" spans="5:7" x14ac:dyDescent="0.15">
      <c r="E3651" s="8"/>
      <c r="F3651" s="8"/>
      <c r="G3651" s="8"/>
    </row>
    <row r="3652" spans="5:7" x14ac:dyDescent="0.15">
      <c r="E3652" s="8"/>
      <c r="F3652" s="8"/>
      <c r="G3652" s="8"/>
    </row>
    <row r="3653" spans="5:7" x14ac:dyDescent="0.15">
      <c r="E3653" s="8"/>
      <c r="F3653" s="8"/>
      <c r="G3653" s="8"/>
    </row>
    <row r="3654" spans="5:7" x14ac:dyDescent="0.15">
      <c r="E3654" s="8"/>
      <c r="F3654" s="8"/>
      <c r="G3654" s="8"/>
    </row>
    <row r="3655" spans="5:7" x14ac:dyDescent="0.15">
      <c r="E3655" s="8"/>
      <c r="F3655" s="8"/>
      <c r="G3655" s="8"/>
    </row>
    <row r="3656" spans="5:7" x14ac:dyDescent="0.15">
      <c r="E3656" s="8"/>
      <c r="F3656" s="8"/>
      <c r="G3656" s="8"/>
    </row>
    <row r="3657" spans="5:7" x14ac:dyDescent="0.15">
      <c r="E3657" s="8"/>
      <c r="F3657" s="8"/>
      <c r="G3657" s="8"/>
    </row>
    <row r="3658" spans="5:7" x14ac:dyDescent="0.15">
      <c r="E3658" s="8"/>
      <c r="F3658" s="8"/>
      <c r="G3658" s="8"/>
    </row>
    <row r="3659" spans="5:7" x14ac:dyDescent="0.15">
      <c r="E3659" s="8"/>
      <c r="F3659" s="8"/>
      <c r="G3659" s="8"/>
    </row>
    <row r="3660" spans="5:7" x14ac:dyDescent="0.15">
      <c r="E3660" s="8"/>
      <c r="F3660" s="8"/>
      <c r="G3660" s="8"/>
    </row>
    <row r="3661" spans="5:7" x14ac:dyDescent="0.15">
      <c r="E3661" s="8"/>
      <c r="F3661" s="8"/>
      <c r="G3661" s="8"/>
    </row>
    <row r="3662" spans="5:7" x14ac:dyDescent="0.15">
      <c r="E3662" s="8"/>
      <c r="F3662" s="8"/>
      <c r="G3662" s="8"/>
    </row>
    <row r="3663" spans="5:7" x14ac:dyDescent="0.15">
      <c r="E3663" s="8"/>
      <c r="F3663" s="8"/>
      <c r="G3663" s="8"/>
    </row>
    <row r="3664" spans="5:7" x14ac:dyDescent="0.15">
      <c r="E3664" s="8"/>
      <c r="F3664" s="8"/>
      <c r="G3664" s="8"/>
    </row>
    <row r="3665" spans="5:7" x14ac:dyDescent="0.15">
      <c r="E3665" s="8"/>
      <c r="F3665" s="8"/>
      <c r="G3665" s="8"/>
    </row>
    <row r="3666" spans="5:7" x14ac:dyDescent="0.15">
      <c r="E3666" s="8"/>
      <c r="F3666" s="8"/>
      <c r="G3666" s="8"/>
    </row>
    <row r="3667" spans="5:7" x14ac:dyDescent="0.15">
      <c r="E3667" s="8"/>
      <c r="F3667" s="8"/>
      <c r="G3667" s="8"/>
    </row>
    <row r="3668" spans="5:7" x14ac:dyDescent="0.15">
      <c r="E3668" s="8"/>
      <c r="F3668" s="8"/>
      <c r="G3668" s="8"/>
    </row>
    <row r="3669" spans="5:7" x14ac:dyDescent="0.15">
      <c r="E3669" s="8"/>
      <c r="F3669" s="8"/>
      <c r="G3669" s="8"/>
    </row>
    <row r="3670" spans="5:7" x14ac:dyDescent="0.15">
      <c r="E3670" s="8"/>
      <c r="F3670" s="8"/>
      <c r="G3670" s="8"/>
    </row>
    <row r="3671" spans="5:7" x14ac:dyDescent="0.15">
      <c r="E3671" s="8"/>
      <c r="F3671" s="8"/>
      <c r="G3671" s="8"/>
    </row>
    <row r="3672" spans="5:7" x14ac:dyDescent="0.15">
      <c r="E3672" s="8"/>
      <c r="F3672" s="8"/>
      <c r="G3672" s="8"/>
    </row>
    <row r="3673" spans="5:7" x14ac:dyDescent="0.15">
      <c r="E3673" s="8"/>
      <c r="F3673" s="8"/>
      <c r="G3673" s="8"/>
    </row>
    <row r="3674" spans="5:7" x14ac:dyDescent="0.15">
      <c r="E3674" s="8"/>
      <c r="F3674" s="8"/>
      <c r="G3674" s="8"/>
    </row>
    <row r="3675" spans="5:7" x14ac:dyDescent="0.15">
      <c r="E3675" s="8"/>
      <c r="F3675" s="8"/>
      <c r="G3675" s="8"/>
    </row>
    <row r="3676" spans="5:7" x14ac:dyDescent="0.15">
      <c r="E3676" s="8"/>
      <c r="F3676" s="8"/>
      <c r="G3676" s="8"/>
    </row>
    <row r="3677" spans="5:7" x14ac:dyDescent="0.15">
      <c r="E3677" s="8"/>
      <c r="F3677" s="8"/>
      <c r="G3677" s="8"/>
    </row>
    <row r="3678" spans="5:7" x14ac:dyDescent="0.15">
      <c r="E3678" s="8"/>
      <c r="F3678" s="8"/>
      <c r="G3678" s="8"/>
    </row>
    <row r="3679" spans="5:7" x14ac:dyDescent="0.15">
      <c r="E3679" s="8"/>
      <c r="F3679" s="8"/>
      <c r="G3679" s="8"/>
    </row>
    <row r="3680" spans="5:7" x14ac:dyDescent="0.15">
      <c r="E3680" s="8"/>
      <c r="F3680" s="8"/>
      <c r="G3680" s="8"/>
    </row>
    <row r="3681" spans="5:7" x14ac:dyDescent="0.15">
      <c r="E3681" s="8"/>
      <c r="F3681" s="8"/>
      <c r="G3681" s="8"/>
    </row>
    <row r="3682" spans="5:7" x14ac:dyDescent="0.15">
      <c r="E3682" s="8"/>
      <c r="F3682" s="8"/>
      <c r="G3682" s="8"/>
    </row>
    <row r="3683" spans="5:7" x14ac:dyDescent="0.15">
      <c r="E3683" s="8"/>
      <c r="F3683" s="8"/>
      <c r="G3683" s="8"/>
    </row>
    <row r="3684" spans="5:7" x14ac:dyDescent="0.15">
      <c r="E3684" s="8"/>
      <c r="F3684" s="8"/>
      <c r="G3684" s="8"/>
    </row>
    <row r="3685" spans="5:7" x14ac:dyDescent="0.15">
      <c r="E3685" s="8"/>
      <c r="F3685" s="8"/>
      <c r="G3685" s="8"/>
    </row>
    <row r="3686" spans="5:7" x14ac:dyDescent="0.15">
      <c r="E3686" s="8"/>
      <c r="F3686" s="8"/>
      <c r="G3686" s="8"/>
    </row>
    <row r="3687" spans="5:7" x14ac:dyDescent="0.15">
      <c r="E3687" s="8"/>
      <c r="F3687" s="8"/>
      <c r="G3687" s="8"/>
    </row>
    <row r="3688" spans="5:7" x14ac:dyDescent="0.15">
      <c r="E3688" s="8"/>
      <c r="F3688" s="8"/>
      <c r="G3688" s="8"/>
    </row>
    <row r="3689" spans="5:7" x14ac:dyDescent="0.15">
      <c r="E3689" s="8"/>
      <c r="F3689" s="8"/>
      <c r="G3689" s="8"/>
    </row>
    <row r="3690" spans="5:7" x14ac:dyDescent="0.15">
      <c r="E3690" s="8"/>
      <c r="F3690" s="8"/>
      <c r="G3690" s="8"/>
    </row>
    <row r="3691" spans="5:7" x14ac:dyDescent="0.15">
      <c r="E3691" s="8"/>
      <c r="F3691" s="8"/>
      <c r="G3691" s="8"/>
    </row>
    <row r="3692" spans="5:7" x14ac:dyDescent="0.15">
      <c r="E3692" s="8"/>
      <c r="F3692" s="8"/>
      <c r="G3692" s="8"/>
    </row>
    <row r="3693" spans="5:7" x14ac:dyDescent="0.15">
      <c r="E3693" s="8"/>
      <c r="F3693" s="8"/>
      <c r="G3693" s="8"/>
    </row>
    <row r="3694" spans="5:7" x14ac:dyDescent="0.15">
      <c r="E3694" s="8"/>
      <c r="F3694" s="8"/>
      <c r="G3694" s="8"/>
    </row>
    <row r="3695" spans="5:7" x14ac:dyDescent="0.15">
      <c r="E3695" s="8"/>
      <c r="F3695" s="8"/>
      <c r="G3695" s="8"/>
    </row>
    <row r="3696" spans="5:7" x14ac:dyDescent="0.15">
      <c r="E3696" s="8"/>
      <c r="F3696" s="8"/>
      <c r="G3696" s="8"/>
    </row>
    <row r="3697" spans="5:7" x14ac:dyDescent="0.15">
      <c r="E3697" s="8"/>
      <c r="F3697" s="8"/>
      <c r="G3697" s="8"/>
    </row>
    <row r="3698" spans="5:7" x14ac:dyDescent="0.15">
      <c r="E3698" s="8"/>
      <c r="F3698" s="8"/>
      <c r="G3698" s="8"/>
    </row>
    <row r="3699" spans="5:7" x14ac:dyDescent="0.15">
      <c r="E3699" s="8"/>
      <c r="F3699" s="8"/>
      <c r="G3699" s="8"/>
    </row>
    <row r="3700" spans="5:7" x14ac:dyDescent="0.15">
      <c r="E3700" s="8"/>
      <c r="F3700" s="8"/>
      <c r="G3700" s="8"/>
    </row>
    <row r="3701" spans="5:7" x14ac:dyDescent="0.15">
      <c r="E3701" s="8"/>
      <c r="F3701" s="8"/>
      <c r="G3701" s="8"/>
    </row>
    <row r="3702" spans="5:7" x14ac:dyDescent="0.15">
      <c r="E3702" s="8"/>
      <c r="F3702" s="8"/>
      <c r="G3702" s="8"/>
    </row>
    <row r="3703" spans="5:7" x14ac:dyDescent="0.15">
      <c r="E3703" s="8"/>
      <c r="F3703" s="8"/>
      <c r="G3703" s="8"/>
    </row>
    <row r="3704" spans="5:7" x14ac:dyDescent="0.15">
      <c r="E3704" s="8"/>
      <c r="F3704" s="8"/>
      <c r="G3704" s="8"/>
    </row>
    <row r="3705" spans="5:7" x14ac:dyDescent="0.15">
      <c r="E3705" s="8"/>
      <c r="F3705" s="8"/>
      <c r="G3705" s="8"/>
    </row>
    <row r="3706" spans="5:7" x14ac:dyDescent="0.15">
      <c r="E3706" s="8"/>
      <c r="F3706" s="8"/>
      <c r="G3706" s="8"/>
    </row>
    <row r="3707" spans="5:7" x14ac:dyDescent="0.15">
      <c r="E3707" s="8"/>
      <c r="F3707" s="8"/>
      <c r="G3707" s="8"/>
    </row>
    <row r="3708" spans="5:7" x14ac:dyDescent="0.15">
      <c r="E3708" s="8"/>
      <c r="F3708" s="8"/>
      <c r="G3708" s="8"/>
    </row>
    <row r="3709" spans="5:7" x14ac:dyDescent="0.15">
      <c r="E3709" s="8"/>
      <c r="F3709" s="8"/>
      <c r="G3709" s="8"/>
    </row>
    <row r="3710" spans="5:7" x14ac:dyDescent="0.15">
      <c r="E3710" s="8"/>
      <c r="F3710" s="8"/>
      <c r="G3710" s="8"/>
    </row>
    <row r="3711" spans="5:7" x14ac:dyDescent="0.15">
      <c r="E3711" s="8"/>
      <c r="F3711" s="8"/>
      <c r="G3711" s="8"/>
    </row>
    <row r="3712" spans="5:7" x14ac:dyDescent="0.15">
      <c r="E3712" s="8"/>
      <c r="F3712" s="8"/>
      <c r="G3712" s="8"/>
    </row>
    <row r="3713" spans="5:7" x14ac:dyDescent="0.15">
      <c r="E3713" s="8"/>
      <c r="F3713" s="8"/>
      <c r="G3713" s="8"/>
    </row>
    <row r="3714" spans="5:7" x14ac:dyDescent="0.15">
      <c r="E3714" s="8"/>
      <c r="F3714" s="8"/>
      <c r="G3714" s="8"/>
    </row>
    <row r="3715" spans="5:7" x14ac:dyDescent="0.15">
      <c r="E3715" s="8"/>
      <c r="F3715" s="8"/>
      <c r="G3715" s="8"/>
    </row>
    <row r="3716" spans="5:7" x14ac:dyDescent="0.15">
      <c r="E3716" s="8"/>
      <c r="F3716" s="8"/>
      <c r="G3716" s="8"/>
    </row>
    <row r="3717" spans="5:7" x14ac:dyDescent="0.15">
      <c r="E3717" s="8"/>
      <c r="F3717" s="8"/>
      <c r="G3717" s="8"/>
    </row>
    <row r="3718" spans="5:7" x14ac:dyDescent="0.15">
      <c r="E3718" s="8"/>
      <c r="F3718" s="8"/>
      <c r="G3718" s="8"/>
    </row>
    <row r="3719" spans="5:7" x14ac:dyDescent="0.15">
      <c r="E3719" s="8"/>
      <c r="F3719" s="8"/>
      <c r="G3719" s="8"/>
    </row>
    <row r="3720" spans="5:7" x14ac:dyDescent="0.15">
      <c r="E3720" s="8"/>
      <c r="F3720" s="8"/>
      <c r="G3720" s="8"/>
    </row>
    <row r="3721" spans="5:7" x14ac:dyDescent="0.15">
      <c r="E3721" s="8"/>
      <c r="F3721" s="8"/>
      <c r="G3721" s="8"/>
    </row>
    <row r="3722" spans="5:7" x14ac:dyDescent="0.15">
      <c r="E3722" s="8"/>
      <c r="F3722" s="8"/>
      <c r="G3722" s="8"/>
    </row>
    <row r="3723" spans="5:7" x14ac:dyDescent="0.15">
      <c r="E3723" s="8"/>
      <c r="F3723" s="8"/>
      <c r="G3723" s="8"/>
    </row>
    <row r="3724" spans="5:7" x14ac:dyDescent="0.15">
      <c r="E3724" s="8"/>
      <c r="F3724" s="8"/>
      <c r="G3724" s="8"/>
    </row>
    <row r="3725" spans="5:7" x14ac:dyDescent="0.15">
      <c r="E3725" s="8"/>
      <c r="F3725" s="8"/>
      <c r="G3725" s="8"/>
    </row>
    <row r="3726" spans="5:7" x14ac:dyDescent="0.15">
      <c r="E3726" s="8"/>
      <c r="F3726" s="8"/>
      <c r="G3726" s="8"/>
    </row>
    <row r="3727" spans="5:7" x14ac:dyDescent="0.15">
      <c r="E3727" s="8"/>
      <c r="F3727" s="8"/>
      <c r="G3727" s="8"/>
    </row>
    <row r="3728" spans="5:7" x14ac:dyDescent="0.15">
      <c r="E3728" s="8"/>
      <c r="F3728" s="8"/>
      <c r="G3728" s="8"/>
    </row>
    <row r="3729" spans="5:7" x14ac:dyDescent="0.15">
      <c r="E3729" s="8"/>
      <c r="F3729" s="8"/>
      <c r="G3729" s="8"/>
    </row>
    <row r="3730" spans="5:7" x14ac:dyDescent="0.15">
      <c r="E3730" s="8"/>
      <c r="F3730" s="8"/>
      <c r="G3730" s="8"/>
    </row>
    <row r="3731" spans="5:7" x14ac:dyDescent="0.15">
      <c r="E3731" s="8"/>
      <c r="F3731" s="8"/>
      <c r="G3731" s="8"/>
    </row>
    <row r="3732" spans="5:7" x14ac:dyDescent="0.15">
      <c r="E3732" s="8"/>
      <c r="F3732" s="8"/>
      <c r="G3732" s="8"/>
    </row>
    <row r="3733" spans="5:7" x14ac:dyDescent="0.15">
      <c r="E3733" s="8"/>
      <c r="F3733" s="8"/>
      <c r="G3733" s="8"/>
    </row>
    <row r="3734" spans="5:7" x14ac:dyDescent="0.15">
      <c r="E3734" s="8"/>
      <c r="F3734" s="8"/>
      <c r="G3734" s="8"/>
    </row>
    <row r="3735" spans="5:7" x14ac:dyDescent="0.15">
      <c r="E3735" s="8"/>
      <c r="F3735" s="8"/>
      <c r="G3735" s="8"/>
    </row>
    <row r="3736" spans="5:7" x14ac:dyDescent="0.15">
      <c r="E3736" s="8"/>
      <c r="F3736" s="8"/>
      <c r="G3736" s="8"/>
    </row>
    <row r="3737" spans="5:7" x14ac:dyDescent="0.15">
      <c r="E3737" s="8"/>
      <c r="F3737" s="8"/>
      <c r="G3737" s="8"/>
    </row>
    <row r="3738" spans="5:7" x14ac:dyDescent="0.15">
      <c r="E3738" s="8"/>
      <c r="F3738" s="8"/>
      <c r="G3738" s="8"/>
    </row>
    <row r="3739" spans="5:7" x14ac:dyDescent="0.15">
      <c r="E3739" s="8"/>
      <c r="F3739" s="8"/>
      <c r="G3739" s="8"/>
    </row>
    <row r="3740" spans="5:7" x14ac:dyDescent="0.15">
      <c r="E3740" s="8"/>
      <c r="F3740" s="8"/>
      <c r="G3740" s="8"/>
    </row>
    <row r="3741" spans="5:7" x14ac:dyDescent="0.15">
      <c r="E3741" s="8"/>
      <c r="F3741" s="8"/>
      <c r="G3741" s="8"/>
    </row>
    <row r="3742" spans="5:7" x14ac:dyDescent="0.15">
      <c r="E3742" s="8"/>
      <c r="F3742" s="8"/>
      <c r="G3742" s="8"/>
    </row>
    <row r="3743" spans="5:7" x14ac:dyDescent="0.15">
      <c r="E3743" s="8"/>
      <c r="F3743" s="8"/>
      <c r="G3743" s="8"/>
    </row>
    <row r="3744" spans="5:7" x14ac:dyDescent="0.15">
      <c r="E3744" s="8"/>
      <c r="F3744" s="8"/>
      <c r="G3744" s="8"/>
    </row>
    <row r="3745" spans="5:7" x14ac:dyDescent="0.15">
      <c r="E3745" s="8"/>
      <c r="F3745" s="8"/>
      <c r="G3745" s="8"/>
    </row>
    <row r="3746" spans="5:7" x14ac:dyDescent="0.15">
      <c r="E3746" s="8"/>
      <c r="F3746" s="8"/>
      <c r="G3746" s="8"/>
    </row>
    <row r="3747" spans="5:7" x14ac:dyDescent="0.15">
      <c r="E3747" s="8"/>
      <c r="F3747" s="8"/>
      <c r="G3747" s="8"/>
    </row>
    <row r="3748" spans="5:7" x14ac:dyDescent="0.15">
      <c r="E3748" s="8"/>
      <c r="F3748" s="8"/>
      <c r="G3748" s="8"/>
    </row>
    <row r="3749" spans="5:7" x14ac:dyDescent="0.15">
      <c r="E3749" s="8"/>
      <c r="F3749" s="8"/>
      <c r="G3749" s="8"/>
    </row>
    <row r="3750" spans="5:7" x14ac:dyDescent="0.15">
      <c r="E3750" s="8"/>
      <c r="F3750" s="8"/>
      <c r="G3750" s="8"/>
    </row>
    <row r="3751" spans="5:7" x14ac:dyDescent="0.15">
      <c r="E3751" s="8"/>
      <c r="F3751" s="8"/>
      <c r="G3751" s="8"/>
    </row>
    <row r="3752" spans="5:7" x14ac:dyDescent="0.15">
      <c r="E3752" s="8"/>
      <c r="F3752" s="8"/>
      <c r="G3752" s="8"/>
    </row>
    <row r="3753" spans="5:7" x14ac:dyDescent="0.15">
      <c r="E3753" s="8"/>
      <c r="F3753" s="8"/>
      <c r="G3753" s="8"/>
    </row>
    <row r="3754" spans="5:7" x14ac:dyDescent="0.15">
      <c r="E3754" s="8"/>
      <c r="F3754" s="8"/>
      <c r="G3754" s="8"/>
    </row>
    <row r="3755" spans="5:7" x14ac:dyDescent="0.15">
      <c r="E3755" s="8"/>
      <c r="F3755" s="8"/>
      <c r="G3755" s="8"/>
    </row>
    <row r="3756" spans="5:7" x14ac:dyDescent="0.15">
      <c r="E3756" s="8"/>
      <c r="F3756" s="8"/>
      <c r="G3756" s="8"/>
    </row>
    <row r="3757" spans="5:7" x14ac:dyDescent="0.15">
      <c r="E3757" s="8"/>
      <c r="F3757" s="8"/>
      <c r="G3757" s="8"/>
    </row>
    <row r="3758" spans="5:7" x14ac:dyDescent="0.15">
      <c r="E3758" s="8"/>
      <c r="F3758" s="8"/>
      <c r="G3758" s="8"/>
    </row>
    <row r="3759" spans="5:7" x14ac:dyDescent="0.15">
      <c r="E3759" s="8"/>
      <c r="F3759" s="8"/>
      <c r="G3759" s="8"/>
    </row>
    <row r="3760" spans="5:7" x14ac:dyDescent="0.15">
      <c r="E3760" s="8"/>
      <c r="F3760" s="8"/>
      <c r="G3760" s="8"/>
    </row>
    <row r="3761" spans="5:7" x14ac:dyDescent="0.15">
      <c r="E3761" s="8"/>
      <c r="F3761" s="8"/>
      <c r="G3761" s="8"/>
    </row>
    <row r="3762" spans="5:7" x14ac:dyDescent="0.15">
      <c r="E3762" s="8"/>
      <c r="F3762" s="8"/>
      <c r="G3762" s="8"/>
    </row>
    <row r="3763" spans="5:7" x14ac:dyDescent="0.15">
      <c r="E3763" s="8"/>
      <c r="F3763" s="8"/>
      <c r="G3763" s="8"/>
    </row>
    <row r="3764" spans="5:7" x14ac:dyDescent="0.15">
      <c r="E3764" s="8"/>
      <c r="F3764" s="8"/>
      <c r="G3764" s="8"/>
    </row>
    <row r="3765" spans="5:7" x14ac:dyDescent="0.15">
      <c r="E3765" s="8"/>
      <c r="F3765" s="8"/>
      <c r="G3765" s="8"/>
    </row>
    <row r="3766" spans="5:7" x14ac:dyDescent="0.15">
      <c r="E3766" s="8"/>
      <c r="F3766" s="8"/>
      <c r="G3766" s="8"/>
    </row>
    <row r="3767" spans="5:7" x14ac:dyDescent="0.15">
      <c r="E3767" s="8"/>
      <c r="F3767" s="8"/>
      <c r="G3767" s="8"/>
    </row>
    <row r="3768" spans="5:7" x14ac:dyDescent="0.15">
      <c r="E3768" s="8"/>
      <c r="F3768" s="8"/>
      <c r="G3768" s="8"/>
    </row>
    <row r="3769" spans="5:7" x14ac:dyDescent="0.15">
      <c r="E3769" s="8"/>
      <c r="F3769" s="8"/>
      <c r="G3769" s="8"/>
    </row>
    <row r="3770" spans="5:7" x14ac:dyDescent="0.15">
      <c r="E3770" s="8"/>
      <c r="F3770" s="8"/>
      <c r="G3770" s="8"/>
    </row>
    <row r="3771" spans="5:7" x14ac:dyDescent="0.15">
      <c r="E3771" s="8"/>
      <c r="F3771" s="8"/>
      <c r="G3771" s="8"/>
    </row>
    <row r="3772" spans="5:7" x14ac:dyDescent="0.15">
      <c r="E3772" s="8"/>
      <c r="F3772" s="8"/>
      <c r="G3772" s="8"/>
    </row>
    <row r="3773" spans="5:7" x14ac:dyDescent="0.15">
      <c r="E3773" s="8"/>
      <c r="F3773" s="8"/>
      <c r="G3773" s="8"/>
    </row>
    <row r="3774" spans="5:7" x14ac:dyDescent="0.15">
      <c r="E3774" s="8"/>
      <c r="F3774" s="8"/>
      <c r="G3774" s="8"/>
    </row>
    <row r="3775" spans="5:7" x14ac:dyDescent="0.15">
      <c r="E3775" s="8"/>
      <c r="F3775" s="8"/>
      <c r="G3775" s="8"/>
    </row>
    <row r="3776" spans="5:7" x14ac:dyDescent="0.15">
      <c r="E3776" s="8"/>
      <c r="F3776" s="8"/>
      <c r="G3776" s="8"/>
    </row>
    <row r="3777" spans="5:7" x14ac:dyDescent="0.15">
      <c r="E3777" s="8"/>
      <c r="F3777" s="8"/>
      <c r="G3777" s="8"/>
    </row>
    <row r="3778" spans="5:7" x14ac:dyDescent="0.15">
      <c r="E3778" s="8"/>
      <c r="F3778" s="8"/>
      <c r="G3778" s="8"/>
    </row>
    <row r="3779" spans="5:7" x14ac:dyDescent="0.15">
      <c r="E3779" s="8"/>
      <c r="F3779" s="8"/>
      <c r="G3779" s="8"/>
    </row>
    <row r="3780" spans="5:7" x14ac:dyDescent="0.15">
      <c r="E3780" s="8"/>
      <c r="F3780" s="8"/>
      <c r="G3780" s="8"/>
    </row>
    <row r="3781" spans="5:7" x14ac:dyDescent="0.15">
      <c r="E3781" s="8"/>
      <c r="F3781" s="8"/>
      <c r="G3781" s="8"/>
    </row>
    <row r="3782" spans="5:7" x14ac:dyDescent="0.15">
      <c r="E3782" s="8"/>
      <c r="F3782" s="8"/>
      <c r="G3782" s="8"/>
    </row>
    <row r="3783" spans="5:7" x14ac:dyDescent="0.15">
      <c r="E3783" s="8"/>
      <c r="F3783" s="8"/>
      <c r="G3783" s="8"/>
    </row>
    <row r="3784" spans="5:7" x14ac:dyDescent="0.15">
      <c r="E3784" s="8"/>
      <c r="F3784" s="8"/>
      <c r="G3784" s="8"/>
    </row>
    <row r="3785" spans="5:7" x14ac:dyDescent="0.15">
      <c r="E3785" s="8"/>
      <c r="F3785" s="8"/>
      <c r="G3785" s="8"/>
    </row>
    <row r="3786" spans="5:7" x14ac:dyDescent="0.15">
      <c r="E3786" s="8"/>
      <c r="F3786" s="8"/>
      <c r="G3786" s="8"/>
    </row>
    <row r="3787" spans="5:7" x14ac:dyDescent="0.15">
      <c r="E3787" s="8"/>
      <c r="F3787" s="8"/>
      <c r="G3787" s="8"/>
    </row>
    <row r="3788" spans="5:7" x14ac:dyDescent="0.15">
      <c r="E3788" s="8"/>
      <c r="F3788" s="8"/>
      <c r="G3788" s="8"/>
    </row>
    <row r="3789" spans="5:7" x14ac:dyDescent="0.15">
      <c r="E3789" s="8"/>
      <c r="F3789" s="8"/>
      <c r="G3789" s="8"/>
    </row>
    <row r="3790" spans="5:7" x14ac:dyDescent="0.15">
      <c r="E3790" s="8"/>
      <c r="F3790" s="8"/>
      <c r="G3790" s="8"/>
    </row>
    <row r="3791" spans="5:7" x14ac:dyDescent="0.15">
      <c r="E3791" s="8"/>
      <c r="F3791" s="8"/>
      <c r="G3791" s="8"/>
    </row>
    <row r="3792" spans="5:7" x14ac:dyDescent="0.15">
      <c r="E3792" s="8"/>
      <c r="F3792" s="8"/>
      <c r="G3792" s="8"/>
    </row>
    <row r="3793" spans="5:7" x14ac:dyDescent="0.15">
      <c r="E3793" s="8"/>
      <c r="F3793" s="8"/>
      <c r="G3793" s="8"/>
    </row>
    <row r="3794" spans="5:7" x14ac:dyDescent="0.15">
      <c r="E3794" s="8"/>
      <c r="F3794" s="8"/>
      <c r="G3794" s="8"/>
    </row>
    <row r="3795" spans="5:7" x14ac:dyDescent="0.15">
      <c r="E3795" s="8"/>
      <c r="F3795" s="8"/>
      <c r="G3795" s="8"/>
    </row>
    <row r="3796" spans="5:7" x14ac:dyDescent="0.15">
      <c r="E3796" s="8"/>
      <c r="F3796" s="8"/>
      <c r="G3796" s="8"/>
    </row>
    <row r="3797" spans="5:7" x14ac:dyDescent="0.15">
      <c r="E3797" s="8"/>
      <c r="F3797" s="8"/>
      <c r="G3797" s="8"/>
    </row>
    <row r="3798" spans="5:7" x14ac:dyDescent="0.15">
      <c r="E3798" s="8"/>
      <c r="F3798" s="8"/>
      <c r="G3798" s="8"/>
    </row>
    <row r="3799" spans="5:7" x14ac:dyDescent="0.15">
      <c r="E3799" s="8"/>
      <c r="F3799" s="8"/>
      <c r="G3799" s="8"/>
    </row>
    <row r="3800" spans="5:7" x14ac:dyDescent="0.15">
      <c r="E3800" s="8"/>
      <c r="F3800" s="8"/>
      <c r="G3800" s="8"/>
    </row>
    <row r="3801" spans="5:7" x14ac:dyDescent="0.15">
      <c r="E3801" s="8"/>
      <c r="F3801" s="8"/>
      <c r="G3801" s="8"/>
    </row>
    <row r="3802" spans="5:7" x14ac:dyDescent="0.15">
      <c r="E3802" s="8"/>
      <c r="F3802" s="8"/>
      <c r="G3802" s="8"/>
    </row>
    <row r="3803" spans="5:7" x14ac:dyDescent="0.15">
      <c r="E3803" s="8"/>
      <c r="F3803" s="8"/>
      <c r="G3803" s="8"/>
    </row>
    <row r="3804" spans="5:7" x14ac:dyDescent="0.15">
      <c r="E3804" s="8"/>
      <c r="F3804" s="8"/>
      <c r="G3804" s="8"/>
    </row>
    <row r="3805" spans="5:7" x14ac:dyDescent="0.15">
      <c r="E3805" s="8"/>
      <c r="F3805" s="8"/>
      <c r="G3805" s="8"/>
    </row>
    <row r="3806" spans="5:7" x14ac:dyDescent="0.15">
      <c r="E3806" s="8"/>
      <c r="F3806" s="8"/>
      <c r="G3806" s="8"/>
    </row>
    <row r="3807" spans="5:7" x14ac:dyDescent="0.15">
      <c r="E3807" s="8"/>
      <c r="F3807" s="8"/>
      <c r="G3807" s="8"/>
    </row>
    <row r="3808" spans="5:7" x14ac:dyDescent="0.15">
      <c r="E3808" s="8"/>
      <c r="F3808" s="8"/>
      <c r="G3808" s="8"/>
    </row>
    <row r="3809" spans="5:7" x14ac:dyDescent="0.15">
      <c r="E3809" s="8"/>
      <c r="F3809" s="8"/>
      <c r="G3809" s="8"/>
    </row>
    <row r="3810" spans="5:7" x14ac:dyDescent="0.15">
      <c r="E3810" s="8"/>
      <c r="F3810" s="8"/>
      <c r="G3810" s="8"/>
    </row>
    <row r="3811" spans="5:7" x14ac:dyDescent="0.15">
      <c r="E3811" s="8"/>
      <c r="F3811" s="8"/>
      <c r="G3811" s="8"/>
    </row>
    <row r="3812" spans="5:7" x14ac:dyDescent="0.15">
      <c r="E3812" s="8"/>
      <c r="F3812" s="8"/>
      <c r="G3812" s="8"/>
    </row>
    <row r="3813" spans="5:7" x14ac:dyDescent="0.15">
      <c r="E3813" s="8"/>
      <c r="F3813" s="8"/>
      <c r="G3813" s="8"/>
    </row>
    <row r="3814" spans="5:7" x14ac:dyDescent="0.15">
      <c r="E3814" s="8"/>
      <c r="F3814" s="8"/>
      <c r="G3814" s="8"/>
    </row>
    <row r="3815" spans="5:7" x14ac:dyDescent="0.15">
      <c r="E3815" s="8"/>
      <c r="F3815" s="8"/>
      <c r="G3815" s="8"/>
    </row>
    <row r="3816" spans="5:7" x14ac:dyDescent="0.15">
      <c r="E3816" s="8"/>
      <c r="F3816" s="8"/>
      <c r="G3816" s="8"/>
    </row>
    <row r="3817" spans="5:7" x14ac:dyDescent="0.15">
      <c r="E3817" s="8"/>
      <c r="F3817" s="8"/>
      <c r="G3817" s="8"/>
    </row>
    <row r="3818" spans="5:7" x14ac:dyDescent="0.15">
      <c r="E3818" s="8"/>
      <c r="F3818" s="8"/>
      <c r="G3818" s="8"/>
    </row>
    <row r="3819" spans="5:7" x14ac:dyDescent="0.15">
      <c r="E3819" s="8"/>
      <c r="F3819" s="8"/>
      <c r="G3819" s="8"/>
    </row>
    <row r="3820" spans="5:7" x14ac:dyDescent="0.15">
      <c r="E3820" s="8"/>
      <c r="F3820" s="8"/>
      <c r="G3820" s="8"/>
    </row>
    <row r="3821" spans="5:7" x14ac:dyDescent="0.15">
      <c r="E3821" s="8"/>
      <c r="F3821" s="8"/>
      <c r="G3821" s="8"/>
    </row>
    <row r="3822" spans="5:7" x14ac:dyDescent="0.15">
      <c r="E3822" s="8"/>
      <c r="F3822" s="8"/>
      <c r="G3822" s="8"/>
    </row>
    <row r="3823" spans="5:7" x14ac:dyDescent="0.15">
      <c r="E3823" s="8"/>
      <c r="F3823" s="8"/>
      <c r="G3823" s="8"/>
    </row>
    <row r="3824" spans="5:7" x14ac:dyDescent="0.15">
      <c r="E3824" s="8"/>
      <c r="F3824" s="8"/>
      <c r="G3824" s="8"/>
    </row>
    <row r="3825" spans="5:7" x14ac:dyDescent="0.15">
      <c r="E3825" s="8"/>
      <c r="F3825" s="8"/>
      <c r="G3825" s="8"/>
    </row>
    <row r="3826" spans="5:7" x14ac:dyDescent="0.15">
      <c r="E3826" s="8"/>
      <c r="F3826" s="8"/>
      <c r="G3826" s="8"/>
    </row>
    <row r="3827" spans="5:7" x14ac:dyDescent="0.15">
      <c r="E3827" s="8"/>
      <c r="F3827" s="8"/>
      <c r="G3827" s="8"/>
    </row>
    <row r="3828" spans="5:7" x14ac:dyDescent="0.15">
      <c r="E3828" s="8"/>
      <c r="F3828" s="8"/>
      <c r="G3828" s="8"/>
    </row>
    <row r="3829" spans="5:7" x14ac:dyDescent="0.15">
      <c r="E3829" s="8"/>
      <c r="F3829" s="8"/>
      <c r="G3829" s="8"/>
    </row>
    <row r="3830" spans="5:7" x14ac:dyDescent="0.15">
      <c r="E3830" s="8"/>
      <c r="F3830" s="8"/>
      <c r="G3830" s="8"/>
    </row>
    <row r="3831" spans="5:7" x14ac:dyDescent="0.15">
      <c r="E3831" s="8"/>
      <c r="F3831" s="8"/>
      <c r="G3831" s="8"/>
    </row>
    <row r="3832" spans="5:7" x14ac:dyDescent="0.15">
      <c r="E3832" s="8"/>
      <c r="F3832" s="8"/>
      <c r="G3832" s="8"/>
    </row>
    <row r="3833" spans="5:7" x14ac:dyDescent="0.15">
      <c r="E3833" s="8"/>
      <c r="F3833" s="8"/>
      <c r="G3833" s="8"/>
    </row>
    <row r="3834" spans="5:7" x14ac:dyDescent="0.15">
      <c r="E3834" s="8"/>
      <c r="F3834" s="8"/>
      <c r="G3834" s="8"/>
    </row>
    <row r="3835" spans="5:7" x14ac:dyDescent="0.15">
      <c r="E3835" s="8"/>
      <c r="F3835" s="8"/>
      <c r="G3835" s="8"/>
    </row>
    <row r="3836" spans="5:7" x14ac:dyDescent="0.15">
      <c r="E3836" s="8"/>
      <c r="F3836" s="8"/>
      <c r="G3836" s="8"/>
    </row>
    <row r="3837" spans="5:7" x14ac:dyDescent="0.15">
      <c r="E3837" s="8"/>
      <c r="F3837" s="8"/>
      <c r="G3837" s="8"/>
    </row>
    <row r="3838" spans="5:7" x14ac:dyDescent="0.15">
      <c r="E3838" s="8"/>
      <c r="F3838" s="8"/>
      <c r="G3838" s="8"/>
    </row>
    <row r="3839" spans="5:7" x14ac:dyDescent="0.15">
      <c r="E3839" s="8"/>
      <c r="F3839" s="8"/>
      <c r="G3839" s="8"/>
    </row>
    <row r="3840" spans="5:7" x14ac:dyDescent="0.15">
      <c r="E3840" s="8"/>
      <c r="F3840" s="8"/>
      <c r="G3840" s="8"/>
    </row>
    <row r="3841" spans="5:7" x14ac:dyDescent="0.15">
      <c r="E3841" s="8"/>
      <c r="F3841" s="8"/>
      <c r="G3841" s="8"/>
    </row>
    <row r="3842" spans="5:7" x14ac:dyDescent="0.15">
      <c r="E3842" s="8"/>
      <c r="F3842" s="8"/>
      <c r="G3842" s="8"/>
    </row>
    <row r="3843" spans="5:7" x14ac:dyDescent="0.15">
      <c r="E3843" s="8"/>
      <c r="F3843" s="8"/>
      <c r="G3843" s="8"/>
    </row>
    <row r="3844" spans="5:7" x14ac:dyDescent="0.15">
      <c r="E3844" s="8"/>
      <c r="F3844" s="8"/>
      <c r="G3844" s="8"/>
    </row>
    <row r="3845" spans="5:7" x14ac:dyDescent="0.15">
      <c r="E3845" s="8"/>
      <c r="F3845" s="8"/>
      <c r="G3845" s="8"/>
    </row>
    <row r="3846" spans="5:7" x14ac:dyDescent="0.15">
      <c r="E3846" s="8"/>
      <c r="F3846" s="8"/>
      <c r="G3846" s="8"/>
    </row>
    <row r="3847" spans="5:7" x14ac:dyDescent="0.15">
      <c r="E3847" s="8"/>
      <c r="F3847" s="8"/>
      <c r="G3847" s="8"/>
    </row>
    <row r="3848" spans="5:7" x14ac:dyDescent="0.15">
      <c r="E3848" s="8"/>
      <c r="F3848" s="8"/>
      <c r="G3848" s="8"/>
    </row>
    <row r="3849" spans="5:7" x14ac:dyDescent="0.15">
      <c r="E3849" s="8"/>
      <c r="F3849" s="8"/>
      <c r="G3849" s="8"/>
    </row>
    <row r="3850" spans="5:7" x14ac:dyDescent="0.15">
      <c r="E3850" s="8"/>
      <c r="F3850" s="8"/>
      <c r="G3850" s="8"/>
    </row>
    <row r="3851" spans="5:7" x14ac:dyDescent="0.15">
      <c r="E3851" s="8"/>
      <c r="F3851" s="8"/>
      <c r="G3851" s="8"/>
    </row>
    <row r="3852" spans="5:7" x14ac:dyDescent="0.15">
      <c r="E3852" s="8"/>
      <c r="F3852" s="8"/>
      <c r="G3852" s="8"/>
    </row>
    <row r="3853" spans="5:7" x14ac:dyDescent="0.15">
      <c r="E3853" s="8"/>
      <c r="F3853" s="8"/>
      <c r="G3853" s="8"/>
    </row>
    <row r="3854" spans="5:7" x14ac:dyDescent="0.15">
      <c r="E3854" s="8"/>
      <c r="F3854" s="8"/>
      <c r="G3854" s="8"/>
    </row>
    <row r="3855" spans="5:7" x14ac:dyDescent="0.15">
      <c r="E3855" s="8"/>
      <c r="F3855" s="8"/>
      <c r="G3855" s="8"/>
    </row>
    <row r="3856" spans="5:7" x14ac:dyDescent="0.15">
      <c r="E3856" s="8"/>
      <c r="F3856" s="8"/>
      <c r="G3856" s="8"/>
    </row>
    <row r="3857" spans="5:7" x14ac:dyDescent="0.15">
      <c r="E3857" s="8"/>
      <c r="F3857" s="8"/>
      <c r="G3857" s="8"/>
    </row>
    <row r="3858" spans="5:7" x14ac:dyDescent="0.15">
      <c r="E3858" s="8"/>
      <c r="F3858" s="8"/>
      <c r="G3858" s="8"/>
    </row>
    <row r="3859" spans="5:7" x14ac:dyDescent="0.15">
      <c r="E3859" s="8"/>
      <c r="F3859" s="8"/>
      <c r="G3859" s="8"/>
    </row>
    <row r="3860" spans="5:7" x14ac:dyDescent="0.15">
      <c r="E3860" s="8"/>
      <c r="F3860" s="8"/>
      <c r="G3860" s="8"/>
    </row>
    <row r="3861" spans="5:7" x14ac:dyDescent="0.15">
      <c r="E3861" s="8"/>
      <c r="F3861" s="8"/>
      <c r="G3861" s="8"/>
    </row>
    <row r="3862" spans="5:7" x14ac:dyDescent="0.15">
      <c r="E3862" s="8"/>
      <c r="F3862" s="8"/>
      <c r="G3862" s="8"/>
    </row>
    <row r="3863" spans="5:7" x14ac:dyDescent="0.15">
      <c r="E3863" s="8"/>
      <c r="F3863" s="8"/>
      <c r="G3863" s="8"/>
    </row>
    <row r="3864" spans="5:7" x14ac:dyDescent="0.15">
      <c r="E3864" s="8"/>
      <c r="F3864" s="8"/>
      <c r="G3864" s="8"/>
    </row>
    <row r="3865" spans="5:7" x14ac:dyDescent="0.15">
      <c r="E3865" s="8"/>
      <c r="F3865" s="8"/>
      <c r="G3865" s="8"/>
    </row>
    <row r="3866" spans="5:7" x14ac:dyDescent="0.15">
      <c r="E3866" s="8"/>
      <c r="F3866" s="8"/>
      <c r="G3866" s="8"/>
    </row>
    <row r="3867" spans="5:7" x14ac:dyDescent="0.15">
      <c r="E3867" s="8"/>
      <c r="F3867" s="8"/>
      <c r="G3867" s="8"/>
    </row>
    <row r="3868" spans="5:7" x14ac:dyDescent="0.15">
      <c r="E3868" s="8"/>
      <c r="F3868" s="8"/>
      <c r="G3868" s="8"/>
    </row>
    <row r="3869" spans="5:7" x14ac:dyDescent="0.15">
      <c r="E3869" s="8"/>
      <c r="F3869" s="8"/>
      <c r="G3869" s="8"/>
    </row>
    <row r="3870" spans="5:7" x14ac:dyDescent="0.15">
      <c r="E3870" s="8"/>
      <c r="F3870" s="8"/>
      <c r="G3870" s="8"/>
    </row>
    <row r="3871" spans="5:7" x14ac:dyDescent="0.15">
      <c r="E3871" s="8"/>
      <c r="F3871" s="8"/>
      <c r="G3871" s="8"/>
    </row>
    <row r="3872" spans="5:7" x14ac:dyDescent="0.15">
      <c r="E3872" s="8"/>
      <c r="F3872" s="8"/>
      <c r="G3872" s="8"/>
    </row>
    <row r="3873" spans="5:7" x14ac:dyDescent="0.15">
      <c r="E3873" s="8"/>
      <c r="F3873" s="8"/>
      <c r="G3873" s="8"/>
    </row>
    <row r="3874" spans="5:7" x14ac:dyDescent="0.15">
      <c r="E3874" s="8"/>
      <c r="F3874" s="8"/>
      <c r="G3874" s="8"/>
    </row>
    <row r="3875" spans="5:7" x14ac:dyDescent="0.15">
      <c r="E3875" s="8"/>
      <c r="F3875" s="8"/>
      <c r="G3875" s="8"/>
    </row>
    <row r="3876" spans="5:7" x14ac:dyDescent="0.15">
      <c r="E3876" s="8"/>
      <c r="F3876" s="8"/>
      <c r="G3876" s="8"/>
    </row>
    <row r="3877" spans="5:7" x14ac:dyDescent="0.15">
      <c r="E3877" s="8"/>
      <c r="F3877" s="8"/>
      <c r="G3877" s="8"/>
    </row>
    <row r="3878" spans="5:7" x14ac:dyDescent="0.15">
      <c r="E3878" s="8"/>
      <c r="F3878" s="8"/>
      <c r="G3878" s="8"/>
    </row>
    <row r="3879" spans="5:7" x14ac:dyDescent="0.15">
      <c r="E3879" s="8"/>
      <c r="F3879" s="8"/>
      <c r="G3879" s="8"/>
    </row>
    <row r="3880" spans="5:7" x14ac:dyDescent="0.15">
      <c r="E3880" s="8"/>
      <c r="F3880" s="8"/>
      <c r="G3880" s="8"/>
    </row>
    <row r="3881" spans="5:7" x14ac:dyDescent="0.15">
      <c r="E3881" s="8"/>
      <c r="F3881" s="8"/>
      <c r="G3881" s="8"/>
    </row>
    <row r="3882" spans="5:7" x14ac:dyDescent="0.15">
      <c r="E3882" s="8"/>
      <c r="F3882" s="8"/>
      <c r="G3882" s="8"/>
    </row>
    <row r="3883" spans="5:7" x14ac:dyDescent="0.15">
      <c r="E3883" s="8"/>
      <c r="F3883" s="8"/>
      <c r="G3883" s="8"/>
    </row>
    <row r="3884" spans="5:7" x14ac:dyDescent="0.15">
      <c r="E3884" s="8"/>
      <c r="F3884" s="8"/>
      <c r="G3884" s="8"/>
    </row>
    <row r="3885" spans="5:7" x14ac:dyDescent="0.15">
      <c r="E3885" s="8"/>
      <c r="F3885" s="8"/>
      <c r="G3885" s="8"/>
    </row>
    <row r="3886" spans="5:7" x14ac:dyDescent="0.15">
      <c r="E3886" s="8"/>
      <c r="F3886" s="8"/>
      <c r="G3886" s="8"/>
    </row>
    <row r="3887" spans="5:7" x14ac:dyDescent="0.15">
      <c r="E3887" s="8"/>
      <c r="F3887" s="8"/>
      <c r="G3887" s="8"/>
    </row>
    <row r="3888" spans="5:7" x14ac:dyDescent="0.15">
      <c r="E3888" s="8"/>
      <c r="F3888" s="8"/>
      <c r="G3888" s="8"/>
    </row>
    <row r="3889" spans="5:7" x14ac:dyDescent="0.15">
      <c r="E3889" s="8"/>
      <c r="F3889" s="8"/>
      <c r="G3889" s="8"/>
    </row>
    <row r="3890" spans="5:7" x14ac:dyDescent="0.15">
      <c r="E3890" s="8"/>
      <c r="F3890" s="8"/>
      <c r="G3890" s="8"/>
    </row>
    <row r="3891" spans="5:7" x14ac:dyDescent="0.15">
      <c r="E3891" s="8"/>
      <c r="F3891" s="8"/>
      <c r="G3891" s="8"/>
    </row>
    <row r="3892" spans="5:7" x14ac:dyDescent="0.15">
      <c r="E3892" s="8"/>
      <c r="F3892" s="8"/>
      <c r="G3892" s="8"/>
    </row>
    <row r="3893" spans="5:7" x14ac:dyDescent="0.15">
      <c r="E3893" s="8"/>
      <c r="F3893" s="8"/>
      <c r="G3893" s="8"/>
    </row>
    <row r="3894" spans="5:7" x14ac:dyDescent="0.15">
      <c r="E3894" s="8"/>
      <c r="F3894" s="8"/>
      <c r="G3894" s="8"/>
    </row>
    <row r="3895" spans="5:7" x14ac:dyDescent="0.15">
      <c r="E3895" s="8"/>
      <c r="F3895" s="8"/>
      <c r="G3895" s="8"/>
    </row>
    <row r="3896" spans="5:7" x14ac:dyDescent="0.15">
      <c r="E3896" s="8"/>
      <c r="F3896" s="8"/>
      <c r="G3896" s="8"/>
    </row>
    <row r="3897" spans="5:7" x14ac:dyDescent="0.15">
      <c r="E3897" s="8"/>
      <c r="F3897" s="8"/>
      <c r="G3897" s="8"/>
    </row>
    <row r="3898" spans="5:7" x14ac:dyDescent="0.15">
      <c r="E3898" s="8"/>
      <c r="F3898" s="8"/>
      <c r="G3898" s="8"/>
    </row>
    <row r="3899" spans="5:7" x14ac:dyDescent="0.15">
      <c r="E3899" s="8"/>
      <c r="F3899" s="8"/>
      <c r="G3899" s="8"/>
    </row>
    <row r="3900" spans="5:7" x14ac:dyDescent="0.15">
      <c r="E3900" s="8"/>
      <c r="F3900" s="8"/>
      <c r="G3900" s="8"/>
    </row>
    <row r="3901" spans="5:7" x14ac:dyDescent="0.15">
      <c r="E3901" s="8"/>
      <c r="F3901" s="8"/>
      <c r="G3901" s="8"/>
    </row>
    <row r="3902" spans="5:7" x14ac:dyDescent="0.15">
      <c r="E3902" s="8"/>
      <c r="F3902" s="8"/>
      <c r="G3902" s="8"/>
    </row>
    <row r="3903" spans="5:7" x14ac:dyDescent="0.15">
      <c r="E3903" s="8"/>
      <c r="F3903" s="8"/>
      <c r="G3903" s="8"/>
    </row>
    <row r="3904" spans="5:7" x14ac:dyDescent="0.15">
      <c r="E3904" s="8"/>
      <c r="F3904" s="8"/>
      <c r="G3904" s="8"/>
    </row>
    <row r="3905" spans="5:7" x14ac:dyDescent="0.15">
      <c r="E3905" s="8"/>
      <c r="F3905" s="8"/>
      <c r="G3905" s="8"/>
    </row>
    <row r="3906" spans="5:7" x14ac:dyDescent="0.15">
      <c r="E3906" s="8"/>
      <c r="F3906" s="8"/>
      <c r="G3906" s="8"/>
    </row>
    <row r="3907" spans="5:7" x14ac:dyDescent="0.15">
      <c r="E3907" s="8"/>
      <c r="F3907" s="8"/>
      <c r="G3907" s="8"/>
    </row>
    <row r="3908" spans="5:7" x14ac:dyDescent="0.15">
      <c r="E3908" s="8"/>
      <c r="F3908" s="8"/>
      <c r="G3908" s="8"/>
    </row>
    <row r="3909" spans="5:7" x14ac:dyDescent="0.15">
      <c r="E3909" s="8"/>
      <c r="F3909" s="8"/>
      <c r="G3909" s="8"/>
    </row>
    <row r="3910" spans="5:7" x14ac:dyDescent="0.15">
      <c r="E3910" s="8"/>
      <c r="F3910" s="8"/>
      <c r="G3910" s="8"/>
    </row>
    <row r="3911" spans="5:7" x14ac:dyDescent="0.15">
      <c r="E3911" s="8"/>
      <c r="F3911" s="8"/>
      <c r="G3911" s="8"/>
    </row>
    <row r="3912" spans="5:7" x14ac:dyDescent="0.15">
      <c r="E3912" s="8"/>
      <c r="F3912" s="8"/>
      <c r="G3912" s="8"/>
    </row>
    <row r="3913" spans="5:7" x14ac:dyDescent="0.15">
      <c r="E3913" s="8"/>
      <c r="F3913" s="8"/>
      <c r="G3913" s="8"/>
    </row>
    <row r="3914" spans="5:7" x14ac:dyDescent="0.15">
      <c r="E3914" s="8"/>
      <c r="F3914" s="8"/>
      <c r="G3914" s="8"/>
    </row>
    <row r="3915" spans="5:7" x14ac:dyDescent="0.15">
      <c r="E3915" s="8"/>
      <c r="F3915" s="8"/>
      <c r="G3915" s="8"/>
    </row>
    <row r="3916" spans="5:7" x14ac:dyDescent="0.15">
      <c r="E3916" s="8"/>
      <c r="F3916" s="8"/>
      <c r="G3916" s="8"/>
    </row>
    <row r="3917" spans="5:7" x14ac:dyDescent="0.15">
      <c r="E3917" s="8"/>
      <c r="F3917" s="8"/>
      <c r="G3917" s="8"/>
    </row>
    <row r="3918" spans="5:7" x14ac:dyDescent="0.15">
      <c r="E3918" s="8"/>
      <c r="F3918" s="8"/>
      <c r="G3918" s="8"/>
    </row>
    <row r="3919" spans="5:7" x14ac:dyDescent="0.15">
      <c r="E3919" s="8"/>
      <c r="F3919" s="8"/>
      <c r="G3919" s="8"/>
    </row>
    <row r="3920" spans="5:7" x14ac:dyDescent="0.15">
      <c r="E3920" s="8"/>
      <c r="F3920" s="8"/>
      <c r="G3920" s="8"/>
    </row>
    <row r="3921" spans="5:7" x14ac:dyDescent="0.15">
      <c r="E3921" s="8"/>
      <c r="F3921" s="8"/>
      <c r="G3921" s="8"/>
    </row>
    <row r="3922" spans="5:7" x14ac:dyDescent="0.15">
      <c r="E3922" s="8"/>
      <c r="F3922" s="8"/>
      <c r="G3922" s="8"/>
    </row>
    <row r="3923" spans="5:7" x14ac:dyDescent="0.15">
      <c r="E3923" s="8"/>
      <c r="F3923" s="8"/>
      <c r="G3923" s="8"/>
    </row>
    <row r="3924" spans="5:7" x14ac:dyDescent="0.15">
      <c r="E3924" s="8"/>
      <c r="F3924" s="8"/>
      <c r="G3924" s="8"/>
    </row>
    <row r="3925" spans="5:7" x14ac:dyDescent="0.15">
      <c r="E3925" s="8"/>
      <c r="F3925" s="8"/>
      <c r="G3925" s="8"/>
    </row>
    <row r="3926" spans="5:7" x14ac:dyDescent="0.15">
      <c r="E3926" s="8"/>
      <c r="F3926" s="8"/>
      <c r="G3926" s="8"/>
    </row>
    <row r="3927" spans="5:7" x14ac:dyDescent="0.15">
      <c r="E3927" s="8"/>
      <c r="F3927" s="8"/>
      <c r="G3927" s="8"/>
    </row>
    <row r="3928" spans="5:7" x14ac:dyDescent="0.15">
      <c r="E3928" s="8"/>
      <c r="F3928" s="8"/>
      <c r="G3928" s="8"/>
    </row>
    <row r="3929" spans="5:7" x14ac:dyDescent="0.15">
      <c r="E3929" s="8"/>
      <c r="F3929" s="8"/>
      <c r="G3929" s="8"/>
    </row>
    <row r="3930" spans="5:7" x14ac:dyDescent="0.15">
      <c r="E3930" s="8"/>
      <c r="F3930" s="8"/>
      <c r="G3930" s="8"/>
    </row>
    <row r="3931" spans="5:7" x14ac:dyDescent="0.15">
      <c r="E3931" s="8"/>
      <c r="F3931" s="8"/>
      <c r="G3931" s="8"/>
    </row>
    <row r="3932" spans="5:7" x14ac:dyDescent="0.15">
      <c r="E3932" s="8"/>
      <c r="F3932" s="8"/>
      <c r="G3932" s="8"/>
    </row>
    <row r="3933" spans="5:7" x14ac:dyDescent="0.15">
      <c r="E3933" s="8"/>
      <c r="F3933" s="8"/>
      <c r="G3933" s="8"/>
    </row>
    <row r="3934" spans="5:7" x14ac:dyDescent="0.15">
      <c r="E3934" s="8"/>
      <c r="F3934" s="8"/>
      <c r="G3934" s="8"/>
    </row>
    <row r="3935" spans="5:7" x14ac:dyDescent="0.15">
      <c r="E3935" s="8"/>
      <c r="F3935" s="8"/>
      <c r="G3935" s="8"/>
    </row>
    <row r="3936" spans="5:7" x14ac:dyDescent="0.15">
      <c r="E3936" s="8"/>
      <c r="F3936" s="8"/>
      <c r="G3936" s="8"/>
    </row>
    <row r="3937" spans="5:7" x14ac:dyDescent="0.15">
      <c r="E3937" s="8"/>
      <c r="F3937" s="8"/>
      <c r="G3937" s="8"/>
    </row>
    <row r="3938" spans="5:7" x14ac:dyDescent="0.15">
      <c r="E3938" s="8"/>
      <c r="F3938" s="8"/>
      <c r="G3938" s="8"/>
    </row>
    <row r="3939" spans="5:7" x14ac:dyDescent="0.15">
      <c r="E3939" s="8"/>
      <c r="F3939" s="8"/>
      <c r="G3939" s="8"/>
    </row>
    <row r="3940" spans="5:7" x14ac:dyDescent="0.15">
      <c r="E3940" s="8"/>
      <c r="F3940" s="8"/>
      <c r="G3940" s="8"/>
    </row>
    <row r="3941" spans="5:7" x14ac:dyDescent="0.15">
      <c r="E3941" s="8"/>
      <c r="F3941" s="8"/>
      <c r="G3941" s="8"/>
    </row>
    <row r="3942" spans="5:7" x14ac:dyDescent="0.15">
      <c r="E3942" s="8"/>
      <c r="F3942" s="8"/>
      <c r="G3942" s="8"/>
    </row>
    <row r="3943" spans="5:7" x14ac:dyDescent="0.15">
      <c r="E3943" s="8"/>
      <c r="F3943" s="8"/>
      <c r="G3943" s="8"/>
    </row>
    <row r="3944" spans="5:7" x14ac:dyDescent="0.15">
      <c r="E3944" s="8"/>
      <c r="F3944" s="8"/>
      <c r="G3944" s="8"/>
    </row>
    <row r="3945" spans="5:7" x14ac:dyDescent="0.15">
      <c r="E3945" s="8"/>
      <c r="F3945" s="8"/>
      <c r="G3945" s="8"/>
    </row>
    <row r="3946" spans="5:7" x14ac:dyDescent="0.15">
      <c r="E3946" s="8"/>
      <c r="F3946" s="8"/>
      <c r="G3946" s="8"/>
    </row>
    <row r="3947" spans="5:7" x14ac:dyDescent="0.15">
      <c r="E3947" s="8"/>
      <c r="F3947" s="8"/>
      <c r="G3947" s="8"/>
    </row>
    <row r="3948" spans="5:7" x14ac:dyDescent="0.15">
      <c r="E3948" s="8"/>
      <c r="F3948" s="8"/>
      <c r="G3948" s="8"/>
    </row>
    <row r="3949" spans="5:7" x14ac:dyDescent="0.15">
      <c r="E3949" s="8"/>
      <c r="F3949" s="8"/>
      <c r="G3949" s="8"/>
    </row>
    <row r="3950" spans="5:7" x14ac:dyDescent="0.15">
      <c r="E3950" s="8"/>
      <c r="F3950" s="8"/>
      <c r="G3950" s="8"/>
    </row>
    <row r="3951" spans="5:7" x14ac:dyDescent="0.15">
      <c r="E3951" s="8"/>
      <c r="F3951" s="8"/>
      <c r="G3951" s="8"/>
    </row>
    <row r="3952" spans="5:7" x14ac:dyDescent="0.15">
      <c r="E3952" s="8"/>
      <c r="F3952" s="8"/>
      <c r="G3952" s="8"/>
    </row>
    <row r="3953" spans="5:7" x14ac:dyDescent="0.15">
      <c r="E3953" s="8"/>
      <c r="F3953" s="8"/>
      <c r="G3953" s="8"/>
    </row>
    <row r="3954" spans="5:7" x14ac:dyDescent="0.15">
      <c r="E3954" s="8"/>
      <c r="F3954" s="8"/>
      <c r="G3954" s="8"/>
    </row>
    <row r="3955" spans="5:7" x14ac:dyDescent="0.15">
      <c r="E3955" s="8"/>
      <c r="F3955" s="8"/>
      <c r="G3955" s="8"/>
    </row>
    <row r="3956" spans="5:7" x14ac:dyDescent="0.15">
      <c r="E3956" s="8"/>
      <c r="F3956" s="8"/>
      <c r="G3956" s="8"/>
    </row>
    <row r="3957" spans="5:7" x14ac:dyDescent="0.15">
      <c r="E3957" s="8"/>
      <c r="F3957" s="8"/>
      <c r="G3957" s="8"/>
    </row>
    <row r="3958" spans="5:7" x14ac:dyDescent="0.15">
      <c r="E3958" s="8"/>
      <c r="F3958" s="8"/>
      <c r="G3958" s="8"/>
    </row>
    <row r="3959" spans="5:7" x14ac:dyDescent="0.15">
      <c r="E3959" s="8"/>
      <c r="F3959" s="8"/>
      <c r="G3959" s="8"/>
    </row>
    <row r="3960" spans="5:7" x14ac:dyDescent="0.15">
      <c r="E3960" s="8"/>
      <c r="F3960" s="8"/>
      <c r="G3960" s="8"/>
    </row>
    <row r="3961" spans="5:7" x14ac:dyDescent="0.15">
      <c r="E3961" s="8"/>
      <c r="F3961" s="8"/>
      <c r="G3961" s="8"/>
    </row>
    <row r="3962" spans="5:7" x14ac:dyDescent="0.15">
      <c r="E3962" s="8"/>
      <c r="F3962" s="8"/>
      <c r="G3962" s="8"/>
    </row>
    <row r="3963" spans="5:7" x14ac:dyDescent="0.15">
      <c r="E3963" s="8"/>
      <c r="F3963" s="8"/>
      <c r="G3963" s="8"/>
    </row>
    <row r="3964" spans="5:7" x14ac:dyDescent="0.15">
      <c r="E3964" s="8"/>
      <c r="F3964" s="8"/>
      <c r="G3964" s="8"/>
    </row>
    <row r="3965" spans="5:7" x14ac:dyDescent="0.15">
      <c r="E3965" s="8"/>
      <c r="F3965" s="8"/>
      <c r="G3965" s="8"/>
    </row>
    <row r="3966" spans="5:7" x14ac:dyDescent="0.15">
      <c r="E3966" s="8"/>
      <c r="F3966" s="8"/>
      <c r="G3966" s="8"/>
    </row>
    <row r="3967" spans="5:7" x14ac:dyDescent="0.15">
      <c r="E3967" s="8"/>
      <c r="F3967" s="8"/>
      <c r="G3967" s="8"/>
    </row>
    <row r="3968" spans="5:7" x14ac:dyDescent="0.15">
      <c r="E3968" s="8"/>
      <c r="F3968" s="8"/>
      <c r="G3968" s="8"/>
    </row>
    <row r="3969" spans="5:7" x14ac:dyDescent="0.15">
      <c r="E3969" s="8"/>
      <c r="F3969" s="8"/>
      <c r="G3969" s="8"/>
    </row>
    <row r="3970" spans="5:7" x14ac:dyDescent="0.15">
      <c r="E3970" s="8"/>
      <c r="F3970" s="8"/>
      <c r="G3970" s="8"/>
    </row>
    <row r="3971" spans="5:7" x14ac:dyDescent="0.15">
      <c r="E3971" s="8"/>
      <c r="F3971" s="8"/>
      <c r="G3971" s="8"/>
    </row>
    <row r="3972" spans="5:7" x14ac:dyDescent="0.15">
      <c r="E3972" s="8"/>
      <c r="F3972" s="8"/>
      <c r="G3972" s="8"/>
    </row>
    <row r="3973" spans="5:7" x14ac:dyDescent="0.15">
      <c r="E3973" s="8"/>
      <c r="F3973" s="8"/>
      <c r="G3973" s="8"/>
    </row>
    <row r="3974" spans="5:7" x14ac:dyDescent="0.15">
      <c r="E3974" s="8"/>
      <c r="F3974" s="8"/>
      <c r="G3974" s="8"/>
    </row>
    <row r="3975" spans="5:7" x14ac:dyDescent="0.15">
      <c r="E3975" s="8"/>
      <c r="F3975" s="8"/>
      <c r="G3975" s="8"/>
    </row>
    <row r="3976" spans="5:7" x14ac:dyDescent="0.15">
      <c r="E3976" s="8"/>
      <c r="F3976" s="8"/>
      <c r="G3976" s="8"/>
    </row>
    <row r="3977" spans="5:7" x14ac:dyDescent="0.15">
      <c r="E3977" s="8"/>
      <c r="F3977" s="8"/>
      <c r="G3977" s="8"/>
    </row>
    <row r="3978" spans="5:7" x14ac:dyDescent="0.15">
      <c r="E3978" s="8"/>
      <c r="F3978" s="8"/>
      <c r="G3978" s="8"/>
    </row>
    <row r="3979" spans="5:7" x14ac:dyDescent="0.15">
      <c r="E3979" s="8"/>
      <c r="F3979" s="8"/>
      <c r="G3979" s="8"/>
    </row>
    <row r="3980" spans="5:7" x14ac:dyDescent="0.15">
      <c r="E3980" s="8"/>
      <c r="F3980" s="8"/>
      <c r="G3980" s="8"/>
    </row>
    <row r="3981" spans="5:7" x14ac:dyDescent="0.15">
      <c r="E3981" s="8"/>
      <c r="F3981" s="8"/>
      <c r="G3981" s="8"/>
    </row>
    <row r="3982" spans="5:7" x14ac:dyDescent="0.15">
      <c r="E3982" s="8"/>
      <c r="F3982" s="8"/>
      <c r="G3982" s="8"/>
    </row>
    <row r="3983" spans="5:7" x14ac:dyDescent="0.15">
      <c r="E3983" s="8"/>
      <c r="F3983" s="8"/>
      <c r="G3983" s="8"/>
    </row>
    <row r="3984" spans="5:7" x14ac:dyDescent="0.15">
      <c r="E3984" s="8"/>
      <c r="F3984" s="8"/>
      <c r="G3984" s="8"/>
    </row>
    <row r="3985" spans="5:7" x14ac:dyDescent="0.15">
      <c r="E3985" s="8"/>
      <c r="F3985" s="8"/>
      <c r="G3985" s="8"/>
    </row>
    <row r="3986" spans="5:7" x14ac:dyDescent="0.15">
      <c r="E3986" s="8"/>
      <c r="F3986" s="8"/>
      <c r="G3986" s="8"/>
    </row>
    <row r="3987" spans="5:7" x14ac:dyDescent="0.15">
      <c r="E3987" s="8"/>
      <c r="F3987" s="8"/>
      <c r="G3987" s="8"/>
    </row>
    <row r="3988" spans="5:7" x14ac:dyDescent="0.15">
      <c r="E3988" s="8"/>
      <c r="F3988" s="8"/>
      <c r="G3988" s="8"/>
    </row>
    <row r="3989" spans="5:7" x14ac:dyDescent="0.15">
      <c r="E3989" s="8"/>
      <c r="F3989" s="8"/>
      <c r="G3989" s="8"/>
    </row>
    <row r="3990" spans="5:7" x14ac:dyDescent="0.15">
      <c r="E3990" s="8"/>
      <c r="F3990" s="8"/>
      <c r="G3990" s="8"/>
    </row>
    <row r="3991" spans="5:7" x14ac:dyDescent="0.15">
      <c r="E3991" s="8"/>
      <c r="F3991" s="8"/>
      <c r="G3991" s="8"/>
    </row>
    <row r="3992" spans="5:7" x14ac:dyDescent="0.15">
      <c r="E3992" s="8"/>
      <c r="F3992" s="8"/>
      <c r="G3992" s="8"/>
    </row>
    <row r="3993" spans="5:7" x14ac:dyDescent="0.15">
      <c r="E3993" s="8"/>
      <c r="F3993" s="8"/>
      <c r="G3993" s="8"/>
    </row>
    <row r="3994" spans="5:7" x14ac:dyDescent="0.15">
      <c r="E3994" s="8"/>
      <c r="F3994" s="8"/>
      <c r="G3994" s="8"/>
    </row>
    <row r="3995" spans="5:7" x14ac:dyDescent="0.15">
      <c r="E3995" s="8"/>
      <c r="F3995" s="8"/>
      <c r="G3995" s="8"/>
    </row>
    <row r="3996" spans="5:7" x14ac:dyDescent="0.15">
      <c r="E3996" s="8"/>
      <c r="F3996" s="8"/>
      <c r="G3996" s="8"/>
    </row>
    <row r="3997" spans="5:7" x14ac:dyDescent="0.15">
      <c r="E3997" s="8"/>
      <c r="F3997" s="8"/>
      <c r="G3997" s="8"/>
    </row>
    <row r="3998" spans="5:7" x14ac:dyDescent="0.15">
      <c r="E3998" s="8"/>
      <c r="F3998" s="8"/>
      <c r="G3998" s="8"/>
    </row>
    <row r="3999" spans="5:7" x14ac:dyDescent="0.15">
      <c r="E3999" s="8"/>
      <c r="F3999" s="8"/>
      <c r="G3999" s="8"/>
    </row>
    <row r="4000" spans="5:7" x14ac:dyDescent="0.15">
      <c r="E4000" s="8"/>
      <c r="F4000" s="8"/>
      <c r="G4000" s="8"/>
    </row>
    <row r="4001" spans="5:7" x14ac:dyDescent="0.15">
      <c r="E4001" s="8"/>
      <c r="F4001" s="8"/>
      <c r="G4001" s="8"/>
    </row>
    <row r="4002" spans="5:7" x14ac:dyDescent="0.15">
      <c r="E4002" s="8"/>
      <c r="F4002" s="8"/>
      <c r="G4002" s="8"/>
    </row>
    <row r="4003" spans="5:7" x14ac:dyDescent="0.15">
      <c r="E4003" s="8"/>
      <c r="F4003" s="8"/>
      <c r="G4003" s="8"/>
    </row>
    <row r="4004" spans="5:7" x14ac:dyDescent="0.15">
      <c r="E4004" s="8"/>
      <c r="F4004" s="8"/>
      <c r="G4004" s="8"/>
    </row>
    <row r="4005" spans="5:7" x14ac:dyDescent="0.15">
      <c r="E4005" s="8"/>
      <c r="F4005" s="8"/>
      <c r="G4005" s="8"/>
    </row>
    <row r="4006" spans="5:7" x14ac:dyDescent="0.15">
      <c r="E4006" s="8"/>
      <c r="F4006" s="8"/>
      <c r="G4006" s="8"/>
    </row>
    <row r="4007" spans="5:7" x14ac:dyDescent="0.15">
      <c r="E4007" s="8"/>
      <c r="F4007" s="8"/>
      <c r="G4007" s="8"/>
    </row>
    <row r="4008" spans="5:7" x14ac:dyDescent="0.15">
      <c r="E4008" s="8"/>
      <c r="F4008" s="8"/>
      <c r="G4008" s="8"/>
    </row>
    <row r="4009" spans="5:7" x14ac:dyDescent="0.15">
      <c r="E4009" s="8"/>
      <c r="F4009" s="8"/>
      <c r="G4009" s="8"/>
    </row>
    <row r="4010" spans="5:7" x14ac:dyDescent="0.15">
      <c r="E4010" s="8"/>
      <c r="F4010" s="8"/>
      <c r="G4010" s="8"/>
    </row>
    <row r="4011" spans="5:7" x14ac:dyDescent="0.15">
      <c r="E4011" s="8"/>
      <c r="F4011" s="8"/>
      <c r="G4011" s="8"/>
    </row>
    <row r="4012" spans="5:7" x14ac:dyDescent="0.15">
      <c r="E4012" s="8"/>
      <c r="F4012" s="8"/>
      <c r="G4012" s="8"/>
    </row>
    <row r="4013" spans="5:7" x14ac:dyDescent="0.15">
      <c r="E4013" s="8"/>
      <c r="F4013" s="8"/>
      <c r="G4013" s="8"/>
    </row>
    <row r="4014" spans="5:7" x14ac:dyDescent="0.15">
      <c r="E4014" s="8"/>
      <c r="F4014" s="8"/>
      <c r="G4014" s="8"/>
    </row>
    <row r="4015" spans="5:7" x14ac:dyDescent="0.15">
      <c r="E4015" s="8"/>
      <c r="F4015" s="8"/>
      <c r="G4015" s="8"/>
    </row>
    <row r="4016" spans="5:7" x14ac:dyDescent="0.15">
      <c r="E4016" s="8"/>
      <c r="F4016" s="8"/>
      <c r="G4016" s="8"/>
    </row>
    <row r="4017" spans="5:7" x14ac:dyDescent="0.15">
      <c r="E4017" s="8"/>
      <c r="F4017" s="8"/>
      <c r="G4017" s="8"/>
    </row>
    <row r="4018" spans="5:7" x14ac:dyDescent="0.15">
      <c r="E4018" s="8"/>
      <c r="F4018" s="8"/>
      <c r="G4018" s="8"/>
    </row>
    <row r="4019" spans="5:7" x14ac:dyDescent="0.15">
      <c r="E4019" s="8"/>
      <c r="F4019" s="8"/>
      <c r="G4019" s="8"/>
    </row>
    <row r="4020" spans="5:7" x14ac:dyDescent="0.15">
      <c r="E4020" s="8"/>
      <c r="F4020" s="8"/>
      <c r="G4020" s="8"/>
    </row>
    <row r="4021" spans="5:7" x14ac:dyDescent="0.15">
      <c r="E4021" s="8"/>
      <c r="F4021" s="8"/>
      <c r="G4021" s="8"/>
    </row>
    <row r="4022" spans="5:7" x14ac:dyDescent="0.15">
      <c r="E4022" s="8"/>
      <c r="F4022" s="8"/>
      <c r="G4022" s="8"/>
    </row>
    <row r="4023" spans="5:7" x14ac:dyDescent="0.15">
      <c r="E4023" s="8"/>
      <c r="F4023" s="8"/>
      <c r="G4023" s="8"/>
    </row>
    <row r="4024" spans="5:7" x14ac:dyDescent="0.15">
      <c r="E4024" s="8"/>
      <c r="F4024" s="8"/>
      <c r="G4024" s="8"/>
    </row>
    <row r="4025" spans="5:7" x14ac:dyDescent="0.15">
      <c r="E4025" s="8"/>
      <c r="F4025" s="8"/>
      <c r="G4025" s="8"/>
    </row>
    <row r="4026" spans="5:7" x14ac:dyDescent="0.15">
      <c r="E4026" s="8"/>
      <c r="F4026" s="8"/>
      <c r="G4026" s="8"/>
    </row>
    <row r="4027" spans="5:7" x14ac:dyDescent="0.15">
      <c r="E4027" s="8"/>
      <c r="F4027" s="8"/>
      <c r="G4027" s="8"/>
    </row>
    <row r="4028" spans="5:7" x14ac:dyDescent="0.15">
      <c r="E4028" s="8"/>
      <c r="F4028" s="8"/>
      <c r="G4028" s="8"/>
    </row>
    <row r="4029" spans="5:7" x14ac:dyDescent="0.15">
      <c r="E4029" s="8"/>
      <c r="F4029" s="8"/>
      <c r="G4029" s="8"/>
    </row>
    <row r="4030" spans="5:7" x14ac:dyDescent="0.15">
      <c r="E4030" s="8"/>
      <c r="F4030" s="8"/>
      <c r="G4030" s="8"/>
    </row>
    <row r="4031" spans="5:7" x14ac:dyDescent="0.15">
      <c r="E4031" s="8"/>
      <c r="F4031" s="8"/>
      <c r="G4031" s="8"/>
    </row>
    <row r="4032" spans="5:7" x14ac:dyDescent="0.15">
      <c r="E4032" s="8"/>
      <c r="F4032" s="8"/>
      <c r="G4032" s="8"/>
    </row>
    <row r="4033" spans="5:7" x14ac:dyDescent="0.15">
      <c r="E4033" s="8"/>
      <c r="F4033" s="8"/>
      <c r="G4033" s="8"/>
    </row>
    <row r="4034" spans="5:7" x14ac:dyDescent="0.15">
      <c r="E4034" s="8"/>
      <c r="F4034" s="8"/>
      <c r="G4034" s="8"/>
    </row>
    <row r="4035" spans="5:7" x14ac:dyDescent="0.15">
      <c r="E4035" s="8"/>
      <c r="F4035" s="8"/>
      <c r="G4035" s="8"/>
    </row>
    <row r="4036" spans="5:7" x14ac:dyDescent="0.15">
      <c r="E4036" s="8"/>
      <c r="F4036" s="8"/>
      <c r="G4036" s="8"/>
    </row>
    <row r="4037" spans="5:7" x14ac:dyDescent="0.15">
      <c r="E4037" s="8"/>
      <c r="F4037" s="8"/>
      <c r="G4037" s="8"/>
    </row>
    <row r="4038" spans="5:7" x14ac:dyDescent="0.15">
      <c r="E4038" s="8"/>
      <c r="F4038" s="8"/>
      <c r="G4038" s="8"/>
    </row>
    <row r="4039" spans="5:7" x14ac:dyDescent="0.15">
      <c r="E4039" s="8"/>
      <c r="F4039" s="8"/>
      <c r="G4039" s="8"/>
    </row>
    <row r="4040" spans="5:7" x14ac:dyDescent="0.15">
      <c r="E4040" s="8"/>
      <c r="F4040" s="8"/>
      <c r="G4040" s="8"/>
    </row>
    <row r="4041" spans="5:7" x14ac:dyDescent="0.15">
      <c r="E4041" s="8"/>
      <c r="F4041" s="8"/>
      <c r="G4041" s="8"/>
    </row>
    <row r="4042" spans="5:7" x14ac:dyDescent="0.15">
      <c r="E4042" s="8"/>
      <c r="F4042" s="8"/>
      <c r="G4042" s="8"/>
    </row>
    <row r="4043" spans="5:7" x14ac:dyDescent="0.15">
      <c r="E4043" s="8"/>
      <c r="F4043" s="8"/>
      <c r="G4043" s="8"/>
    </row>
    <row r="4044" spans="5:7" x14ac:dyDescent="0.15">
      <c r="E4044" s="8"/>
      <c r="F4044" s="8"/>
      <c r="G4044" s="8"/>
    </row>
    <row r="4045" spans="5:7" x14ac:dyDescent="0.15">
      <c r="E4045" s="8"/>
      <c r="F4045" s="8"/>
      <c r="G4045" s="8"/>
    </row>
    <row r="4046" spans="5:7" x14ac:dyDescent="0.15">
      <c r="E4046" s="8"/>
      <c r="F4046" s="8"/>
      <c r="G4046" s="8"/>
    </row>
    <row r="4047" spans="5:7" x14ac:dyDescent="0.15">
      <c r="E4047" s="8"/>
      <c r="F4047" s="8"/>
      <c r="G4047" s="8"/>
    </row>
    <row r="4048" spans="5:7" x14ac:dyDescent="0.15">
      <c r="E4048" s="8"/>
      <c r="F4048" s="8"/>
      <c r="G4048" s="8"/>
    </row>
    <row r="4049" spans="5:7" x14ac:dyDescent="0.15">
      <c r="E4049" s="8"/>
      <c r="F4049" s="8"/>
      <c r="G4049" s="8"/>
    </row>
    <row r="4050" spans="5:7" x14ac:dyDescent="0.15">
      <c r="E4050" s="8"/>
      <c r="F4050" s="8"/>
      <c r="G4050" s="8"/>
    </row>
    <row r="4051" spans="5:7" x14ac:dyDescent="0.15">
      <c r="E4051" s="8"/>
      <c r="F4051" s="8"/>
      <c r="G4051" s="8"/>
    </row>
    <row r="4052" spans="5:7" x14ac:dyDescent="0.15">
      <c r="E4052" s="8"/>
      <c r="F4052" s="8"/>
      <c r="G4052" s="8"/>
    </row>
    <row r="4053" spans="5:7" x14ac:dyDescent="0.15">
      <c r="E4053" s="8"/>
      <c r="F4053" s="8"/>
      <c r="G4053" s="8"/>
    </row>
    <row r="4054" spans="5:7" x14ac:dyDescent="0.15">
      <c r="E4054" s="8"/>
      <c r="F4054" s="8"/>
      <c r="G4054" s="8"/>
    </row>
    <row r="4055" spans="5:7" x14ac:dyDescent="0.15">
      <c r="E4055" s="8"/>
      <c r="F4055" s="8"/>
      <c r="G4055" s="8"/>
    </row>
    <row r="4056" spans="5:7" x14ac:dyDescent="0.15">
      <c r="E4056" s="8"/>
      <c r="F4056" s="8"/>
      <c r="G4056" s="8"/>
    </row>
    <row r="4057" spans="5:7" x14ac:dyDescent="0.15">
      <c r="E4057" s="8"/>
      <c r="F4057" s="8"/>
      <c r="G4057" s="8"/>
    </row>
    <row r="4058" spans="5:7" x14ac:dyDescent="0.15">
      <c r="E4058" s="8"/>
      <c r="F4058" s="8"/>
      <c r="G4058" s="8"/>
    </row>
    <row r="4059" spans="5:7" x14ac:dyDescent="0.15">
      <c r="E4059" s="8"/>
      <c r="F4059" s="8"/>
      <c r="G4059" s="8"/>
    </row>
    <row r="4060" spans="5:7" x14ac:dyDescent="0.15">
      <c r="E4060" s="8"/>
      <c r="F4060" s="8"/>
      <c r="G4060" s="8"/>
    </row>
    <row r="4061" spans="5:7" x14ac:dyDescent="0.15">
      <c r="E4061" s="8"/>
      <c r="F4061" s="8"/>
      <c r="G4061" s="8"/>
    </row>
    <row r="4062" spans="5:7" x14ac:dyDescent="0.15">
      <c r="E4062" s="8"/>
      <c r="F4062" s="8"/>
      <c r="G4062" s="8"/>
    </row>
    <row r="4063" spans="5:7" x14ac:dyDescent="0.15">
      <c r="E4063" s="8"/>
      <c r="F4063" s="8"/>
      <c r="G4063" s="8"/>
    </row>
    <row r="4064" spans="5:7" x14ac:dyDescent="0.15">
      <c r="E4064" s="8"/>
      <c r="F4064" s="8"/>
      <c r="G4064" s="8"/>
    </row>
    <row r="4065" spans="5:7" x14ac:dyDescent="0.15">
      <c r="E4065" s="8"/>
      <c r="F4065" s="8"/>
      <c r="G4065" s="8"/>
    </row>
    <row r="4066" spans="5:7" x14ac:dyDescent="0.15">
      <c r="E4066" s="8"/>
      <c r="F4066" s="8"/>
      <c r="G4066" s="8"/>
    </row>
    <row r="4067" spans="5:7" x14ac:dyDescent="0.15">
      <c r="E4067" s="8"/>
      <c r="F4067" s="8"/>
      <c r="G4067" s="8"/>
    </row>
    <row r="4068" spans="5:7" x14ac:dyDescent="0.15">
      <c r="E4068" s="8"/>
      <c r="F4068" s="8"/>
      <c r="G4068" s="8"/>
    </row>
    <row r="4069" spans="5:7" x14ac:dyDescent="0.15">
      <c r="E4069" s="8"/>
      <c r="F4069" s="8"/>
      <c r="G4069" s="8"/>
    </row>
    <row r="4070" spans="5:7" x14ac:dyDescent="0.15">
      <c r="E4070" s="8"/>
      <c r="F4070" s="8"/>
      <c r="G4070" s="8"/>
    </row>
    <row r="4071" spans="5:7" x14ac:dyDescent="0.15">
      <c r="E4071" s="8"/>
      <c r="F4071" s="8"/>
      <c r="G4071" s="8"/>
    </row>
    <row r="4072" spans="5:7" x14ac:dyDescent="0.15">
      <c r="E4072" s="8"/>
      <c r="F4072" s="8"/>
      <c r="G4072" s="8"/>
    </row>
    <row r="4073" spans="5:7" x14ac:dyDescent="0.15">
      <c r="E4073" s="8"/>
      <c r="F4073" s="8"/>
      <c r="G4073" s="8"/>
    </row>
    <row r="4074" spans="5:7" x14ac:dyDescent="0.15">
      <c r="E4074" s="8"/>
      <c r="F4074" s="8"/>
      <c r="G4074" s="8"/>
    </row>
    <row r="4075" spans="5:7" x14ac:dyDescent="0.15">
      <c r="E4075" s="8"/>
      <c r="F4075" s="8"/>
      <c r="G4075" s="8"/>
    </row>
    <row r="4076" spans="5:7" x14ac:dyDescent="0.15">
      <c r="E4076" s="8"/>
      <c r="F4076" s="8"/>
      <c r="G4076" s="8"/>
    </row>
    <row r="4077" spans="5:7" x14ac:dyDescent="0.15">
      <c r="E4077" s="8"/>
      <c r="F4077" s="8"/>
      <c r="G4077" s="8"/>
    </row>
    <row r="4078" spans="5:7" x14ac:dyDescent="0.15">
      <c r="E4078" s="8"/>
      <c r="F4078" s="8"/>
      <c r="G4078" s="8"/>
    </row>
    <row r="4079" spans="5:7" x14ac:dyDescent="0.15">
      <c r="E4079" s="8"/>
      <c r="F4079" s="8"/>
      <c r="G4079" s="8"/>
    </row>
    <row r="4080" spans="5:7" x14ac:dyDescent="0.15">
      <c r="E4080" s="8"/>
      <c r="F4080" s="8"/>
      <c r="G4080" s="8"/>
    </row>
    <row r="4081" spans="5:7" x14ac:dyDescent="0.15">
      <c r="E4081" s="8"/>
      <c r="F4081" s="8"/>
      <c r="G4081" s="8"/>
    </row>
    <row r="4082" spans="5:7" x14ac:dyDescent="0.15">
      <c r="E4082" s="8"/>
      <c r="F4082" s="8"/>
      <c r="G4082" s="8"/>
    </row>
    <row r="4083" spans="5:7" x14ac:dyDescent="0.15">
      <c r="E4083" s="8"/>
      <c r="F4083" s="8"/>
      <c r="G4083" s="8"/>
    </row>
    <row r="4084" spans="5:7" x14ac:dyDescent="0.15">
      <c r="E4084" s="8"/>
      <c r="F4084" s="8"/>
      <c r="G4084" s="8"/>
    </row>
    <row r="4085" spans="5:7" x14ac:dyDescent="0.15">
      <c r="E4085" s="8"/>
      <c r="F4085" s="8"/>
      <c r="G4085" s="8"/>
    </row>
    <row r="4086" spans="5:7" x14ac:dyDescent="0.15">
      <c r="E4086" s="8"/>
      <c r="F4086" s="8"/>
      <c r="G4086" s="8"/>
    </row>
    <row r="4087" spans="5:7" x14ac:dyDescent="0.15">
      <c r="E4087" s="8"/>
      <c r="F4087" s="8"/>
      <c r="G4087" s="8"/>
    </row>
    <row r="4088" spans="5:7" x14ac:dyDescent="0.15">
      <c r="E4088" s="8"/>
      <c r="F4088" s="8"/>
      <c r="G4088" s="8"/>
    </row>
    <row r="4089" spans="5:7" x14ac:dyDescent="0.15">
      <c r="E4089" s="8"/>
      <c r="F4089" s="8"/>
      <c r="G4089" s="8"/>
    </row>
    <row r="4090" spans="5:7" x14ac:dyDescent="0.15">
      <c r="E4090" s="8"/>
      <c r="F4090" s="8"/>
      <c r="G4090" s="8"/>
    </row>
    <row r="4091" spans="5:7" x14ac:dyDescent="0.15">
      <c r="E4091" s="8"/>
      <c r="F4091" s="8"/>
      <c r="G4091" s="8"/>
    </row>
    <row r="4092" spans="5:7" x14ac:dyDescent="0.15">
      <c r="E4092" s="8"/>
      <c r="F4092" s="8"/>
      <c r="G4092" s="8"/>
    </row>
    <row r="4093" spans="5:7" x14ac:dyDescent="0.15">
      <c r="E4093" s="8"/>
      <c r="F4093" s="8"/>
      <c r="G4093" s="8"/>
    </row>
    <row r="4094" spans="5:7" x14ac:dyDescent="0.15">
      <c r="E4094" s="8"/>
      <c r="F4094" s="8"/>
      <c r="G4094" s="8"/>
    </row>
    <row r="4095" spans="5:7" x14ac:dyDescent="0.15">
      <c r="E4095" s="8"/>
      <c r="F4095" s="8"/>
      <c r="G4095" s="8"/>
    </row>
    <row r="4096" spans="5:7" x14ac:dyDescent="0.15">
      <c r="E4096" s="8"/>
      <c r="F4096" s="8"/>
      <c r="G4096" s="8"/>
    </row>
    <row r="4097" spans="5:7" x14ac:dyDescent="0.15">
      <c r="E4097" s="8"/>
      <c r="F4097" s="8"/>
      <c r="G4097" s="8"/>
    </row>
    <row r="4098" spans="5:7" x14ac:dyDescent="0.15">
      <c r="E4098" s="8"/>
      <c r="F4098" s="8"/>
      <c r="G4098" s="8"/>
    </row>
    <row r="4099" spans="5:7" x14ac:dyDescent="0.15">
      <c r="E4099" s="8"/>
      <c r="F4099" s="8"/>
      <c r="G4099" s="8"/>
    </row>
    <row r="4100" spans="5:7" x14ac:dyDescent="0.15">
      <c r="E4100" s="8"/>
      <c r="F4100" s="8"/>
      <c r="G4100" s="8"/>
    </row>
    <row r="4101" spans="5:7" x14ac:dyDescent="0.15">
      <c r="E4101" s="8"/>
      <c r="F4101" s="8"/>
      <c r="G4101" s="8"/>
    </row>
    <row r="4102" spans="5:7" x14ac:dyDescent="0.15">
      <c r="E4102" s="8"/>
      <c r="F4102" s="8"/>
      <c r="G4102" s="8"/>
    </row>
    <row r="4103" spans="5:7" x14ac:dyDescent="0.15">
      <c r="E4103" s="8"/>
      <c r="F4103" s="8"/>
      <c r="G4103" s="8"/>
    </row>
    <row r="4104" spans="5:7" x14ac:dyDescent="0.15">
      <c r="E4104" s="8"/>
      <c r="F4104" s="8"/>
      <c r="G4104" s="8"/>
    </row>
    <row r="4105" spans="5:7" x14ac:dyDescent="0.15">
      <c r="E4105" s="8"/>
      <c r="F4105" s="8"/>
      <c r="G4105" s="8"/>
    </row>
    <row r="4106" spans="5:7" x14ac:dyDescent="0.15">
      <c r="E4106" s="8"/>
      <c r="F4106" s="8"/>
      <c r="G4106" s="8"/>
    </row>
    <row r="4107" spans="5:7" x14ac:dyDescent="0.15">
      <c r="E4107" s="8"/>
      <c r="F4107" s="8"/>
      <c r="G4107" s="8"/>
    </row>
    <row r="4108" spans="5:7" x14ac:dyDescent="0.15">
      <c r="E4108" s="8"/>
      <c r="F4108" s="8"/>
      <c r="G4108" s="8"/>
    </row>
    <row r="4109" spans="5:7" x14ac:dyDescent="0.15">
      <c r="E4109" s="8"/>
      <c r="F4109" s="8"/>
      <c r="G4109" s="8"/>
    </row>
    <row r="4110" spans="5:7" x14ac:dyDescent="0.15">
      <c r="E4110" s="8"/>
      <c r="F4110" s="8"/>
      <c r="G4110" s="8"/>
    </row>
    <row r="4111" spans="5:7" x14ac:dyDescent="0.15">
      <c r="E4111" s="8"/>
      <c r="F4111" s="8"/>
      <c r="G4111" s="8"/>
    </row>
    <row r="4112" spans="5:7" x14ac:dyDescent="0.15">
      <c r="E4112" s="8"/>
      <c r="F4112" s="8"/>
      <c r="G4112" s="8"/>
    </row>
    <row r="4113" spans="5:7" x14ac:dyDescent="0.15">
      <c r="E4113" s="8"/>
      <c r="F4113" s="8"/>
      <c r="G4113" s="8"/>
    </row>
    <row r="4114" spans="5:7" x14ac:dyDescent="0.15">
      <c r="E4114" s="8"/>
      <c r="F4114" s="8"/>
      <c r="G4114" s="8"/>
    </row>
    <row r="4115" spans="5:7" x14ac:dyDescent="0.15">
      <c r="E4115" s="8"/>
      <c r="F4115" s="8"/>
      <c r="G4115" s="8"/>
    </row>
    <row r="4116" spans="5:7" x14ac:dyDescent="0.15">
      <c r="E4116" s="8"/>
      <c r="F4116" s="8"/>
      <c r="G4116" s="8"/>
    </row>
    <row r="4117" spans="5:7" x14ac:dyDescent="0.15">
      <c r="E4117" s="8"/>
      <c r="F4117" s="8"/>
      <c r="G4117" s="8"/>
    </row>
    <row r="4118" spans="5:7" x14ac:dyDescent="0.15">
      <c r="E4118" s="8"/>
      <c r="F4118" s="8"/>
      <c r="G4118" s="8"/>
    </row>
    <row r="4119" spans="5:7" x14ac:dyDescent="0.15">
      <c r="E4119" s="8"/>
      <c r="F4119" s="8"/>
      <c r="G4119" s="8"/>
    </row>
    <row r="4120" spans="5:7" x14ac:dyDescent="0.15">
      <c r="E4120" s="8"/>
      <c r="F4120" s="8"/>
      <c r="G4120" s="8"/>
    </row>
    <row r="4121" spans="5:7" x14ac:dyDescent="0.15">
      <c r="E4121" s="8"/>
      <c r="F4121" s="8"/>
      <c r="G4121" s="8"/>
    </row>
    <row r="4122" spans="5:7" x14ac:dyDescent="0.15">
      <c r="E4122" s="8"/>
      <c r="F4122" s="8"/>
      <c r="G4122" s="8"/>
    </row>
    <row r="4123" spans="5:7" x14ac:dyDescent="0.15">
      <c r="E4123" s="8"/>
      <c r="F4123" s="8"/>
      <c r="G4123" s="8"/>
    </row>
    <row r="4124" spans="5:7" x14ac:dyDescent="0.15">
      <c r="E4124" s="8"/>
      <c r="F4124" s="8"/>
      <c r="G4124" s="8"/>
    </row>
    <row r="4125" spans="5:7" x14ac:dyDescent="0.15">
      <c r="E4125" s="8"/>
      <c r="F4125" s="8"/>
      <c r="G4125" s="8"/>
    </row>
    <row r="4126" spans="5:7" x14ac:dyDescent="0.15">
      <c r="E4126" s="8"/>
      <c r="F4126" s="8"/>
      <c r="G4126" s="8"/>
    </row>
    <row r="4127" spans="5:7" x14ac:dyDescent="0.15">
      <c r="E4127" s="8"/>
      <c r="F4127" s="8"/>
      <c r="G4127" s="8"/>
    </row>
    <row r="4128" spans="5:7" x14ac:dyDescent="0.15">
      <c r="E4128" s="8"/>
      <c r="F4128" s="8"/>
      <c r="G4128" s="8"/>
    </row>
    <row r="4129" spans="5:7" x14ac:dyDescent="0.15">
      <c r="E4129" s="8"/>
      <c r="F4129" s="8"/>
      <c r="G4129" s="8"/>
    </row>
    <row r="4130" spans="5:7" x14ac:dyDescent="0.15">
      <c r="E4130" s="8"/>
      <c r="F4130" s="8"/>
      <c r="G4130" s="8"/>
    </row>
    <row r="4131" spans="5:7" x14ac:dyDescent="0.15">
      <c r="E4131" s="8"/>
      <c r="F4131" s="8"/>
      <c r="G4131" s="8"/>
    </row>
    <row r="4132" spans="5:7" x14ac:dyDescent="0.15">
      <c r="E4132" s="8"/>
      <c r="F4132" s="8"/>
      <c r="G4132" s="8"/>
    </row>
    <row r="4133" spans="5:7" x14ac:dyDescent="0.15">
      <c r="E4133" s="8"/>
      <c r="F4133" s="8"/>
      <c r="G4133" s="8"/>
    </row>
    <row r="4134" spans="5:7" x14ac:dyDescent="0.15">
      <c r="E4134" s="8"/>
      <c r="F4134" s="8"/>
      <c r="G4134" s="8"/>
    </row>
    <row r="4135" spans="5:7" x14ac:dyDescent="0.15">
      <c r="E4135" s="8"/>
      <c r="F4135" s="8"/>
      <c r="G4135" s="8"/>
    </row>
    <row r="4136" spans="5:7" x14ac:dyDescent="0.15">
      <c r="E4136" s="8"/>
      <c r="F4136" s="8"/>
      <c r="G4136" s="8"/>
    </row>
    <row r="4137" spans="5:7" x14ac:dyDescent="0.15">
      <c r="E4137" s="8"/>
      <c r="F4137" s="8"/>
      <c r="G4137" s="8"/>
    </row>
    <row r="4138" spans="5:7" x14ac:dyDescent="0.15">
      <c r="E4138" s="8"/>
      <c r="F4138" s="8"/>
      <c r="G4138" s="8"/>
    </row>
    <row r="4139" spans="5:7" x14ac:dyDescent="0.15">
      <c r="E4139" s="8"/>
      <c r="F4139" s="8"/>
      <c r="G4139" s="8"/>
    </row>
    <row r="4140" spans="5:7" x14ac:dyDescent="0.15">
      <c r="E4140" s="8"/>
      <c r="F4140" s="8"/>
      <c r="G4140" s="8"/>
    </row>
    <row r="4141" spans="5:7" x14ac:dyDescent="0.15">
      <c r="E4141" s="8"/>
      <c r="F4141" s="8"/>
      <c r="G4141" s="8"/>
    </row>
    <row r="4142" spans="5:7" x14ac:dyDescent="0.15">
      <c r="E4142" s="8"/>
      <c r="F4142" s="8"/>
      <c r="G4142" s="8"/>
    </row>
    <row r="4143" spans="5:7" x14ac:dyDescent="0.15">
      <c r="E4143" s="8"/>
      <c r="F4143" s="8"/>
      <c r="G4143" s="8"/>
    </row>
    <row r="4144" spans="5:7" x14ac:dyDescent="0.15">
      <c r="E4144" s="8"/>
      <c r="F4144" s="8"/>
      <c r="G4144" s="8"/>
    </row>
    <row r="4145" spans="5:7" x14ac:dyDescent="0.15">
      <c r="E4145" s="8"/>
      <c r="F4145" s="8"/>
      <c r="G4145" s="8"/>
    </row>
    <row r="4146" spans="5:7" x14ac:dyDescent="0.15">
      <c r="E4146" s="8"/>
      <c r="F4146" s="8"/>
      <c r="G4146" s="8"/>
    </row>
    <row r="4147" spans="5:7" x14ac:dyDescent="0.15">
      <c r="E4147" s="8"/>
      <c r="F4147" s="8"/>
      <c r="G4147" s="8"/>
    </row>
    <row r="4148" spans="5:7" x14ac:dyDescent="0.15">
      <c r="E4148" s="8"/>
      <c r="F4148" s="8"/>
      <c r="G4148" s="8"/>
    </row>
    <row r="4149" spans="5:7" x14ac:dyDescent="0.15">
      <c r="E4149" s="8"/>
      <c r="F4149" s="8"/>
      <c r="G4149" s="8"/>
    </row>
    <row r="4150" spans="5:7" x14ac:dyDescent="0.15">
      <c r="E4150" s="8"/>
      <c r="F4150" s="8"/>
      <c r="G4150" s="8"/>
    </row>
    <row r="4151" spans="5:7" x14ac:dyDescent="0.15">
      <c r="E4151" s="8"/>
      <c r="F4151" s="8"/>
      <c r="G4151" s="8"/>
    </row>
    <row r="4152" spans="5:7" x14ac:dyDescent="0.15">
      <c r="E4152" s="8"/>
      <c r="F4152" s="8"/>
      <c r="G4152" s="8"/>
    </row>
    <row r="4153" spans="5:7" x14ac:dyDescent="0.15">
      <c r="E4153" s="8"/>
      <c r="F4153" s="8"/>
      <c r="G4153" s="8"/>
    </row>
    <row r="4154" spans="5:7" x14ac:dyDescent="0.15">
      <c r="E4154" s="8"/>
      <c r="F4154" s="8"/>
      <c r="G4154" s="8"/>
    </row>
    <row r="4155" spans="5:7" x14ac:dyDescent="0.15">
      <c r="E4155" s="8"/>
      <c r="F4155" s="8"/>
      <c r="G4155" s="8"/>
    </row>
    <row r="4156" spans="5:7" x14ac:dyDescent="0.15">
      <c r="E4156" s="8"/>
      <c r="F4156" s="8"/>
      <c r="G4156" s="8"/>
    </row>
    <row r="4157" spans="5:7" x14ac:dyDescent="0.15">
      <c r="E4157" s="8"/>
      <c r="F4157" s="8"/>
      <c r="G4157" s="8"/>
    </row>
    <row r="4158" spans="5:7" x14ac:dyDescent="0.15">
      <c r="E4158" s="8"/>
      <c r="F4158" s="8"/>
      <c r="G4158" s="8"/>
    </row>
    <row r="4159" spans="5:7" x14ac:dyDescent="0.15">
      <c r="E4159" s="8"/>
      <c r="F4159" s="8"/>
      <c r="G4159" s="8"/>
    </row>
    <row r="4160" spans="5:7" x14ac:dyDescent="0.15">
      <c r="E4160" s="8"/>
      <c r="F4160" s="8"/>
      <c r="G4160" s="8"/>
    </row>
    <row r="4161" spans="5:6" x14ac:dyDescent="0.15">
      <c r="E4161" s="8"/>
      <c r="F4161" s="8"/>
    </row>
    <row r="4162" spans="5:6" x14ac:dyDescent="0.15">
      <c r="E4162" s="8"/>
      <c r="F4162" s="8"/>
    </row>
    <row r="4163" spans="5:6" x14ac:dyDescent="0.15">
      <c r="E4163" s="8"/>
      <c r="F4163" s="8"/>
    </row>
    <row r="4164" spans="5:6" x14ac:dyDescent="0.15">
      <c r="E4164" s="8"/>
      <c r="F4164" s="8"/>
    </row>
    <row r="4165" spans="5:6" x14ac:dyDescent="0.15">
      <c r="E4165" s="8"/>
      <c r="F4165" s="8"/>
    </row>
    <row r="4166" spans="5:6" x14ac:dyDescent="0.15">
      <c r="E4166" s="8"/>
      <c r="F4166" s="8"/>
    </row>
    <row r="4167" spans="5:6" x14ac:dyDescent="0.15">
      <c r="E4167" s="8"/>
      <c r="F4167" s="8"/>
    </row>
    <row r="4168" spans="5:6" x14ac:dyDescent="0.15">
      <c r="E4168" s="8"/>
      <c r="F4168" s="8"/>
    </row>
    <row r="4169" spans="5:6" x14ac:dyDescent="0.15">
      <c r="E4169" s="8"/>
      <c r="F4169" s="8"/>
    </row>
    <row r="4170" spans="5:6" x14ac:dyDescent="0.15">
      <c r="E4170" s="8"/>
      <c r="F4170" s="8"/>
    </row>
    <row r="4171" spans="5:6" x14ac:dyDescent="0.15">
      <c r="E4171" s="8"/>
      <c r="F4171" s="8"/>
    </row>
    <row r="4172" spans="5:6" x14ac:dyDescent="0.15">
      <c r="E4172" s="8"/>
      <c r="F4172" s="8"/>
    </row>
    <row r="4173" spans="5:6" x14ac:dyDescent="0.15">
      <c r="E4173" s="8"/>
      <c r="F4173" s="8"/>
    </row>
    <row r="4174" spans="5:6" x14ac:dyDescent="0.15">
      <c r="E4174" s="8"/>
      <c r="F4174" s="8"/>
    </row>
    <row r="4175" spans="5:6" x14ac:dyDescent="0.15">
      <c r="E4175" s="8"/>
      <c r="F4175" s="8"/>
    </row>
    <row r="4176" spans="5:6" x14ac:dyDescent="0.15">
      <c r="E4176" s="8"/>
      <c r="F4176" s="8"/>
    </row>
    <row r="4177" spans="5:6" x14ac:dyDescent="0.15">
      <c r="E4177" s="8"/>
      <c r="F4177" s="8"/>
    </row>
    <row r="4178" spans="5:6" x14ac:dyDescent="0.15">
      <c r="E4178" s="8"/>
      <c r="F4178" s="8"/>
    </row>
    <row r="4179" spans="5:6" x14ac:dyDescent="0.15">
      <c r="E4179" s="8"/>
      <c r="F4179" s="8"/>
    </row>
    <row r="4180" spans="5:6" x14ac:dyDescent="0.15">
      <c r="E4180" s="8"/>
      <c r="F4180" s="8"/>
    </row>
    <row r="4181" spans="5:6" x14ac:dyDescent="0.15">
      <c r="E4181" s="8"/>
      <c r="F4181" s="8"/>
    </row>
    <row r="4182" spans="5:6" x14ac:dyDescent="0.15">
      <c r="E4182" s="8"/>
      <c r="F4182" s="8"/>
    </row>
    <row r="4183" spans="5:6" x14ac:dyDescent="0.15">
      <c r="E4183" s="8"/>
      <c r="F4183" s="8"/>
    </row>
    <row r="4184" spans="5:6" x14ac:dyDescent="0.15">
      <c r="E4184" s="8"/>
      <c r="F4184" s="8"/>
    </row>
    <row r="4185" spans="5:6" x14ac:dyDescent="0.15">
      <c r="E4185" s="8"/>
      <c r="F4185" s="8"/>
    </row>
    <row r="4186" spans="5:6" x14ac:dyDescent="0.15">
      <c r="E4186" s="8"/>
      <c r="F4186" s="8"/>
    </row>
    <row r="4187" spans="5:6" x14ac:dyDescent="0.15">
      <c r="E4187" s="8"/>
      <c r="F4187" s="8"/>
    </row>
    <row r="4188" spans="5:6" x14ac:dyDescent="0.15">
      <c r="E4188" s="8"/>
      <c r="F4188" s="8"/>
    </row>
    <row r="4189" spans="5:6" x14ac:dyDescent="0.15">
      <c r="E4189" s="8"/>
      <c r="F4189" s="8"/>
    </row>
    <row r="4190" spans="5:6" x14ac:dyDescent="0.15">
      <c r="E4190" s="8"/>
      <c r="F4190" s="8"/>
    </row>
    <row r="4191" spans="5:6" x14ac:dyDescent="0.15">
      <c r="E4191" s="8"/>
      <c r="F4191" s="8"/>
    </row>
    <row r="4192" spans="5:6" x14ac:dyDescent="0.15">
      <c r="E4192" s="8"/>
      <c r="F4192" s="8"/>
    </row>
    <row r="4193" spans="5:6" x14ac:dyDescent="0.15">
      <c r="E4193" s="8"/>
      <c r="F4193" s="8"/>
    </row>
    <row r="4194" spans="5:6" x14ac:dyDescent="0.15">
      <c r="E4194" s="8"/>
      <c r="F4194" s="8"/>
    </row>
    <row r="4195" spans="5:6" x14ac:dyDescent="0.15">
      <c r="E4195" s="8"/>
      <c r="F4195" s="8"/>
    </row>
    <row r="4196" spans="5:6" x14ac:dyDescent="0.15">
      <c r="E4196" s="8"/>
      <c r="F4196" s="8"/>
    </row>
    <row r="4197" spans="5:6" x14ac:dyDescent="0.15">
      <c r="E4197" s="8"/>
      <c r="F4197" s="8"/>
    </row>
    <row r="4198" spans="5:6" x14ac:dyDescent="0.15">
      <c r="E4198" s="8"/>
      <c r="F4198" s="8"/>
    </row>
    <row r="4199" spans="5:6" x14ac:dyDescent="0.15">
      <c r="E4199" s="8"/>
      <c r="F4199" s="8"/>
    </row>
    <row r="4200" spans="5:6" x14ac:dyDescent="0.15">
      <c r="E4200" s="8"/>
      <c r="F4200" s="8"/>
    </row>
    <row r="4201" spans="5:6" x14ac:dyDescent="0.15">
      <c r="E4201" s="8"/>
      <c r="F4201" s="8"/>
    </row>
    <row r="4202" spans="5:6" x14ac:dyDescent="0.15">
      <c r="E4202" s="8"/>
      <c r="F4202" s="8"/>
    </row>
    <row r="4203" spans="5:6" x14ac:dyDescent="0.15">
      <c r="E4203" s="8"/>
      <c r="F4203" s="8"/>
    </row>
    <row r="4204" spans="5:6" x14ac:dyDescent="0.15">
      <c r="E4204" s="8"/>
      <c r="F4204" s="8"/>
    </row>
    <row r="4205" spans="5:6" x14ac:dyDescent="0.15">
      <c r="E4205" s="8"/>
      <c r="F4205" s="8"/>
    </row>
    <row r="4206" spans="5:6" x14ac:dyDescent="0.15">
      <c r="E4206" s="8"/>
      <c r="F4206" s="8"/>
    </row>
    <row r="4207" spans="5:6" x14ac:dyDescent="0.15">
      <c r="E4207" s="8"/>
      <c r="F4207" s="8"/>
    </row>
    <row r="4208" spans="5:6" x14ac:dyDescent="0.15">
      <c r="E4208" s="8"/>
      <c r="F4208" s="8"/>
    </row>
    <row r="4209" spans="5:6" x14ac:dyDescent="0.15">
      <c r="E4209" s="8"/>
      <c r="F4209" s="8"/>
    </row>
    <row r="4210" spans="5:6" x14ac:dyDescent="0.15">
      <c r="E4210" s="8"/>
      <c r="F4210" s="8"/>
    </row>
    <row r="4211" spans="5:6" x14ac:dyDescent="0.15">
      <c r="E4211" s="8"/>
      <c r="F4211" s="8"/>
    </row>
    <row r="4212" spans="5:6" x14ac:dyDescent="0.15">
      <c r="E4212" s="8"/>
      <c r="F4212" s="8"/>
    </row>
    <row r="4213" spans="5:6" x14ac:dyDescent="0.15">
      <c r="E4213" s="8"/>
      <c r="F4213" s="8"/>
    </row>
    <row r="4214" spans="5:6" x14ac:dyDescent="0.15">
      <c r="E4214" s="8"/>
      <c r="F4214" s="8"/>
    </row>
    <row r="4215" spans="5:6" x14ac:dyDescent="0.15">
      <c r="E4215" s="8"/>
      <c r="F4215" s="8"/>
    </row>
    <row r="4216" spans="5:6" x14ac:dyDescent="0.15">
      <c r="E4216" s="8"/>
      <c r="F4216" s="8"/>
    </row>
    <row r="4217" spans="5:6" x14ac:dyDescent="0.15">
      <c r="E4217" s="8"/>
      <c r="F4217" s="8"/>
    </row>
    <row r="4218" spans="5:6" x14ac:dyDescent="0.15">
      <c r="E4218" s="8"/>
      <c r="F4218" s="8"/>
    </row>
    <row r="4219" spans="5:6" x14ac:dyDescent="0.15">
      <c r="E4219" s="8"/>
      <c r="F4219" s="8"/>
    </row>
    <row r="4220" spans="5:6" x14ac:dyDescent="0.15">
      <c r="E4220" s="8"/>
      <c r="F4220" s="8"/>
    </row>
    <row r="4221" spans="5:6" x14ac:dyDescent="0.15">
      <c r="E4221" s="8"/>
      <c r="F4221" s="8"/>
    </row>
    <row r="4222" spans="5:6" x14ac:dyDescent="0.15">
      <c r="E4222" s="8"/>
      <c r="F4222" s="8"/>
    </row>
    <row r="4223" spans="5:6" x14ac:dyDescent="0.15">
      <c r="E4223" s="8"/>
      <c r="F4223" s="8"/>
    </row>
    <row r="4224" spans="5:6" x14ac:dyDescent="0.15">
      <c r="E4224" s="8"/>
      <c r="F4224" s="8"/>
    </row>
    <row r="4225" spans="5:6" x14ac:dyDescent="0.15">
      <c r="E4225" s="8"/>
      <c r="F4225" s="8"/>
    </row>
    <row r="4226" spans="5:6" x14ac:dyDescent="0.15">
      <c r="E4226" s="8"/>
      <c r="F4226" s="8"/>
    </row>
    <row r="4227" spans="5:6" x14ac:dyDescent="0.15">
      <c r="E4227" s="8"/>
      <c r="F4227" s="8"/>
    </row>
    <row r="4228" spans="5:6" x14ac:dyDescent="0.15">
      <c r="E4228" s="8"/>
      <c r="F4228" s="8"/>
    </row>
    <row r="4229" spans="5:6" x14ac:dyDescent="0.15">
      <c r="E4229" s="8"/>
      <c r="F4229" s="8"/>
    </row>
    <row r="4230" spans="5:6" x14ac:dyDescent="0.15">
      <c r="E4230" s="8"/>
      <c r="F4230" s="8"/>
    </row>
    <row r="4231" spans="5:6" x14ac:dyDescent="0.15">
      <c r="E4231" s="8"/>
      <c r="F4231" s="8"/>
    </row>
    <row r="4232" spans="5:6" x14ac:dyDescent="0.15">
      <c r="E4232" s="8"/>
      <c r="F4232" s="8"/>
    </row>
    <row r="4233" spans="5:6" x14ac:dyDescent="0.15">
      <c r="E4233" s="8"/>
      <c r="F4233" s="8"/>
    </row>
    <row r="4234" spans="5:6" x14ac:dyDescent="0.15">
      <c r="E4234" s="8"/>
      <c r="F4234" s="8"/>
    </row>
    <row r="4235" spans="5:6" x14ac:dyDescent="0.15">
      <c r="E4235" s="8"/>
      <c r="F4235" s="8"/>
    </row>
    <row r="4236" spans="5:6" x14ac:dyDescent="0.15">
      <c r="E4236" s="8"/>
      <c r="F4236" s="8"/>
    </row>
    <row r="4237" spans="5:6" x14ac:dyDescent="0.15">
      <c r="E4237" s="8"/>
      <c r="F4237" s="8"/>
    </row>
    <row r="4238" spans="5:6" x14ac:dyDescent="0.15">
      <c r="E4238" s="8"/>
      <c r="F4238" s="8"/>
    </row>
    <row r="4239" spans="5:6" x14ac:dyDescent="0.15">
      <c r="E4239" s="8"/>
      <c r="F4239" s="8"/>
    </row>
    <row r="4240" spans="5:6" x14ac:dyDescent="0.15">
      <c r="E4240" s="8"/>
      <c r="F4240" s="8"/>
    </row>
    <row r="4241" spans="5:6" x14ac:dyDescent="0.15">
      <c r="E4241" s="8"/>
      <c r="F4241" s="8"/>
    </row>
    <row r="4242" spans="5:6" x14ac:dyDescent="0.15">
      <c r="E4242" s="8"/>
      <c r="F4242" s="8"/>
    </row>
    <row r="4243" spans="5:6" x14ac:dyDescent="0.15">
      <c r="E4243" s="8"/>
      <c r="F4243" s="8"/>
    </row>
    <row r="4244" spans="5:6" x14ac:dyDescent="0.15">
      <c r="E4244" s="8"/>
      <c r="F4244" s="8"/>
    </row>
    <row r="4245" spans="5:6" x14ac:dyDescent="0.15">
      <c r="E4245" s="8"/>
      <c r="F4245" s="8"/>
    </row>
    <row r="4246" spans="5:6" x14ac:dyDescent="0.15">
      <c r="E4246" s="8"/>
      <c r="F4246" s="8"/>
    </row>
    <row r="4247" spans="5:6" x14ac:dyDescent="0.15">
      <c r="E4247" s="8"/>
      <c r="F4247" s="8"/>
    </row>
    <row r="4248" spans="5:6" x14ac:dyDescent="0.15">
      <c r="E4248" s="8"/>
      <c r="F4248" s="8"/>
    </row>
    <row r="4249" spans="5:6" x14ac:dyDescent="0.15">
      <c r="E4249" s="8"/>
      <c r="F4249" s="8"/>
    </row>
    <row r="4250" spans="5:6" x14ac:dyDescent="0.15">
      <c r="E4250" s="8"/>
      <c r="F4250" s="8"/>
    </row>
    <row r="4251" spans="5:6" x14ac:dyDescent="0.15">
      <c r="E4251" s="8"/>
      <c r="F4251" s="8"/>
    </row>
    <row r="4252" spans="5:6" x14ac:dyDescent="0.15">
      <c r="E4252" s="8"/>
      <c r="F4252" s="8"/>
    </row>
    <row r="4253" spans="5:6" x14ac:dyDescent="0.15">
      <c r="E4253" s="8"/>
      <c r="F4253" s="8"/>
    </row>
    <row r="4254" spans="5:6" x14ac:dyDescent="0.15">
      <c r="E4254" s="8"/>
      <c r="F4254" s="8"/>
    </row>
    <row r="4255" spans="5:6" x14ac:dyDescent="0.15">
      <c r="E4255" s="8"/>
      <c r="F4255" s="8"/>
    </row>
    <row r="4256" spans="5:6" x14ac:dyDescent="0.15">
      <c r="E4256" s="8"/>
      <c r="F4256" s="8"/>
    </row>
    <row r="4257" spans="5:6" x14ac:dyDescent="0.15">
      <c r="E4257" s="8"/>
      <c r="F4257" s="8"/>
    </row>
    <row r="4258" spans="5:6" x14ac:dyDescent="0.15">
      <c r="E4258" s="8"/>
      <c r="F4258" s="8"/>
    </row>
    <row r="4259" spans="5:6" x14ac:dyDescent="0.15">
      <c r="E4259" s="8"/>
      <c r="F4259" s="8"/>
    </row>
    <row r="4260" spans="5:6" x14ac:dyDescent="0.15">
      <c r="E4260" s="8"/>
      <c r="F4260" s="8"/>
    </row>
    <row r="4261" spans="5:6" x14ac:dyDescent="0.15">
      <c r="E4261" s="8"/>
      <c r="F4261" s="8"/>
    </row>
    <row r="4262" spans="5:6" x14ac:dyDescent="0.15">
      <c r="E4262" s="8"/>
      <c r="F4262" s="8"/>
    </row>
    <row r="4263" spans="5:6" x14ac:dyDescent="0.15">
      <c r="E4263" s="8"/>
      <c r="F4263" s="8"/>
    </row>
    <row r="4264" spans="5:6" x14ac:dyDescent="0.15">
      <c r="E4264" s="8"/>
      <c r="F4264" s="8"/>
    </row>
    <row r="4265" spans="5:6" x14ac:dyDescent="0.15">
      <c r="E4265" s="8"/>
      <c r="F4265" s="8"/>
    </row>
    <row r="4266" spans="5:6" x14ac:dyDescent="0.15">
      <c r="E4266" s="8"/>
      <c r="F4266" s="8"/>
    </row>
    <row r="4267" spans="5:6" x14ac:dyDescent="0.15">
      <c r="E4267" s="8"/>
      <c r="F4267" s="8"/>
    </row>
    <row r="4268" spans="5:6" x14ac:dyDescent="0.15">
      <c r="E4268" s="8"/>
      <c r="F4268" s="8"/>
    </row>
    <row r="4269" spans="5:6" x14ac:dyDescent="0.15">
      <c r="E4269" s="8"/>
      <c r="F4269" s="8"/>
    </row>
    <row r="4270" spans="5:6" x14ac:dyDescent="0.15">
      <c r="E4270" s="8"/>
      <c r="F4270" s="8"/>
    </row>
    <row r="4271" spans="5:6" x14ac:dyDescent="0.15">
      <c r="E4271" s="8"/>
      <c r="F4271" s="8"/>
    </row>
    <row r="4272" spans="5:6" x14ac:dyDescent="0.15">
      <c r="E4272" s="8"/>
      <c r="F4272" s="8"/>
    </row>
    <row r="4273" spans="5:6" x14ac:dyDescent="0.15">
      <c r="E4273" s="8"/>
      <c r="F4273" s="8"/>
    </row>
    <row r="4274" spans="5:6" x14ac:dyDescent="0.15">
      <c r="E4274" s="8"/>
      <c r="F4274" s="8"/>
    </row>
    <row r="4275" spans="5:6" x14ac:dyDescent="0.15">
      <c r="E4275" s="8"/>
      <c r="F4275" s="8"/>
    </row>
    <row r="4276" spans="5:6" x14ac:dyDescent="0.15">
      <c r="E4276" s="8"/>
      <c r="F4276" s="8"/>
    </row>
    <row r="4277" spans="5:6" x14ac:dyDescent="0.15">
      <c r="E4277" s="8"/>
      <c r="F4277" s="8"/>
    </row>
    <row r="4278" spans="5:6" x14ac:dyDescent="0.15">
      <c r="E4278" s="8"/>
      <c r="F4278" s="8"/>
    </row>
    <row r="4279" spans="5:6" x14ac:dyDescent="0.15">
      <c r="E4279" s="8"/>
      <c r="F4279" s="8"/>
    </row>
    <row r="4280" spans="5:6" x14ac:dyDescent="0.15">
      <c r="E4280" s="8"/>
      <c r="F4280" s="8"/>
    </row>
    <row r="4281" spans="5:6" x14ac:dyDescent="0.15">
      <c r="E4281" s="8"/>
      <c r="F4281" s="8"/>
    </row>
    <row r="4282" spans="5:6" x14ac:dyDescent="0.15">
      <c r="E4282" s="8"/>
      <c r="F4282" s="8"/>
    </row>
    <row r="4283" spans="5:6" x14ac:dyDescent="0.15">
      <c r="E4283" s="8"/>
      <c r="F4283" s="8"/>
    </row>
    <row r="4284" spans="5:6" x14ac:dyDescent="0.15">
      <c r="E4284" s="8"/>
      <c r="F4284" s="8"/>
    </row>
    <row r="4285" spans="5:6" x14ac:dyDescent="0.15">
      <c r="E4285" s="8"/>
      <c r="F4285" s="8"/>
    </row>
    <row r="4286" spans="5:6" x14ac:dyDescent="0.15">
      <c r="E4286" s="8"/>
      <c r="F4286" s="8"/>
    </row>
    <row r="4287" spans="5:6" x14ac:dyDescent="0.15">
      <c r="E4287" s="8"/>
      <c r="F4287" s="8"/>
    </row>
    <row r="4288" spans="5:6" x14ac:dyDescent="0.15">
      <c r="E4288" s="8"/>
      <c r="F4288" s="8"/>
    </row>
    <row r="4289" spans="5:6" x14ac:dyDescent="0.15">
      <c r="E4289" s="8"/>
      <c r="F4289" s="8"/>
    </row>
    <row r="4290" spans="5:6" x14ac:dyDescent="0.15">
      <c r="E4290" s="8"/>
      <c r="F4290" s="8"/>
    </row>
    <row r="4291" spans="5:6" x14ac:dyDescent="0.15">
      <c r="E4291" s="8"/>
      <c r="F4291" s="8"/>
    </row>
    <row r="4292" spans="5:6" x14ac:dyDescent="0.15">
      <c r="E4292" s="8"/>
      <c r="F4292" s="8"/>
    </row>
    <row r="4293" spans="5:6" x14ac:dyDescent="0.15">
      <c r="E4293" s="8"/>
      <c r="F4293" s="8"/>
    </row>
    <row r="4294" spans="5:6" x14ac:dyDescent="0.15">
      <c r="E4294" s="8"/>
      <c r="F4294" s="8"/>
    </row>
    <row r="4295" spans="5:6" x14ac:dyDescent="0.15">
      <c r="E4295" s="8"/>
      <c r="F4295" s="8"/>
    </row>
    <row r="4296" spans="5:6" x14ac:dyDescent="0.15">
      <c r="E4296" s="8"/>
      <c r="F4296" s="8"/>
    </row>
    <row r="4297" spans="5:6" x14ac:dyDescent="0.15">
      <c r="E4297" s="8"/>
      <c r="F4297" s="8"/>
    </row>
    <row r="4298" spans="5:6" x14ac:dyDescent="0.15">
      <c r="E4298" s="8"/>
      <c r="F4298" s="8"/>
    </row>
    <row r="4299" spans="5:6" x14ac:dyDescent="0.15">
      <c r="E4299" s="8"/>
      <c r="F4299" s="8"/>
    </row>
    <row r="4300" spans="5:6" x14ac:dyDescent="0.15">
      <c r="E4300" s="8"/>
      <c r="F4300" s="8"/>
    </row>
    <row r="4301" spans="5:6" x14ac:dyDescent="0.15">
      <c r="E4301" s="8"/>
      <c r="F4301" s="8"/>
    </row>
    <row r="4302" spans="5:6" x14ac:dyDescent="0.15">
      <c r="E4302" s="8"/>
      <c r="F4302" s="8"/>
    </row>
    <row r="4303" spans="5:6" x14ac:dyDescent="0.15">
      <c r="E4303" s="8"/>
      <c r="F4303" s="8"/>
    </row>
    <row r="4304" spans="5:6" x14ac:dyDescent="0.15">
      <c r="E4304" s="8"/>
      <c r="F4304" s="8"/>
    </row>
    <row r="4305" spans="5:6" x14ac:dyDescent="0.15">
      <c r="E4305" s="8"/>
      <c r="F4305" s="8"/>
    </row>
    <row r="4306" spans="5:6" x14ac:dyDescent="0.15">
      <c r="E4306" s="8"/>
      <c r="F4306" s="8"/>
    </row>
    <row r="4307" spans="5:6" x14ac:dyDescent="0.15">
      <c r="E4307" s="8"/>
      <c r="F4307" s="8"/>
    </row>
    <row r="4308" spans="5:6" x14ac:dyDescent="0.15">
      <c r="E4308" s="8"/>
      <c r="F4308" s="8"/>
    </row>
    <row r="4309" spans="5:6" x14ac:dyDescent="0.15">
      <c r="E4309" s="8"/>
      <c r="F4309" s="8"/>
    </row>
    <row r="4310" spans="5:6" x14ac:dyDescent="0.15">
      <c r="E4310" s="8"/>
      <c r="F4310" s="8"/>
    </row>
    <row r="4311" spans="5:6" x14ac:dyDescent="0.15">
      <c r="E4311" s="8"/>
      <c r="F4311" s="8"/>
    </row>
    <row r="4312" spans="5:6" x14ac:dyDescent="0.15">
      <c r="E4312" s="8"/>
      <c r="F4312" s="8"/>
    </row>
    <row r="4313" spans="5:6" x14ac:dyDescent="0.15">
      <c r="E4313" s="8"/>
      <c r="F4313" s="8"/>
    </row>
    <row r="4314" spans="5:6" x14ac:dyDescent="0.15">
      <c r="E4314" s="8"/>
      <c r="F4314" s="8"/>
    </row>
    <row r="4315" spans="5:6" x14ac:dyDescent="0.15">
      <c r="E4315" s="8"/>
      <c r="F4315" s="8"/>
    </row>
    <row r="4316" spans="5:6" x14ac:dyDescent="0.15">
      <c r="E4316" s="8"/>
      <c r="F4316" s="8"/>
    </row>
    <row r="4317" spans="5:6" x14ac:dyDescent="0.15">
      <c r="E4317" s="8"/>
      <c r="F4317" s="8"/>
    </row>
    <row r="4318" spans="5:6" x14ac:dyDescent="0.15">
      <c r="E4318" s="8"/>
      <c r="F4318" s="8"/>
    </row>
    <row r="4319" spans="5:6" x14ac:dyDescent="0.15">
      <c r="E4319" s="8"/>
      <c r="F4319" s="8"/>
    </row>
    <row r="4320" spans="5:6" x14ac:dyDescent="0.15">
      <c r="E4320" s="8"/>
      <c r="F4320" s="8"/>
    </row>
    <row r="4321" spans="5:6" x14ac:dyDescent="0.15">
      <c r="E4321" s="8"/>
      <c r="F4321" s="8"/>
    </row>
    <row r="4322" spans="5:6" x14ac:dyDescent="0.15">
      <c r="E4322" s="8"/>
      <c r="F4322" s="8"/>
    </row>
    <row r="4323" spans="5:6" x14ac:dyDescent="0.15">
      <c r="E4323" s="8"/>
      <c r="F4323" s="8"/>
    </row>
    <row r="4324" spans="5:6" x14ac:dyDescent="0.15">
      <c r="E4324" s="8"/>
      <c r="F4324" s="8"/>
    </row>
    <row r="4325" spans="5:6" x14ac:dyDescent="0.15">
      <c r="E4325" s="8"/>
      <c r="F4325" s="8"/>
    </row>
    <row r="4326" spans="5:6" x14ac:dyDescent="0.15">
      <c r="E4326" s="8"/>
      <c r="F4326" s="8"/>
    </row>
    <row r="4327" spans="5:6" x14ac:dyDescent="0.15">
      <c r="E4327" s="8"/>
      <c r="F4327" s="8"/>
    </row>
    <row r="4328" spans="5:6" x14ac:dyDescent="0.15">
      <c r="E4328" s="8"/>
      <c r="F4328" s="8"/>
    </row>
    <row r="4329" spans="5:6" x14ac:dyDescent="0.15">
      <c r="E4329" s="8"/>
      <c r="F4329" s="8"/>
    </row>
    <row r="4330" spans="5:6" x14ac:dyDescent="0.15">
      <c r="E4330" s="8"/>
      <c r="F4330" s="8"/>
    </row>
    <row r="4331" spans="5:6" x14ac:dyDescent="0.15">
      <c r="E4331" s="8"/>
      <c r="F4331" s="8"/>
    </row>
    <row r="4332" spans="5:6" x14ac:dyDescent="0.15">
      <c r="E4332" s="8"/>
      <c r="F4332" s="8"/>
    </row>
    <row r="4333" spans="5:6" x14ac:dyDescent="0.15">
      <c r="E4333" s="8"/>
      <c r="F4333" s="8"/>
    </row>
    <row r="4334" spans="5:6" x14ac:dyDescent="0.15">
      <c r="E4334" s="8"/>
      <c r="F4334" s="8"/>
    </row>
    <row r="4335" spans="5:6" x14ac:dyDescent="0.15">
      <c r="E4335" s="8"/>
      <c r="F4335" s="8"/>
    </row>
    <row r="4336" spans="5:6" x14ac:dyDescent="0.15">
      <c r="E4336" s="8"/>
      <c r="F4336" s="8"/>
    </row>
    <row r="4337" spans="5:6" x14ac:dyDescent="0.15">
      <c r="E4337" s="8"/>
      <c r="F4337" s="8"/>
    </row>
    <row r="4338" spans="5:6" x14ac:dyDescent="0.15">
      <c r="E4338" s="8"/>
      <c r="F4338" s="8"/>
    </row>
    <row r="4339" spans="5:6" x14ac:dyDescent="0.15">
      <c r="E4339" s="8"/>
      <c r="F4339" s="8"/>
    </row>
    <row r="4340" spans="5:6" x14ac:dyDescent="0.15">
      <c r="E4340" s="8"/>
      <c r="F4340" s="8"/>
    </row>
    <row r="4341" spans="5:6" x14ac:dyDescent="0.15">
      <c r="E4341" s="8"/>
      <c r="F4341" s="8"/>
    </row>
    <row r="4342" spans="5:6" x14ac:dyDescent="0.15">
      <c r="E4342" s="8"/>
      <c r="F4342" s="8"/>
    </row>
    <row r="4343" spans="5:6" x14ac:dyDescent="0.15">
      <c r="E4343" s="8"/>
      <c r="F4343" s="8"/>
    </row>
    <row r="4344" spans="5:6" x14ac:dyDescent="0.15">
      <c r="E4344" s="8"/>
      <c r="F4344" s="8"/>
    </row>
    <row r="4345" spans="5:6" x14ac:dyDescent="0.15">
      <c r="E4345" s="8"/>
      <c r="F4345" s="8"/>
    </row>
    <row r="4346" spans="5:6" x14ac:dyDescent="0.15">
      <c r="E4346" s="8"/>
      <c r="F4346" s="8"/>
    </row>
    <row r="4347" spans="5:6" x14ac:dyDescent="0.15">
      <c r="E4347" s="8"/>
      <c r="F4347" s="8"/>
    </row>
    <row r="4348" spans="5:6" x14ac:dyDescent="0.15">
      <c r="E4348" s="8"/>
      <c r="F4348" s="8"/>
    </row>
    <row r="4349" spans="5:6" x14ac:dyDescent="0.15">
      <c r="E4349" s="8"/>
      <c r="F4349" s="8"/>
    </row>
    <row r="4350" spans="5:6" x14ac:dyDescent="0.15">
      <c r="E4350" s="8"/>
      <c r="F4350" s="8"/>
    </row>
    <row r="4351" spans="5:6" x14ac:dyDescent="0.15">
      <c r="E4351" s="8"/>
      <c r="F4351" s="8"/>
    </row>
    <row r="4352" spans="5:6" x14ac:dyDescent="0.15">
      <c r="E4352" s="8"/>
      <c r="F4352" s="8"/>
    </row>
    <row r="4353" spans="5:6" x14ac:dyDescent="0.15">
      <c r="E4353" s="8"/>
      <c r="F4353" s="8"/>
    </row>
    <row r="4354" spans="5:6" x14ac:dyDescent="0.15">
      <c r="E4354" s="8"/>
      <c r="F4354" s="8"/>
    </row>
    <row r="4355" spans="5:6" x14ac:dyDescent="0.15">
      <c r="E4355" s="8"/>
      <c r="F4355" s="8"/>
    </row>
    <row r="4356" spans="5:6" x14ac:dyDescent="0.15">
      <c r="E4356" s="8"/>
      <c r="F4356" s="8"/>
    </row>
    <row r="4357" spans="5:6" x14ac:dyDescent="0.15">
      <c r="E4357" s="8"/>
      <c r="F4357" s="8"/>
    </row>
    <row r="4358" spans="5:6" x14ac:dyDescent="0.15">
      <c r="E4358" s="8"/>
      <c r="F4358" s="8"/>
    </row>
    <row r="4359" spans="5:6" x14ac:dyDescent="0.15">
      <c r="E4359" s="8"/>
      <c r="F4359" s="8"/>
    </row>
    <row r="4360" spans="5:6" x14ac:dyDescent="0.15">
      <c r="E4360" s="8"/>
      <c r="F4360" s="8"/>
    </row>
    <row r="4361" spans="5:6" x14ac:dyDescent="0.15">
      <c r="E4361" s="8"/>
      <c r="F4361" s="8"/>
    </row>
    <row r="4362" spans="5:6" x14ac:dyDescent="0.15">
      <c r="E4362" s="8"/>
      <c r="F4362" s="8"/>
    </row>
    <row r="4363" spans="5:6" x14ac:dyDescent="0.15">
      <c r="E4363" s="8"/>
      <c r="F4363" s="8"/>
    </row>
    <row r="4364" spans="5:6" x14ac:dyDescent="0.15">
      <c r="E4364" s="8"/>
      <c r="F4364" s="8"/>
    </row>
    <row r="4365" spans="5:6" x14ac:dyDescent="0.15">
      <c r="E4365" s="8"/>
      <c r="F4365" s="8"/>
    </row>
    <row r="4366" spans="5:6" x14ac:dyDescent="0.15">
      <c r="E4366" s="8"/>
      <c r="F4366" s="8"/>
    </row>
    <row r="4367" spans="5:6" x14ac:dyDescent="0.15">
      <c r="E4367" s="8"/>
      <c r="F4367" s="8"/>
    </row>
    <row r="4368" spans="5:6" x14ac:dyDescent="0.15">
      <c r="E4368" s="8"/>
      <c r="F4368" s="8"/>
    </row>
    <row r="4369" spans="5:6" x14ac:dyDescent="0.15">
      <c r="E4369" s="8"/>
      <c r="F4369" s="8"/>
    </row>
    <row r="4370" spans="5:6" x14ac:dyDescent="0.15">
      <c r="E4370" s="8"/>
      <c r="F4370" s="8"/>
    </row>
    <row r="4371" spans="5:6" x14ac:dyDescent="0.15">
      <c r="E4371" s="8"/>
      <c r="F4371" s="8"/>
    </row>
    <row r="4372" spans="5:6" x14ac:dyDescent="0.15">
      <c r="E4372" s="8"/>
      <c r="F4372" s="8"/>
    </row>
    <row r="4373" spans="5:6" x14ac:dyDescent="0.15">
      <c r="E4373" s="8"/>
      <c r="F4373" s="8"/>
    </row>
    <row r="4374" spans="5:6" x14ac:dyDescent="0.15">
      <c r="E4374" s="8"/>
      <c r="F4374" s="8"/>
    </row>
    <row r="4375" spans="5:6" x14ac:dyDescent="0.15">
      <c r="E4375" s="8"/>
      <c r="F4375" s="8"/>
    </row>
    <row r="4376" spans="5:6" x14ac:dyDescent="0.15">
      <c r="E4376" s="8"/>
      <c r="F4376" s="8"/>
    </row>
    <row r="4377" spans="5:6" x14ac:dyDescent="0.15">
      <c r="E4377" s="8"/>
      <c r="F4377" s="8"/>
    </row>
    <row r="4378" spans="5:6" x14ac:dyDescent="0.15">
      <c r="E4378" s="8"/>
      <c r="F4378" s="8"/>
    </row>
    <row r="4379" spans="5:6" x14ac:dyDescent="0.15">
      <c r="E4379" s="8"/>
      <c r="F4379" s="8"/>
    </row>
    <row r="4380" spans="5:6" x14ac:dyDescent="0.15">
      <c r="E4380" s="8"/>
      <c r="F4380" s="8"/>
    </row>
    <row r="4381" spans="5:6" x14ac:dyDescent="0.15">
      <c r="E4381" s="8"/>
      <c r="F4381" s="8"/>
    </row>
    <row r="4382" spans="5:6" x14ac:dyDescent="0.15">
      <c r="E4382" s="8"/>
      <c r="F4382" s="8"/>
    </row>
    <row r="4383" spans="5:6" x14ac:dyDescent="0.15">
      <c r="E4383" s="8"/>
      <c r="F4383" s="8"/>
    </row>
    <row r="4384" spans="5:6" x14ac:dyDescent="0.15">
      <c r="E4384" s="8"/>
      <c r="F4384" s="8"/>
    </row>
    <row r="4385" spans="5:6" x14ac:dyDescent="0.15">
      <c r="E4385" s="8"/>
      <c r="F4385" s="8"/>
    </row>
    <row r="4386" spans="5:6" x14ac:dyDescent="0.15">
      <c r="E4386" s="8"/>
      <c r="F4386" s="8"/>
    </row>
    <row r="4387" spans="5:6" x14ac:dyDescent="0.15">
      <c r="E4387" s="8"/>
      <c r="F4387" s="8"/>
    </row>
    <row r="4388" spans="5:6" x14ac:dyDescent="0.15">
      <c r="E4388" s="8"/>
      <c r="F4388" s="8"/>
    </row>
    <row r="4389" spans="5:6" x14ac:dyDescent="0.15">
      <c r="E4389" s="8"/>
      <c r="F4389" s="8"/>
    </row>
    <row r="4390" spans="5:6" x14ac:dyDescent="0.15">
      <c r="E4390" s="8"/>
      <c r="F4390" s="8"/>
    </row>
    <row r="4391" spans="5:6" x14ac:dyDescent="0.15">
      <c r="E4391" s="8"/>
      <c r="F4391" s="8"/>
    </row>
    <row r="4392" spans="5:6" x14ac:dyDescent="0.15">
      <c r="E4392" s="8"/>
      <c r="F4392" s="8"/>
    </row>
    <row r="4393" spans="5:6" x14ac:dyDescent="0.15">
      <c r="E4393" s="8"/>
      <c r="F4393" s="8"/>
    </row>
    <row r="4394" spans="5:6" x14ac:dyDescent="0.15">
      <c r="E4394" s="8"/>
      <c r="F4394" s="8"/>
    </row>
    <row r="4395" spans="5:6" x14ac:dyDescent="0.15">
      <c r="E4395" s="8"/>
      <c r="F4395" s="8"/>
    </row>
    <row r="4396" spans="5:6" x14ac:dyDescent="0.15">
      <c r="E4396" s="8"/>
      <c r="F4396" s="8"/>
    </row>
    <row r="4397" spans="5:6" x14ac:dyDescent="0.15">
      <c r="E4397" s="8"/>
      <c r="F4397" s="8"/>
    </row>
    <row r="4398" spans="5:6" x14ac:dyDescent="0.15">
      <c r="E4398" s="8"/>
      <c r="F4398" s="8"/>
    </row>
    <row r="4399" spans="5:6" x14ac:dyDescent="0.15">
      <c r="E4399" s="8"/>
      <c r="F4399" s="8"/>
    </row>
    <row r="4400" spans="5:6" x14ac:dyDescent="0.15">
      <c r="E4400" s="8"/>
      <c r="F4400" s="8"/>
    </row>
    <row r="4401" spans="5:6" x14ac:dyDescent="0.15">
      <c r="E4401" s="8"/>
      <c r="F4401" s="8"/>
    </row>
    <row r="4402" spans="5:6" x14ac:dyDescent="0.15">
      <c r="E4402" s="8"/>
      <c r="F4402" s="8"/>
    </row>
    <row r="4403" spans="5:6" x14ac:dyDescent="0.15">
      <c r="E4403" s="8"/>
      <c r="F4403" s="8"/>
    </row>
    <row r="4404" spans="5:6" x14ac:dyDescent="0.15">
      <c r="E4404" s="8"/>
      <c r="F4404" s="8"/>
    </row>
    <row r="4405" spans="5:6" x14ac:dyDescent="0.15">
      <c r="E4405" s="8"/>
      <c r="F4405" s="8"/>
    </row>
    <row r="4406" spans="5:6" x14ac:dyDescent="0.15">
      <c r="E4406" s="8"/>
      <c r="F4406" s="8"/>
    </row>
    <row r="4407" spans="5:6" x14ac:dyDescent="0.15">
      <c r="E4407" s="8"/>
      <c r="F4407" s="8"/>
    </row>
    <row r="4408" spans="5:6" x14ac:dyDescent="0.15">
      <c r="E4408" s="8"/>
      <c r="F4408" s="8"/>
    </row>
    <row r="4409" spans="5:6" x14ac:dyDescent="0.15">
      <c r="E4409" s="8"/>
      <c r="F4409" s="8"/>
    </row>
    <row r="4410" spans="5:6" x14ac:dyDescent="0.15">
      <c r="E4410" s="8"/>
      <c r="F4410" s="8"/>
    </row>
    <row r="4411" spans="5:6" x14ac:dyDescent="0.15">
      <c r="E4411" s="8"/>
      <c r="F4411" s="8"/>
    </row>
    <row r="4412" spans="5:6" x14ac:dyDescent="0.15">
      <c r="E4412" s="8"/>
      <c r="F4412" s="8"/>
    </row>
    <row r="4413" spans="5:6" x14ac:dyDescent="0.15">
      <c r="E4413" s="8"/>
      <c r="F4413" s="8"/>
    </row>
    <row r="4414" spans="5:6" x14ac:dyDescent="0.15">
      <c r="E4414" s="8"/>
      <c r="F4414" s="8"/>
    </row>
    <row r="4415" spans="5:6" x14ac:dyDescent="0.15">
      <c r="E4415" s="8"/>
      <c r="F4415" s="8"/>
    </row>
    <row r="4416" spans="5:6" x14ac:dyDescent="0.15">
      <c r="E4416" s="8"/>
      <c r="F4416" s="8"/>
    </row>
    <row r="4417" spans="5:6" x14ac:dyDescent="0.15">
      <c r="E4417" s="8"/>
      <c r="F4417" s="8"/>
    </row>
    <row r="4418" spans="5:6" x14ac:dyDescent="0.15">
      <c r="E4418" s="8"/>
      <c r="F4418" s="8"/>
    </row>
    <row r="4419" spans="5:6" x14ac:dyDescent="0.15">
      <c r="E4419" s="8"/>
      <c r="F4419" s="8"/>
    </row>
    <row r="4420" spans="5:6" x14ac:dyDescent="0.15">
      <c r="E4420" s="8"/>
      <c r="F4420" s="8"/>
    </row>
    <row r="4421" spans="5:6" x14ac:dyDescent="0.15">
      <c r="E4421" s="8"/>
      <c r="F4421" s="8"/>
    </row>
    <row r="4422" spans="5:6" x14ac:dyDescent="0.15">
      <c r="E4422" s="8"/>
      <c r="F4422" s="8"/>
    </row>
    <row r="4423" spans="5:6" x14ac:dyDescent="0.15">
      <c r="E4423" s="8"/>
      <c r="F4423" s="8"/>
    </row>
    <row r="4424" spans="5:6" x14ac:dyDescent="0.15">
      <c r="E4424" s="8"/>
      <c r="F4424" s="8"/>
    </row>
    <row r="4425" spans="5:6" x14ac:dyDescent="0.15">
      <c r="E4425" s="8"/>
      <c r="F4425" s="8"/>
    </row>
    <row r="4426" spans="5:6" x14ac:dyDescent="0.15">
      <c r="E4426" s="8"/>
      <c r="F4426" s="8"/>
    </row>
    <row r="4427" spans="5:6" x14ac:dyDescent="0.15">
      <c r="E4427" s="8"/>
      <c r="F4427" s="8"/>
    </row>
    <row r="4428" spans="5:6" x14ac:dyDescent="0.15">
      <c r="E4428" s="8"/>
      <c r="F4428" s="8"/>
    </row>
    <row r="4429" spans="5:6" x14ac:dyDescent="0.15">
      <c r="E4429" s="8"/>
      <c r="F4429" s="8"/>
    </row>
    <row r="4430" spans="5:6" x14ac:dyDescent="0.15">
      <c r="E4430" s="8"/>
      <c r="F4430" s="8"/>
    </row>
    <row r="4431" spans="5:6" x14ac:dyDescent="0.15">
      <c r="E4431" s="8"/>
      <c r="F4431" s="8"/>
    </row>
    <row r="4432" spans="5:6" x14ac:dyDescent="0.15">
      <c r="E4432" s="8"/>
      <c r="F4432" s="8"/>
    </row>
    <row r="4433" spans="5:6" x14ac:dyDescent="0.15">
      <c r="E4433" s="8"/>
      <c r="F4433" s="8"/>
    </row>
    <row r="4434" spans="5:6" x14ac:dyDescent="0.15">
      <c r="E4434" s="8"/>
      <c r="F4434" s="8"/>
    </row>
    <row r="4435" spans="5:6" x14ac:dyDescent="0.15">
      <c r="E4435" s="8"/>
      <c r="F4435" s="8"/>
    </row>
    <row r="4436" spans="5:6" x14ac:dyDescent="0.15">
      <c r="E4436" s="8"/>
      <c r="F4436" s="8"/>
    </row>
    <row r="4437" spans="5:6" x14ac:dyDescent="0.15">
      <c r="E4437" s="8"/>
      <c r="F4437" s="8"/>
    </row>
    <row r="4438" spans="5:6" x14ac:dyDescent="0.15">
      <c r="E4438" s="8"/>
      <c r="F4438" s="8"/>
    </row>
    <row r="4439" spans="5:6" x14ac:dyDescent="0.15">
      <c r="E4439" s="8"/>
      <c r="F4439" s="8"/>
    </row>
    <row r="4440" spans="5:6" x14ac:dyDescent="0.15">
      <c r="E4440" s="8"/>
      <c r="F4440" s="8"/>
    </row>
    <row r="4441" spans="5:6" x14ac:dyDescent="0.15">
      <c r="E4441" s="8"/>
      <c r="F4441" s="8"/>
    </row>
    <row r="4442" spans="5:6" x14ac:dyDescent="0.15">
      <c r="E4442" s="8"/>
      <c r="F4442" s="8"/>
    </row>
    <row r="4443" spans="5:6" x14ac:dyDescent="0.15">
      <c r="E4443" s="8"/>
      <c r="F4443" s="8"/>
    </row>
    <row r="4444" spans="5:6" x14ac:dyDescent="0.15">
      <c r="E4444" s="8"/>
      <c r="F4444" s="8"/>
    </row>
    <row r="4445" spans="5:6" x14ac:dyDescent="0.15">
      <c r="E4445" s="8"/>
      <c r="F4445" s="8"/>
    </row>
    <row r="4446" spans="5:6" x14ac:dyDescent="0.15">
      <c r="E4446" s="8"/>
      <c r="F4446" s="8"/>
    </row>
    <row r="4447" spans="5:6" x14ac:dyDescent="0.15">
      <c r="E4447" s="8"/>
      <c r="F4447" s="8"/>
    </row>
    <row r="4448" spans="5:6" x14ac:dyDescent="0.15">
      <c r="E4448" s="8"/>
      <c r="F4448" s="8"/>
    </row>
    <row r="4449" spans="5:6" x14ac:dyDescent="0.15">
      <c r="E4449" s="8"/>
      <c r="F4449" s="8"/>
    </row>
    <row r="4450" spans="5:6" x14ac:dyDescent="0.15">
      <c r="E4450" s="8"/>
      <c r="F4450" s="8"/>
    </row>
    <row r="4451" spans="5:6" x14ac:dyDescent="0.15">
      <c r="E4451" s="8"/>
      <c r="F4451" s="8"/>
    </row>
    <row r="4452" spans="5:6" x14ac:dyDescent="0.15">
      <c r="E4452" s="8"/>
      <c r="F4452" s="8"/>
    </row>
    <row r="4453" spans="5:6" x14ac:dyDescent="0.15">
      <c r="E4453" s="8"/>
      <c r="F4453" s="8"/>
    </row>
    <row r="4454" spans="5:6" x14ac:dyDescent="0.15">
      <c r="E4454" s="8"/>
      <c r="F4454" s="8"/>
    </row>
    <row r="4455" spans="5:6" x14ac:dyDescent="0.15">
      <c r="E4455" s="8"/>
      <c r="F4455" s="8"/>
    </row>
    <row r="4456" spans="5:6" x14ac:dyDescent="0.15">
      <c r="E4456" s="8"/>
      <c r="F4456" s="8"/>
    </row>
    <row r="4457" spans="5:6" x14ac:dyDescent="0.15">
      <c r="E4457" s="8"/>
      <c r="F4457" s="8"/>
    </row>
    <row r="4458" spans="5:6" x14ac:dyDescent="0.15">
      <c r="E4458" s="8"/>
      <c r="F4458" s="8"/>
    </row>
    <row r="4459" spans="5:6" x14ac:dyDescent="0.15">
      <c r="E4459" s="8"/>
      <c r="F4459" s="8"/>
    </row>
    <row r="4460" spans="5:6" x14ac:dyDescent="0.15">
      <c r="E4460" s="8"/>
      <c r="F4460" s="8"/>
    </row>
    <row r="4461" spans="5:6" x14ac:dyDescent="0.15">
      <c r="E4461" s="8"/>
      <c r="F4461" s="8"/>
    </row>
    <row r="4462" spans="5:6" x14ac:dyDescent="0.15">
      <c r="E4462" s="8"/>
      <c r="F4462" s="8"/>
    </row>
    <row r="4463" spans="5:6" x14ac:dyDescent="0.15">
      <c r="E4463" s="8"/>
      <c r="F4463" s="8"/>
    </row>
    <row r="4464" spans="5:6" x14ac:dyDescent="0.15">
      <c r="E4464" s="8"/>
      <c r="F4464" s="8"/>
    </row>
    <row r="4465" spans="5:6" x14ac:dyDescent="0.15">
      <c r="E4465" s="8"/>
      <c r="F4465" s="8"/>
    </row>
    <row r="4466" spans="5:6" x14ac:dyDescent="0.15">
      <c r="E4466" s="8"/>
      <c r="F4466" s="8"/>
    </row>
    <row r="4467" spans="5:6" x14ac:dyDescent="0.15">
      <c r="E4467" s="8"/>
      <c r="F4467" s="8"/>
    </row>
    <row r="4468" spans="5:6" x14ac:dyDescent="0.15">
      <c r="E4468" s="8"/>
      <c r="F4468" s="8"/>
    </row>
    <row r="4469" spans="5:6" x14ac:dyDescent="0.15">
      <c r="E4469" s="8"/>
      <c r="F4469" s="8"/>
    </row>
    <row r="4470" spans="5:6" x14ac:dyDescent="0.15">
      <c r="E4470" s="8"/>
      <c r="F4470" s="8"/>
    </row>
    <row r="4471" spans="5:6" x14ac:dyDescent="0.15">
      <c r="E4471" s="8"/>
      <c r="F4471" s="8"/>
    </row>
    <row r="4472" spans="5:6" x14ac:dyDescent="0.15">
      <c r="E4472" s="8"/>
      <c r="F4472" s="8"/>
    </row>
    <row r="4473" spans="5:6" x14ac:dyDescent="0.15">
      <c r="E4473" s="8"/>
      <c r="F4473" s="8"/>
    </row>
    <row r="4474" spans="5:6" x14ac:dyDescent="0.15">
      <c r="E4474" s="8"/>
      <c r="F4474" s="8"/>
    </row>
    <row r="4475" spans="5:6" x14ac:dyDescent="0.15">
      <c r="E4475" s="8"/>
      <c r="F4475" s="8"/>
    </row>
    <row r="4476" spans="5:6" x14ac:dyDescent="0.15">
      <c r="E4476" s="8"/>
      <c r="F4476" s="8"/>
    </row>
    <row r="4477" spans="5:6" x14ac:dyDescent="0.15">
      <c r="E4477" s="8"/>
      <c r="F4477" s="8"/>
    </row>
    <row r="4478" spans="5:6" x14ac:dyDescent="0.15">
      <c r="E4478" s="8"/>
      <c r="F4478" s="8"/>
    </row>
    <row r="4479" spans="5:6" x14ac:dyDescent="0.15">
      <c r="E4479" s="8"/>
      <c r="F4479" s="8"/>
    </row>
    <row r="4480" spans="5:6" x14ac:dyDescent="0.15">
      <c r="E4480" s="8"/>
      <c r="F4480" s="8"/>
    </row>
    <row r="4481" spans="5:6" x14ac:dyDescent="0.15">
      <c r="E4481" s="8"/>
      <c r="F4481" s="8"/>
    </row>
    <row r="4482" spans="5:6" x14ac:dyDescent="0.15">
      <c r="E4482" s="8"/>
      <c r="F4482" s="8"/>
    </row>
    <row r="4483" spans="5:6" x14ac:dyDescent="0.15">
      <c r="E4483" s="8"/>
      <c r="F4483" s="8"/>
    </row>
    <row r="4484" spans="5:6" x14ac:dyDescent="0.15">
      <c r="E4484" s="8"/>
      <c r="F4484" s="8"/>
    </row>
    <row r="4485" spans="5:6" x14ac:dyDescent="0.15">
      <c r="E4485" s="8"/>
      <c r="F4485" s="8"/>
    </row>
    <row r="4486" spans="5:6" x14ac:dyDescent="0.15">
      <c r="E4486" s="8"/>
      <c r="F4486" s="8"/>
    </row>
    <row r="4487" spans="5:6" x14ac:dyDescent="0.15">
      <c r="E4487" s="8"/>
      <c r="F4487" s="8"/>
    </row>
    <row r="4488" spans="5:6" x14ac:dyDescent="0.15">
      <c r="E4488" s="8"/>
      <c r="F4488" s="8"/>
    </row>
    <row r="4489" spans="5:6" x14ac:dyDescent="0.15">
      <c r="E4489" s="8"/>
      <c r="F4489" s="8"/>
    </row>
    <row r="4490" spans="5:6" x14ac:dyDescent="0.15">
      <c r="E4490" s="8"/>
      <c r="F4490" s="8"/>
    </row>
    <row r="4491" spans="5:6" x14ac:dyDescent="0.15">
      <c r="E4491" s="8"/>
      <c r="F4491" s="8"/>
    </row>
    <row r="4492" spans="5:6" x14ac:dyDescent="0.15">
      <c r="E4492" s="8"/>
      <c r="F4492" s="8"/>
    </row>
    <row r="4493" spans="5:6" x14ac:dyDescent="0.15">
      <c r="E4493" s="8"/>
      <c r="F4493" s="8"/>
    </row>
    <row r="4494" spans="5:6" x14ac:dyDescent="0.15">
      <c r="E4494" s="8"/>
      <c r="F4494" s="8"/>
    </row>
    <row r="4495" spans="5:6" x14ac:dyDescent="0.15">
      <c r="E4495" s="8"/>
      <c r="F4495" s="8"/>
    </row>
    <row r="4496" spans="5:6" x14ac:dyDescent="0.15">
      <c r="E4496" s="8"/>
      <c r="F4496" s="8"/>
    </row>
    <row r="4497" spans="5:6" x14ac:dyDescent="0.15">
      <c r="E4497" s="8"/>
      <c r="F4497" s="8"/>
    </row>
    <row r="4498" spans="5:6" x14ac:dyDescent="0.15">
      <c r="E4498" s="8"/>
      <c r="F4498" s="8"/>
    </row>
    <row r="4499" spans="5:6" x14ac:dyDescent="0.15">
      <c r="E4499" s="8"/>
      <c r="F4499" s="8"/>
    </row>
    <row r="4500" spans="5:6" x14ac:dyDescent="0.15">
      <c r="E4500" s="8"/>
      <c r="F4500" s="8"/>
    </row>
    <row r="4501" spans="5:6" x14ac:dyDescent="0.15">
      <c r="E4501" s="8"/>
      <c r="F4501" s="8"/>
    </row>
    <row r="4502" spans="5:6" x14ac:dyDescent="0.15">
      <c r="E4502" s="8"/>
      <c r="F4502" s="8"/>
    </row>
    <row r="4503" spans="5:6" x14ac:dyDescent="0.15">
      <c r="E4503" s="8"/>
      <c r="F4503" s="8"/>
    </row>
    <row r="4504" spans="5:6" x14ac:dyDescent="0.15">
      <c r="E4504" s="8"/>
      <c r="F4504" s="8"/>
    </row>
    <row r="4505" spans="5:6" x14ac:dyDescent="0.15">
      <c r="E4505" s="8"/>
      <c r="F4505" s="8"/>
    </row>
    <row r="4506" spans="5:6" x14ac:dyDescent="0.15">
      <c r="E4506" s="8"/>
      <c r="F4506" s="8"/>
    </row>
    <row r="4507" spans="5:6" x14ac:dyDescent="0.15">
      <c r="E4507" s="8"/>
      <c r="F4507" s="8"/>
    </row>
    <row r="4508" spans="5:6" x14ac:dyDescent="0.15">
      <c r="E4508" s="8"/>
      <c r="F4508" s="8"/>
    </row>
    <row r="4509" spans="5:6" x14ac:dyDescent="0.15">
      <c r="E4509" s="8"/>
      <c r="F4509" s="8"/>
    </row>
    <row r="4510" spans="5:6" x14ac:dyDescent="0.15">
      <c r="E4510" s="8"/>
      <c r="F4510" s="8"/>
    </row>
    <row r="4511" spans="5:6" x14ac:dyDescent="0.15">
      <c r="E4511" s="8"/>
      <c r="F4511" s="8"/>
    </row>
    <row r="4512" spans="5:6" x14ac:dyDescent="0.15">
      <c r="E4512" s="8"/>
      <c r="F4512" s="8"/>
    </row>
    <row r="4513" spans="5:6" x14ac:dyDescent="0.15">
      <c r="E4513" s="8"/>
      <c r="F4513" s="8"/>
    </row>
    <row r="4514" spans="5:6" x14ac:dyDescent="0.15">
      <c r="E4514" s="8"/>
      <c r="F4514" s="8"/>
    </row>
    <row r="4515" spans="5:6" x14ac:dyDescent="0.15">
      <c r="E4515" s="8"/>
      <c r="F4515" s="8"/>
    </row>
    <row r="4516" spans="5:6" x14ac:dyDescent="0.15">
      <c r="E4516" s="8"/>
      <c r="F4516" s="8"/>
    </row>
    <row r="4517" spans="5:6" x14ac:dyDescent="0.15">
      <c r="E4517" s="8"/>
      <c r="F4517" s="8"/>
    </row>
    <row r="4518" spans="5:6" x14ac:dyDescent="0.15">
      <c r="E4518" s="8"/>
      <c r="F4518" s="8"/>
    </row>
    <row r="4519" spans="5:6" x14ac:dyDescent="0.15">
      <c r="E4519" s="8"/>
      <c r="F4519" s="8"/>
    </row>
    <row r="4520" spans="5:6" x14ac:dyDescent="0.15">
      <c r="E4520" s="8"/>
      <c r="F4520" s="8"/>
    </row>
    <row r="4521" spans="5:6" x14ac:dyDescent="0.15">
      <c r="E4521" s="8"/>
      <c r="F4521" s="8"/>
    </row>
    <row r="4522" spans="5:6" x14ac:dyDescent="0.15">
      <c r="E4522" s="8"/>
      <c r="F4522" s="8"/>
    </row>
    <row r="4523" spans="5:6" x14ac:dyDescent="0.15">
      <c r="E4523" s="8"/>
      <c r="F4523" s="8"/>
    </row>
    <row r="4524" spans="5:6" x14ac:dyDescent="0.15">
      <c r="E4524" s="8"/>
      <c r="F4524" s="8"/>
    </row>
    <row r="4525" spans="5:6" x14ac:dyDescent="0.15">
      <c r="E4525" s="8"/>
      <c r="F4525" s="8"/>
    </row>
    <row r="4526" spans="5:6" x14ac:dyDescent="0.15">
      <c r="E4526" s="8"/>
      <c r="F4526" s="8"/>
    </row>
    <row r="4527" spans="5:6" x14ac:dyDescent="0.15">
      <c r="E4527" s="8"/>
      <c r="F4527" s="8"/>
    </row>
    <row r="4528" spans="5:6" x14ac:dyDescent="0.15">
      <c r="E4528" s="8"/>
      <c r="F4528" s="8"/>
    </row>
    <row r="4529" spans="5:6" x14ac:dyDescent="0.15">
      <c r="E4529" s="8"/>
      <c r="F4529" s="8"/>
    </row>
    <row r="4530" spans="5:6" x14ac:dyDescent="0.15">
      <c r="E4530" s="8"/>
      <c r="F4530" s="8"/>
    </row>
    <row r="4531" spans="5:6" x14ac:dyDescent="0.15">
      <c r="E4531" s="8"/>
      <c r="F4531" s="8"/>
    </row>
    <row r="4532" spans="5:6" x14ac:dyDescent="0.15">
      <c r="E4532" s="8"/>
      <c r="F4532" s="8"/>
    </row>
    <row r="4533" spans="5:6" x14ac:dyDescent="0.15">
      <c r="E4533" s="8"/>
      <c r="F4533" s="8"/>
    </row>
    <row r="4534" spans="5:6" x14ac:dyDescent="0.15">
      <c r="E4534" s="8"/>
      <c r="F4534" s="8"/>
    </row>
    <row r="4535" spans="5:6" x14ac:dyDescent="0.15">
      <c r="E4535" s="8"/>
      <c r="F4535" s="8"/>
    </row>
    <row r="4536" spans="5:6" x14ac:dyDescent="0.15">
      <c r="E4536" s="8"/>
      <c r="F4536" s="8"/>
    </row>
    <row r="4537" spans="5:6" x14ac:dyDescent="0.15">
      <c r="E4537" s="8"/>
      <c r="F4537" s="8"/>
    </row>
    <row r="4538" spans="5:6" x14ac:dyDescent="0.15">
      <c r="E4538" s="8"/>
      <c r="F4538" s="8"/>
    </row>
    <row r="4539" spans="5:6" x14ac:dyDescent="0.15">
      <c r="E4539" s="8"/>
      <c r="F4539" s="8"/>
    </row>
    <row r="4540" spans="5:6" x14ac:dyDescent="0.15">
      <c r="E4540" s="8"/>
      <c r="F4540" s="8"/>
    </row>
    <row r="4541" spans="5:6" x14ac:dyDescent="0.15">
      <c r="E4541" s="8"/>
      <c r="F4541" s="8"/>
    </row>
    <row r="4542" spans="5:6" x14ac:dyDescent="0.15">
      <c r="E4542" s="8"/>
      <c r="F4542" s="8"/>
    </row>
    <row r="4543" spans="5:6" x14ac:dyDescent="0.15">
      <c r="E4543" s="8"/>
      <c r="F4543" s="8"/>
    </row>
    <row r="4544" spans="5:6" x14ac:dyDescent="0.15">
      <c r="E4544" s="8"/>
      <c r="F4544" s="8"/>
    </row>
    <row r="4545" spans="5:6" x14ac:dyDescent="0.15">
      <c r="E4545" s="8"/>
      <c r="F4545" s="8"/>
    </row>
    <row r="4546" spans="5:6" x14ac:dyDescent="0.15">
      <c r="E4546" s="8"/>
      <c r="F4546" s="8"/>
    </row>
    <row r="4547" spans="5:6" x14ac:dyDescent="0.15">
      <c r="E4547" s="8"/>
      <c r="F4547" s="8"/>
    </row>
    <row r="4548" spans="5:6" x14ac:dyDescent="0.15">
      <c r="E4548" s="8"/>
      <c r="F4548" s="8"/>
    </row>
    <row r="4549" spans="5:6" x14ac:dyDescent="0.15">
      <c r="E4549" s="8"/>
      <c r="F4549" s="8"/>
    </row>
    <row r="4550" spans="5:6" x14ac:dyDescent="0.15">
      <c r="E4550" s="8"/>
      <c r="F4550" s="8"/>
    </row>
    <row r="4551" spans="5:6" x14ac:dyDescent="0.15">
      <c r="E4551" s="8"/>
      <c r="F4551" s="8"/>
    </row>
    <row r="4552" spans="5:6" x14ac:dyDescent="0.15">
      <c r="E4552" s="8"/>
      <c r="F4552" s="8"/>
    </row>
    <row r="4553" spans="5:6" x14ac:dyDescent="0.15">
      <c r="E4553" s="8"/>
      <c r="F4553" s="8"/>
    </row>
    <row r="4554" spans="5:6" x14ac:dyDescent="0.15">
      <c r="E4554" s="8"/>
      <c r="F4554" s="8"/>
    </row>
    <row r="4555" spans="5:6" x14ac:dyDescent="0.15">
      <c r="E4555" s="8"/>
      <c r="F4555" s="8"/>
    </row>
    <row r="4556" spans="5:6" x14ac:dyDescent="0.15">
      <c r="E4556" s="8"/>
      <c r="F4556" s="8"/>
    </row>
    <row r="4557" spans="5:6" x14ac:dyDescent="0.15">
      <c r="E4557" s="8"/>
      <c r="F4557" s="8"/>
    </row>
    <row r="4558" spans="5:6" x14ac:dyDescent="0.15">
      <c r="E4558" s="8"/>
      <c r="F4558" s="8"/>
    </row>
    <row r="4559" spans="5:6" x14ac:dyDescent="0.15">
      <c r="E4559" s="8"/>
      <c r="F4559" s="8"/>
    </row>
    <row r="4560" spans="5:6" x14ac:dyDescent="0.15">
      <c r="E4560" s="8"/>
      <c r="F4560" s="8"/>
    </row>
    <row r="4561" spans="5:6" x14ac:dyDescent="0.15">
      <c r="E4561" s="8"/>
      <c r="F4561" s="8"/>
    </row>
    <row r="4562" spans="5:6" x14ac:dyDescent="0.15">
      <c r="E4562" s="8"/>
      <c r="F4562" s="8"/>
    </row>
    <row r="4563" spans="5:6" x14ac:dyDescent="0.15">
      <c r="E4563" s="8"/>
      <c r="F4563" s="8"/>
    </row>
    <row r="4564" spans="5:6" x14ac:dyDescent="0.15">
      <c r="E4564" s="8"/>
      <c r="F4564" s="8"/>
    </row>
    <row r="4565" spans="5:6" x14ac:dyDescent="0.15">
      <c r="E4565" s="8"/>
      <c r="F4565" s="8"/>
    </row>
    <row r="4566" spans="5:6" x14ac:dyDescent="0.15">
      <c r="E4566" s="8"/>
      <c r="F4566" s="8"/>
    </row>
    <row r="4567" spans="5:6" x14ac:dyDescent="0.15">
      <c r="E4567" s="8"/>
      <c r="F4567" s="8"/>
    </row>
    <row r="4568" spans="5:6" x14ac:dyDescent="0.15">
      <c r="E4568" s="8"/>
      <c r="F4568" s="8"/>
    </row>
    <row r="4569" spans="5:6" x14ac:dyDescent="0.15">
      <c r="E4569" s="8"/>
      <c r="F4569" s="8"/>
    </row>
    <row r="4570" spans="5:6" x14ac:dyDescent="0.15">
      <c r="E4570" s="8"/>
      <c r="F4570" s="8"/>
    </row>
    <row r="4571" spans="5:6" x14ac:dyDescent="0.15">
      <c r="E4571" s="8"/>
      <c r="F4571" s="8"/>
    </row>
    <row r="4572" spans="5:6" x14ac:dyDescent="0.15">
      <c r="E4572" s="8"/>
      <c r="F4572" s="8"/>
    </row>
    <row r="4573" spans="5:6" x14ac:dyDescent="0.15">
      <c r="E4573" s="8"/>
      <c r="F4573" s="8"/>
    </row>
    <row r="4574" spans="5:6" x14ac:dyDescent="0.15">
      <c r="E4574" s="8"/>
      <c r="F4574" s="8"/>
    </row>
    <row r="4575" spans="5:6" x14ac:dyDescent="0.15">
      <c r="E4575" s="8"/>
      <c r="F4575" s="8"/>
    </row>
    <row r="4576" spans="5:6" x14ac:dyDescent="0.15">
      <c r="E4576" s="8"/>
      <c r="F4576" s="8"/>
    </row>
    <row r="4577" spans="5:6" x14ac:dyDescent="0.15">
      <c r="E4577" s="8"/>
      <c r="F4577" s="8"/>
    </row>
    <row r="4578" spans="5:6" x14ac:dyDescent="0.15">
      <c r="E4578" s="8"/>
      <c r="F4578" s="8"/>
    </row>
    <row r="4579" spans="5:6" x14ac:dyDescent="0.15">
      <c r="E4579" s="8"/>
      <c r="F4579" s="8"/>
    </row>
    <row r="4580" spans="5:6" x14ac:dyDescent="0.15">
      <c r="E4580" s="8"/>
      <c r="F4580" s="8"/>
    </row>
    <row r="4581" spans="5:6" x14ac:dyDescent="0.15">
      <c r="E4581" s="8"/>
      <c r="F4581" s="8"/>
    </row>
    <row r="4582" spans="5:6" x14ac:dyDescent="0.15">
      <c r="E4582" s="8"/>
      <c r="F4582" s="8"/>
    </row>
    <row r="4583" spans="5:6" x14ac:dyDescent="0.15">
      <c r="E4583" s="8"/>
      <c r="F4583" s="8"/>
    </row>
    <row r="4584" spans="5:6" x14ac:dyDescent="0.15">
      <c r="E4584" s="8"/>
      <c r="F4584" s="8"/>
    </row>
    <row r="4585" spans="5:6" x14ac:dyDescent="0.15">
      <c r="E4585" s="8"/>
      <c r="F4585" s="8"/>
    </row>
    <row r="4586" spans="5:6" x14ac:dyDescent="0.15">
      <c r="E4586" s="8"/>
      <c r="F4586" s="8"/>
    </row>
    <row r="4587" spans="5:6" x14ac:dyDescent="0.15">
      <c r="E4587" s="8"/>
      <c r="F4587" s="8"/>
    </row>
    <row r="4588" spans="5:6" x14ac:dyDescent="0.15">
      <c r="E4588" s="8"/>
      <c r="F4588" s="8"/>
    </row>
    <row r="4589" spans="5:6" x14ac:dyDescent="0.15">
      <c r="E4589" s="8"/>
      <c r="F4589" s="8"/>
    </row>
    <row r="4590" spans="5:6" x14ac:dyDescent="0.15">
      <c r="E4590" s="8"/>
      <c r="F4590" s="8"/>
    </row>
    <row r="4591" spans="5:6" x14ac:dyDescent="0.15">
      <c r="E4591" s="8"/>
      <c r="F4591" s="8"/>
    </row>
    <row r="4592" spans="5:6" x14ac:dyDescent="0.15">
      <c r="E4592" s="8"/>
      <c r="F4592" s="8"/>
    </row>
    <row r="4593" spans="5:6" x14ac:dyDescent="0.15">
      <c r="E4593" s="8"/>
      <c r="F4593" s="8"/>
    </row>
    <row r="4594" spans="5:6" x14ac:dyDescent="0.15">
      <c r="E4594" s="8"/>
      <c r="F4594" s="8"/>
    </row>
    <row r="4595" spans="5:6" x14ac:dyDescent="0.15">
      <c r="E4595" s="8"/>
      <c r="F4595" s="8"/>
    </row>
    <row r="4596" spans="5:6" x14ac:dyDescent="0.15">
      <c r="E4596" s="8"/>
      <c r="F4596" s="8"/>
    </row>
    <row r="4597" spans="5:6" x14ac:dyDescent="0.15">
      <c r="E4597" s="8"/>
      <c r="F4597" s="8"/>
    </row>
    <row r="4598" spans="5:6" x14ac:dyDescent="0.15">
      <c r="E4598" s="8"/>
      <c r="F4598" s="8"/>
    </row>
    <row r="4599" spans="5:6" x14ac:dyDescent="0.15">
      <c r="E4599" s="8"/>
      <c r="F4599" s="8"/>
    </row>
    <row r="4600" spans="5:6" x14ac:dyDescent="0.15">
      <c r="E4600" s="8"/>
      <c r="F4600" s="8"/>
    </row>
    <row r="4601" spans="5:6" x14ac:dyDescent="0.15">
      <c r="E4601" s="8"/>
      <c r="F4601" s="8"/>
    </row>
    <row r="4602" spans="5:6" x14ac:dyDescent="0.15">
      <c r="E4602" s="8"/>
      <c r="F4602" s="8"/>
    </row>
    <row r="4603" spans="5:6" x14ac:dyDescent="0.15">
      <c r="E4603" s="8"/>
      <c r="F4603" s="8"/>
    </row>
    <row r="4604" spans="5:6" x14ac:dyDescent="0.15">
      <c r="E4604" s="8"/>
      <c r="F4604" s="8"/>
    </row>
    <row r="4605" spans="5:6" x14ac:dyDescent="0.15">
      <c r="E4605" s="8"/>
      <c r="F4605" s="8"/>
    </row>
    <row r="4606" spans="5:6" x14ac:dyDescent="0.15">
      <c r="E4606" s="8"/>
      <c r="F4606" s="8"/>
    </row>
    <row r="4607" spans="5:6" x14ac:dyDescent="0.15">
      <c r="E4607" s="8"/>
      <c r="F4607" s="8"/>
    </row>
    <row r="4608" spans="5:6" x14ac:dyDescent="0.15">
      <c r="E4608" s="8"/>
      <c r="F4608" s="8"/>
    </row>
    <row r="4609" spans="5:6" x14ac:dyDescent="0.15">
      <c r="E4609" s="8"/>
      <c r="F4609" s="8"/>
    </row>
    <row r="4610" spans="5:6" x14ac:dyDescent="0.15">
      <c r="E4610" s="8"/>
      <c r="F4610" s="8"/>
    </row>
    <row r="4611" spans="5:6" x14ac:dyDescent="0.15">
      <c r="E4611" s="8"/>
      <c r="F4611" s="8"/>
    </row>
    <row r="4612" spans="5:6" x14ac:dyDescent="0.15">
      <c r="E4612" s="8"/>
      <c r="F4612" s="8"/>
    </row>
    <row r="4613" spans="5:6" x14ac:dyDescent="0.15">
      <c r="E4613" s="8"/>
      <c r="F4613" s="8"/>
    </row>
    <row r="4614" spans="5:6" x14ac:dyDescent="0.15">
      <c r="E4614" s="8"/>
      <c r="F4614" s="8"/>
    </row>
    <row r="4615" spans="5:6" x14ac:dyDescent="0.15">
      <c r="E4615" s="8"/>
      <c r="F4615" s="8"/>
    </row>
    <row r="4616" spans="5:6" x14ac:dyDescent="0.15">
      <c r="E4616" s="8"/>
      <c r="F4616" s="8"/>
    </row>
    <row r="4617" spans="5:6" x14ac:dyDescent="0.15">
      <c r="E4617" s="8"/>
      <c r="F4617" s="8"/>
    </row>
    <row r="4618" spans="5:6" x14ac:dyDescent="0.15">
      <c r="E4618" s="8"/>
      <c r="F4618" s="8"/>
    </row>
    <row r="4619" spans="5:6" x14ac:dyDescent="0.15">
      <c r="E4619" s="8"/>
      <c r="F4619" s="8"/>
    </row>
    <row r="4620" spans="5:6" x14ac:dyDescent="0.15">
      <c r="E4620" s="8"/>
      <c r="F4620" s="8"/>
    </row>
    <row r="4621" spans="5:6" x14ac:dyDescent="0.15">
      <c r="E4621" s="8"/>
      <c r="F4621" s="8"/>
    </row>
    <row r="4622" spans="5:6" x14ac:dyDescent="0.15">
      <c r="E4622" s="8"/>
      <c r="F4622" s="8"/>
    </row>
    <row r="4623" spans="5:6" x14ac:dyDescent="0.15">
      <c r="E4623" s="8"/>
      <c r="F4623" s="8"/>
    </row>
    <row r="4624" spans="5:6" x14ac:dyDescent="0.15">
      <c r="E4624" s="8"/>
      <c r="F4624" s="8"/>
    </row>
    <row r="4625" spans="5:6" x14ac:dyDescent="0.15">
      <c r="E4625" s="8"/>
      <c r="F4625" s="8"/>
    </row>
    <row r="4626" spans="5:6" x14ac:dyDescent="0.15">
      <c r="E4626" s="8"/>
      <c r="F4626" s="8"/>
    </row>
    <row r="4627" spans="5:6" x14ac:dyDescent="0.15">
      <c r="E4627" s="8"/>
      <c r="F4627" s="8"/>
    </row>
    <row r="4628" spans="5:6" x14ac:dyDescent="0.15">
      <c r="E4628" s="8"/>
      <c r="F4628" s="8"/>
    </row>
    <row r="4629" spans="5:6" x14ac:dyDescent="0.15">
      <c r="E4629" s="8"/>
      <c r="F4629" s="8"/>
    </row>
    <row r="4630" spans="5:6" x14ac:dyDescent="0.15">
      <c r="E4630" s="8"/>
      <c r="F4630" s="8"/>
    </row>
    <row r="4631" spans="5:6" x14ac:dyDescent="0.15">
      <c r="E4631" s="8"/>
      <c r="F4631" s="8"/>
    </row>
    <row r="4632" spans="5:6" x14ac:dyDescent="0.15">
      <c r="E4632" s="8"/>
      <c r="F4632" s="8"/>
    </row>
    <row r="4633" spans="5:6" x14ac:dyDescent="0.15">
      <c r="E4633" s="8"/>
      <c r="F4633" s="8"/>
    </row>
    <row r="4634" spans="5:6" x14ac:dyDescent="0.15">
      <c r="E4634" s="8"/>
      <c r="F4634" s="8"/>
    </row>
    <row r="4635" spans="5:6" x14ac:dyDescent="0.15">
      <c r="E4635" s="8"/>
      <c r="F4635" s="8"/>
    </row>
    <row r="4636" spans="5:6" x14ac:dyDescent="0.15">
      <c r="E4636" s="8"/>
      <c r="F4636" s="8"/>
    </row>
    <row r="4637" spans="5:6" x14ac:dyDescent="0.15">
      <c r="E4637" s="8"/>
      <c r="F4637" s="8"/>
    </row>
    <row r="4638" spans="5:6" x14ac:dyDescent="0.15">
      <c r="E4638" s="8"/>
      <c r="F4638" s="8"/>
    </row>
    <row r="4639" spans="5:6" x14ac:dyDescent="0.15">
      <c r="E4639" s="8"/>
      <c r="F4639" s="8"/>
    </row>
    <row r="4640" spans="5:6" x14ac:dyDescent="0.15">
      <c r="E4640" s="8"/>
      <c r="F4640" s="8"/>
    </row>
    <row r="4641" spans="5:6" x14ac:dyDescent="0.15">
      <c r="E4641" s="8"/>
      <c r="F4641" s="8"/>
    </row>
    <row r="4642" spans="5:6" x14ac:dyDescent="0.15">
      <c r="E4642" s="8"/>
      <c r="F4642" s="8"/>
    </row>
    <row r="4643" spans="5:6" x14ac:dyDescent="0.15">
      <c r="E4643" s="8"/>
      <c r="F4643" s="8"/>
    </row>
    <row r="4644" spans="5:6" x14ac:dyDescent="0.15">
      <c r="E4644" s="8"/>
      <c r="F4644" s="8"/>
    </row>
    <row r="4645" spans="5:6" x14ac:dyDescent="0.15">
      <c r="E4645" s="8"/>
      <c r="F4645" s="8"/>
    </row>
    <row r="4646" spans="5:6" x14ac:dyDescent="0.15">
      <c r="E4646" s="8"/>
      <c r="F4646" s="8"/>
    </row>
    <row r="4647" spans="5:6" x14ac:dyDescent="0.15">
      <c r="E4647" s="8"/>
      <c r="F4647" s="8"/>
    </row>
    <row r="4648" spans="5:6" x14ac:dyDescent="0.15">
      <c r="E4648" s="8"/>
      <c r="F4648" s="8"/>
    </row>
    <row r="4649" spans="5:6" x14ac:dyDescent="0.15">
      <c r="E4649" s="8"/>
      <c r="F4649" s="8"/>
    </row>
    <row r="4650" spans="5:6" x14ac:dyDescent="0.15">
      <c r="E4650" s="8"/>
      <c r="F4650" s="8"/>
    </row>
    <row r="4651" spans="5:6" x14ac:dyDescent="0.15">
      <c r="E4651" s="8"/>
      <c r="F4651" s="8"/>
    </row>
    <row r="4652" spans="5:6" x14ac:dyDescent="0.15">
      <c r="E4652" s="8"/>
      <c r="F4652" s="8"/>
    </row>
    <row r="4653" spans="5:6" x14ac:dyDescent="0.15">
      <c r="E4653" s="8"/>
      <c r="F4653" s="8"/>
    </row>
    <row r="4654" spans="5:6" x14ac:dyDescent="0.15">
      <c r="E4654" s="8"/>
      <c r="F4654" s="8"/>
    </row>
    <row r="4655" spans="5:6" x14ac:dyDescent="0.15">
      <c r="E4655" s="8"/>
      <c r="F4655" s="8"/>
    </row>
    <row r="4656" spans="5:6" x14ac:dyDescent="0.15">
      <c r="E4656" s="8"/>
      <c r="F4656" s="8"/>
    </row>
    <row r="4657" spans="5:6" x14ac:dyDescent="0.15">
      <c r="E4657" s="8"/>
      <c r="F4657" s="8"/>
    </row>
    <row r="4658" spans="5:6" x14ac:dyDescent="0.15">
      <c r="E4658" s="8"/>
      <c r="F4658" s="8"/>
    </row>
    <row r="4659" spans="5:6" x14ac:dyDescent="0.15">
      <c r="E4659" s="8"/>
      <c r="F4659" s="8"/>
    </row>
    <row r="4660" spans="5:6" x14ac:dyDescent="0.15">
      <c r="E4660" s="8"/>
      <c r="F4660" s="8"/>
    </row>
    <row r="4661" spans="5:6" x14ac:dyDescent="0.15">
      <c r="E4661" s="8"/>
      <c r="F4661" s="8"/>
    </row>
    <row r="4662" spans="5:6" x14ac:dyDescent="0.15">
      <c r="E4662" s="8"/>
      <c r="F4662" s="8"/>
    </row>
    <row r="4663" spans="5:6" x14ac:dyDescent="0.15">
      <c r="E4663" s="8"/>
      <c r="F4663" s="8"/>
    </row>
    <row r="4664" spans="5:6" x14ac:dyDescent="0.15">
      <c r="E4664" s="8"/>
      <c r="F4664" s="8"/>
    </row>
    <row r="4665" spans="5:6" x14ac:dyDescent="0.15">
      <c r="E4665" s="8"/>
      <c r="F4665" s="8"/>
    </row>
    <row r="4666" spans="5:6" x14ac:dyDescent="0.15">
      <c r="E4666" s="8"/>
      <c r="F4666" s="8"/>
    </row>
    <row r="4667" spans="5:6" x14ac:dyDescent="0.15">
      <c r="E4667" s="8"/>
      <c r="F4667" s="8"/>
    </row>
    <row r="4668" spans="5:6" x14ac:dyDescent="0.15">
      <c r="E4668" s="8"/>
      <c r="F4668" s="8"/>
    </row>
    <row r="4669" spans="5:6" x14ac:dyDescent="0.15">
      <c r="E4669" s="8"/>
      <c r="F4669" s="8"/>
    </row>
    <row r="4670" spans="5:6" x14ac:dyDescent="0.15">
      <c r="E4670" s="8"/>
      <c r="F4670" s="8"/>
    </row>
    <row r="4671" spans="5:6" x14ac:dyDescent="0.15">
      <c r="E4671" s="8"/>
      <c r="F4671" s="8"/>
    </row>
    <row r="4672" spans="5:6" x14ac:dyDescent="0.15">
      <c r="E4672" s="8"/>
      <c r="F4672" s="8"/>
    </row>
    <row r="4673" spans="5:6" x14ac:dyDescent="0.15">
      <c r="E4673" s="8"/>
      <c r="F4673" s="8"/>
    </row>
    <row r="4674" spans="5:6" x14ac:dyDescent="0.15">
      <c r="E4674" s="8"/>
      <c r="F4674" s="8"/>
    </row>
    <row r="4675" spans="5:6" x14ac:dyDescent="0.15">
      <c r="E4675" s="8"/>
      <c r="F4675" s="8"/>
    </row>
    <row r="4676" spans="5:6" x14ac:dyDescent="0.15">
      <c r="E4676" s="8"/>
      <c r="F4676" s="8"/>
    </row>
    <row r="4677" spans="5:6" x14ac:dyDescent="0.15">
      <c r="E4677" s="8"/>
      <c r="F4677" s="8"/>
    </row>
    <row r="4678" spans="5:6" x14ac:dyDescent="0.15">
      <c r="E4678" s="8"/>
      <c r="F4678" s="8"/>
    </row>
    <row r="4679" spans="5:6" x14ac:dyDescent="0.15">
      <c r="E4679" s="8"/>
      <c r="F4679" s="8"/>
    </row>
    <row r="4680" spans="5:6" x14ac:dyDescent="0.15">
      <c r="E4680" s="8"/>
      <c r="F4680" s="8"/>
    </row>
    <row r="4681" spans="5:6" x14ac:dyDescent="0.15">
      <c r="E4681" s="8"/>
      <c r="F4681" s="8"/>
    </row>
    <row r="4682" spans="5:6" x14ac:dyDescent="0.15">
      <c r="E4682" s="8"/>
      <c r="F4682" s="8"/>
    </row>
    <row r="4683" spans="5:6" x14ac:dyDescent="0.15">
      <c r="E4683" s="8"/>
      <c r="F4683" s="8"/>
    </row>
    <row r="4684" spans="5:6" x14ac:dyDescent="0.15">
      <c r="E4684" s="8"/>
      <c r="F4684" s="8"/>
    </row>
    <row r="4685" spans="5:6" x14ac:dyDescent="0.15">
      <c r="E4685" s="8"/>
      <c r="F4685" s="8"/>
    </row>
    <row r="4686" spans="5:6" x14ac:dyDescent="0.15">
      <c r="E4686" s="8"/>
      <c r="F4686" s="8"/>
    </row>
    <row r="4687" spans="5:6" x14ac:dyDescent="0.15">
      <c r="E4687" s="8"/>
      <c r="F4687" s="8"/>
    </row>
    <row r="4688" spans="5:6" x14ac:dyDescent="0.15">
      <c r="E4688" s="8"/>
      <c r="F4688" s="8"/>
    </row>
    <row r="4689" spans="5:6" x14ac:dyDescent="0.15">
      <c r="E4689" s="8"/>
      <c r="F4689" s="8"/>
    </row>
    <row r="4690" spans="5:6" x14ac:dyDescent="0.15">
      <c r="E4690" s="8"/>
      <c r="F4690" s="8"/>
    </row>
    <row r="4691" spans="5:6" x14ac:dyDescent="0.15">
      <c r="E4691" s="8"/>
      <c r="F4691" s="8"/>
    </row>
    <row r="4692" spans="5:6" x14ac:dyDescent="0.15">
      <c r="E4692" s="8"/>
      <c r="F4692" s="8"/>
    </row>
    <row r="4693" spans="5:6" x14ac:dyDescent="0.15">
      <c r="E4693" s="8"/>
      <c r="F4693" s="8"/>
    </row>
    <row r="4694" spans="5:6" x14ac:dyDescent="0.15">
      <c r="E4694" s="8"/>
      <c r="F4694" s="8"/>
    </row>
    <row r="4695" spans="5:6" x14ac:dyDescent="0.15">
      <c r="E4695" s="8"/>
      <c r="F4695" s="8"/>
    </row>
    <row r="4696" spans="5:6" x14ac:dyDescent="0.15">
      <c r="E4696" s="8"/>
      <c r="F4696" s="8"/>
    </row>
    <row r="4697" spans="5:6" x14ac:dyDescent="0.15">
      <c r="E4697" s="8"/>
      <c r="F4697" s="8"/>
    </row>
    <row r="4698" spans="5:6" x14ac:dyDescent="0.15">
      <c r="E4698" s="8"/>
      <c r="F4698" s="8"/>
    </row>
    <row r="4699" spans="5:6" x14ac:dyDescent="0.15">
      <c r="E4699" s="8"/>
      <c r="F4699" s="8"/>
    </row>
    <row r="4700" spans="5:6" x14ac:dyDescent="0.15">
      <c r="E4700" s="8"/>
      <c r="F4700" s="8"/>
    </row>
    <row r="4701" spans="5:6" x14ac:dyDescent="0.15">
      <c r="E4701" s="8"/>
      <c r="F4701" s="8"/>
    </row>
    <row r="4702" spans="5:6" x14ac:dyDescent="0.15">
      <c r="E4702" s="8"/>
      <c r="F4702" s="8"/>
    </row>
    <row r="4703" spans="5:6" x14ac:dyDescent="0.15">
      <c r="E4703" s="8"/>
      <c r="F4703" s="8"/>
    </row>
    <row r="4704" spans="5:6" x14ac:dyDescent="0.15">
      <c r="E4704" s="8"/>
      <c r="F4704" s="8"/>
    </row>
    <row r="4705" spans="5:6" x14ac:dyDescent="0.15">
      <c r="E4705" s="8"/>
      <c r="F4705" s="8"/>
    </row>
    <row r="4706" spans="5:6" x14ac:dyDescent="0.15">
      <c r="E4706" s="8"/>
      <c r="F4706" s="8"/>
    </row>
    <row r="4707" spans="5:6" x14ac:dyDescent="0.15">
      <c r="E4707" s="8"/>
      <c r="F4707" s="8"/>
    </row>
    <row r="4708" spans="5:6" x14ac:dyDescent="0.15">
      <c r="E4708" s="8"/>
      <c r="F4708" s="8"/>
    </row>
    <row r="4709" spans="5:6" x14ac:dyDescent="0.15">
      <c r="E4709" s="8"/>
      <c r="F4709" s="8"/>
    </row>
    <row r="4710" spans="5:6" x14ac:dyDescent="0.15">
      <c r="E4710" s="8"/>
      <c r="F4710" s="8"/>
    </row>
    <row r="4711" spans="5:6" x14ac:dyDescent="0.15">
      <c r="E4711" s="8"/>
      <c r="F4711" s="8"/>
    </row>
    <row r="4712" spans="5:6" x14ac:dyDescent="0.15">
      <c r="E4712" s="8"/>
      <c r="F4712" s="8"/>
    </row>
    <row r="4713" spans="5:6" x14ac:dyDescent="0.15">
      <c r="E4713" s="8"/>
      <c r="F4713" s="8"/>
    </row>
    <row r="4714" spans="5:6" x14ac:dyDescent="0.15">
      <c r="E4714" s="8"/>
      <c r="F4714" s="8"/>
    </row>
    <row r="4715" spans="5:6" x14ac:dyDescent="0.15">
      <c r="E4715" s="8"/>
      <c r="F4715" s="8"/>
    </row>
    <row r="4716" spans="5:6" x14ac:dyDescent="0.15">
      <c r="E4716" s="8"/>
      <c r="F4716" s="8"/>
    </row>
    <row r="4717" spans="5:6" x14ac:dyDescent="0.15">
      <c r="E4717" s="8"/>
      <c r="F4717" s="8"/>
    </row>
    <row r="4718" spans="5:6" x14ac:dyDescent="0.15">
      <c r="E4718" s="8"/>
      <c r="F4718" s="8"/>
    </row>
    <row r="4719" spans="5:6" x14ac:dyDescent="0.15">
      <c r="E4719" s="8"/>
      <c r="F4719" s="8"/>
    </row>
    <row r="4720" spans="5:6" x14ac:dyDescent="0.15">
      <c r="E4720" s="8"/>
      <c r="F4720" s="8"/>
    </row>
    <row r="4721" spans="5:6" x14ac:dyDescent="0.15">
      <c r="E4721" s="8"/>
      <c r="F4721" s="8"/>
    </row>
    <row r="4722" spans="5:6" x14ac:dyDescent="0.15">
      <c r="E4722" s="8"/>
      <c r="F4722" s="8"/>
    </row>
    <row r="4723" spans="5:6" x14ac:dyDescent="0.15">
      <c r="E4723" s="8"/>
      <c r="F4723" s="8"/>
    </row>
    <row r="4724" spans="5:6" x14ac:dyDescent="0.15">
      <c r="E4724" s="8"/>
      <c r="F4724" s="8"/>
    </row>
    <row r="4725" spans="5:6" x14ac:dyDescent="0.15">
      <c r="E4725" s="8"/>
      <c r="F4725" s="8"/>
    </row>
    <row r="4726" spans="5:6" x14ac:dyDescent="0.15">
      <c r="E4726" s="8"/>
      <c r="F4726" s="8"/>
    </row>
    <row r="4727" spans="5:6" x14ac:dyDescent="0.15">
      <c r="E4727" s="8"/>
      <c r="F4727" s="8"/>
    </row>
    <row r="4728" spans="5:6" x14ac:dyDescent="0.15">
      <c r="E4728" s="8"/>
      <c r="F4728" s="8"/>
    </row>
    <row r="4729" spans="5:6" x14ac:dyDescent="0.15">
      <c r="E4729" s="8"/>
      <c r="F4729" s="8"/>
    </row>
    <row r="4730" spans="5:6" x14ac:dyDescent="0.15">
      <c r="E4730" s="8"/>
      <c r="F4730" s="8"/>
    </row>
    <row r="4731" spans="5:6" x14ac:dyDescent="0.15">
      <c r="E4731" s="8"/>
      <c r="F4731" s="8"/>
    </row>
    <row r="4732" spans="5:6" x14ac:dyDescent="0.15">
      <c r="E4732" s="8"/>
      <c r="F4732" s="8"/>
    </row>
    <row r="4733" spans="5:6" x14ac:dyDescent="0.15">
      <c r="E4733" s="8"/>
      <c r="F4733" s="8"/>
    </row>
    <row r="4734" spans="5:6" x14ac:dyDescent="0.15">
      <c r="E4734" s="8"/>
      <c r="F4734" s="8"/>
    </row>
    <row r="4735" spans="5:6" x14ac:dyDescent="0.15">
      <c r="E4735" s="8"/>
      <c r="F4735" s="8"/>
    </row>
    <row r="4736" spans="5:6" x14ac:dyDescent="0.15">
      <c r="E4736" s="8"/>
      <c r="F4736" s="8"/>
    </row>
    <row r="4737" spans="5:6" x14ac:dyDescent="0.15">
      <c r="E4737" s="8"/>
      <c r="F4737" s="8"/>
    </row>
    <row r="4738" spans="5:6" x14ac:dyDescent="0.15">
      <c r="E4738" s="8"/>
      <c r="F4738" s="8"/>
    </row>
    <row r="4739" spans="5:6" x14ac:dyDescent="0.15">
      <c r="E4739" s="8"/>
      <c r="F4739" s="8"/>
    </row>
    <row r="4740" spans="5:6" x14ac:dyDescent="0.15">
      <c r="E4740" s="8"/>
      <c r="F4740" s="8"/>
    </row>
    <row r="4741" spans="5:6" x14ac:dyDescent="0.15">
      <c r="E4741" s="8"/>
      <c r="F4741" s="8"/>
    </row>
    <row r="4742" spans="5:6" x14ac:dyDescent="0.15">
      <c r="E4742" s="8"/>
      <c r="F4742" s="8"/>
    </row>
    <row r="4743" spans="5:6" x14ac:dyDescent="0.15">
      <c r="E4743" s="8"/>
      <c r="F4743" s="8"/>
    </row>
    <row r="4744" spans="5:6" x14ac:dyDescent="0.15">
      <c r="E4744" s="8"/>
      <c r="F4744" s="8"/>
    </row>
    <row r="4745" spans="5:6" x14ac:dyDescent="0.15">
      <c r="E4745" s="8"/>
      <c r="F4745" s="8"/>
    </row>
    <row r="4746" spans="5:6" x14ac:dyDescent="0.15">
      <c r="E4746" s="8"/>
      <c r="F4746" s="8"/>
    </row>
    <row r="4747" spans="5:6" x14ac:dyDescent="0.15">
      <c r="E4747" s="8"/>
      <c r="F4747" s="8"/>
    </row>
    <row r="4748" spans="5:6" x14ac:dyDescent="0.15">
      <c r="E4748" s="8"/>
      <c r="F4748" s="8"/>
    </row>
    <row r="4749" spans="5:6" x14ac:dyDescent="0.15">
      <c r="E4749" s="8"/>
      <c r="F4749" s="8"/>
    </row>
    <row r="4750" spans="5:6" x14ac:dyDescent="0.15">
      <c r="E4750" s="8"/>
      <c r="F4750" s="8"/>
    </row>
    <row r="4751" spans="5:6" x14ac:dyDescent="0.15">
      <c r="E4751" s="8"/>
      <c r="F4751" s="8"/>
    </row>
    <row r="4752" spans="5:6" x14ac:dyDescent="0.15">
      <c r="E4752" s="8"/>
      <c r="F4752" s="8"/>
    </row>
    <row r="4753" spans="5:6" x14ac:dyDescent="0.15">
      <c r="E4753" s="8"/>
      <c r="F4753" s="8"/>
    </row>
    <row r="4754" spans="5:6" x14ac:dyDescent="0.15">
      <c r="E4754" s="8"/>
      <c r="F4754" s="8"/>
    </row>
    <row r="4755" spans="5:6" x14ac:dyDescent="0.15">
      <c r="E4755" s="8"/>
      <c r="F4755" s="8"/>
    </row>
    <row r="4756" spans="5:6" x14ac:dyDescent="0.15">
      <c r="E4756" s="8"/>
      <c r="F4756" s="8"/>
    </row>
    <row r="4757" spans="5:6" x14ac:dyDescent="0.15">
      <c r="E4757" s="8"/>
      <c r="F4757" s="8"/>
    </row>
    <row r="4758" spans="5:6" x14ac:dyDescent="0.15">
      <c r="E4758" s="8"/>
      <c r="F4758" s="8"/>
    </row>
    <row r="4759" spans="5:6" x14ac:dyDescent="0.15">
      <c r="E4759" s="8"/>
      <c r="F4759" s="8"/>
    </row>
    <row r="4760" spans="5:6" x14ac:dyDescent="0.15">
      <c r="E4760" s="8"/>
      <c r="F4760" s="8"/>
    </row>
    <row r="4761" spans="5:6" x14ac:dyDescent="0.15">
      <c r="E4761" s="8"/>
      <c r="F4761" s="8"/>
    </row>
    <row r="4762" spans="5:6" x14ac:dyDescent="0.15">
      <c r="E4762" s="8"/>
      <c r="F4762" s="8"/>
    </row>
    <row r="4763" spans="5:6" x14ac:dyDescent="0.15">
      <c r="E4763" s="8"/>
      <c r="F4763" s="8"/>
    </row>
    <row r="4764" spans="5:6" x14ac:dyDescent="0.15">
      <c r="E4764" s="8"/>
      <c r="F4764" s="8"/>
    </row>
    <row r="4765" spans="5:6" x14ac:dyDescent="0.15">
      <c r="E4765" s="8"/>
      <c r="F4765" s="8"/>
    </row>
    <row r="4766" spans="5:6" x14ac:dyDescent="0.15">
      <c r="E4766" s="8"/>
      <c r="F4766" s="8"/>
    </row>
    <row r="4767" spans="5:6" x14ac:dyDescent="0.15">
      <c r="E4767" s="8"/>
      <c r="F4767" s="8"/>
    </row>
    <row r="4768" spans="5:6" x14ac:dyDescent="0.15">
      <c r="E4768" s="8"/>
      <c r="F4768" s="8"/>
    </row>
    <row r="4769" spans="5:6" x14ac:dyDescent="0.15">
      <c r="E4769" s="8"/>
      <c r="F4769" s="8"/>
    </row>
    <row r="4770" spans="5:6" x14ac:dyDescent="0.15">
      <c r="E4770" s="8"/>
      <c r="F4770" s="8"/>
    </row>
    <row r="4771" spans="5:6" x14ac:dyDescent="0.15">
      <c r="E4771" s="8"/>
      <c r="F4771" s="8"/>
    </row>
    <row r="4772" spans="5:6" x14ac:dyDescent="0.15">
      <c r="E4772" s="8"/>
      <c r="F4772" s="8"/>
    </row>
    <row r="4773" spans="5:6" x14ac:dyDescent="0.15">
      <c r="E4773" s="8"/>
      <c r="F4773" s="8"/>
    </row>
    <row r="4774" spans="5:6" x14ac:dyDescent="0.15">
      <c r="E4774" s="8"/>
      <c r="F4774" s="8"/>
    </row>
    <row r="4775" spans="5:6" x14ac:dyDescent="0.15">
      <c r="E4775" s="8"/>
      <c r="F4775" s="8"/>
    </row>
    <row r="4776" spans="5:6" x14ac:dyDescent="0.15">
      <c r="E4776" s="8"/>
      <c r="F4776" s="8"/>
    </row>
    <row r="4777" spans="5:6" x14ac:dyDescent="0.15">
      <c r="E4777" s="8"/>
      <c r="F4777" s="8"/>
    </row>
    <row r="4778" spans="5:6" x14ac:dyDescent="0.15">
      <c r="E4778" s="8"/>
      <c r="F4778" s="8"/>
    </row>
    <row r="4779" spans="5:6" x14ac:dyDescent="0.15">
      <c r="E4779" s="8"/>
      <c r="F4779" s="8"/>
    </row>
    <row r="4780" spans="5:6" x14ac:dyDescent="0.15">
      <c r="E4780" s="8"/>
      <c r="F4780" s="8"/>
    </row>
    <row r="4781" spans="5:6" x14ac:dyDescent="0.15">
      <c r="E4781" s="8"/>
      <c r="F4781" s="8"/>
    </row>
    <row r="4782" spans="5:6" x14ac:dyDescent="0.15">
      <c r="E4782" s="8"/>
      <c r="F4782" s="8"/>
    </row>
    <row r="4783" spans="5:6" x14ac:dyDescent="0.15">
      <c r="E4783" s="8"/>
      <c r="F4783" s="8"/>
    </row>
    <row r="4784" spans="5:6" x14ac:dyDescent="0.15">
      <c r="E4784" s="8"/>
      <c r="F4784" s="8"/>
    </row>
    <row r="4785" spans="5:6" x14ac:dyDescent="0.15">
      <c r="E4785" s="8"/>
      <c r="F4785" s="8"/>
    </row>
    <row r="4786" spans="5:6" x14ac:dyDescent="0.15">
      <c r="E4786" s="8"/>
      <c r="F4786" s="8"/>
    </row>
    <row r="4787" spans="5:6" x14ac:dyDescent="0.15">
      <c r="E4787" s="8"/>
      <c r="F4787" s="8"/>
    </row>
    <row r="4788" spans="5:6" x14ac:dyDescent="0.15">
      <c r="E4788" s="8"/>
      <c r="F4788" s="8"/>
    </row>
    <row r="4789" spans="5:6" x14ac:dyDescent="0.15">
      <c r="E4789" s="8"/>
      <c r="F4789" s="8"/>
    </row>
    <row r="4790" spans="5:6" x14ac:dyDescent="0.15">
      <c r="E4790" s="8"/>
      <c r="F4790" s="8"/>
    </row>
    <row r="4791" spans="5:6" x14ac:dyDescent="0.15">
      <c r="E4791" s="8"/>
      <c r="F4791" s="8"/>
    </row>
    <row r="4792" spans="5:6" x14ac:dyDescent="0.15">
      <c r="E4792" s="8"/>
      <c r="F4792" s="8"/>
    </row>
    <row r="4793" spans="5:6" x14ac:dyDescent="0.15">
      <c r="E4793" s="8"/>
      <c r="F4793" s="8"/>
    </row>
    <row r="4794" spans="5:6" x14ac:dyDescent="0.15">
      <c r="E4794" s="8"/>
      <c r="F4794" s="8"/>
    </row>
    <row r="4795" spans="5:6" x14ac:dyDescent="0.15">
      <c r="E4795" s="8"/>
      <c r="F4795" s="8"/>
    </row>
    <row r="4796" spans="5:6" x14ac:dyDescent="0.15">
      <c r="E4796" s="8"/>
      <c r="F4796" s="8"/>
    </row>
    <row r="4797" spans="5:6" x14ac:dyDescent="0.15">
      <c r="E4797" s="8"/>
      <c r="F4797" s="8"/>
    </row>
    <row r="4798" spans="5:6" x14ac:dyDescent="0.15">
      <c r="E4798" s="8"/>
      <c r="F4798" s="8"/>
    </row>
    <row r="4799" spans="5:6" x14ac:dyDescent="0.15">
      <c r="E4799" s="8"/>
      <c r="F4799" s="8"/>
    </row>
    <row r="4800" spans="5:6" x14ac:dyDescent="0.15">
      <c r="E4800" s="8"/>
      <c r="F4800" s="8"/>
    </row>
    <row r="4801" spans="5:6" x14ac:dyDescent="0.15">
      <c r="E4801" s="8"/>
      <c r="F4801" s="8"/>
    </row>
    <row r="4802" spans="5:6" x14ac:dyDescent="0.15">
      <c r="E4802" s="8"/>
      <c r="F4802" s="8"/>
    </row>
    <row r="4803" spans="5:6" x14ac:dyDescent="0.15">
      <c r="E4803" s="8"/>
      <c r="F4803" s="8"/>
    </row>
    <row r="4804" spans="5:6" x14ac:dyDescent="0.15">
      <c r="E4804" s="8"/>
      <c r="F4804" s="8"/>
    </row>
    <row r="4805" spans="5:6" x14ac:dyDescent="0.15">
      <c r="E4805" s="8"/>
      <c r="F4805" s="8"/>
    </row>
    <row r="4806" spans="5:6" x14ac:dyDescent="0.15">
      <c r="E4806" s="8"/>
      <c r="F4806" s="8"/>
    </row>
    <row r="4807" spans="5:6" x14ac:dyDescent="0.15">
      <c r="E4807" s="8"/>
      <c r="F4807" s="8"/>
    </row>
    <row r="4808" spans="5:6" x14ac:dyDescent="0.15">
      <c r="E4808" s="8"/>
      <c r="F4808" s="8"/>
    </row>
    <row r="4809" spans="5:6" x14ac:dyDescent="0.15">
      <c r="E4809" s="8"/>
      <c r="F4809" s="8"/>
    </row>
    <row r="4810" spans="5:6" x14ac:dyDescent="0.15">
      <c r="E4810" s="8"/>
      <c r="F4810" s="8"/>
    </row>
    <row r="4811" spans="5:6" x14ac:dyDescent="0.15">
      <c r="E4811" s="8"/>
      <c r="F4811" s="8"/>
    </row>
    <row r="4812" spans="5:6" x14ac:dyDescent="0.15">
      <c r="E4812" s="8"/>
      <c r="F4812" s="8"/>
    </row>
    <row r="4813" spans="5:6" x14ac:dyDescent="0.15">
      <c r="E4813" s="8"/>
      <c r="F4813" s="8"/>
    </row>
    <row r="4814" spans="5:6" x14ac:dyDescent="0.15">
      <c r="E4814" s="8"/>
      <c r="F4814" s="8"/>
    </row>
    <row r="4815" spans="5:6" x14ac:dyDescent="0.15">
      <c r="E4815" s="8"/>
      <c r="F4815" s="8"/>
    </row>
    <row r="4816" spans="5:6" x14ac:dyDescent="0.15">
      <c r="E4816" s="8"/>
      <c r="F4816" s="8"/>
    </row>
    <row r="4817" spans="5:6" x14ac:dyDescent="0.15">
      <c r="E4817" s="8"/>
      <c r="F4817" s="8"/>
    </row>
    <row r="4818" spans="5:6" x14ac:dyDescent="0.15">
      <c r="E4818" s="8"/>
      <c r="F4818" s="8"/>
    </row>
    <row r="4819" spans="5:6" x14ac:dyDescent="0.15">
      <c r="E4819" s="8"/>
      <c r="F4819" s="8"/>
    </row>
    <row r="4820" spans="5:6" x14ac:dyDescent="0.15">
      <c r="E4820" s="8"/>
      <c r="F4820" s="8"/>
    </row>
    <row r="4821" spans="5:6" x14ac:dyDescent="0.15">
      <c r="E4821" s="8"/>
      <c r="F4821" s="8"/>
    </row>
    <row r="4822" spans="5:6" x14ac:dyDescent="0.15">
      <c r="E4822" s="8"/>
      <c r="F4822" s="8"/>
    </row>
    <row r="4823" spans="5:6" x14ac:dyDescent="0.15">
      <c r="E4823" s="8"/>
      <c r="F4823" s="8"/>
    </row>
    <row r="4824" spans="5:6" x14ac:dyDescent="0.15">
      <c r="E4824" s="8"/>
      <c r="F4824" s="8"/>
    </row>
    <row r="4825" spans="5:6" x14ac:dyDescent="0.15">
      <c r="E4825" s="8"/>
      <c r="F4825" s="8"/>
    </row>
    <row r="4826" spans="5:6" x14ac:dyDescent="0.15">
      <c r="E4826" s="8"/>
      <c r="F4826" s="8"/>
    </row>
    <row r="4827" spans="5:6" x14ac:dyDescent="0.15">
      <c r="E4827" s="8"/>
      <c r="F4827" s="8"/>
    </row>
    <row r="4828" spans="5:6" x14ac:dyDescent="0.15">
      <c r="E4828" s="8"/>
      <c r="F4828" s="8"/>
    </row>
    <row r="4829" spans="5:6" x14ac:dyDescent="0.15">
      <c r="E4829" s="8"/>
      <c r="F4829" s="8"/>
    </row>
    <row r="4830" spans="5:6" x14ac:dyDescent="0.15">
      <c r="E4830" s="8"/>
      <c r="F4830" s="8"/>
    </row>
    <row r="4831" spans="5:6" x14ac:dyDescent="0.15">
      <c r="E4831" s="8"/>
      <c r="F4831" s="8"/>
    </row>
    <row r="4832" spans="5:6" x14ac:dyDescent="0.15">
      <c r="E4832" s="8"/>
      <c r="F4832" s="8"/>
    </row>
    <row r="4833" spans="5:6" x14ac:dyDescent="0.15">
      <c r="E4833" s="8"/>
      <c r="F4833" s="8"/>
    </row>
    <row r="4834" spans="5:6" x14ac:dyDescent="0.15">
      <c r="E4834" s="8"/>
      <c r="F4834" s="8"/>
    </row>
    <row r="4835" spans="5:6" x14ac:dyDescent="0.15">
      <c r="E4835" s="8"/>
      <c r="F4835" s="8"/>
    </row>
    <row r="4836" spans="5:6" x14ac:dyDescent="0.15">
      <c r="E4836" s="8"/>
      <c r="F4836" s="8"/>
    </row>
    <row r="4837" spans="5:6" x14ac:dyDescent="0.15">
      <c r="E4837" s="8"/>
      <c r="F4837" s="8"/>
    </row>
    <row r="4838" spans="5:6" x14ac:dyDescent="0.15">
      <c r="E4838" s="8"/>
      <c r="F4838" s="8"/>
    </row>
    <row r="4839" spans="5:6" x14ac:dyDescent="0.15">
      <c r="E4839" s="8"/>
      <c r="F4839" s="8"/>
    </row>
    <row r="4840" spans="5:6" x14ac:dyDescent="0.15">
      <c r="E4840" s="8"/>
      <c r="F4840" s="8"/>
    </row>
    <row r="4841" spans="5:6" x14ac:dyDescent="0.15">
      <c r="E4841" s="8"/>
      <c r="F4841" s="8"/>
    </row>
    <row r="4842" spans="5:6" x14ac:dyDescent="0.15">
      <c r="E4842" s="8"/>
      <c r="F4842" s="8"/>
    </row>
    <row r="4843" spans="5:6" x14ac:dyDescent="0.15">
      <c r="E4843" s="8"/>
      <c r="F4843" s="8"/>
    </row>
    <row r="4844" spans="5:6" x14ac:dyDescent="0.15">
      <c r="E4844" s="8"/>
      <c r="F4844" s="8"/>
    </row>
    <row r="4845" spans="5:6" x14ac:dyDescent="0.15">
      <c r="E4845" s="8"/>
      <c r="F4845" s="8"/>
    </row>
    <row r="4846" spans="5:6" x14ac:dyDescent="0.15">
      <c r="E4846" s="8"/>
      <c r="F4846" s="8"/>
    </row>
    <row r="4847" spans="5:6" x14ac:dyDescent="0.15">
      <c r="E4847" s="8"/>
      <c r="F4847" s="8"/>
    </row>
    <row r="4848" spans="5:6" x14ac:dyDescent="0.15">
      <c r="E4848" s="8"/>
      <c r="F4848" s="8"/>
    </row>
    <row r="4849" spans="5:6" x14ac:dyDescent="0.15">
      <c r="E4849" s="8"/>
      <c r="F4849" s="8"/>
    </row>
    <row r="4850" spans="5:6" x14ac:dyDescent="0.15">
      <c r="E4850" s="8"/>
      <c r="F4850" s="8"/>
    </row>
    <row r="4851" spans="5:6" x14ac:dyDescent="0.15">
      <c r="E4851" s="8"/>
      <c r="F4851" s="8"/>
    </row>
    <row r="4852" spans="5:6" x14ac:dyDescent="0.15">
      <c r="E4852" s="8"/>
      <c r="F4852" s="8"/>
    </row>
    <row r="4853" spans="5:6" x14ac:dyDescent="0.15">
      <c r="E4853" s="8"/>
      <c r="F4853" s="8"/>
    </row>
    <row r="4854" spans="5:6" x14ac:dyDescent="0.15">
      <c r="E4854" s="8"/>
      <c r="F4854" s="8"/>
    </row>
    <row r="4855" spans="5:6" x14ac:dyDescent="0.15">
      <c r="E4855" s="8"/>
      <c r="F4855" s="8"/>
    </row>
    <row r="4856" spans="5:6" x14ac:dyDescent="0.15">
      <c r="E4856" s="8"/>
      <c r="F4856" s="8"/>
    </row>
    <row r="4857" spans="5:6" x14ac:dyDescent="0.15">
      <c r="E4857" s="8"/>
      <c r="F4857" s="8"/>
    </row>
    <row r="4858" spans="5:6" x14ac:dyDescent="0.15">
      <c r="E4858" s="8"/>
      <c r="F4858" s="8"/>
    </row>
    <row r="4859" spans="5:6" x14ac:dyDescent="0.15">
      <c r="E4859" s="8"/>
      <c r="F4859" s="8"/>
    </row>
    <row r="4860" spans="5:6" x14ac:dyDescent="0.15">
      <c r="E4860" s="8"/>
      <c r="F4860" s="8"/>
    </row>
    <row r="4861" spans="5:6" x14ac:dyDescent="0.15">
      <c r="E4861" s="8"/>
      <c r="F4861" s="8"/>
    </row>
    <row r="4862" spans="5:6" x14ac:dyDescent="0.15">
      <c r="E4862" s="8"/>
      <c r="F4862" s="8"/>
    </row>
    <row r="4863" spans="5:6" x14ac:dyDescent="0.15">
      <c r="E4863" s="8"/>
      <c r="F4863" s="8"/>
    </row>
    <row r="4864" spans="5:6" x14ac:dyDescent="0.15">
      <c r="E4864" s="8"/>
      <c r="F4864" s="8"/>
    </row>
    <row r="4865" spans="5:6" x14ac:dyDescent="0.15">
      <c r="E4865" s="8"/>
      <c r="F4865" s="8"/>
    </row>
    <row r="4866" spans="5:6" x14ac:dyDescent="0.15">
      <c r="E4866" s="8"/>
      <c r="F4866" s="8"/>
    </row>
    <row r="4867" spans="5:6" x14ac:dyDescent="0.15">
      <c r="E4867" s="8"/>
      <c r="F4867" s="8"/>
    </row>
    <row r="4868" spans="5:6" x14ac:dyDescent="0.15">
      <c r="E4868" s="8"/>
      <c r="F4868" s="8"/>
    </row>
    <row r="4869" spans="5:6" x14ac:dyDescent="0.15">
      <c r="E4869" s="8"/>
      <c r="F4869" s="8"/>
    </row>
    <row r="4870" spans="5:6" x14ac:dyDescent="0.15">
      <c r="E4870" s="8"/>
      <c r="F4870" s="8"/>
    </row>
    <row r="4871" spans="5:6" x14ac:dyDescent="0.15">
      <c r="E4871" s="8"/>
      <c r="F4871" s="8"/>
    </row>
    <row r="4872" spans="5:6" x14ac:dyDescent="0.15">
      <c r="E4872" s="8"/>
      <c r="F4872" s="8"/>
    </row>
    <row r="4873" spans="5:6" x14ac:dyDescent="0.15">
      <c r="E4873" s="8"/>
      <c r="F4873" s="8"/>
    </row>
    <row r="4874" spans="5:6" x14ac:dyDescent="0.15">
      <c r="E4874" s="8"/>
      <c r="F4874" s="8"/>
    </row>
    <row r="4875" spans="5:6" x14ac:dyDescent="0.15">
      <c r="E4875" s="8"/>
      <c r="F4875" s="8"/>
    </row>
    <row r="4876" spans="5:6" x14ac:dyDescent="0.15">
      <c r="E4876" s="8"/>
      <c r="F4876" s="8"/>
    </row>
    <row r="4877" spans="5:6" x14ac:dyDescent="0.15">
      <c r="E4877" s="8"/>
      <c r="F4877" s="8"/>
    </row>
    <row r="4878" spans="5:6" x14ac:dyDescent="0.15">
      <c r="E4878" s="8"/>
      <c r="F4878" s="8"/>
    </row>
    <row r="4879" spans="5:6" x14ac:dyDescent="0.15">
      <c r="E4879" s="8"/>
      <c r="F4879" s="8"/>
    </row>
    <row r="4880" spans="5:6" x14ac:dyDescent="0.15">
      <c r="E4880" s="8"/>
      <c r="F4880" s="8"/>
    </row>
    <row r="4881" spans="5:6" x14ac:dyDescent="0.15">
      <c r="E4881" s="8"/>
      <c r="F4881" s="8"/>
    </row>
    <row r="4882" spans="5:6" x14ac:dyDescent="0.15">
      <c r="E4882" s="8"/>
      <c r="F4882" s="8"/>
    </row>
    <row r="4883" spans="5:6" x14ac:dyDescent="0.15">
      <c r="E4883" s="8"/>
      <c r="F4883" s="8"/>
    </row>
  </sheetData>
  <phoneticPr fontId="1" type="noConversion"/>
  <dataValidations count="4">
    <dataValidation type="whole" allowBlank="1" showInputMessage="1" showErrorMessage="1" sqref="B6">
      <formula1>10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88"/>
  <sheetViews>
    <sheetView zoomScale="85" zoomScaleNormal="85" workbookViewId="0">
      <pane ySplit="1" topLeftCell="A2" activePane="bottomLeft" state="frozen"/>
      <selection pane="bottomLeft" activeCell="A2" sqref="A2:O4088"/>
    </sheetView>
  </sheetViews>
  <sheetFormatPr defaultRowHeight="13.5" x14ac:dyDescent="0.15"/>
  <cols>
    <col min="1" max="1" width="6" bestFit="1" customWidth="1"/>
    <col min="2" max="2" width="11.75" bestFit="1" customWidth="1"/>
    <col min="3" max="3" width="14.5" customWidth="1"/>
    <col min="4" max="4" width="42.75" bestFit="1" customWidth="1"/>
    <col min="5" max="5" width="10.5" bestFit="1" customWidth="1"/>
    <col min="6" max="6" width="40.125" bestFit="1" customWidth="1"/>
    <col min="7" max="12" width="6" customWidth="1"/>
    <col min="13" max="13" width="6" style="3" customWidth="1"/>
    <col min="14" max="14" width="19.25" style="3" customWidth="1"/>
    <col min="15" max="15" width="3.5" style="32" customWidth="1"/>
    <col min="16" max="16" width="2.25" customWidth="1"/>
  </cols>
  <sheetData>
    <row r="1" spans="1:16" x14ac:dyDescent="0.15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5672</v>
      </c>
    </row>
    <row r="2" spans="1:16" hidden="1" x14ac:dyDescent="0.15">
      <c r="A2">
        <v>1</v>
      </c>
      <c r="B2" t="s">
        <v>35</v>
      </c>
      <c r="C2" t="s">
        <v>5</v>
      </c>
      <c r="D2" s="72" t="s">
        <v>5643</v>
      </c>
      <c r="E2" t="s">
        <v>36</v>
      </c>
      <c r="F2" t="s">
        <v>116</v>
      </c>
      <c r="G2" s="92">
        <v>42626.763645833336</v>
      </c>
      <c r="H2" s="92">
        <v>42649.48233796296</v>
      </c>
      <c r="I2" s="92">
        <v>42649.48232638889</v>
      </c>
      <c r="J2" s="92"/>
      <c r="K2" s="92">
        <v>42649.483564814815</v>
      </c>
      <c r="L2" s="92">
        <f>IF(AND(单词表[[#This Row],[学英]]&lt;&gt;"",单词表[[#This Row],[学中]]&lt;&gt;"",单词表[[#This Row],[学词]]&lt;&gt;""),MAX(单词表[[#This Row],[学英]:[学词]]),"")</f>
        <v>42649.48233796296</v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15">
      <c r="A3">
        <v>2</v>
      </c>
      <c r="B3" t="s">
        <v>35</v>
      </c>
      <c r="C3" t="s">
        <v>5</v>
      </c>
      <c r="D3" s="72" t="s">
        <v>1050</v>
      </c>
      <c r="E3" t="s">
        <v>36</v>
      </c>
      <c r="F3" t="s">
        <v>1041</v>
      </c>
      <c r="G3" s="92">
        <v>42557.378055555557</v>
      </c>
      <c r="H3" s="92">
        <v>42649.48238425926</v>
      </c>
      <c r="I3" s="92">
        <v>42649.482372685183</v>
      </c>
      <c r="J3" s="92">
        <v>42560.401898148149</v>
      </c>
      <c r="K3" s="92">
        <v>42649.483599537038</v>
      </c>
      <c r="L3" s="92">
        <f>IF(AND(单词表[[#This Row],[学英]]&lt;&gt;"",单词表[[#This Row],[学中]]&lt;&gt;"",单词表[[#This Row],[学词]]&lt;&gt;""),MAX(单词表[[#This Row],[学英]:[学词]]),"")</f>
        <v>42649.48238425926</v>
      </c>
      <c r="M3" s="2">
        <f>IF(AND(单词表[[#This Row],[考英]]&lt;&gt;"",单词表[[#This Row],[考中]]&lt;&gt;""),MAX(单词表[[#This Row],[考英]:[考中]]),"")</f>
        <v>42649.483599537038</v>
      </c>
      <c r="N3"/>
      <c r="P3" s="32"/>
    </row>
    <row r="4" spans="1:16" hidden="1" x14ac:dyDescent="0.15">
      <c r="A4">
        <v>3</v>
      </c>
      <c r="B4" t="s">
        <v>35</v>
      </c>
      <c r="C4" t="s">
        <v>5</v>
      </c>
      <c r="D4" s="72" t="s">
        <v>5644</v>
      </c>
      <c r="E4" t="s">
        <v>736</v>
      </c>
      <c r="F4" t="s">
        <v>1051</v>
      </c>
      <c r="G4" s="92">
        <v>42557.378020833334</v>
      </c>
      <c r="H4" s="92">
        <v>42649.482418981483</v>
      </c>
      <c r="I4" s="92">
        <v>42649.482418981483</v>
      </c>
      <c r="J4" s="92">
        <v>42560.402106481481</v>
      </c>
      <c r="K4" s="92">
        <v>42649.483634259261</v>
      </c>
      <c r="L4" s="92">
        <f>IF(AND(单词表[[#This Row],[学英]]&lt;&gt;"",单词表[[#This Row],[学中]]&lt;&gt;"",单词表[[#This Row],[学词]]&lt;&gt;""),MAX(单词表[[#This Row],[学英]:[学词]]),"")</f>
        <v>42649.482418981483</v>
      </c>
      <c r="M4" s="2">
        <f>IF(AND(单词表[[#This Row],[考英]]&lt;&gt;"",单词表[[#This Row],[考中]]&lt;&gt;""),MAX(单词表[[#This Row],[考英]:[考中]]),"")</f>
        <v>42649.483634259261</v>
      </c>
      <c r="N4"/>
      <c r="P4" s="32"/>
    </row>
    <row r="5" spans="1:16" hidden="1" x14ac:dyDescent="0.15">
      <c r="A5">
        <v>4</v>
      </c>
      <c r="B5" t="s">
        <v>35</v>
      </c>
      <c r="C5" t="s">
        <v>5</v>
      </c>
      <c r="D5" s="72" t="s">
        <v>44</v>
      </c>
      <c r="E5" t="s">
        <v>36</v>
      </c>
      <c r="F5" t="s">
        <v>1052</v>
      </c>
      <c r="G5" s="92">
        <v>42557.377997685187</v>
      </c>
      <c r="H5" s="92">
        <v>42626.763749999998</v>
      </c>
      <c r="I5" s="92">
        <v>42626.765370370369</v>
      </c>
      <c r="J5" s="92">
        <v>42560.402395833335</v>
      </c>
      <c r="K5" s="92">
        <v>42649.475092592591</v>
      </c>
      <c r="L5" s="92">
        <f>IF(AND(单词表[[#This Row],[学英]]&lt;&gt;"",单词表[[#This Row],[学中]]&lt;&gt;"",单词表[[#This Row],[学词]]&lt;&gt;""),MAX(单词表[[#This Row],[学英]:[学词]]),"")</f>
        <v>42626.765370370369</v>
      </c>
      <c r="M5" s="2">
        <f>IF(AND(单词表[[#This Row],[考英]]&lt;&gt;"",单词表[[#This Row],[考中]]&lt;&gt;""),MAX(单词表[[#This Row],[考英]:[考中]]),"")</f>
        <v>42649.475092592591</v>
      </c>
      <c r="N5"/>
      <c r="P5" s="32"/>
    </row>
    <row r="6" spans="1:16" hidden="1" x14ac:dyDescent="0.15">
      <c r="A6">
        <v>5</v>
      </c>
      <c r="B6" t="s">
        <v>35</v>
      </c>
      <c r="C6" t="s">
        <v>5</v>
      </c>
      <c r="D6" s="72" t="s">
        <v>1053</v>
      </c>
      <c r="E6" t="s">
        <v>36</v>
      </c>
      <c r="F6" t="s">
        <v>1054</v>
      </c>
      <c r="G6" s="92">
        <v>42557.377928240741</v>
      </c>
      <c r="H6" s="92">
        <v>42626.763796296298</v>
      </c>
      <c r="I6" s="92">
        <v>42626.765381944446</v>
      </c>
      <c r="J6" s="92">
        <v>42560.402546296296</v>
      </c>
      <c r="K6" s="92">
        <v>42649.475138888891</v>
      </c>
      <c r="L6" s="92">
        <f>IF(AND(单词表[[#This Row],[学英]]&lt;&gt;"",单词表[[#This Row],[学中]]&lt;&gt;"",单词表[[#This Row],[学词]]&lt;&gt;""),MAX(单词表[[#This Row],[学英]:[学词]]),"")</f>
        <v>42626.765381944446</v>
      </c>
      <c r="M6" s="2">
        <f>IF(AND(单词表[[#This Row],[考英]]&lt;&gt;"",单词表[[#This Row],[考中]]&lt;&gt;""),MAX(单词表[[#This Row],[考英]:[考中]]),"")</f>
        <v>42649.475138888891</v>
      </c>
      <c r="N6"/>
      <c r="P6" s="32"/>
    </row>
    <row r="7" spans="1:16" hidden="1" x14ac:dyDescent="0.15">
      <c r="A7">
        <v>6</v>
      </c>
      <c r="B7" t="s">
        <v>35</v>
      </c>
      <c r="C7" t="s">
        <v>5</v>
      </c>
      <c r="D7" s="72" t="s">
        <v>42</v>
      </c>
      <c r="E7" t="s">
        <v>36</v>
      </c>
      <c r="F7" t="s">
        <v>1055</v>
      </c>
      <c r="G7" s="92">
        <v>42557.377893518518</v>
      </c>
      <c r="H7" s="92">
        <v>42626.763842592591</v>
      </c>
      <c r="I7" s="92">
        <v>42626.765405092592</v>
      </c>
      <c r="J7" s="92">
        <v>42560.402858796297</v>
      </c>
      <c r="K7" s="92">
        <v>42649.475173611114</v>
      </c>
      <c r="L7" s="92">
        <f>IF(AND(单词表[[#This Row],[学英]]&lt;&gt;"",单词表[[#This Row],[学中]]&lt;&gt;"",单词表[[#This Row],[学词]]&lt;&gt;""),MAX(单词表[[#This Row],[学英]:[学词]]),"")</f>
        <v>42626.765405092592</v>
      </c>
      <c r="M7" s="2">
        <f>IF(AND(单词表[[#This Row],[考英]]&lt;&gt;"",单词表[[#This Row],[考中]]&lt;&gt;""),MAX(单词表[[#This Row],[考英]:[考中]]),"")</f>
        <v>42649.475173611114</v>
      </c>
      <c r="N7"/>
      <c r="P7" s="32"/>
    </row>
    <row r="8" spans="1:16" hidden="1" x14ac:dyDescent="0.15">
      <c r="A8">
        <v>7</v>
      </c>
      <c r="B8" t="s">
        <v>35</v>
      </c>
      <c r="C8" t="s">
        <v>5</v>
      </c>
      <c r="D8" s="72" t="s">
        <v>1056</v>
      </c>
      <c r="E8" t="s">
        <v>36</v>
      </c>
      <c r="F8" t="s">
        <v>1057</v>
      </c>
      <c r="G8" s="92">
        <v>42557.377847222226</v>
      </c>
      <c r="H8" s="92">
        <v>42626.763888888891</v>
      </c>
      <c r="I8" s="92">
        <v>42626.765428240738</v>
      </c>
      <c r="J8" s="92">
        <v>42560.403032407405</v>
      </c>
      <c r="K8" s="92">
        <v>42649.475219907406</v>
      </c>
      <c r="L8" s="92">
        <f>IF(AND(单词表[[#This Row],[学英]]&lt;&gt;"",单词表[[#This Row],[学中]]&lt;&gt;"",单词表[[#This Row],[学词]]&lt;&gt;""),MAX(单词表[[#This Row],[学英]:[学词]]),"")</f>
        <v>42626.765428240738</v>
      </c>
      <c r="M8" s="2">
        <f>IF(AND(单词表[[#This Row],[考英]]&lt;&gt;"",单词表[[#This Row],[考中]]&lt;&gt;""),MAX(单词表[[#This Row],[考英]:[考中]]),"")</f>
        <v>42649.475219907406</v>
      </c>
      <c r="N8"/>
      <c r="P8" s="32"/>
    </row>
    <row r="9" spans="1:16" hidden="1" x14ac:dyDescent="0.15">
      <c r="A9">
        <v>8</v>
      </c>
      <c r="B9" t="s">
        <v>35</v>
      </c>
      <c r="C9" t="s">
        <v>5</v>
      </c>
      <c r="D9" s="72" t="s">
        <v>1058</v>
      </c>
      <c r="E9" t="s">
        <v>702</v>
      </c>
      <c r="F9" t="s">
        <v>1059</v>
      </c>
      <c r="G9" s="92">
        <v>42557.377800925926</v>
      </c>
      <c r="H9" s="92">
        <v>42626.768622685187</v>
      </c>
      <c r="I9" s="92">
        <v>42626.768622685187</v>
      </c>
      <c r="J9" s="92">
        <v>42560.454016203701</v>
      </c>
      <c r="K9" s="92">
        <v>42649.475254629629</v>
      </c>
      <c r="L9" s="92">
        <f>IF(AND(单词表[[#This Row],[学英]]&lt;&gt;"",单词表[[#This Row],[学中]]&lt;&gt;"",单词表[[#This Row],[学词]]&lt;&gt;""),MAX(单词表[[#This Row],[学英]:[学词]]),"")</f>
        <v>42626.768622685187</v>
      </c>
      <c r="M9" s="2">
        <f>IF(AND(单词表[[#This Row],[考英]]&lt;&gt;"",单词表[[#This Row],[考中]]&lt;&gt;""),MAX(单词表[[#This Row],[考英]:[考中]]),"")</f>
        <v>42649.475254629629</v>
      </c>
      <c r="N9"/>
      <c r="P9" s="32"/>
    </row>
    <row r="10" spans="1:16" hidden="1" x14ac:dyDescent="0.15">
      <c r="A10">
        <v>9</v>
      </c>
      <c r="B10" t="s">
        <v>35</v>
      </c>
      <c r="C10" t="s">
        <v>5</v>
      </c>
      <c r="D10" s="72" t="s">
        <v>1060</v>
      </c>
      <c r="E10" t="s">
        <v>36</v>
      </c>
      <c r="F10" t="s">
        <v>50</v>
      </c>
      <c r="G10" s="92">
        <v>42557.377766203703</v>
      </c>
      <c r="H10" s="92">
        <v>42626.763969907406</v>
      </c>
      <c r="I10" s="92">
        <v>42626.765451388892</v>
      </c>
      <c r="J10" s="92">
        <v>42560.403819444444</v>
      </c>
      <c r="K10" s="92">
        <v>42649.475312499999</v>
      </c>
      <c r="L10" s="92">
        <f>IF(AND(单词表[[#This Row],[学英]]&lt;&gt;"",单词表[[#This Row],[学中]]&lt;&gt;"",单词表[[#This Row],[学词]]&lt;&gt;""),MAX(单词表[[#This Row],[学英]:[学词]]),"")</f>
        <v>42626.765451388892</v>
      </c>
      <c r="M10" s="2">
        <f>IF(AND(单词表[[#This Row],[考英]]&lt;&gt;"",单词表[[#This Row],[考中]]&lt;&gt;""),MAX(单词表[[#This Row],[考英]:[考中]]),"")</f>
        <v>42649.475312499999</v>
      </c>
      <c r="N10"/>
      <c r="P10" s="32"/>
    </row>
    <row r="11" spans="1:16" hidden="1" x14ac:dyDescent="0.15">
      <c r="A11">
        <v>10</v>
      </c>
      <c r="B11" t="s">
        <v>35</v>
      </c>
      <c r="C11" t="s">
        <v>5</v>
      </c>
      <c r="D11" s="72" t="s">
        <v>1061</v>
      </c>
      <c r="E11" t="s">
        <v>36</v>
      </c>
      <c r="F11" t="s">
        <v>1062</v>
      </c>
      <c r="G11" s="92">
        <v>42557.377743055556</v>
      </c>
      <c r="H11" s="92">
        <v>42626.764027777775</v>
      </c>
      <c r="I11" s="92">
        <v>42626.765474537038</v>
      </c>
      <c r="J11" s="92">
        <v>42560.403981481482</v>
      </c>
      <c r="K11" s="92">
        <v>42649.475347222222</v>
      </c>
      <c r="L11" s="92">
        <f>IF(AND(单词表[[#This Row],[学英]]&lt;&gt;"",单词表[[#This Row],[学中]]&lt;&gt;"",单词表[[#This Row],[学词]]&lt;&gt;""),MAX(单词表[[#This Row],[学英]:[学词]]),"")</f>
        <v>42626.765474537038</v>
      </c>
      <c r="M11" s="2">
        <f>IF(AND(单词表[[#This Row],[考英]]&lt;&gt;"",单词表[[#This Row],[考中]]&lt;&gt;""),MAX(单词表[[#This Row],[考英]:[考中]]),"")</f>
        <v>42649.475347222222</v>
      </c>
      <c r="N11"/>
      <c r="P11" s="32"/>
    </row>
    <row r="12" spans="1:16" hidden="1" x14ac:dyDescent="0.15">
      <c r="A12">
        <v>11</v>
      </c>
      <c r="B12" t="s">
        <v>35</v>
      </c>
      <c r="C12" t="s">
        <v>5</v>
      </c>
      <c r="D12" s="72" t="s">
        <v>1063</v>
      </c>
      <c r="E12" t="s">
        <v>36</v>
      </c>
      <c r="F12" t="s">
        <v>1064</v>
      </c>
      <c r="G12" s="92">
        <v>42557.377696759257</v>
      </c>
      <c r="H12" s="92">
        <v>42626.768645833334</v>
      </c>
      <c r="I12" s="92">
        <v>42626.768645833334</v>
      </c>
      <c r="J12" s="92">
        <v>42560.404421296298</v>
      </c>
      <c r="K12" s="92">
        <v>42649.475393518522</v>
      </c>
      <c r="L12" s="92">
        <f>IF(AND(单词表[[#This Row],[学英]]&lt;&gt;"",单词表[[#This Row],[学中]]&lt;&gt;"",单词表[[#This Row],[学词]]&lt;&gt;""),MAX(单词表[[#This Row],[学英]:[学词]]),"")</f>
        <v>42626.768645833334</v>
      </c>
      <c r="M12" s="2">
        <f>IF(AND(单词表[[#This Row],[考英]]&lt;&gt;"",单词表[[#This Row],[考中]]&lt;&gt;""),MAX(单词表[[#This Row],[考英]:[考中]]),"")</f>
        <v>42649.475393518522</v>
      </c>
      <c r="N12"/>
      <c r="P12" s="32"/>
    </row>
    <row r="13" spans="1:16" hidden="1" x14ac:dyDescent="0.15">
      <c r="A13">
        <v>12</v>
      </c>
      <c r="B13" t="s">
        <v>35</v>
      </c>
      <c r="C13" t="s">
        <v>5</v>
      </c>
      <c r="D13" s="72" t="s">
        <v>1065</v>
      </c>
      <c r="E13" t="s">
        <v>702</v>
      </c>
      <c r="F13" t="s">
        <v>1066</v>
      </c>
      <c r="G13" s="92">
        <v>42557.378796296296</v>
      </c>
      <c r="H13" s="92">
        <v>42649.482453703706</v>
      </c>
      <c r="I13" s="92">
        <v>42649.482442129629</v>
      </c>
      <c r="J13" s="92">
        <v>42560.405023148145</v>
      </c>
      <c r="K13" s="92">
        <v>42649.483668981484</v>
      </c>
      <c r="L13" s="92">
        <f>IF(AND(单词表[[#This Row],[学英]]&lt;&gt;"",单词表[[#This Row],[学中]]&lt;&gt;"",单词表[[#This Row],[学词]]&lt;&gt;""),MAX(单词表[[#This Row],[学英]:[学词]]),"")</f>
        <v>42649.482453703706</v>
      </c>
      <c r="M13" s="2">
        <f>IF(AND(单词表[[#This Row],[考英]]&lt;&gt;"",单词表[[#This Row],[考中]]&lt;&gt;""),MAX(单词表[[#This Row],[考英]:[考中]]),"")</f>
        <v>42649.483668981484</v>
      </c>
      <c r="N13"/>
      <c r="P13" s="32"/>
    </row>
    <row r="14" spans="1:16" hidden="1" x14ac:dyDescent="0.15">
      <c r="A14">
        <v>13</v>
      </c>
      <c r="B14" t="s">
        <v>35</v>
      </c>
      <c r="C14" t="s">
        <v>5</v>
      </c>
      <c r="D14" s="72" t="s">
        <v>1067</v>
      </c>
      <c r="E14" t="s">
        <v>36</v>
      </c>
      <c r="F14" t="s">
        <v>1068</v>
      </c>
      <c r="G14" s="92">
        <v>42557.379641203705</v>
      </c>
      <c r="H14" s="92">
        <v>42649.482488425929</v>
      </c>
      <c r="I14" s="92">
        <v>42649.482476851852</v>
      </c>
      <c r="J14" s="92">
        <v>42560.405173611114</v>
      </c>
      <c r="K14" s="92">
        <v>42649.483703703707</v>
      </c>
      <c r="L14" s="92">
        <f>IF(AND(单词表[[#This Row],[学英]]&lt;&gt;"",单词表[[#This Row],[学中]]&lt;&gt;"",单词表[[#This Row],[学词]]&lt;&gt;""),MAX(单词表[[#This Row],[学英]:[学词]]),"")</f>
        <v>42649.482488425929</v>
      </c>
      <c r="M14" s="2">
        <f>IF(AND(单词表[[#This Row],[考英]]&lt;&gt;"",单词表[[#This Row],[考中]]&lt;&gt;""),MAX(单词表[[#This Row],[考英]:[考中]]),"")</f>
        <v>42649.483703703707</v>
      </c>
      <c r="N14"/>
      <c r="P14" s="32"/>
    </row>
    <row r="15" spans="1:16" hidden="1" x14ac:dyDescent="0.15">
      <c r="A15">
        <v>14</v>
      </c>
      <c r="B15" t="s">
        <v>35</v>
      </c>
      <c r="C15" t="s">
        <v>5</v>
      </c>
      <c r="D15" s="72" t="s">
        <v>1069</v>
      </c>
      <c r="E15" t="s">
        <v>36</v>
      </c>
      <c r="F15" t="s">
        <v>1070</v>
      </c>
      <c r="G15" s="92">
        <v>42557.378831018519</v>
      </c>
      <c r="H15" s="92">
        <v>42649.482523148145</v>
      </c>
      <c r="I15" s="92">
        <v>42649.482511574075</v>
      </c>
      <c r="J15" s="92">
        <v>42560.454583333332</v>
      </c>
      <c r="K15" s="92">
        <v>42649.483749999999</v>
      </c>
      <c r="L15" s="92">
        <f>IF(AND(单词表[[#This Row],[学英]]&lt;&gt;"",单词表[[#This Row],[学中]]&lt;&gt;"",单词表[[#This Row],[学词]]&lt;&gt;""),MAX(单词表[[#This Row],[学英]:[学词]]),"")</f>
        <v>42649.482523148145</v>
      </c>
      <c r="M15" s="2">
        <f>IF(AND(单词表[[#This Row],[考英]]&lt;&gt;"",单词表[[#This Row],[考中]]&lt;&gt;""),MAX(单词表[[#This Row],[考英]:[考中]]),"")</f>
        <v>42649.483749999999</v>
      </c>
      <c r="N15"/>
      <c r="P15" s="32"/>
    </row>
    <row r="16" spans="1:16" hidden="1" x14ac:dyDescent="0.15">
      <c r="A16">
        <v>15</v>
      </c>
      <c r="B16" t="s">
        <v>35</v>
      </c>
      <c r="C16" t="s">
        <v>5</v>
      </c>
      <c r="D16" s="72" t="s">
        <v>1071</v>
      </c>
      <c r="E16" t="s">
        <v>36</v>
      </c>
      <c r="F16" t="s">
        <v>1072</v>
      </c>
      <c r="G16" s="92">
        <v>42557.379710648151</v>
      </c>
      <c r="H16" s="92">
        <v>42626.764282407406</v>
      </c>
      <c r="I16" s="92">
        <v>42626.765590277777</v>
      </c>
      <c r="J16" s="92">
        <v>42560.405706018515</v>
      </c>
      <c r="K16" s="92">
        <v>42649.475624999999</v>
      </c>
      <c r="L16" s="92">
        <f>IF(AND(单词表[[#This Row],[学英]]&lt;&gt;"",单词表[[#This Row],[学中]]&lt;&gt;"",单词表[[#This Row],[学词]]&lt;&gt;""),MAX(单词表[[#This Row],[学英]:[学词]]),"")</f>
        <v>42626.765590277777</v>
      </c>
      <c r="M16" s="2">
        <f>IF(AND(单词表[[#This Row],[考英]]&lt;&gt;"",单词表[[#This Row],[考中]]&lt;&gt;""),MAX(单词表[[#This Row],[考英]:[考中]]),"")</f>
        <v>42649.475624999999</v>
      </c>
      <c r="N16"/>
      <c r="P16" s="32"/>
    </row>
    <row r="17" spans="1:16" hidden="1" x14ac:dyDescent="0.15">
      <c r="A17">
        <v>16</v>
      </c>
      <c r="B17" t="s">
        <v>35</v>
      </c>
      <c r="C17" t="s">
        <v>5</v>
      </c>
      <c r="D17" s="72" t="s">
        <v>1073</v>
      </c>
      <c r="E17" t="s">
        <v>36</v>
      </c>
      <c r="F17" t="s">
        <v>1074</v>
      </c>
      <c r="G17" s="92">
        <v>42557.380208333336</v>
      </c>
      <c r="H17" s="92">
        <v>42626.769641203704</v>
      </c>
      <c r="I17" s="92">
        <v>42626.769641203704</v>
      </c>
      <c r="J17" s="92">
        <v>42560.405787037038</v>
      </c>
      <c r="K17" s="92">
        <v>42649.475659722222</v>
      </c>
      <c r="L17" s="92">
        <f>IF(AND(单词表[[#This Row],[学英]]&lt;&gt;"",单词表[[#This Row],[学中]]&lt;&gt;"",单词表[[#This Row],[学词]]&lt;&gt;""),MAX(单词表[[#This Row],[学英]:[学词]]),"")</f>
        <v>42626.769641203704</v>
      </c>
      <c r="M17" s="2">
        <f>IF(AND(单词表[[#This Row],[考英]]&lt;&gt;"",单词表[[#This Row],[考中]]&lt;&gt;""),MAX(单词表[[#This Row],[考英]:[考中]]),"")</f>
        <v>42649.475659722222</v>
      </c>
      <c r="N17"/>
      <c r="P17" s="32"/>
    </row>
    <row r="18" spans="1:16" hidden="1" x14ac:dyDescent="0.15">
      <c r="A18">
        <v>17</v>
      </c>
      <c r="B18" t="s">
        <v>35</v>
      </c>
      <c r="C18" t="s">
        <v>5</v>
      </c>
      <c r="D18" s="72" t="s">
        <v>1075</v>
      </c>
      <c r="E18" t="s">
        <v>157</v>
      </c>
      <c r="F18" t="s">
        <v>1076</v>
      </c>
      <c r="G18" s="92">
        <v>42557.384791666664</v>
      </c>
      <c r="H18" s="92">
        <v>42649.482569444444</v>
      </c>
      <c r="I18" s="92">
        <v>42649.482557870368</v>
      </c>
      <c r="J18" s="92">
        <v>42560.406053240738</v>
      </c>
      <c r="K18" s="92">
        <v>42649.483807870369</v>
      </c>
      <c r="L18" s="92">
        <f>IF(AND(单词表[[#This Row],[学英]]&lt;&gt;"",单词表[[#This Row],[学中]]&lt;&gt;"",单词表[[#This Row],[学词]]&lt;&gt;""),MAX(单词表[[#This Row],[学英]:[学词]]),"")</f>
        <v>42649.482569444444</v>
      </c>
      <c r="M18" s="2">
        <f>IF(AND(单词表[[#This Row],[考英]]&lt;&gt;"",单词表[[#This Row],[考中]]&lt;&gt;""),MAX(单词表[[#This Row],[考英]:[考中]]),"")</f>
        <v>42649.483807870369</v>
      </c>
      <c r="N18"/>
      <c r="P18" s="32"/>
    </row>
    <row r="19" spans="1:16" hidden="1" x14ac:dyDescent="0.15">
      <c r="A19">
        <v>18</v>
      </c>
      <c r="B19" t="s">
        <v>35</v>
      </c>
      <c r="C19" t="s">
        <v>5</v>
      </c>
      <c r="D19" s="72" t="s">
        <v>1077</v>
      </c>
      <c r="E19" t="s">
        <v>36</v>
      </c>
      <c r="F19" t="s">
        <v>1078</v>
      </c>
      <c r="G19" s="92">
        <v>42557.384687500002</v>
      </c>
      <c r="H19" s="92">
        <v>42626.76871527778</v>
      </c>
      <c r="I19" s="92">
        <v>42626.76871527778</v>
      </c>
      <c r="J19" s="92">
        <v>42560.406226851854</v>
      </c>
      <c r="K19" s="92">
        <v>42649.475752314815</v>
      </c>
      <c r="L19" s="92">
        <f>IF(AND(单词表[[#This Row],[学英]]&lt;&gt;"",单词表[[#This Row],[学中]]&lt;&gt;"",单词表[[#This Row],[学词]]&lt;&gt;""),MAX(单词表[[#This Row],[学英]:[学词]]),"")</f>
        <v>42626.76871527778</v>
      </c>
      <c r="M19" s="2">
        <f>IF(AND(单词表[[#This Row],[考英]]&lt;&gt;"",单词表[[#This Row],[考中]]&lt;&gt;""),MAX(单词表[[#This Row],[考英]:[考中]]),"")</f>
        <v>42649.475752314815</v>
      </c>
      <c r="N19"/>
      <c r="P19" s="32"/>
    </row>
    <row r="20" spans="1:16" hidden="1" x14ac:dyDescent="0.15">
      <c r="A20">
        <v>19</v>
      </c>
      <c r="B20" t="s">
        <v>35</v>
      </c>
      <c r="C20" t="s">
        <v>5</v>
      </c>
      <c r="D20" s="72" t="s">
        <v>1079</v>
      </c>
      <c r="E20" t="s">
        <v>36</v>
      </c>
      <c r="F20" t="s">
        <v>1080</v>
      </c>
      <c r="G20" s="92">
        <v>42557.38484953704</v>
      </c>
      <c r="H20" s="92">
        <v>42626.768738425926</v>
      </c>
      <c r="I20" s="92">
        <v>42626.768738425926</v>
      </c>
      <c r="J20" s="92">
        <v>42560.406423611108</v>
      </c>
      <c r="K20" s="92">
        <v>42649.475798611114</v>
      </c>
      <c r="L20" s="92">
        <f>IF(AND(单词表[[#This Row],[学英]]&lt;&gt;"",单词表[[#This Row],[学中]]&lt;&gt;"",单词表[[#This Row],[学词]]&lt;&gt;""),MAX(单词表[[#This Row],[学英]:[学词]]),"")</f>
        <v>42626.768738425926</v>
      </c>
      <c r="M20" s="2">
        <f>IF(AND(单词表[[#This Row],[考英]]&lt;&gt;"",单词表[[#This Row],[考中]]&lt;&gt;""),MAX(单词表[[#This Row],[考英]:[考中]]),"")</f>
        <v>42649.475798611114</v>
      </c>
      <c r="N20"/>
      <c r="P20" s="32"/>
    </row>
    <row r="21" spans="1:16" hidden="1" x14ac:dyDescent="0.15">
      <c r="A21">
        <v>20</v>
      </c>
      <c r="B21" t="s">
        <v>35</v>
      </c>
      <c r="C21" t="s">
        <v>5</v>
      </c>
      <c r="D21" s="72" t="s">
        <v>1081</v>
      </c>
      <c r="E21" t="s">
        <v>73</v>
      </c>
      <c r="F21" t="s">
        <v>1082</v>
      </c>
      <c r="G21" s="92">
        <v>42559.495636574073</v>
      </c>
      <c r="H21" s="92">
        <v>42626.768773148149</v>
      </c>
      <c r="I21" s="92">
        <v>42626.768784722219</v>
      </c>
      <c r="J21" s="92">
        <v>42560.4065162037</v>
      </c>
      <c r="K21" s="92">
        <v>42649.475844907407</v>
      </c>
      <c r="L21" s="92">
        <f>IF(AND(单词表[[#This Row],[学英]]&lt;&gt;"",单词表[[#This Row],[学中]]&lt;&gt;"",单词表[[#This Row],[学词]]&lt;&gt;""),MAX(单词表[[#This Row],[学英]:[学词]]),"")</f>
        <v>42626.768784722219</v>
      </c>
      <c r="M21" s="2">
        <f>IF(AND(单词表[[#This Row],[考英]]&lt;&gt;"",单词表[[#This Row],[考中]]&lt;&gt;""),MAX(单词表[[#This Row],[考英]:[考中]]),"")</f>
        <v>42649.475844907407</v>
      </c>
      <c r="N21"/>
      <c r="P21" s="32"/>
    </row>
    <row r="22" spans="1:16" hidden="1" x14ac:dyDescent="0.15">
      <c r="A22">
        <v>21</v>
      </c>
      <c r="B22" t="s">
        <v>35</v>
      </c>
      <c r="C22" t="s">
        <v>5</v>
      </c>
      <c r="D22" s="72" t="s">
        <v>781</v>
      </c>
      <c r="E22" t="s">
        <v>61</v>
      </c>
      <c r="F22" t="s">
        <v>1083</v>
      </c>
      <c r="G22" s="92">
        <v>42559.495821759258</v>
      </c>
      <c r="H22" s="92">
        <v>42626.770219907405</v>
      </c>
      <c r="I22" s="92">
        <v>42626.770219907405</v>
      </c>
      <c r="J22" s="92">
        <v>42560.445810185185</v>
      </c>
      <c r="K22" s="92">
        <v>42649.47587962963</v>
      </c>
      <c r="L22" s="92">
        <f>IF(AND(单词表[[#This Row],[学英]]&lt;&gt;"",单词表[[#This Row],[学中]]&lt;&gt;"",单词表[[#This Row],[学词]]&lt;&gt;""),MAX(单词表[[#This Row],[学英]:[学词]]),"")</f>
        <v>42626.770219907405</v>
      </c>
      <c r="M22" s="2">
        <f>IF(AND(单词表[[#This Row],[考英]]&lt;&gt;"",单词表[[#This Row],[考中]]&lt;&gt;""),MAX(单词表[[#This Row],[考英]:[考中]]),"")</f>
        <v>42649.47587962963</v>
      </c>
      <c r="N22"/>
      <c r="P22" s="32"/>
    </row>
    <row r="23" spans="1:16" hidden="1" x14ac:dyDescent="0.15">
      <c r="A23">
        <v>22</v>
      </c>
      <c r="B23" t="s">
        <v>35</v>
      </c>
      <c r="C23" t="s">
        <v>5</v>
      </c>
      <c r="D23" s="72" t="s">
        <v>1084</v>
      </c>
      <c r="E23" t="s">
        <v>36</v>
      </c>
      <c r="F23" t="s">
        <v>1085</v>
      </c>
      <c r="G23" s="92">
        <v>42559.495972222219</v>
      </c>
      <c r="H23" s="92">
        <v>42559.492071759261</v>
      </c>
      <c r="I23" s="92">
        <v>42559.495856481481</v>
      </c>
      <c r="J23" s="92">
        <v>42560.446064814816</v>
      </c>
      <c r="K23" s="92">
        <v>42649.475914351853</v>
      </c>
      <c r="L23" s="92">
        <f>IF(AND(单词表[[#This Row],[学英]]&lt;&gt;"",单词表[[#This Row],[学中]]&lt;&gt;"",单词表[[#This Row],[学词]]&lt;&gt;""),MAX(单词表[[#This Row],[学英]:[学词]]),"")</f>
        <v>42559.495972222219</v>
      </c>
      <c r="M23" s="2">
        <f>IF(AND(单词表[[#This Row],[考英]]&lt;&gt;"",单词表[[#This Row],[考中]]&lt;&gt;""),MAX(单词表[[#This Row],[考英]:[考中]]),"")</f>
        <v>42649.475914351853</v>
      </c>
      <c r="N23"/>
      <c r="P23" s="32"/>
    </row>
    <row r="24" spans="1:16" hidden="1" x14ac:dyDescent="0.15">
      <c r="A24">
        <v>23</v>
      </c>
      <c r="B24" t="s">
        <v>35</v>
      </c>
      <c r="C24" t="s">
        <v>5</v>
      </c>
      <c r="D24" s="72" t="s">
        <v>1086</v>
      </c>
      <c r="E24" t="s">
        <v>73</v>
      </c>
      <c r="F24" t="s">
        <v>1087</v>
      </c>
      <c r="G24" s="92">
        <v>42559.496087962965</v>
      </c>
      <c r="H24" s="92">
        <v>42559.530555555553</v>
      </c>
      <c r="I24" s="92">
        <v>42559.496134259258</v>
      </c>
      <c r="J24" s="92">
        <v>42560.44636574074</v>
      </c>
      <c r="K24" s="92">
        <v>42649.475949074076</v>
      </c>
      <c r="L24" s="92">
        <f>IF(AND(单词表[[#This Row],[学英]]&lt;&gt;"",单词表[[#This Row],[学中]]&lt;&gt;"",单词表[[#This Row],[学词]]&lt;&gt;""),MAX(单词表[[#This Row],[学英]:[学词]]),"")</f>
        <v>42559.530555555553</v>
      </c>
      <c r="M24" s="2">
        <f>IF(AND(单词表[[#This Row],[考英]]&lt;&gt;"",单词表[[#This Row],[考中]]&lt;&gt;""),MAX(单词表[[#This Row],[考英]:[考中]]),"")</f>
        <v>42649.475949074076</v>
      </c>
      <c r="N24"/>
      <c r="P24" s="32"/>
    </row>
    <row r="25" spans="1:16" hidden="1" x14ac:dyDescent="0.15">
      <c r="A25">
        <v>24</v>
      </c>
      <c r="B25" t="s">
        <v>35</v>
      </c>
      <c r="C25" t="s">
        <v>5</v>
      </c>
      <c r="D25" s="72" t="s">
        <v>1088</v>
      </c>
      <c r="E25" t="s">
        <v>36</v>
      </c>
      <c r="F25" t="s">
        <v>1089</v>
      </c>
      <c r="G25" s="92">
        <v>42559.496238425927</v>
      </c>
      <c r="H25" s="92">
        <v>42559.530590277776</v>
      </c>
      <c r="I25" s="92">
        <v>42559.496180555558</v>
      </c>
      <c r="J25" s="92">
        <v>42560.446481481478</v>
      </c>
      <c r="K25" s="92">
        <v>42649.475983796299</v>
      </c>
      <c r="L25" s="92">
        <f>IF(AND(单词表[[#This Row],[学英]]&lt;&gt;"",单词表[[#This Row],[学中]]&lt;&gt;"",单词表[[#This Row],[学词]]&lt;&gt;""),MAX(单词表[[#This Row],[学英]:[学词]]),"")</f>
        <v>42559.530590277776</v>
      </c>
      <c r="M25" s="2">
        <f>IF(AND(单词表[[#This Row],[考英]]&lt;&gt;"",单词表[[#This Row],[考中]]&lt;&gt;""),MAX(单词表[[#This Row],[考英]:[考中]]),"")</f>
        <v>42649.475983796299</v>
      </c>
      <c r="N25"/>
      <c r="P25" s="32"/>
    </row>
    <row r="26" spans="1:16" hidden="1" x14ac:dyDescent="0.15">
      <c r="A26">
        <v>25</v>
      </c>
      <c r="B26" t="s">
        <v>35</v>
      </c>
      <c r="C26" t="s">
        <v>5</v>
      </c>
      <c r="D26" s="72" t="s">
        <v>578</v>
      </c>
      <c r="E26" t="s">
        <v>36</v>
      </c>
      <c r="F26" t="s">
        <v>1090</v>
      </c>
      <c r="G26" s="92">
        <v>42559.496342592596</v>
      </c>
      <c r="H26" s="92">
        <v>42559.496655092589</v>
      </c>
      <c r="I26" s="92">
        <v>42559.496354166666</v>
      </c>
      <c r="J26" s="92">
        <v>42560.446666666663</v>
      </c>
      <c r="K26" s="92">
        <v>42649.476041666669</v>
      </c>
      <c r="L26" s="92">
        <f>IF(AND(单词表[[#This Row],[学英]]&lt;&gt;"",单词表[[#This Row],[学中]]&lt;&gt;"",单词表[[#This Row],[学词]]&lt;&gt;""),MAX(单词表[[#This Row],[学英]:[学词]]),"")</f>
        <v>42559.496655092589</v>
      </c>
      <c r="M26" s="2">
        <f>IF(AND(单词表[[#This Row],[考英]]&lt;&gt;"",单词表[[#This Row],[考中]]&lt;&gt;""),MAX(单词表[[#This Row],[考英]:[考中]]),"")</f>
        <v>42649.476041666669</v>
      </c>
      <c r="N26"/>
      <c r="P26" s="32"/>
    </row>
    <row r="27" spans="1:16" hidden="1" x14ac:dyDescent="0.15">
      <c r="A27">
        <v>26</v>
      </c>
      <c r="B27" t="s">
        <v>35</v>
      </c>
      <c r="C27" t="s">
        <v>5</v>
      </c>
      <c r="D27" s="72" t="s">
        <v>1091</v>
      </c>
      <c r="E27" t="s">
        <v>36</v>
      </c>
      <c r="F27" t="s">
        <v>1092</v>
      </c>
      <c r="G27" s="92">
        <v>42559.528865740744</v>
      </c>
      <c r="H27" s="92">
        <v>42649.482719907406</v>
      </c>
      <c r="I27" s="92">
        <v>42649.482719907406</v>
      </c>
      <c r="J27" s="92">
        <v>42560.446921296294</v>
      </c>
      <c r="K27" s="92">
        <v>42649.483854166669</v>
      </c>
      <c r="L27" s="92">
        <f>IF(AND(单词表[[#This Row],[学英]]&lt;&gt;"",单词表[[#This Row],[学中]]&lt;&gt;"",单词表[[#This Row],[学词]]&lt;&gt;""),MAX(单词表[[#This Row],[学英]:[学词]]),"")</f>
        <v>42649.482719907406</v>
      </c>
      <c r="M27" s="2">
        <f>IF(AND(单词表[[#This Row],[考英]]&lt;&gt;"",单词表[[#This Row],[考中]]&lt;&gt;""),MAX(单词表[[#This Row],[考英]:[考中]]),"")</f>
        <v>42649.483854166669</v>
      </c>
      <c r="N27"/>
      <c r="P27" s="32"/>
    </row>
    <row r="28" spans="1:16" hidden="1" x14ac:dyDescent="0.15">
      <c r="A28">
        <v>27</v>
      </c>
      <c r="B28" t="s">
        <v>35</v>
      </c>
      <c r="C28" t="s">
        <v>5</v>
      </c>
      <c r="D28" s="72" t="s">
        <v>1093</v>
      </c>
      <c r="E28" t="s">
        <v>36</v>
      </c>
      <c r="F28" t="s">
        <v>1094</v>
      </c>
      <c r="G28" s="92">
        <v>42559.528391203705</v>
      </c>
      <c r="H28" s="92">
        <v>42559.528252314813</v>
      </c>
      <c r="I28" s="92">
        <v>42559.528391203705</v>
      </c>
      <c r="J28" s="92">
        <v>42560.447025462963</v>
      </c>
      <c r="K28" s="92">
        <v>42649.476122685184</v>
      </c>
      <c r="L28" s="92">
        <f>IF(AND(单词表[[#This Row],[学英]]&lt;&gt;"",单词表[[#This Row],[学中]]&lt;&gt;"",单词表[[#This Row],[学词]]&lt;&gt;""),MAX(单词表[[#This Row],[学英]:[学词]]),"")</f>
        <v>42559.528391203705</v>
      </c>
      <c r="M28" s="2">
        <f>IF(AND(单词表[[#This Row],[考英]]&lt;&gt;"",单词表[[#This Row],[考中]]&lt;&gt;""),MAX(单词表[[#This Row],[考英]:[考中]]),"")</f>
        <v>42649.476122685184</v>
      </c>
      <c r="N28"/>
      <c r="P28" s="32"/>
    </row>
    <row r="29" spans="1:16" hidden="1" x14ac:dyDescent="0.15">
      <c r="A29">
        <v>28</v>
      </c>
      <c r="B29" t="s">
        <v>35</v>
      </c>
      <c r="C29" t="s">
        <v>5</v>
      </c>
      <c r="D29" s="72" t="s">
        <v>1095</v>
      </c>
      <c r="E29" t="s">
        <v>36</v>
      </c>
      <c r="F29" t="s">
        <v>1096</v>
      </c>
      <c r="G29" s="92">
        <v>42559.528425925928</v>
      </c>
      <c r="H29" s="92">
        <v>42559.492465277777</v>
      </c>
      <c r="I29" s="92">
        <v>42559.528414351851</v>
      </c>
      <c r="J29" s="92">
        <v>42560.447245370371</v>
      </c>
      <c r="K29" s="92">
        <v>42649.476157407407</v>
      </c>
      <c r="L29" s="92">
        <f>IF(AND(单词表[[#This Row],[学英]]&lt;&gt;"",单词表[[#This Row],[学中]]&lt;&gt;"",单词表[[#This Row],[学词]]&lt;&gt;""),MAX(单词表[[#This Row],[学英]:[学词]]),"")</f>
        <v>42559.528425925928</v>
      </c>
      <c r="M29" s="2">
        <f>IF(AND(单词表[[#This Row],[考英]]&lt;&gt;"",单词表[[#This Row],[考中]]&lt;&gt;""),MAX(单词表[[#This Row],[考英]:[考中]]),"")</f>
        <v>42649.476157407407</v>
      </c>
      <c r="N29"/>
      <c r="P29" s="32"/>
    </row>
    <row r="30" spans="1:16" hidden="1" x14ac:dyDescent="0.15">
      <c r="A30">
        <v>29</v>
      </c>
      <c r="B30" t="s">
        <v>35</v>
      </c>
      <c r="C30" t="s">
        <v>5</v>
      </c>
      <c r="D30" s="72" t="s">
        <v>1097</v>
      </c>
      <c r="E30" t="s">
        <v>36</v>
      </c>
      <c r="F30" t="s">
        <v>1098</v>
      </c>
      <c r="G30" s="92">
        <v>42559.528969907406</v>
      </c>
      <c r="H30" s="92">
        <v>42559.528981481482</v>
      </c>
      <c r="I30" s="92">
        <v>42559.528969907406</v>
      </c>
      <c r="J30" s="92">
        <v>42560.44740740741</v>
      </c>
      <c r="K30" s="92">
        <v>42649.476215277777</v>
      </c>
      <c r="L30" s="92">
        <f>IF(AND(单词表[[#This Row],[学英]]&lt;&gt;"",单词表[[#This Row],[学中]]&lt;&gt;"",单词表[[#This Row],[学词]]&lt;&gt;""),MAX(单词表[[#This Row],[学英]:[学词]]),"")</f>
        <v>42559.528981481482</v>
      </c>
      <c r="M30" s="2">
        <f>IF(AND(单词表[[#This Row],[考英]]&lt;&gt;"",单词表[[#This Row],[考中]]&lt;&gt;""),MAX(单词表[[#This Row],[考英]:[考中]]),"")</f>
        <v>42649.476215277777</v>
      </c>
      <c r="N30"/>
      <c r="P30" s="32"/>
    </row>
    <row r="31" spans="1:16" hidden="1" x14ac:dyDescent="0.15">
      <c r="A31">
        <v>30</v>
      </c>
      <c r="B31" t="s">
        <v>35</v>
      </c>
      <c r="C31" t="s">
        <v>5</v>
      </c>
      <c r="D31" s="72" t="s">
        <v>1099</v>
      </c>
      <c r="E31" t="s">
        <v>36</v>
      </c>
      <c r="F31" t="s">
        <v>1100</v>
      </c>
      <c r="G31" s="92">
        <v>42559.529004629629</v>
      </c>
      <c r="H31" s="92">
        <v>42559.529027777775</v>
      </c>
      <c r="I31" s="92">
        <v>42559.529027777775</v>
      </c>
      <c r="J31" s="92">
        <v>42560.454756944448</v>
      </c>
      <c r="K31" s="92">
        <v>42649.476261574076</v>
      </c>
      <c r="L31" s="92">
        <f>IF(AND(单词表[[#This Row],[学英]]&lt;&gt;"",单词表[[#This Row],[学中]]&lt;&gt;"",单词表[[#This Row],[学词]]&lt;&gt;""),MAX(单词表[[#This Row],[学英]:[学词]]),"")</f>
        <v>42559.529027777775</v>
      </c>
      <c r="M31" s="2">
        <f>IF(AND(单词表[[#This Row],[考英]]&lt;&gt;"",单词表[[#This Row],[考中]]&lt;&gt;""),MAX(单词表[[#This Row],[考英]:[考中]]),"")</f>
        <v>42649.476261574076</v>
      </c>
      <c r="N31"/>
      <c r="P31" s="32"/>
    </row>
    <row r="32" spans="1:16" hidden="1" x14ac:dyDescent="0.15">
      <c r="A32">
        <v>31</v>
      </c>
      <c r="B32" t="s">
        <v>35</v>
      </c>
      <c r="C32" t="s">
        <v>5</v>
      </c>
      <c r="D32" s="72" t="s">
        <v>1101</v>
      </c>
      <c r="E32" t="s">
        <v>36</v>
      </c>
      <c r="F32" t="s">
        <v>1102</v>
      </c>
      <c r="G32" s="92">
        <v>42559.529108796298</v>
      </c>
      <c r="H32" s="92">
        <v>42559.529143518521</v>
      </c>
      <c r="I32" s="92">
        <v>42559.529143518521</v>
      </c>
      <c r="J32" s="92">
        <v>42560.455000000002</v>
      </c>
      <c r="K32" s="92">
        <v>42649.4762962963</v>
      </c>
      <c r="L32" s="92">
        <f>IF(AND(单词表[[#This Row],[学英]]&lt;&gt;"",单词表[[#This Row],[学中]]&lt;&gt;"",单词表[[#This Row],[学词]]&lt;&gt;""),MAX(单词表[[#This Row],[学英]:[学词]]),"")</f>
        <v>42559.529143518521</v>
      </c>
      <c r="M32" s="2">
        <f>IF(AND(单词表[[#This Row],[考英]]&lt;&gt;"",单词表[[#This Row],[考中]]&lt;&gt;""),MAX(单词表[[#This Row],[考英]:[考中]]),"")</f>
        <v>42649.4762962963</v>
      </c>
      <c r="N32"/>
      <c r="P32" s="32"/>
    </row>
    <row r="33" spans="1:16" hidden="1" x14ac:dyDescent="0.15">
      <c r="A33">
        <v>32</v>
      </c>
      <c r="B33" t="s">
        <v>35</v>
      </c>
      <c r="C33" t="s">
        <v>5</v>
      </c>
      <c r="D33" s="72" t="s">
        <v>1103</v>
      </c>
      <c r="E33" t="s">
        <v>36</v>
      </c>
      <c r="F33" t="s">
        <v>1104</v>
      </c>
      <c r="G33" s="92">
        <v>42559.530428240738</v>
      </c>
      <c r="H33" s="92">
        <v>42559.529560185183</v>
      </c>
      <c r="I33" s="92">
        <v>42559.530439814815</v>
      </c>
      <c r="J33" s="92">
        <v>42560.455405092594</v>
      </c>
      <c r="K33" s="92">
        <v>42649.476331018515</v>
      </c>
      <c r="L33" s="92">
        <f>IF(AND(单词表[[#This Row],[学英]]&lt;&gt;"",单词表[[#This Row],[学中]]&lt;&gt;"",单词表[[#This Row],[学词]]&lt;&gt;""),MAX(单词表[[#This Row],[学英]:[学词]]),"")</f>
        <v>42559.530439814815</v>
      </c>
      <c r="M33" s="2">
        <f>IF(AND(单词表[[#This Row],[考英]]&lt;&gt;"",单词表[[#This Row],[考中]]&lt;&gt;""),MAX(单词表[[#This Row],[考英]:[考中]]),"")</f>
        <v>42649.476331018515</v>
      </c>
      <c r="N33"/>
      <c r="P33" s="32"/>
    </row>
    <row r="34" spans="1:16" hidden="1" x14ac:dyDescent="0.15">
      <c r="A34">
        <v>33</v>
      </c>
      <c r="B34" t="s">
        <v>35</v>
      </c>
      <c r="C34" t="s">
        <v>5</v>
      </c>
      <c r="D34" s="72" t="s">
        <v>1105</v>
      </c>
      <c r="E34" t="s">
        <v>36</v>
      </c>
      <c r="F34" t="s">
        <v>1106</v>
      </c>
      <c r="G34" s="92">
        <v>42559.529629629629</v>
      </c>
      <c r="H34" s="92">
        <v>42559.529606481483</v>
      </c>
      <c r="I34" s="92">
        <v>42559.529618055552</v>
      </c>
      <c r="J34" s="92">
        <v>42560.448703703703</v>
      </c>
      <c r="K34" s="92">
        <v>42649.476365740738</v>
      </c>
      <c r="L34" s="92">
        <f>IF(AND(单词表[[#This Row],[学英]]&lt;&gt;"",单词表[[#This Row],[学中]]&lt;&gt;"",单词表[[#This Row],[学词]]&lt;&gt;""),MAX(单词表[[#This Row],[学英]:[学词]]),"")</f>
        <v>42559.529629629629</v>
      </c>
      <c r="M34" s="2">
        <f>IF(AND(单词表[[#This Row],[考英]]&lt;&gt;"",单词表[[#This Row],[考中]]&lt;&gt;""),MAX(单词表[[#This Row],[考英]:[考中]]),"")</f>
        <v>42649.476365740738</v>
      </c>
      <c r="N34"/>
      <c r="P34" s="32"/>
    </row>
    <row r="35" spans="1:16" hidden="1" x14ac:dyDescent="0.15">
      <c r="A35">
        <v>34</v>
      </c>
      <c r="B35" t="s">
        <v>35</v>
      </c>
      <c r="C35" t="s">
        <v>5</v>
      </c>
      <c r="D35" s="72" t="s">
        <v>1107</v>
      </c>
      <c r="E35" t="s">
        <v>36</v>
      </c>
      <c r="F35" t="s">
        <v>1108</v>
      </c>
      <c r="G35" s="92">
        <v>42559.529710648145</v>
      </c>
      <c r="H35" s="92">
        <v>42559.529722222222</v>
      </c>
      <c r="I35" s="92">
        <v>42559.529710648145</v>
      </c>
      <c r="J35" s="92">
        <v>42560.448946759258</v>
      </c>
      <c r="K35" s="92">
        <v>42649.476423611108</v>
      </c>
      <c r="L35" s="92">
        <f>IF(AND(单词表[[#This Row],[学英]]&lt;&gt;"",单词表[[#This Row],[学中]]&lt;&gt;"",单词表[[#This Row],[学词]]&lt;&gt;""),MAX(单词表[[#This Row],[学英]:[学词]]),"")</f>
        <v>42559.529722222222</v>
      </c>
      <c r="M35" s="2">
        <f>IF(AND(单词表[[#This Row],[考英]]&lt;&gt;"",单词表[[#This Row],[考中]]&lt;&gt;""),MAX(单词表[[#This Row],[考英]:[考中]]),"")</f>
        <v>42649.476423611108</v>
      </c>
      <c r="N35"/>
      <c r="P35" s="32"/>
    </row>
    <row r="36" spans="1:16" hidden="1" x14ac:dyDescent="0.15">
      <c r="A36">
        <v>35</v>
      </c>
      <c r="B36" t="s">
        <v>35</v>
      </c>
      <c r="C36" t="s">
        <v>5</v>
      </c>
      <c r="D36" s="72" t="s">
        <v>1109</v>
      </c>
      <c r="E36" t="s">
        <v>36</v>
      </c>
      <c r="F36" t="s">
        <v>1110</v>
      </c>
      <c r="G36" s="92">
        <v>42559.530231481483</v>
      </c>
      <c r="H36" s="92">
        <v>42559.492905092593</v>
      </c>
      <c r="I36" s="92">
        <v>42559.530231481483</v>
      </c>
      <c r="J36" s="92">
        <v>42560.449178240742</v>
      </c>
      <c r="K36" s="92">
        <v>42649.476458333331</v>
      </c>
      <c r="L36" s="92">
        <f>IF(AND(单词表[[#This Row],[学英]]&lt;&gt;"",单词表[[#This Row],[学中]]&lt;&gt;"",单词表[[#This Row],[学词]]&lt;&gt;""),MAX(单词表[[#This Row],[学英]:[学词]]),"")</f>
        <v>42559.530231481483</v>
      </c>
      <c r="M36" s="2">
        <f>IF(AND(单词表[[#This Row],[考英]]&lt;&gt;"",单词表[[#This Row],[考中]]&lt;&gt;""),MAX(单词表[[#This Row],[考英]:[考中]]),"")</f>
        <v>42649.476458333331</v>
      </c>
      <c r="N36"/>
      <c r="P36" s="32"/>
    </row>
    <row r="37" spans="1:16" hidden="1" x14ac:dyDescent="0.15">
      <c r="A37">
        <v>36</v>
      </c>
      <c r="B37" t="s">
        <v>35</v>
      </c>
      <c r="C37" t="s">
        <v>5</v>
      </c>
      <c r="D37" s="72" t="s">
        <v>1111</v>
      </c>
      <c r="E37" t="s">
        <v>36</v>
      </c>
      <c r="F37" t="s">
        <v>1112</v>
      </c>
      <c r="G37" s="92">
        <v>42559.529918981483</v>
      </c>
      <c r="H37" s="92">
        <v>42559.529942129629</v>
      </c>
      <c r="I37" s="92">
        <v>42559.529918981483</v>
      </c>
      <c r="J37" s="92">
        <v>42560.44935185185</v>
      </c>
      <c r="K37" s="92">
        <v>42649.476504629631</v>
      </c>
      <c r="L37" s="92">
        <f>IF(AND(单词表[[#This Row],[学英]]&lt;&gt;"",单词表[[#This Row],[学中]]&lt;&gt;"",单词表[[#This Row],[学词]]&lt;&gt;""),MAX(单词表[[#This Row],[学英]:[学词]]),"")</f>
        <v>42559.529942129629</v>
      </c>
      <c r="M37" s="2">
        <f>IF(AND(单词表[[#This Row],[考英]]&lt;&gt;"",单词表[[#This Row],[考中]]&lt;&gt;""),MAX(单词表[[#This Row],[考英]:[考中]]),"")</f>
        <v>42649.476504629631</v>
      </c>
      <c r="N37"/>
      <c r="P37" s="32"/>
    </row>
    <row r="38" spans="1:16" hidden="1" x14ac:dyDescent="0.15">
      <c r="A38">
        <v>37</v>
      </c>
      <c r="B38" t="s">
        <v>35</v>
      </c>
      <c r="C38" t="s">
        <v>5</v>
      </c>
      <c r="D38" s="72" t="s">
        <v>1113</v>
      </c>
      <c r="E38" t="s">
        <v>36</v>
      </c>
      <c r="F38" t="s">
        <v>1114</v>
      </c>
      <c r="G38" s="92">
        <v>42559.529965277776</v>
      </c>
      <c r="H38" s="92">
        <v>42559.529976851853</v>
      </c>
      <c r="I38" s="92">
        <v>42559.529976851853</v>
      </c>
      <c r="J38" s="92">
        <v>42560.449502314812</v>
      </c>
      <c r="K38" s="92">
        <v>42649.476527777777</v>
      </c>
      <c r="L38" s="92">
        <f>IF(AND(单词表[[#This Row],[学英]]&lt;&gt;"",单词表[[#This Row],[学中]]&lt;&gt;"",单词表[[#This Row],[学词]]&lt;&gt;""),MAX(单词表[[#This Row],[学英]:[学词]]),"")</f>
        <v>42559.529976851853</v>
      </c>
      <c r="M38" s="2">
        <f>IF(AND(单词表[[#This Row],[考英]]&lt;&gt;"",单词表[[#This Row],[考中]]&lt;&gt;""),MAX(单词表[[#This Row],[考英]:[考中]]),"")</f>
        <v>42649.476527777777</v>
      </c>
      <c r="N38"/>
      <c r="P38" s="32"/>
    </row>
    <row r="39" spans="1:16" hidden="1" x14ac:dyDescent="0.15">
      <c r="A39">
        <v>38</v>
      </c>
      <c r="B39" t="s">
        <v>35</v>
      </c>
      <c r="C39" t="s">
        <v>5</v>
      </c>
      <c r="D39" s="72" t="s">
        <v>1115</v>
      </c>
      <c r="E39" t="s">
        <v>36</v>
      </c>
      <c r="F39" t="s">
        <v>1116</v>
      </c>
      <c r="G39" s="92">
        <v>42559.530011574076</v>
      </c>
      <c r="H39" s="92">
        <v>42559.493090277778</v>
      </c>
      <c r="I39" s="92">
        <v>42559.530011574076</v>
      </c>
      <c r="J39" s="92">
        <v>42560.44976851852</v>
      </c>
      <c r="K39" s="92">
        <v>42649.476574074077</v>
      </c>
      <c r="L39" s="92">
        <f>IF(AND(单词表[[#This Row],[学英]]&lt;&gt;"",单词表[[#This Row],[学中]]&lt;&gt;"",单词表[[#This Row],[学词]]&lt;&gt;""),MAX(单词表[[#This Row],[学英]:[学词]]),"")</f>
        <v>42559.530011574076</v>
      </c>
      <c r="M39" s="2">
        <f>IF(AND(单词表[[#This Row],[考英]]&lt;&gt;"",单词表[[#This Row],[考中]]&lt;&gt;""),MAX(单词表[[#This Row],[考英]:[考中]]),"")</f>
        <v>42649.476574074077</v>
      </c>
      <c r="N39"/>
      <c r="P39" s="32"/>
    </row>
    <row r="40" spans="1:16" hidden="1" x14ac:dyDescent="0.15">
      <c r="A40">
        <v>39</v>
      </c>
      <c r="B40" t="s">
        <v>35</v>
      </c>
      <c r="C40" t="s">
        <v>5</v>
      </c>
      <c r="D40" s="72" t="s">
        <v>1117</v>
      </c>
      <c r="E40" t="s">
        <v>36</v>
      </c>
      <c r="F40" t="s">
        <v>1118</v>
      </c>
      <c r="G40" s="92">
        <v>42559.530034722222</v>
      </c>
      <c r="H40" s="92">
        <v>42559.493136574078</v>
      </c>
      <c r="I40" s="92">
        <v>42559.530046296299</v>
      </c>
      <c r="J40" s="92">
        <v>42560.45</v>
      </c>
      <c r="K40" s="92">
        <v>42649.4766087963</v>
      </c>
      <c r="L40" s="92">
        <f>IF(AND(单词表[[#This Row],[学英]]&lt;&gt;"",单词表[[#This Row],[学中]]&lt;&gt;"",单词表[[#This Row],[学词]]&lt;&gt;""),MAX(单词表[[#This Row],[学英]:[学词]]),"")</f>
        <v>42559.530046296299</v>
      </c>
      <c r="M40" s="2">
        <f>IF(AND(单词表[[#This Row],[考英]]&lt;&gt;"",单词表[[#This Row],[考中]]&lt;&gt;""),MAX(单词表[[#This Row],[考英]:[考中]]),"")</f>
        <v>42649.4766087963</v>
      </c>
      <c r="N40"/>
      <c r="P40" s="32"/>
    </row>
    <row r="41" spans="1:16" hidden="1" x14ac:dyDescent="0.15">
      <c r="A41">
        <v>40</v>
      </c>
      <c r="B41" t="s">
        <v>35</v>
      </c>
      <c r="C41" t="s">
        <v>5</v>
      </c>
      <c r="D41" s="72" t="s">
        <v>54</v>
      </c>
      <c r="E41" t="s">
        <v>36</v>
      </c>
      <c r="F41" t="s">
        <v>156</v>
      </c>
      <c r="G41" s="92">
        <v>42560.450162037036</v>
      </c>
      <c r="H41" s="92">
        <v>42649.484791666669</v>
      </c>
      <c r="I41" s="92">
        <v>42649.484780092593</v>
      </c>
      <c r="J41" s="92">
        <v>42560.450162037036</v>
      </c>
      <c r="K41" s="92">
        <v>42649.491550925923</v>
      </c>
      <c r="L41" s="92">
        <f>IF(AND(单词表[[#This Row],[学英]]&lt;&gt;"",单词表[[#This Row],[学中]]&lt;&gt;"",单词表[[#This Row],[学词]]&lt;&gt;""),MAX(单词表[[#This Row],[学英]:[学词]]),"")</f>
        <v>42649.484791666669</v>
      </c>
      <c r="M41" s="2">
        <f>IF(AND(单词表[[#This Row],[考英]]&lt;&gt;"",单词表[[#This Row],[考中]]&lt;&gt;""),MAX(单词表[[#This Row],[考英]:[考中]]),"")</f>
        <v>42649.491550925923</v>
      </c>
      <c r="N41"/>
      <c r="P41" s="32"/>
    </row>
    <row r="42" spans="1:16" hidden="1" x14ac:dyDescent="0.15">
      <c r="A42">
        <v>41</v>
      </c>
      <c r="B42" t="s">
        <v>35</v>
      </c>
      <c r="C42" t="s">
        <v>5</v>
      </c>
      <c r="D42" s="72" t="s">
        <v>1119</v>
      </c>
      <c r="E42" t="s">
        <v>36</v>
      </c>
      <c r="F42" t="s">
        <v>1120</v>
      </c>
      <c r="G42" s="92">
        <v>42562.342974537038</v>
      </c>
      <c r="H42" s="92">
        <v>42562.333298611113</v>
      </c>
      <c r="I42" s="92">
        <v>42562.333287037036</v>
      </c>
      <c r="J42" s="92">
        <v>42562.347326388888</v>
      </c>
      <c r="K42" s="92">
        <v>42649.476712962962</v>
      </c>
      <c r="L42" s="92">
        <f>IF(AND(单词表[[#This Row],[学英]]&lt;&gt;"",单词表[[#This Row],[学中]]&lt;&gt;"",单词表[[#This Row],[学词]]&lt;&gt;""),MAX(单词表[[#This Row],[学英]:[学词]]),"")</f>
        <v>42562.342974537038</v>
      </c>
      <c r="M42" s="2">
        <f>IF(AND(单词表[[#This Row],[考英]]&lt;&gt;"",单词表[[#This Row],[考中]]&lt;&gt;""),MAX(单词表[[#This Row],[考英]:[考中]]),"")</f>
        <v>42649.476712962962</v>
      </c>
      <c r="N42"/>
      <c r="P42" s="32"/>
    </row>
    <row r="43" spans="1:16" hidden="1" x14ac:dyDescent="0.15">
      <c r="A43">
        <v>42</v>
      </c>
      <c r="B43" t="s">
        <v>35</v>
      </c>
      <c r="C43" t="s">
        <v>5</v>
      </c>
      <c r="D43" s="72" t="s">
        <v>1121</v>
      </c>
      <c r="E43" t="s">
        <v>702</v>
      </c>
      <c r="F43" t="s">
        <v>1122</v>
      </c>
      <c r="G43" s="92">
        <v>42562.333472222221</v>
      </c>
      <c r="H43" s="92">
        <v>42626.770254629628</v>
      </c>
      <c r="I43" s="92">
        <v>42626.770254629628</v>
      </c>
      <c r="J43" s="92">
        <v>42562.347685185188</v>
      </c>
      <c r="K43" s="92">
        <v>42649.476759259262</v>
      </c>
      <c r="L43" s="92">
        <f>IF(AND(单词表[[#This Row],[学英]]&lt;&gt;"",单词表[[#This Row],[学中]]&lt;&gt;"",单词表[[#This Row],[学词]]&lt;&gt;""),MAX(单词表[[#This Row],[学英]:[学词]]),"")</f>
        <v>42626.770254629628</v>
      </c>
      <c r="M43" s="2">
        <f>IF(AND(单词表[[#This Row],[考英]]&lt;&gt;"",单词表[[#This Row],[考中]]&lt;&gt;""),MAX(单词表[[#This Row],[考英]:[考中]]),"")</f>
        <v>42649.476759259262</v>
      </c>
      <c r="N43"/>
      <c r="P43" s="32"/>
    </row>
    <row r="44" spans="1:16" hidden="1" x14ac:dyDescent="0.15">
      <c r="A44">
        <v>43</v>
      </c>
      <c r="B44" t="s">
        <v>35</v>
      </c>
      <c r="C44" t="s">
        <v>5</v>
      </c>
      <c r="D44" s="72" t="s">
        <v>1123</v>
      </c>
      <c r="E44" t="s">
        <v>36</v>
      </c>
      <c r="F44" t="s">
        <v>1124</v>
      </c>
      <c r="G44" s="92">
        <v>42562.33357638889</v>
      </c>
      <c r="H44" s="92">
        <v>42562.333587962959</v>
      </c>
      <c r="I44" s="92">
        <v>42562.33357638889</v>
      </c>
      <c r="J44" s="92">
        <v>42562.866631944446</v>
      </c>
      <c r="K44" s="92">
        <v>42649.476805555554</v>
      </c>
      <c r="L44" s="92">
        <f>IF(AND(单词表[[#This Row],[学英]]&lt;&gt;"",单词表[[#This Row],[学中]]&lt;&gt;"",单词表[[#This Row],[学词]]&lt;&gt;""),MAX(单词表[[#This Row],[学英]:[学词]]),"")</f>
        <v>42562.333587962959</v>
      </c>
      <c r="M44" s="2">
        <f>IF(AND(单词表[[#This Row],[考英]]&lt;&gt;"",单词表[[#This Row],[考中]]&lt;&gt;""),MAX(单词表[[#This Row],[考英]:[考中]]),"")</f>
        <v>42649.476805555554</v>
      </c>
      <c r="N44"/>
      <c r="P44" s="32"/>
    </row>
    <row r="45" spans="1:16" hidden="1" x14ac:dyDescent="0.15">
      <c r="A45">
        <v>44</v>
      </c>
      <c r="B45" t="s">
        <v>35</v>
      </c>
      <c r="C45" t="s">
        <v>5</v>
      </c>
      <c r="D45" s="72" t="s">
        <v>1125</v>
      </c>
      <c r="E45" t="s">
        <v>73</v>
      </c>
      <c r="F45" t="s">
        <v>1126</v>
      </c>
      <c r="G45" s="92">
        <v>42562.333703703705</v>
      </c>
      <c r="H45" s="92">
        <v>42626.770277777781</v>
      </c>
      <c r="I45" s="92">
        <v>42626.770277777781</v>
      </c>
      <c r="J45" s="92">
        <v>42562.348078703704</v>
      </c>
      <c r="K45" s="92">
        <v>42649.476863425924</v>
      </c>
      <c r="L45" s="92">
        <f>IF(AND(单词表[[#This Row],[学英]]&lt;&gt;"",单词表[[#This Row],[学中]]&lt;&gt;"",单词表[[#This Row],[学词]]&lt;&gt;""),MAX(单词表[[#This Row],[学英]:[学词]]),"")</f>
        <v>42626.770277777781</v>
      </c>
      <c r="M45" s="2">
        <f>IF(AND(单词表[[#This Row],[考英]]&lt;&gt;"",单词表[[#This Row],[考中]]&lt;&gt;""),MAX(单词表[[#This Row],[考英]:[考中]]),"")</f>
        <v>42649.476863425924</v>
      </c>
      <c r="N45"/>
      <c r="P45" s="32"/>
    </row>
    <row r="46" spans="1:16" hidden="1" x14ac:dyDescent="0.15">
      <c r="A46">
        <v>45</v>
      </c>
      <c r="B46" t="s">
        <v>35</v>
      </c>
      <c r="C46" t="s">
        <v>5</v>
      </c>
      <c r="D46" s="72" t="s">
        <v>1127</v>
      </c>
      <c r="E46" t="s">
        <v>702</v>
      </c>
      <c r="F46" t="s">
        <v>1128</v>
      </c>
      <c r="G46" s="92">
        <v>42562.342662037037</v>
      </c>
      <c r="H46" s="92">
        <v>42562.342685185184</v>
      </c>
      <c r="I46" s="92">
        <v>42562.342662037037</v>
      </c>
      <c r="J46" s="92">
        <v>42562.348379629628</v>
      </c>
      <c r="K46" s="92">
        <v>42649.476909722223</v>
      </c>
      <c r="L46" s="92">
        <f>IF(AND(单词表[[#This Row],[学英]]&lt;&gt;"",单词表[[#This Row],[学中]]&lt;&gt;"",单词表[[#This Row],[学词]]&lt;&gt;""),MAX(单词表[[#This Row],[学英]:[学词]]),"")</f>
        <v>42562.342685185184</v>
      </c>
      <c r="M46" s="2">
        <f>IF(AND(单词表[[#This Row],[考英]]&lt;&gt;"",单词表[[#This Row],[考中]]&lt;&gt;""),MAX(单词表[[#This Row],[考英]:[考中]]),"")</f>
        <v>42649.476909722223</v>
      </c>
      <c r="N46"/>
      <c r="P46" s="32"/>
    </row>
    <row r="47" spans="1:16" hidden="1" x14ac:dyDescent="0.15">
      <c r="A47">
        <v>46</v>
      </c>
      <c r="B47" t="s">
        <v>35</v>
      </c>
      <c r="C47" t="s">
        <v>5</v>
      </c>
      <c r="D47" s="72" t="s">
        <v>1129</v>
      </c>
      <c r="E47" t="s">
        <v>36</v>
      </c>
      <c r="F47" t="s">
        <v>1130</v>
      </c>
      <c r="G47" s="92">
        <v>42562.342858796299</v>
      </c>
      <c r="H47" s="92">
        <v>42562.342870370368</v>
      </c>
      <c r="I47" s="92">
        <v>42562.342870370368</v>
      </c>
      <c r="J47" s="92">
        <v>42562.348599537036</v>
      </c>
      <c r="K47" s="92">
        <v>42649.476944444446</v>
      </c>
      <c r="L47" s="92">
        <f>IF(AND(单词表[[#This Row],[学英]]&lt;&gt;"",单词表[[#This Row],[学中]]&lt;&gt;"",单词表[[#This Row],[学词]]&lt;&gt;""),MAX(单词表[[#This Row],[学英]:[学词]]),"")</f>
        <v>42562.342870370368</v>
      </c>
      <c r="M47" s="2">
        <f>IF(AND(单词表[[#This Row],[考英]]&lt;&gt;"",单词表[[#This Row],[考中]]&lt;&gt;""),MAX(单词表[[#This Row],[考英]:[考中]]),"")</f>
        <v>42649.476944444446</v>
      </c>
      <c r="N47"/>
      <c r="P47" s="32"/>
    </row>
    <row r="48" spans="1:16" hidden="1" x14ac:dyDescent="0.15">
      <c r="A48">
        <v>47</v>
      </c>
      <c r="B48" t="s">
        <v>35</v>
      </c>
      <c r="C48" t="s">
        <v>5</v>
      </c>
      <c r="D48" s="72" t="s">
        <v>1131</v>
      </c>
      <c r="E48" t="s">
        <v>36</v>
      </c>
      <c r="F48" t="s">
        <v>1132</v>
      </c>
      <c r="G48" s="92">
        <v>42562.342291666668</v>
      </c>
      <c r="H48" s="92">
        <v>42626.770300925928</v>
      </c>
      <c r="I48" s="92">
        <v>42626.770300925928</v>
      </c>
      <c r="J48" s="92">
        <v>42562.866770833331</v>
      </c>
      <c r="K48" s="92">
        <v>42649.476990740739</v>
      </c>
      <c r="L48" s="92">
        <f>IF(AND(单词表[[#This Row],[学英]]&lt;&gt;"",单词表[[#This Row],[学中]]&lt;&gt;"",单词表[[#This Row],[学词]]&lt;&gt;""),MAX(单词表[[#This Row],[学英]:[学词]]),"")</f>
        <v>42626.770300925928</v>
      </c>
      <c r="M48" s="2">
        <f>IF(AND(单词表[[#This Row],[考英]]&lt;&gt;"",单词表[[#This Row],[考中]]&lt;&gt;""),MAX(单词表[[#This Row],[考英]:[考中]]),"")</f>
        <v>42649.476990740739</v>
      </c>
      <c r="N48"/>
      <c r="P48" s="32"/>
    </row>
    <row r="49" spans="1:16" hidden="1" x14ac:dyDescent="0.15">
      <c r="A49">
        <v>48</v>
      </c>
      <c r="B49" t="s">
        <v>35</v>
      </c>
      <c r="C49" t="s">
        <v>5</v>
      </c>
      <c r="D49" s="72" t="s">
        <v>1133</v>
      </c>
      <c r="E49" t="s">
        <v>36</v>
      </c>
      <c r="F49" t="s">
        <v>1134</v>
      </c>
      <c r="G49" s="92">
        <v>42562.342430555553</v>
      </c>
      <c r="H49" s="92">
        <v>42649.482800925929</v>
      </c>
      <c r="I49" s="92">
        <v>42649.482789351852</v>
      </c>
      <c r="J49" s="92">
        <v>42562.349756944444</v>
      </c>
      <c r="K49" s="92">
        <v>42649.483946759261</v>
      </c>
      <c r="L49" s="92">
        <f>IF(AND(单词表[[#This Row],[学英]]&lt;&gt;"",单词表[[#This Row],[学中]]&lt;&gt;"",单词表[[#This Row],[学词]]&lt;&gt;""),MAX(单词表[[#This Row],[学英]:[学词]]),"")</f>
        <v>42649.482800925929</v>
      </c>
      <c r="M49" s="2">
        <f>IF(AND(单词表[[#This Row],[考英]]&lt;&gt;"",单词表[[#This Row],[考中]]&lt;&gt;""),MAX(单词表[[#This Row],[考英]:[考中]]),"")</f>
        <v>42649.483946759261</v>
      </c>
      <c r="N49"/>
      <c r="P49" s="32"/>
    </row>
    <row r="50" spans="1:16" hidden="1" x14ac:dyDescent="0.15">
      <c r="A50">
        <v>49</v>
      </c>
      <c r="B50" t="s">
        <v>35</v>
      </c>
      <c r="C50" t="s">
        <v>5</v>
      </c>
      <c r="D50" s="72" t="s">
        <v>1135</v>
      </c>
      <c r="E50" t="s">
        <v>157</v>
      </c>
      <c r="F50" t="s">
        <v>1136</v>
      </c>
      <c r="G50" s="92">
        <v>42562.342499999999</v>
      </c>
      <c r="H50" s="92">
        <v>42649.482847222222</v>
      </c>
      <c r="I50" s="92">
        <v>42649.482824074075</v>
      </c>
      <c r="J50" s="92">
        <v>42562.349895833337</v>
      </c>
      <c r="K50" s="92">
        <v>42649.483993055554</v>
      </c>
      <c r="L50" s="92">
        <f>IF(AND(单词表[[#This Row],[学英]]&lt;&gt;"",单词表[[#This Row],[学中]]&lt;&gt;"",单词表[[#This Row],[学词]]&lt;&gt;""),MAX(单词表[[#This Row],[学英]:[学词]]),"")</f>
        <v>42649.482847222222</v>
      </c>
      <c r="M50" s="2">
        <f>IF(AND(单词表[[#This Row],[考英]]&lt;&gt;"",单词表[[#This Row],[考中]]&lt;&gt;""),MAX(单词表[[#This Row],[考英]:[考中]]),"")</f>
        <v>42649.483993055554</v>
      </c>
      <c r="N50"/>
      <c r="P50" s="32"/>
    </row>
    <row r="51" spans="1:16" hidden="1" x14ac:dyDescent="0.15">
      <c r="A51">
        <v>50</v>
      </c>
      <c r="B51" t="s">
        <v>35</v>
      </c>
      <c r="C51" t="s">
        <v>5</v>
      </c>
      <c r="D51" s="72" t="s">
        <v>1137</v>
      </c>
      <c r="E51" t="s">
        <v>157</v>
      </c>
      <c r="F51" t="s">
        <v>1138</v>
      </c>
      <c r="G51" s="92">
        <v>42562.344039351854</v>
      </c>
      <c r="H51" s="92">
        <v>42649.482881944445</v>
      </c>
      <c r="I51" s="92">
        <v>42649.482870370368</v>
      </c>
      <c r="J51" s="92">
        <v>42562.35</v>
      </c>
      <c r="K51" s="92">
        <v>42649.484050925923</v>
      </c>
      <c r="L51" s="92">
        <f>IF(AND(单词表[[#This Row],[学英]]&lt;&gt;"",单词表[[#This Row],[学中]]&lt;&gt;"",单词表[[#This Row],[学词]]&lt;&gt;""),MAX(单词表[[#This Row],[学英]:[学词]]),"")</f>
        <v>42649.482881944445</v>
      </c>
      <c r="M51" s="2">
        <f>IF(AND(单词表[[#This Row],[考英]]&lt;&gt;"",单词表[[#This Row],[考中]]&lt;&gt;""),MAX(单词表[[#This Row],[考英]:[考中]]),"")</f>
        <v>42649.484050925923</v>
      </c>
      <c r="N51"/>
      <c r="P51" s="32"/>
    </row>
    <row r="52" spans="1:16" hidden="1" x14ac:dyDescent="0.15">
      <c r="A52">
        <v>51</v>
      </c>
      <c r="B52" t="s">
        <v>35</v>
      </c>
      <c r="C52" t="s">
        <v>5</v>
      </c>
      <c r="D52" s="72" t="s">
        <v>1139</v>
      </c>
      <c r="E52" t="s">
        <v>36</v>
      </c>
      <c r="F52" t="s">
        <v>1140</v>
      </c>
      <c r="G52" s="92">
        <v>42562.343148148146</v>
      </c>
      <c r="H52" s="92">
        <v>42562.343148148146</v>
      </c>
      <c r="I52" s="92">
        <v>42562.343148148146</v>
      </c>
      <c r="J52" s="92">
        <v>42562.350069444445</v>
      </c>
      <c r="K52" s="92">
        <v>42649.477210648147</v>
      </c>
      <c r="L52" s="92">
        <f>IF(AND(单词表[[#This Row],[学英]]&lt;&gt;"",单词表[[#This Row],[学中]]&lt;&gt;"",单词表[[#This Row],[学词]]&lt;&gt;""),MAX(单词表[[#This Row],[学英]:[学词]]),"")</f>
        <v>42562.343148148146</v>
      </c>
      <c r="M52" s="2">
        <f>IF(AND(单词表[[#This Row],[考英]]&lt;&gt;"",单词表[[#This Row],[考中]]&lt;&gt;""),MAX(单词表[[#This Row],[考英]:[考中]]),"")</f>
        <v>42649.477210648147</v>
      </c>
      <c r="N52"/>
      <c r="P52" s="32"/>
    </row>
    <row r="53" spans="1:16" hidden="1" x14ac:dyDescent="0.15">
      <c r="A53">
        <v>52</v>
      </c>
      <c r="B53" t="s">
        <v>35</v>
      </c>
      <c r="C53" t="s">
        <v>5</v>
      </c>
      <c r="D53" s="72" t="s">
        <v>1141</v>
      </c>
      <c r="E53" t="s">
        <v>61</v>
      </c>
      <c r="F53" t="s">
        <v>1142</v>
      </c>
      <c r="G53" s="92">
        <v>42562.343263888892</v>
      </c>
      <c r="H53" s="92">
        <v>42649.482916666668</v>
      </c>
      <c r="I53" s="92">
        <v>42649.482916666668</v>
      </c>
      <c r="J53" s="92">
        <v>42562.350173611114</v>
      </c>
      <c r="K53" s="92">
        <v>42649.484097222223</v>
      </c>
      <c r="L53" s="92">
        <f>IF(AND(单词表[[#This Row],[学英]]&lt;&gt;"",单词表[[#This Row],[学中]]&lt;&gt;"",单词表[[#This Row],[学词]]&lt;&gt;""),MAX(单词表[[#This Row],[学英]:[学词]]),"")</f>
        <v>42649.482916666668</v>
      </c>
      <c r="M53" s="2">
        <f>IF(AND(单词表[[#This Row],[考英]]&lt;&gt;"",单词表[[#This Row],[考中]]&lt;&gt;""),MAX(单词表[[#This Row],[考英]:[考中]]),"")</f>
        <v>42649.484097222223</v>
      </c>
      <c r="N53"/>
      <c r="P53" s="32"/>
    </row>
    <row r="54" spans="1:16" hidden="1" x14ac:dyDescent="0.15">
      <c r="A54">
        <v>53</v>
      </c>
      <c r="B54" t="s">
        <v>35</v>
      </c>
      <c r="C54" t="s">
        <v>5</v>
      </c>
      <c r="D54" s="72" t="s">
        <v>1143</v>
      </c>
      <c r="E54" t="s">
        <v>36</v>
      </c>
      <c r="F54" t="s">
        <v>1144</v>
      </c>
      <c r="G54" s="92">
        <v>42562.344282407408</v>
      </c>
      <c r="H54" s="92">
        <v>42562.344293981485</v>
      </c>
      <c r="I54" s="92">
        <v>42562.344282407408</v>
      </c>
      <c r="J54" s="92">
        <v>42562.350358796299</v>
      </c>
      <c r="K54" s="92">
        <v>42649.477314814816</v>
      </c>
      <c r="L54" s="92">
        <f>IF(AND(单词表[[#This Row],[学英]]&lt;&gt;"",单词表[[#This Row],[学中]]&lt;&gt;"",单词表[[#This Row],[学词]]&lt;&gt;""),MAX(单词表[[#This Row],[学英]:[学词]]),"")</f>
        <v>42562.344293981485</v>
      </c>
      <c r="M54" s="2">
        <f>IF(AND(单词表[[#This Row],[考英]]&lt;&gt;"",单词表[[#This Row],[考中]]&lt;&gt;""),MAX(单词表[[#This Row],[考英]:[考中]]),"")</f>
        <v>42649.477314814816</v>
      </c>
      <c r="N54"/>
      <c r="P54" s="32"/>
    </row>
    <row r="55" spans="1:16" hidden="1" x14ac:dyDescent="0.15">
      <c r="A55">
        <v>54</v>
      </c>
      <c r="B55" t="s">
        <v>35</v>
      </c>
      <c r="C55" t="s">
        <v>5</v>
      </c>
      <c r="D55" s="72" t="s">
        <v>1145</v>
      </c>
      <c r="E55" t="s">
        <v>36</v>
      </c>
      <c r="F55" t="s">
        <v>1146</v>
      </c>
      <c r="G55" s="92">
        <v>42562.344861111109</v>
      </c>
      <c r="H55" s="92">
        <v>42649.48296296296</v>
      </c>
      <c r="I55" s="92">
        <v>42649.482951388891</v>
      </c>
      <c r="J55" s="92">
        <v>42562.867442129631</v>
      </c>
      <c r="K55" s="92">
        <v>42649.484131944446</v>
      </c>
      <c r="L55" s="92">
        <f>IF(AND(单词表[[#This Row],[学英]]&lt;&gt;"",单词表[[#This Row],[学中]]&lt;&gt;"",单词表[[#This Row],[学词]]&lt;&gt;""),MAX(单词表[[#This Row],[学英]:[学词]]),"")</f>
        <v>42649.48296296296</v>
      </c>
      <c r="M55" s="2">
        <f>IF(AND(单词表[[#This Row],[考英]]&lt;&gt;"",单词表[[#This Row],[考中]]&lt;&gt;""),MAX(单词表[[#This Row],[考英]:[考中]]),"")</f>
        <v>42649.484131944446</v>
      </c>
      <c r="N55"/>
      <c r="P55" s="32"/>
    </row>
    <row r="56" spans="1:16" hidden="1" x14ac:dyDescent="0.15">
      <c r="A56">
        <v>55</v>
      </c>
      <c r="B56" t="s">
        <v>35</v>
      </c>
      <c r="C56" t="s">
        <v>5</v>
      </c>
      <c r="D56" s="72" t="s">
        <v>1147</v>
      </c>
      <c r="E56" t="s">
        <v>702</v>
      </c>
      <c r="F56" t="s">
        <v>1148</v>
      </c>
      <c r="G56" s="92">
        <v>42562.345520833333</v>
      </c>
      <c r="H56" s="92">
        <v>42649.48300925926</v>
      </c>
      <c r="I56" s="92">
        <v>42649.48300925926</v>
      </c>
      <c r="J56" s="92">
        <v>42562.351307870369</v>
      </c>
      <c r="K56" s="92">
        <v>42649.484189814815</v>
      </c>
      <c r="L56" s="92">
        <f>IF(AND(单词表[[#This Row],[学英]]&lt;&gt;"",单词表[[#This Row],[学中]]&lt;&gt;"",单词表[[#This Row],[学词]]&lt;&gt;""),MAX(单词表[[#This Row],[学英]:[学词]]),"")</f>
        <v>42649.48300925926</v>
      </c>
      <c r="M56" s="2">
        <f>IF(AND(单词表[[#This Row],[考英]]&lt;&gt;"",单词表[[#This Row],[考中]]&lt;&gt;""),MAX(单词表[[#This Row],[考英]:[考中]]),"")</f>
        <v>42649.484189814815</v>
      </c>
      <c r="N56"/>
      <c r="P56" s="32"/>
    </row>
    <row r="57" spans="1:16" hidden="1" x14ac:dyDescent="0.15">
      <c r="A57">
        <v>56</v>
      </c>
      <c r="B57" t="s">
        <v>35</v>
      </c>
      <c r="C57" t="s">
        <v>5</v>
      </c>
      <c r="D57" s="72" t="s">
        <v>1149</v>
      </c>
      <c r="E57" t="s">
        <v>61</v>
      </c>
      <c r="F57" t="s">
        <v>1150</v>
      </c>
      <c r="G57" s="92">
        <v>42562.345034722224</v>
      </c>
      <c r="H57" s="92">
        <v>42649.484814814816</v>
      </c>
      <c r="I57" s="92">
        <v>42649.484814814816</v>
      </c>
      <c r="J57" s="92">
        <v>42562.351423611108</v>
      </c>
      <c r="K57" s="92">
        <v>42649.491585648146</v>
      </c>
      <c r="L57" s="92">
        <f>IF(AND(单词表[[#This Row],[学英]]&lt;&gt;"",单词表[[#This Row],[学中]]&lt;&gt;"",单词表[[#This Row],[学词]]&lt;&gt;""),MAX(单词表[[#This Row],[学英]:[学词]]),"")</f>
        <v>42649.484814814816</v>
      </c>
      <c r="M57" s="2">
        <f>IF(AND(单词表[[#This Row],[考英]]&lt;&gt;"",单词表[[#This Row],[考中]]&lt;&gt;""),MAX(单词表[[#This Row],[考英]:[考中]]),"")</f>
        <v>42649.491585648146</v>
      </c>
      <c r="N57"/>
      <c r="P57" s="32"/>
    </row>
    <row r="58" spans="1:16" hidden="1" x14ac:dyDescent="0.15">
      <c r="A58">
        <v>57</v>
      </c>
      <c r="B58" t="s">
        <v>35</v>
      </c>
      <c r="C58" t="s">
        <v>5</v>
      </c>
      <c r="D58" s="72" t="s">
        <v>1151</v>
      </c>
      <c r="E58" t="s">
        <v>157</v>
      </c>
      <c r="F58" t="s">
        <v>1152</v>
      </c>
      <c r="G58" s="92">
        <v>42562.343645833331</v>
      </c>
      <c r="H58" s="92">
        <v>42649.483113425929</v>
      </c>
      <c r="I58" s="92">
        <v>42649.483101851853</v>
      </c>
      <c r="J58" s="92">
        <v>42562.351504629631</v>
      </c>
      <c r="K58" s="92">
        <v>42649.484513888892</v>
      </c>
      <c r="L58" s="92">
        <f>IF(AND(单词表[[#This Row],[学英]]&lt;&gt;"",单词表[[#This Row],[学中]]&lt;&gt;"",单词表[[#This Row],[学词]]&lt;&gt;""),MAX(单词表[[#This Row],[学英]:[学词]]),"")</f>
        <v>42649.483113425929</v>
      </c>
      <c r="M58" s="2">
        <f>IF(AND(单词表[[#This Row],[考英]]&lt;&gt;"",单词表[[#This Row],[考中]]&lt;&gt;""),MAX(单词表[[#This Row],[考英]:[考中]]),"")</f>
        <v>42649.484513888892</v>
      </c>
      <c r="N58"/>
      <c r="P58" s="32"/>
    </row>
    <row r="59" spans="1:16" hidden="1" x14ac:dyDescent="0.15">
      <c r="A59">
        <v>58</v>
      </c>
      <c r="B59" t="s">
        <v>35</v>
      </c>
      <c r="C59" t="s">
        <v>5</v>
      </c>
      <c r="D59" s="72" t="s">
        <v>1153</v>
      </c>
      <c r="E59" t="s">
        <v>61</v>
      </c>
      <c r="F59" t="s">
        <v>1154</v>
      </c>
      <c r="G59" s="92">
        <v>42562.34375</v>
      </c>
      <c r="H59" s="92">
        <v>42649.483206018522</v>
      </c>
      <c r="I59" s="92">
        <v>42649.483194444445</v>
      </c>
      <c r="J59" s="92">
        <v>42562.351655092592</v>
      </c>
      <c r="K59" s="92">
        <v>42649.484560185185</v>
      </c>
      <c r="L59" s="92">
        <f>IF(AND(单词表[[#This Row],[学英]]&lt;&gt;"",单词表[[#This Row],[学中]]&lt;&gt;"",单词表[[#This Row],[学词]]&lt;&gt;""),MAX(单词表[[#This Row],[学英]:[学词]]),"")</f>
        <v>42649.483206018522</v>
      </c>
      <c r="M59" s="2">
        <f>IF(AND(单词表[[#This Row],[考英]]&lt;&gt;"",单词表[[#This Row],[考中]]&lt;&gt;""),MAX(单词表[[#This Row],[考英]:[考中]]),"")</f>
        <v>42649.484560185185</v>
      </c>
      <c r="N59"/>
      <c r="P59" s="32"/>
    </row>
    <row r="60" spans="1:16" hidden="1" x14ac:dyDescent="0.15">
      <c r="A60">
        <v>59</v>
      </c>
      <c r="B60" t="s">
        <v>35</v>
      </c>
      <c r="C60" t="s">
        <v>5</v>
      </c>
      <c r="D60" s="72" t="s">
        <v>1155</v>
      </c>
      <c r="E60" t="s">
        <v>61</v>
      </c>
      <c r="F60" t="s">
        <v>1156</v>
      </c>
      <c r="G60" s="92">
        <v>42568.895740740743</v>
      </c>
      <c r="H60" s="92">
        <v>42568.895740740743</v>
      </c>
      <c r="I60" s="92">
        <v>42568.895740740743</v>
      </c>
      <c r="J60" s="92"/>
      <c r="K60" s="92">
        <v>42649.477569444447</v>
      </c>
      <c r="L60" s="92">
        <f>IF(AND(单词表[[#This Row],[学英]]&lt;&gt;"",单词表[[#This Row],[学中]]&lt;&gt;"",单词表[[#This Row],[学词]]&lt;&gt;""),MAX(单词表[[#This Row],[学英]:[学词]]),"")</f>
        <v>42568.895740740743</v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15">
      <c r="A61">
        <v>60</v>
      </c>
      <c r="B61" t="s">
        <v>35</v>
      </c>
      <c r="C61" t="s">
        <v>5</v>
      </c>
      <c r="D61" s="72" t="s">
        <v>1157</v>
      </c>
      <c r="E61" t="s">
        <v>736</v>
      </c>
      <c r="F61" t="s">
        <v>1158</v>
      </c>
      <c r="G61" s="92">
        <v>42562.346307870372</v>
      </c>
      <c r="H61" s="92">
        <v>42649.483263888891</v>
      </c>
      <c r="I61" s="92">
        <v>42649.483240740738</v>
      </c>
      <c r="J61" s="92">
        <v>42562.352048611108</v>
      </c>
      <c r="K61" s="92">
        <v>42649.484606481485</v>
      </c>
      <c r="L61" s="92">
        <f>IF(AND(单词表[[#This Row],[学英]]&lt;&gt;"",单词表[[#This Row],[学中]]&lt;&gt;"",单词表[[#This Row],[学词]]&lt;&gt;""),MAX(单词表[[#This Row],[学英]:[学词]]),"")</f>
        <v>42649.483263888891</v>
      </c>
      <c r="M61" s="2">
        <f>IF(AND(单词表[[#This Row],[考英]]&lt;&gt;"",单词表[[#This Row],[考中]]&lt;&gt;""),MAX(单词表[[#This Row],[考英]:[考中]]),"")</f>
        <v>42649.484606481485</v>
      </c>
      <c r="N61"/>
      <c r="P61" s="32"/>
    </row>
    <row r="62" spans="1:16" hidden="1" x14ac:dyDescent="0.15">
      <c r="A62">
        <v>61</v>
      </c>
      <c r="B62" t="s">
        <v>35</v>
      </c>
      <c r="C62" t="s">
        <v>5</v>
      </c>
      <c r="D62" s="72" t="s">
        <v>1159</v>
      </c>
      <c r="E62" t="s">
        <v>36</v>
      </c>
      <c r="F62" t="s">
        <v>1160</v>
      </c>
      <c r="G62" s="92">
        <v>42649.483310185184</v>
      </c>
      <c r="H62" s="92">
        <v>42626.746006944442</v>
      </c>
      <c r="I62" s="92">
        <v>42649.483287037037</v>
      </c>
      <c r="J62" s="92"/>
      <c r="K62" s="92">
        <v>42649.4846412037</v>
      </c>
      <c r="L62" s="92">
        <f>IF(AND(单词表[[#This Row],[学英]]&lt;&gt;"",单词表[[#This Row],[学中]]&lt;&gt;"",单词表[[#This Row],[学词]]&lt;&gt;""),MAX(单词表[[#This Row],[学英]:[学词]]),"")</f>
        <v>42649.483310185184</v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15">
      <c r="A63">
        <v>62</v>
      </c>
      <c r="B63" t="s">
        <v>35</v>
      </c>
      <c r="C63" t="s">
        <v>5</v>
      </c>
      <c r="D63" s="72" t="s">
        <v>1161</v>
      </c>
      <c r="E63" t="s">
        <v>36</v>
      </c>
      <c r="F63" t="s">
        <v>1162</v>
      </c>
      <c r="G63" s="92">
        <v>42649.484861111108</v>
      </c>
      <c r="H63" s="92">
        <v>42626.746041666665</v>
      </c>
      <c r="I63" s="92">
        <v>42649.484849537039</v>
      </c>
      <c r="J63" s="92"/>
      <c r="K63" s="92">
        <v>42649.491620370369</v>
      </c>
      <c r="L63" s="92">
        <f>IF(AND(单词表[[#This Row],[学英]]&lt;&gt;"",单词表[[#This Row],[学中]]&lt;&gt;"",单词表[[#This Row],[学词]]&lt;&gt;""),MAX(单词表[[#This Row],[学英]:[学词]]),"")</f>
        <v>42649.484861111108</v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15">
      <c r="A64">
        <v>63</v>
      </c>
      <c r="B64" t="s">
        <v>35</v>
      </c>
      <c r="C64" t="s">
        <v>5</v>
      </c>
      <c r="D64" s="72" t="s">
        <v>1163</v>
      </c>
      <c r="E64" t="s">
        <v>36</v>
      </c>
      <c r="F64" t="s">
        <v>1164</v>
      </c>
      <c r="G64" s="92">
        <v>42649.484884259262</v>
      </c>
      <c r="H64" s="92">
        <v>42626.746099537035</v>
      </c>
      <c r="I64" s="92">
        <v>42649.484884259262</v>
      </c>
      <c r="J64" s="92"/>
      <c r="K64" s="92">
        <v>42649.491655092592</v>
      </c>
      <c r="L64" s="92">
        <f>IF(AND(单词表[[#This Row],[学英]]&lt;&gt;"",单词表[[#This Row],[学中]]&lt;&gt;"",单词表[[#This Row],[学词]]&lt;&gt;""),MAX(单词表[[#This Row],[学英]:[学词]]),"")</f>
        <v>42649.484884259262</v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15">
      <c r="A65">
        <v>64</v>
      </c>
      <c r="B65" t="s">
        <v>35</v>
      </c>
      <c r="C65" t="s">
        <v>5</v>
      </c>
      <c r="D65" s="72" t="s">
        <v>158</v>
      </c>
      <c r="E65" t="s">
        <v>36</v>
      </c>
      <c r="F65" t="s">
        <v>1165</v>
      </c>
      <c r="G65" s="92">
        <v>42649.484907407408</v>
      </c>
      <c r="H65" s="92">
        <v>42626.746180555558</v>
      </c>
      <c r="I65" s="92">
        <v>42649.484918981485</v>
      </c>
      <c r="J65" s="92"/>
      <c r="K65" s="92">
        <v>42649.491678240738</v>
      </c>
      <c r="L65" s="92">
        <f>IF(AND(单词表[[#This Row],[学英]]&lt;&gt;"",单词表[[#This Row],[学中]]&lt;&gt;"",单词表[[#This Row],[学词]]&lt;&gt;""),MAX(单词表[[#This Row],[学英]:[学词]]),"")</f>
        <v>42649.484918981485</v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15">
      <c r="A66">
        <v>65</v>
      </c>
      <c r="B66" t="s">
        <v>35</v>
      </c>
      <c r="C66" t="s">
        <v>5</v>
      </c>
      <c r="D66" s="72" t="s">
        <v>1166</v>
      </c>
      <c r="E66" t="s">
        <v>36</v>
      </c>
      <c r="F66" t="s">
        <v>1167</v>
      </c>
      <c r="G66" s="92">
        <v>42649.485023148147</v>
      </c>
      <c r="H66" s="92">
        <v>42649.485046296293</v>
      </c>
      <c r="I66" s="92">
        <v>42649.485034722224</v>
      </c>
      <c r="J66" s="92"/>
      <c r="K66" s="92">
        <v>42649.491724537038</v>
      </c>
      <c r="L66" s="92">
        <f>IF(AND(单词表[[#This Row],[学英]]&lt;&gt;"",单词表[[#This Row],[学中]]&lt;&gt;"",单词表[[#This Row],[学词]]&lt;&gt;""),MAX(单词表[[#This Row],[学英]:[学词]]),"")</f>
        <v>42649.485046296293</v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15">
      <c r="A67">
        <v>66</v>
      </c>
      <c r="B67" t="s">
        <v>35</v>
      </c>
      <c r="C67" t="s">
        <v>5</v>
      </c>
      <c r="D67" s="72" t="s">
        <v>1168</v>
      </c>
      <c r="E67" t="s">
        <v>73</v>
      </c>
      <c r="F67" t="s">
        <v>1169</v>
      </c>
      <c r="G67" s="92">
        <v>42557.865497685183</v>
      </c>
      <c r="H67" s="92">
        <v>42557.866076388891</v>
      </c>
      <c r="I67" s="92">
        <v>42557.86550925926</v>
      </c>
      <c r="J67" s="92">
        <v>42559.461631944447</v>
      </c>
      <c r="K67" s="92">
        <v>42649.477881944447</v>
      </c>
      <c r="L67" s="92">
        <f>IF(AND(单词表[[#This Row],[学英]]&lt;&gt;"",单词表[[#This Row],[学中]]&lt;&gt;"",单词表[[#This Row],[学词]]&lt;&gt;""),MAX(单词表[[#This Row],[学英]:[学词]]),"")</f>
        <v>42557.866076388891</v>
      </c>
      <c r="M67" s="2">
        <f>IF(AND(单词表[[#This Row],[考英]]&lt;&gt;"",单词表[[#This Row],[考中]]&lt;&gt;""),MAX(单词表[[#This Row],[考英]:[考中]]),"")</f>
        <v>42649.477881944447</v>
      </c>
      <c r="N67"/>
      <c r="P67" s="32"/>
    </row>
    <row r="68" spans="1:16" hidden="1" x14ac:dyDescent="0.15">
      <c r="A68">
        <v>67</v>
      </c>
      <c r="B68" t="s">
        <v>35</v>
      </c>
      <c r="C68" t="s">
        <v>5</v>
      </c>
      <c r="D68" s="72" t="s">
        <v>1168</v>
      </c>
      <c r="E68" t="s">
        <v>61</v>
      </c>
      <c r="F68" t="s">
        <v>1170</v>
      </c>
      <c r="G68" s="92">
        <v>42557.865555555552</v>
      </c>
      <c r="H68" s="92">
        <v>42557.866053240738</v>
      </c>
      <c r="I68" s="92">
        <v>42557.865555555552</v>
      </c>
      <c r="J68" s="92">
        <v>42559.461689814816</v>
      </c>
      <c r="K68" s="92">
        <v>42649.477916666663</v>
      </c>
      <c r="L68" s="92">
        <f>IF(AND(单词表[[#This Row],[学英]]&lt;&gt;"",单词表[[#This Row],[学中]]&lt;&gt;"",单词表[[#This Row],[学词]]&lt;&gt;""),MAX(单词表[[#This Row],[学英]:[学词]]),"")</f>
        <v>42557.866053240738</v>
      </c>
      <c r="M68" s="2">
        <f>IF(AND(单词表[[#This Row],[考英]]&lt;&gt;"",单词表[[#This Row],[考中]]&lt;&gt;""),MAX(单词表[[#This Row],[考英]:[考中]]),"")</f>
        <v>42649.477916666663</v>
      </c>
      <c r="N68"/>
      <c r="P68" s="32"/>
    </row>
    <row r="69" spans="1:16" hidden="1" x14ac:dyDescent="0.15">
      <c r="A69">
        <v>68</v>
      </c>
      <c r="B69" t="s">
        <v>35</v>
      </c>
      <c r="C69" t="s">
        <v>5</v>
      </c>
      <c r="D69" s="72" t="s">
        <v>172</v>
      </c>
      <c r="E69" t="s">
        <v>61</v>
      </c>
      <c r="F69" t="s">
        <v>154</v>
      </c>
      <c r="G69" s="92">
        <v>42562.900625000002</v>
      </c>
      <c r="H69" s="92">
        <v>42562.900636574072</v>
      </c>
      <c r="I69" s="92">
        <v>42562.900625000002</v>
      </c>
      <c r="J69" s="92">
        <v>42562.919942129629</v>
      </c>
      <c r="K69" s="92">
        <v>42649.477962962963</v>
      </c>
      <c r="L69" s="92">
        <f>IF(AND(单词表[[#This Row],[学英]]&lt;&gt;"",单词表[[#This Row],[学中]]&lt;&gt;"",单词表[[#This Row],[学词]]&lt;&gt;""),MAX(单词表[[#This Row],[学英]:[学词]]),"")</f>
        <v>42562.900636574072</v>
      </c>
      <c r="M69" s="2">
        <f>IF(AND(单词表[[#This Row],[考英]]&lt;&gt;"",单词表[[#This Row],[考中]]&lt;&gt;""),MAX(单词表[[#This Row],[考英]:[考中]]),"")</f>
        <v>42649.477962962963</v>
      </c>
      <c r="N69"/>
      <c r="P69" s="32"/>
    </row>
    <row r="70" spans="1:16" hidden="1" x14ac:dyDescent="0.15">
      <c r="A70">
        <v>69</v>
      </c>
      <c r="B70" t="s">
        <v>35</v>
      </c>
      <c r="C70" t="s">
        <v>5</v>
      </c>
      <c r="D70" s="72" t="s">
        <v>1171</v>
      </c>
      <c r="E70" t="s">
        <v>36</v>
      </c>
      <c r="F70" t="s">
        <v>1172</v>
      </c>
      <c r="G70" s="92">
        <v>42649.48505787037</v>
      </c>
      <c r="H70" s="92">
        <v>42626.758125</v>
      </c>
      <c r="I70" s="92">
        <v>42649.485069444447</v>
      </c>
      <c r="J70" s="92"/>
      <c r="K70" s="92">
        <v>42649.491747685184</v>
      </c>
      <c r="L70" s="92">
        <f>IF(AND(单词表[[#This Row],[学英]]&lt;&gt;"",单词表[[#This Row],[学中]]&lt;&gt;"",单词表[[#This Row],[学词]]&lt;&gt;""),MAX(单词表[[#This Row],[学英]:[学词]]),"")</f>
        <v>42649.485069444447</v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15">
      <c r="A71">
        <v>70</v>
      </c>
      <c r="B71" t="s">
        <v>35</v>
      </c>
      <c r="C71" t="s">
        <v>5</v>
      </c>
      <c r="D71" s="72" t="s">
        <v>1173</v>
      </c>
      <c r="E71" t="s">
        <v>36</v>
      </c>
      <c r="F71" t="s">
        <v>1174</v>
      </c>
      <c r="G71" s="92">
        <v>42649.485081018516</v>
      </c>
      <c r="H71" s="92">
        <v>42626.75854166667</v>
      </c>
      <c r="I71" s="92">
        <v>42649.485092592593</v>
      </c>
      <c r="J71" s="92"/>
      <c r="K71" s="92">
        <v>42649.491782407407</v>
      </c>
      <c r="L71" s="92">
        <f>IF(AND(单词表[[#This Row],[学英]]&lt;&gt;"",单词表[[#This Row],[学中]]&lt;&gt;"",单词表[[#This Row],[学词]]&lt;&gt;""),MAX(单词表[[#This Row],[学英]:[学词]]),"")</f>
        <v>42649.485092592593</v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15">
      <c r="A72">
        <v>71</v>
      </c>
      <c r="B72" t="s">
        <v>35</v>
      </c>
      <c r="C72" t="s">
        <v>5</v>
      </c>
      <c r="D72" s="72" t="s">
        <v>5489</v>
      </c>
      <c r="E72" t="s">
        <v>36</v>
      </c>
      <c r="F72" t="s">
        <v>1176</v>
      </c>
      <c r="G72" s="92">
        <v>42649.485347222224</v>
      </c>
      <c r="H72" s="92">
        <v>42649.48537037037</v>
      </c>
      <c r="I72" s="92">
        <v>42649.485358796293</v>
      </c>
      <c r="J72" s="92"/>
      <c r="K72" s="92">
        <v>42649.491828703707</v>
      </c>
      <c r="L72" s="92">
        <f>IF(AND(单词表[[#This Row],[学英]]&lt;&gt;"",单词表[[#This Row],[学中]]&lt;&gt;"",单词表[[#This Row],[学词]]&lt;&gt;""),MAX(单词表[[#This Row],[学英]:[学词]]),"")</f>
        <v>42649.48537037037</v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15">
      <c r="A73">
        <v>72</v>
      </c>
      <c r="B73" t="s">
        <v>35</v>
      </c>
      <c r="C73" t="s">
        <v>5</v>
      </c>
      <c r="D73" s="72" t="s">
        <v>5490</v>
      </c>
      <c r="E73" t="s">
        <v>36</v>
      </c>
      <c r="F73" t="s">
        <v>1178</v>
      </c>
      <c r="G73" s="92">
        <v>42649.485405092593</v>
      </c>
      <c r="H73" s="92">
        <v>42626.758773148147</v>
      </c>
      <c r="I73" s="92">
        <v>42649.485405092593</v>
      </c>
      <c r="J73" s="92"/>
      <c r="K73" s="92">
        <v>42649.491863425923</v>
      </c>
      <c r="L73" s="92">
        <f>IF(AND(单词表[[#This Row],[学英]]&lt;&gt;"",单词表[[#This Row],[学中]]&lt;&gt;"",单词表[[#This Row],[学词]]&lt;&gt;""),MAX(单词表[[#This Row],[学英]:[学词]]),"")</f>
        <v>42649.485405092593</v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15">
      <c r="A74">
        <v>73</v>
      </c>
      <c r="B74" t="s">
        <v>35</v>
      </c>
      <c r="C74" t="s">
        <v>5</v>
      </c>
      <c r="D74" s="72" t="s">
        <v>1179</v>
      </c>
      <c r="E74" t="s">
        <v>36</v>
      </c>
      <c r="F74" t="s">
        <v>1180</v>
      </c>
      <c r="G74" s="92">
        <v>42649.485439814816</v>
      </c>
      <c r="H74" s="92">
        <v>42649.485451388886</v>
      </c>
      <c r="I74" s="92">
        <v>42649.485439814816</v>
      </c>
      <c r="J74" s="92"/>
      <c r="K74" s="92">
        <v>42649.491909722223</v>
      </c>
      <c r="L74" s="92">
        <f>IF(AND(单词表[[#This Row],[学英]]&lt;&gt;"",单词表[[#This Row],[学中]]&lt;&gt;"",单词表[[#This Row],[学词]]&lt;&gt;""),MAX(单词表[[#This Row],[学英]:[学词]]),"")</f>
        <v>42649.485451388886</v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15">
      <c r="A75">
        <v>74</v>
      </c>
      <c r="B75" t="s">
        <v>35</v>
      </c>
      <c r="C75" t="s">
        <v>5</v>
      </c>
      <c r="D75" s="72" t="s">
        <v>1181</v>
      </c>
      <c r="E75" t="s">
        <v>73</v>
      </c>
      <c r="F75" t="s">
        <v>1182</v>
      </c>
      <c r="G75" s="92">
        <v>42649.485509259262</v>
      </c>
      <c r="H75" s="92">
        <v>42649.485520833332</v>
      </c>
      <c r="I75" s="92">
        <v>42649.485509259262</v>
      </c>
      <c r="J75" s="92"/>
      <c r="K75" s="92">
        <v>42649.491944444446</v>
      </c>
      <c r="L75" s="92">
        <f>IF(AND(单词表[[#This Row],[学英]]&lt;&gt;"",单词表[[#This Row],[学中]]&lt;&gt;"",单词表[[#This Row],[学词]]&lt;&gt;""),MAX(单词表[[#This Row],[学英]:[学词]]),"")</f>
        <v>42649.485520833332</v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15">
      <c r="A76">
        <v>75</v>
      </c>
      <c r="B76" t="s">
        <v>35</v>
      </c>
      <c r="C76" t="s">
        <v>5</v>
      </c>
      <c r="D76" s="72" t="s">
        <v>5491</v>
      </c>
      <c r="E76" t="s">
        <v>36</v>
      </c>
      <c r="F76" t="s">
        <v>5492</v>
      </c>
      <c r="G76" s="92">
        <v>42649.485543981478</v>
      </c>
      <c r="H76" s="92">
        <v>42649.485543981478</v>
      </c>
      <c r="I76" s="92">
        <v>42649.485543981478</v>
      </c>
      <c r="J76" s="92"/>
      <c r="K76" s="92">
        <v>42649.491990740738</v>
      </c>
      <c r="L76" s="92">
        <f>IF(AND(单词表[[#This Row],[学英]]&lt;&gt;"",单词表[[#This Row],[学中]]&lt;&gt;"",单词表[[#This Row],[学词]]&lt;&gt;""),MAX(单词表[[#This Row],[学英]:[学词]]),"")</f>
        <v>42649.485543981478</v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15">
      <c r="A77">
        <v>76</v>
      </c>
      <c r="B77" t="s">
        <v>35</v>
      </c>
      <c r="C77" t="s">
        <v>5</v>
      </c>
      <c r="D77" s="72" t="s">
        <v>1183</v>
      </c>
      <c r="E77" t="s">
        <v>36</v>
      </c>
      <c r="F77" t="s">
        <v>1184</v>
      </c>
      <c r="G77" s="92">
        <v>42649.485578703701</v>
      </c>
      <c r="H77" s="92">
        <v>42649.485590277778</v>
      </c>
      <c r="I77" s="92">
        <v>42649.485578703701</v>
      </c>
      <c r="J77" s="92"/>
      <c r="K77" s="92">
        <v>42649.492245370369</v>
      </c>
      <c r="L77" s="92">
        <f>IF(AND(单词表[[#This Row],[学英]]&lt;&gt;"",单词表[[#This Row],[学中]]&lt;&gt;"",单词表[[#This Row],[学词]]&lt;&gt;""),MAX(单词表[[#This Row],[学英]:[学词]]),"")</f>
        <v>42649.485590277778</v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15">
      <c r="A78">
        <v>77</v>
      </c>
      <c r="B78" t="s">
        <v>35</v>
      </c>
      <c r="C78" t="s">
        <v>5</v>
      </c>
      <c r="D78" s="72" t="s">
        <v>1185</v>
      </c>
      <c r="E78" t="s">
        <v>36</v>
      </c>
      <c r="F78" t="s">
        <v>1186</v>
      </c>
      <c r="G78" s="92">
        <v>42649.485613425924</v>
      </c>
      <c r="H78" s="92">
        <v>42649.485625000001</v>
      </c>
      <c r="I78" s="92">
        <v>42649.485625000001</v>
      </c>
      <c r="J78" s="92"/>
      <c r="K78" s="92">
        <v>42649.492280092592</v>
      </c>
      <c r="L78" s="92">
        <f>IF(AND(单词表[[#This Row],[学英]]&lt;&gt;"",单词表[[#This Row],[学中]]&lt;&gt;"",单词表[[#This Row],[学词]]&lt;&gt;""),MAX(单词表[[#This Row],[学英]:[学词]]),"")</f>
        <v>42649.485625000001</v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15">
      <c r="A79">
        <v>78</v>
      </c>
      <c r="B79" t="s">
        <v>35</v>
      </c>
      <c r="C79" t="s">
        <v>5</v>
      </c>
      <c r="D79" s="72" t="s">
        <v>1187</v>
      </c>
      <c r="E79" t="s">
        <v>61</v>
      </c>
      <c r="F79" t="s">
        <v>100</v>
      </c>
      <c r="G79" s="92">
        <v>42649.485648148147</v>
      </c>
      <c r="H79" s="92">
        <v>42649.485659722224</v>
      </c>
      <c r="I79" s="92">
        <v>42649.485659722224</v>
      </c>
      <c r="J79" s="92"/>
      <c r="K79" s="92">
        <v>42649.492326388892</v>
      </c>
      <c r="L79" s="92">
        <f>IF(AND(单词表[[#This Row],[学英]]&lt;&gt;"",单词表[[#This Row],[学中]]&lt;&gt;"",单词表[[#This Row],[学词]]&lt;&gt;""),MAX(单词表[[#This Row],[学英]:[学词]]),"")</f>
        <v>42649.485659722224</v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15">
      <c r="A80">
        <v>79</v>
      </c>
      <c r="B80" t="s">
        <v>35</v>
      </c>
      <c r="C80" t="s">
        <v>5</v>
      </c>
      <c r="D80" s="72" t="s">
        <v>1188</v>
      </c>
      <c r="E80" t="s">
        <v>36</v>
      </c>
      <c r="F80" t="s">
        <v>1189</v>
      </c>
      <c r="G80" s="92">
        <v>42649.485682870371</v>
      </c>
      <c r="H80" s="92">
        <v>42649.485694444447</v>
      </c>
      <c r="I80" s="92">
        <v>42649.485682870371</v>
      </c>
      <c r="J80" s="92"/>
      <c r="K80" s="92">
        <v>42649.492372685185</v>
      </c>
      <c r="L80" s="92">
        <f>IF(AND(单词表[[#This Row],[学英]]&lt;&gt;"",单词表[[#This Row],[学中]]&lt;&gt;"",单词表[[#This Row],[学词]]&lt;&gt;""),MAX(单词表[[#This Row],[学英]:[学词]]),"")</f>
        <v>42649.485694444447</v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15">
      <c r="A81">
        <v>80</v>
      </c>
      <c r="B81" t="s">
        <v>35</v>
      </c>
      <c r="C81" t="s">
        <v>5</v>
      </c>
      <c r="D81" s="72" t="s">
        <v>1190</v>
      </c>
      <c r="E81" t="s">
        <v>157</v>
      </c>
      <c r="F81" t="s">
        <v>1191</v>
      </c>
      <c r="G81" s="92">
        <v>42649.485717592594</v>
      </c>
      <c r="H81" s="92">
        <v>42649.492847222224</v>
      </c>
      <c r="I81" s="92">
        <v>42649.492835648147</v>
      </c>
      <c r="J81" s="92"/>
      <c r="K81" s="92">
        <v>42649.49422453704</v>
      </c>
      <c r="L81" s="92">
        <f>IF(AND(单词表[[#This Row],[学英]]&lt;&gt;"",单词表[[#This Row],[学中]]&lt;&gt;"",单词表[[#This Row],[学词]]&lt;&gt;""),MAX(单词表[[#This Row],[学英]:[学词]]),"")</f>
        <v>42649.492847222224</v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15">
      <c r="A82">
        <v>81</v>
      </c>
      <c r="B82" t="s">
        <v>35</v>
      </c>
      <c r="C82" t="s">
        <v>5</v>
      </c>
      <c r="D82" s="72" t="s">
        <v>1192</v>
      </c>
      <c r="E82" t="s">
        <v>36</v>
      </c>
      <c r="F82" t="s">
        <v>1193</v>
      </c>
      <c r="G82" s="92">
        <v>42649.485763888886</v>
      </c>
      <c r="H82" s="92">
        <v>42649.48578703704</v>
      </c>
      <c r="I82" s="92">
        <v>42649.485775462963</v>
      </c>
      <c r="J82" s="92"/>
      <c r="K82" s="92">
        <v>42649.4924537037</v>
      </c>
      <c r="L82" s="92">
        <f>IF(AND(单词表[[#This Row],[学英]]&lt;&gt;"",单词表[[#This Row],[学中]]&lt;&gt;"",单词表[[#This Row],[学词]]&lt;&gt;""),MAX(单词表[[#This Row],[学英]:[学词]]),"")</f>
        <v>42649.48578703704</v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15">
      <c r="A83">
        <v>82</v>
      </c>
      <c r="B83" t="s">
        <v>35</v>
      </c>
      <c r="C83" t="s">
        <v>5</v>
      </c>
      <c r="D83" s="72" t="s">
        <v>1194</v>
      </c>
      <c r="E83" t="s">
        <v>736</v>
      </c>
      <c r="F83" t="s">
        <v>1195</v>
      </c>
      <c r="G83" s="92">
        <v>42649.485810185186</v>
      </c>
      <c r="H83" s="92">
        <v>42649.485821759263</v>
      </c>
      <c r="I83" s="92">
        <v>42649.485810185186</v>
      </c>
      <c r="J83" s="92"/>
      <c r="K83" s="92">
        <v>42649.492638888885</v>
      </c>
      <c r="L83" s="92">
        <f>IF(AND(单词表[[#This Row],[学英]]&lt;&gt;"",单词表[[#This Row],[学中]]&lt;&gt;"",单词表[[#This Row],[学词]]&lt;&gt;""),MAX(单词表[[#This Row],[学英]:[学词]]),"")</f>
        <v>42649.485821759263</v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15">
      <c r="A84">
        <v>83</v>
      </c>
      <c r="B84" t="s">
        <v>35</v>
      </c>
      <c r="C84" t="s">
        <v>5</v>
      </c>
      <c r="D84" s="72" t="s">
        <v>1196</v>
      </c>
      <c r="E84" t="s">
        <v>73</v>
      </c>
      <c r="F84" t="s">
        <v>1197</v>
      </c>
      <c r="G84" s="92">
        <v>42649.485833333332</v>
      </c>
      <c r="H84" s="92">
        <v>42649.485844907409</v>
      </c>
      <c r="I84" s="92">
        <v>42649.485844907409</v>
      </c>
      <c r="J84" s="92"/>
      <c r="K84" s="92">
        <v>42649.492673611108</v>
      </c>
      <c r="L84" s="92">
        <f>IF(AND(单词表[[#This Row],[学英]]&lt;&gt;"",单词表[[#This Row],[学中]]&lt;&gt;"",单词表[[#This Row],[学词]]&lt;&gt;""),MAX(单词表[[#This Row],[学英]:[学词]]),"")</f>
        <v>42649.485844907409</v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15">
      <c r="A85">
        <v>84</v>
      </c>
      <c r="B85" t="s">
        <v>35</v>
      </c>
      <c r="C85" t="s">
        <v>5</v>
      </c>
      <c r="D85" s="72" t="s">
        <v>1198</v>
      </c>
      <c r="E85" t="s">
        <v>36</v>
      </c>
      <c r="F85" t="s">
        <v>1199</v>
      </c>
      <c r="G85" s="92">
        <v>42649.485868055555</v>
      </c>
      <c r="H85" s="92">
        <v>42649.485891203702</v>
      </c>
      <c r="I85" s="92">
        <v>42649.485879629632</v>
      </c>
      <c r="J85" s="92"/>
      <c r="K85" s="92">
        <v>42649.492719907408</v>
      </c>
      <c r="L85" s="92">
        <f>IF(AND(单词表[[#This Row],[学英]]&lt;&gt;"",单词表[[#This Row],[学中]]&lt;&gt;"",单词表[[#This Row],[学词]]&lt;&gt;""),MAX(单词表[[#This Row],[学英]:[学词]]),"")</f>
        <v>42649.485891203702</v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15">
      <c r="A86">
        <v>85</v>
      </c>
      <c r="B86" t="s">
        <v>35</v>
      </c>
      <c r="C86" t="s">
        <v>5</v>
      </c>
      <c r="D86" s="72" t="s">
        <v>1200</v>
      </c>
      <c r="E86" t="s">
        <v>36</v>
      </c>
      <c r="F86" t="s">
        <v>1201</v>
      </c>
      <c r="G86" s="92">
        <v>42649.492881944447</v>
      </c>
      <c r="H86" s="92">
        <v>42649.492881944447</v>
      </c>
      <c r="I86" s="92">
        <v>42649.49287037037</v>
      </c>
      <c r="J86" s="92"/>
      <c r="K86" s="92">
        <v>42649.494259259256</v>
      </c>
      <c r="L86" s="92">
        <f>IF(AND(单词表[[#This Row],[学英]]&lt;&gt;"",单词表[[#This Row],[学中]]&lt;&gt;"",单词表[[#This Row],[学词]]&lt;&gt;""),MAX(单词表[[#This Row],[学英]:[学词]]),"")</f>
        <v>42649.492881944447</v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15">
      <c r="A87">
        <v>86</v>
      </c>
      <c r="B87" t="s">
        <v>35</v>
      </c>
      <c r="C87" t="s">
        <v>5</v>
      </c>
      <c r="D87" s="72" t="s">
        <v>1202</v>
      </c>
      <c r="E87" t="s">
        <v>36</v>
      </c>
      <c r="F87" t="s">
        <v>1203</v>
      </c>
      <c r="G87" s="92">
        <v>42649.49291666667</v>
      </c>
      <c r="H87" s="92">
        <v>42649.49291666667</v>
      </c>
      <c r="I87" s="92">
        <v>42649.49291666667</v>
      </c>
      <c r="J87" s="92"/>
      <c r="K87" s="92">
        <v>42649.494305555556</v>
      </c>
      <c r="L87" s="92">
        <f>IF(AND(单词表[[#This Row],[学英]]&lt;&gt;"",单词表[[#This Row],[学中]]&lt;&gt;"",单词表[[#This Row],[学词]]&lt;&gt;""),MAX(单词表[[#This Row],[学英]:[学词]]),"")</f>
        <v>42649.49291666667</v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15">
      <c r="A88">
        <v>87</v>
      </c>
      <c r="B88" t="s">
        <v>35</v>
      </c>
      <c r="C88" t="s">
        <v>5</v>
      </c>
      <c r="D88" s="72" t="s">
        <v>1204</v>
      </c>
      <c r="E88" t="s">
        <v>61</v>
      </c>
      <c r="F88" t="s">
        <v>1205</v>
      </c>
      <c r="G88" s="92">
        <v>42649.493194444447</v>
      </c>
      <c r="H88" s="92">
        <v>42649.493217592593</v>
      </c>
      <c r="I88" s="92">
        <v>42649.493206018517</v>
      </c>
      <c r="J88" s="92"/>
      <c r="K88" s="92">
        <v>42649.494444444441</v>
      </c>
      <c r="L88" s="92">
        <f>IF(AND(单词表[[#This Row],[学英]]&lt;&gt;"",单词表[[#This Row],[学中]]&lt;&gt;"",单词表[[#This Row],[学词]]&lt;&gt;""),MAX(单词表[[#This Row],[学英]:[学词]]),"")</f>
        <v>42649.493217592593</v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15">
      <c r="A89">
        <v>88</v>
      </c>
      <c r="B89" t="s">
        <v>35</v>
      </c>
      <c r="C89" t="s">
        <v>5</v>
      </c>
      <c r="D89" s="72" t="s">
        <v>1206</v>
      </c>
      <c r="E89" t="s">
        <v>36</v>
      </c>
      <c r="F89" t="s">
        <v>1207</v>
      </c>
      <c r="G89" s="92">
        <v>42649.493252314816</v>
      </c>
      <c r="H89" s="92">
        <v>42649.495474537034</v>
      </c>
      <c r="I89" s="92">
        <v>42649.495462962965</v>
      </c>
      <c r="J89" s="92"/>
      <c r="K89" s="92">
        <v>42649.495555555557</v>
      </c>
      <c r="L89" s="92">
        <f>IF(AND(单词表[[#This Row],[学英]]&lt;&gt;"",单词表[[#This Row],[学中]]&lt;&gt;"",单词表[[#This Row],[学词]]&lt;&gt;""),MAX(单词表[[#This Row],[学英]:[学词]]),"")</f>
        <v>42649.495474537034</v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15">
      <c r="A90">
        <v>89</v>
      </c>
      <c r="B90" t="s">
        <v>35</v>
      </c>
      <c r="C90" t="s">
        <v>5</v>
      </c>
      <c r="D90" s="72" t="s">
        <v>5648</v>
      </c>
      <c r="E90" t="s">
        <v>702</v>
      </c>
      <c r="F90" t="s">
        <v>1208</v>
      </c>
      <c r="G90" s="92">
        <v>42649.493298611109</v>
      </c>
      <c r="H90" s="92">
        <v>42649.493310185186</v>
      </c>
      <c r="I90" s="92">
        <v>42649.493310185186</v>
      </c>
      <c r="J90" s="92"/>
      <c r="K90" s="92">
        <v>42649.494525462964</v>
      </c>
      <c r="L90" s="92">
        <f>IF(AND(单词表[[#This Row],[学英]]&lt;&gt;"",单词表[[#This Row],[学中]]&lt;&gt;"",单词表[[#This Row],[学词]]&lt;&gt;""),MAX(单词表[[#This Row],[学英]:[学词]]),"")</f>
        <v>42649.493310185186</v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15">
      <c r="A91">
        <v>90</v>
      </c>
      <c r="B91" t="s">
        <v>35</v>
      </c>
      <c r="C91" t="s">
        <v>5</v>
      </c>
      <c r="D91" s="72" t="s">
        <v>1209</v>
      </c>
      <c r="E91" t="s">
        <v>36</v>
      </c>
      <c r="F91" t="s">
        <v>1210</v>
      </c>
      <c r="G91" s="92">
        <v>42649.493333333332</v>
      </c>
      <c r="H91" s="92">
        <v>42649.493368055555</v>
      </c>
      <c r="I91" s="92">
        <v>42649.493344907409</v>
      </c>
      <c r="J91" s="92"/>
      <c r="K91" s="92">
        <v>42649.494560185187</v>
      </c>
      <c r="L91" s="92">
        <f>IF(AND(单词表[[#This Row],[学英]]&lt;&gt;"",单词表[[#This Row],[学中]]&lt;&gt;"",单词表[[#This Row],[学词]]&lt;&gt;""),MAX(单词表[[#This Row],[学英]:[学词]]),"")</f>
        <v>42649.493368055555</v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15">
      <c r="A92">
        <v>91</v>
      </c>
      <c r="B92" t="s">
        <v>35</v>
      </c>
      <c r="C92" t="s">
        <v>5</v>
      </c>
      <c r="D92" s="72" t="s">
        <v>5647</v>
      </c>
      <c r="E92" t="s">
        <v>702</v>
      </c>
      <c r="F92" t="s">
        <v>1211</v>
      </c>
      <c r="G92" s="92">
        <v>42649.493391203701</v>
      </c>
      <c r="H92" s="92">
        <v>42649.493402777778</v>
      </c>
      <c r="I92" s="92">
        <v>42649.493402777778</v>
      </c>
      <c r="J92" s="92"/>
      <c r="K92" s="92">
        <v>42649.494606481479</v>
      </c>
      <c r="L92" s="92">
        <f>IF(AND(单词表[[#This Row],[学英]]&lt;&gt;"",单词表[[#This Row],[学中]]&lt;&gt;"",单词表[[#This Row],[学词]]&lt;&gt;""),MAX(单词表[[#This Row],[学英]:[学词]]),"")</f>
        <v>42649.493402777778</v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15">
      <c r="A93">
        <v>92</v>
      </c>
      <c r="B93" t="s">
        <v>35</v>
      </c>
      <c r="C93" t="s">
        <v>5</v>
      </c>
      <c r="D93" s="72" t="s">
        <v>1212</v>
      </c>
      <c r="E93" t="s">
        <v>36</v>
      </c>
      <c r="F93" t="s">
        <v>1213</v>
      </c>
      <c r="G93" s="92">
        <v>42649.493425925924</v>
      </c>
      <c r="H93" s="92">
        <v>42649.493449074071</v>
      </c>
      <c r="I93" s="92">
        <v>42649.493449074071</v>
      </c>
      <c r="J93" s="92"/>
      <c r="K93" s="92">
        <v>42649.494641203702</v>
      </c>
      <c r="L93" s="92">
        <f>IF(AND(单词表[[#This Row],[学英]]&lt;&gt;"",单词表[[#This Row],[学中]]&lt;&gt;"",单词表[[#This Row],[学词]]&lt;&gt;""),MAX(单词表[[#This Row],[学英]:[学词]]),"")</f>
        <v>42649.493449074071</v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15">
      <c r="A94">
        <v>93</v>
      </c>
      <c r="B94" t="s">
        <v>35</v>
      </c>
      <c r="C94" t="s">
        <v>5</v>
      </c>
      <c r="D94" s="72" t="s">
        <v>1214</v>
      </c>
      <c r="E94" t="s">
        <v>36</v>
      </c>
      <c r="F94" t="s">
        <v>1215</v>
      </c>
      <c r="G94" s="92">
        <v>42649.493472222224</v>
      </c>
      <c r="H94" s="92">
        <v>42649.493472222224</v>
      </c>
      <c r="I94" s="92">
        <v>42649.493472222224</v>
      </c>
      <c r="J94" s="92"/>
      <c r="K94" s="92">
        <v>42649.494675925926</v>
      </c>
      <c r="L94" s="92">
        <f>IF(AND(单词表[[#This Row],[学英]]&lt;&gt;"",单词表[[#This Row],[学中]]&lt;&gt;"",单词表[[#This Row],[学词]]&lt;&gt;""),MAX(单词表[[#This Row],[学英]:[学词]]),"")</f>
        <v>42649.493472222224</v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15">
      <c r="A95">
        <v>94</v>
      </c>
      <c r="B95" t="s">
        <v>35</v>
      </c>
      <c r="C95" t="s">
        <v>5</v>
      </c>
      <c r="D95" s="72" t="s">
        <v>1216</v>
      </c>
      <c r="E95" t="s">
        <v>36</v>
      </c>
      <c r="F95" t="s">
        <v>842</v>
      </c>
      <c r="G95" s="92">
        <v>42649.493495370371</v>
      </c>
      <c r="H95" s="92">
        <v>42649.493530092594</v>
      </c>
      <c r="I95" s="92">
        <v>42649.493518518517</v>
      </c>
      <c r="J95" s="92"/>
      <c r="K95" s="92">
        <v>42649.494733796295</v>
      </c>
      <c r="L95" s="92">
        <f>IF(AND(单词表[[#This Row],[学英]]&lt;&gt;"",单词表[[#This Row],[学中]]&lt;&gt;"",单词表[[#This Row],[学词]]&lt;&gt;""),MAX(单词表[[#This Row],[学英]:[学词]]),"")</f>
        <v>42649.493530092594</v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15">
      <c r="A96">
        <v>95</v>
      </c>
      <c r="B96" t="s">
        <v>35</v>
      </c>
      <c r="C96" t="s">
        <v>5</v>
      </c>
      <c r="D96" s="72" t="s">
        <v>1216</v>
      </c>
      <c r="E96" t="s">
        <v>61</v>
      </c>
      <c r="F96" t="s">
        <v>1217</v>
      </c>
      <c r="G96" s="92">
        <v>42649.49355324074</v>
      </c>
      <c r="H96" s="92">
        <v>42649.493576388886</v>
      </c>
      <c r="I96" s="92">
        <v>42649.493564814817</v>
      </c>
      <c r="J96" s="92"/>
      <c r="K96" s="92">
        <v>42649.494780092595</v>
      </c>
      <c r="L96" s="92">
        <f>IF(AND(单词表[[#This Row],[学英]]&lt;&gt;"",单词表[[#This Row],[学中]]&lt;&gt;"",单词表[[#This Row],[学词]]&lt;&gt;""),MAX(单词表[[#This Row],[学英]:[学词]]),"")</f>
        <v>42649.493576388886</v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15">
      <c r="A97">
        <v>96</v>
      </c>
      <c r="B97" t="s">
        <v>35</v>
      </c>
      <c r="C97" t="s">
        <v>5</v>
      </c>
      <c r="D97" s="72" t="s">
        <v>1218</v>
      </c>
      <c r="E97" t="s">
        <v>36</v>
      </c>
      <c r="F97" t="s">
        <v>1219</v>
      </c>
      <c r="G97" s="92">
        <v>42649.49359953704</v>
      </c>
      <c r="H97" s="92">
        <v>42649.493611111109</v>
      </c>
      <c r="I97" s="92">
        <v>42649.49359953704</v>
      </c>
      <c r="J97" s="92"/>
      <c r="K97" s="92">
        <v>42649.494837962964</v>
      </c>
      <c r="L97" s="92">
        <f>IF(AND(单词表[[#This Row],[学英]]&lt;&gt;"",单词表[[#This Row],[学中]]&lt;&gt;"",单词表[[#This Row],[学词]]&lt;&gt;""),MAX(单词表[[#This Row],[学英]:[学词]]),"")</f>
        <v>42649.493611111109</v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15">
      <c r="A98">
        <v>97</v>
      </c>
      <c r="B98" t="s">
        <v>35</v>
      </c>
      <c r="C98" t="s">
        <v>5</v>
      </c>
      <c r="D98" s="72" t="s">
        <v>5646</v>
      </c>
      <c r="E98" t="s">
        <v>1021</v>
      </c>
      <c r="F98" t="s">
        <v>1220</v>
      </c>
      <c r="G98" s="92">
        <v>42649.493657407409</v>
      </c>
      <c r="H98" s="92">
        <v>42649.493668981479</v>
      </c>
      <c r="I98" s="92">
        <v>42649.493657407409</v>
      </c>
      <c r="J98" s="92"/>
      <c r="K98" s="92">
        <v>42649.494884259257</v>
      </c>
      <c r="L98" s="92">
        <f>IF(AND(单词表[[#This Row],[学英]]&lt;&gt;"",单词表[[#This Row],[学中]]&lt;&gt;"",单词表[[#This Row],[学词]]&lt;&gt;""),MAX(单词表[[#This Row],[学英]:[学词]]),"")</f>
        <v>42649.493668981479</v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15">
      <c r="A99">
        <v>98</v>
      </c>
      <c r="B99" t="s">
        <v>35</v>
      </c>
      <c r="C99" t="s">
        <v>5</v>
      </c>
      <c r="D99" s="72" t="s">
        <v>1221</v>
      </c>
      <c r="E99" t="s">
        <v>38</v>
      </c>
      <c r="F99" t="s">
        <v>1222</v>
      </c>
      <c r="G99" s="92">
        <v>42649.493703703702</v>
      </c>
      <c r="H99" s="92">
        <v>42649.493750000001</v>
      </c>
      <c r="I99" s="92">
        <v>42649.493738425925</v>
      </c>
      <c r="J99" s="92"/>
      <c r="K99" s="92">
        <v>42649.495023148149</v>
      </c>
      <c r="L99" s="92">
        <f>IF(AND(单词表[[#This Row],[学英]]&lt;&gt;"",单词表[[#This Row],[学中]]&lt;&gt;"",单词表[[#This Row],[学词]]&lt;&gt;""),MAX(单词表[[#This Row],[学英]:[学词]]),"")</f>
        <v>42649.493750000001</v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15">
      <c r="A100">
        <v>99</v>
      </c>
      <c r="B100" t="s">
        <v>35</v>
      </c>
      <c r="C100" t="s">
        <v>5</v>
      </c>
      <c r="D100" s="72" t="s">
        <v>1223</v>
      </c>
      <c r="E100" t="s">
        <v>61</v>
      </c>
      <c r="F100" t="s">
        <v>1224</v>
      </c>
      <c r="G100" s="92">
        <v>42649.493773148148</v>
      </c>
      <c r="H100" s="92">
        <v>42649.493784722225</v>
      </c>
      <c r="I100" s="92">
        <v>42649.493773148148</v>
      </c>
      <c r="J100" s="92"/>
      <c r="K100" s="92">
        <v>42649.495057870372</v>
      </c>
      <c r="L100" s="92">
        <f>IF(AND(单词表[[#This Row],[学英]]&lt;&gt;"",单词表[[#This Row],[学中]]&lt;&gt;"",单词表[[#This Row],[学词]]&lt;&gt;""),MAX(单词表[[#This Row],[学英]:[学词]]),"")</f>
        <v>42649.493784722225</v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15">
      <c r="A101">
        <v>100</v>
      </c>
      <c r="B101" t="s">
        <v>35</v>
      </c>
      <c r="C101" t="s">
        <v>5</v>
      </c>
      <c r="D101" s="72" t="s">
        <v>1225</v>
      </c>
      <c r="E101" t="s">
        <v>61</v>
      </c>
      <c r="F101" t="s">
        <v>1226</v>
      </c>
      <c r="G101" s="92">
        <v>42649.493807870371</v>
      </c>
      <c r="H101" s="92">
        <v>42649.49386574074</v>
      </c>
      <c r="I101" s="92">
        <v>42649.493854166663</v>
      </c>
      <c r="J101" s="92"/>
      <c r="K101" s="92">
        <v>42649.495173611111</v>
      </c>
      <c r="L101" s="92">
        <f>IF(AND(单词表[[#This Row],[学英]]&lt;&gt;"",单词表[[#This Row],[学中]]&lt;&gt;"",单词表[[#This Row],[学词]]&lt;&gt;""),MAX(单词表[[#This Row],[学英]:[学词]]),"")</f>
        <v>42649.49386574074</v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15">
      <c r="A102">
        <v>101</v>
      </c>
      <c r="B102" t="s">
        <v>35</v>
      </c>
      <c r="C102" t="s">
        <v>5</v>
      </c>
      <c r="D102" s="72" t="s">
        <v>1227</v>
      </c>
      <c r="E102" t="s">
        <v>61</v>
      </c>
      <c r="F102" t="s">
        <v>1228</v>
      </c>
      <c r="G102" s="92">
        <v>42649.493888888886</v>
      </c>
      <c r="H102" s="92">
        <v>42649.493900462963</v>
      </c>
      <c r="I102" s="92">
        <v>42649.493900462963</v>
      </c>
      <c r="J102" s="92"/>
      <c r="K102" s="92">
        <v>42649.495208333334</v>
      </c>
      <c r="L102" s="92">
        <f>IF(AND(单词表[[#This Row],[学英]]&lt;&gt;"",单词表[[#This Row],[学中]]&lt;&gt;"",单词表[[#This Row],[学词]]&lt;&gt;""),MAX(单词表[[#This Row],[学英]:[学词]]),"")</f>
        <v>42649.493900462963</v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15">
      <c r="A103">
        <v>102</v>
      </c>
      <c r="B103" t="s">
        <v>35</v>
      </c>
      <c r="C103" t="s">
        <v>5</v>
      </c>
      <c r="D103" s="72" t="s">
        <v>1229</v>
      </c>
      <c r="E103" t="s">
        <v>36</v>
      </c>
      <c r="F103" t="s">
        <v>1230</v>
      </c>
      <c r="G103" s="92">
        <v>42649.493935185186</v>
      </c>
      <c r="H103" s="92">
        <v>42649.493958333333</v>
      </c>
      <c r="I103" s="92">
        <v>42649.493946759256</v>
      </c>
      <c r="J103" s="92"/>
      <c r="K103" s="92">
        <v>42649.495254629626</v>
      </c>
      <c r="L103" s="92">
        <f>IF(AND(单词表[[#This Row],[学英]]&lt;&gt;"",单词表[[#This Row],[学中]]&lt;&gt;"",单词表[[#This Row],[学词]]&lt;&gt;""),MAX(单词表[[#This Row],[学英]:[学词]]),"")</f>
        <v>42649.493958333333</v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15">
      <c r="A104">
        <v>103</v>
      </c>
      <c r="B104" t="s">
        <v>35</v>
      </c>
      <c r="C104" t="s">
        <v>5</v>
      </c>
      <c r="D104" s="72" t="s">
        <v>1231</v>
      </c>
      <c r="E104" t="s">
        <v>36</v>
      </c>
      <c r="F104" t="s">
        <v>1232</v>
      </c>
      <c r="G104" s="92">
        <v>42649.494016203702</v>
      </c>
      <c r="H104" s="92">
        <v>42649.494004629632</v>
      </c>
      <c r="I104" s="92">
        <v>42649.493993055556</v>
      </c>
      <c r="J104" s="92"/>
      <c r="K104" s="92">
        <v>42649.495289351849</v>
      </c>
      <c r="L104" s="92">
        <f>IF(AND(单词表[[#This Row],[学英]]&lt;&gt;"",单词表[[#This Row],[学中]]&lt;&gt;"",单词表[[#This Row],[学词]]&lt;&gt;""),MAX(单词表[[#This Row],[学英]:[学词]]),"")</f>
        <v>42649.494016203702</v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15">
      <c r="A105">
        <v>104</v>
      </c>
      <c r="B105" t="s">
        <v>35</v>
      </c>
      <c r="C105" t="s">
        <v>5</v>
      </c>
      <c r="D105" s="72" t="s">
        <v>408</v>
      </c>
      <c r="E105" t="s">
        <v>36</v>
      </c>
      <c r="F105" t="s">
        <v>1233</v>
      </c>
      <c r="G105" s="92">
        <v>42649.494039351855</v>
      </c>
      <c r="H105" s="92">
        <v>42649.494050925925</v>
      </c>
      <c r="I105" s="92">
        <v>42649.494039351855</v>
      </c>
      <c r="J105" s="92"/>
      <c r="K105" s="92">
        <v>42649.495335648149</v>
      </c>
      <c r="L105" s="92">
        <f>IF(AND(单词表[[#This Row],[学英]]&lt;&gt;"",单词表[[#This Row],[学中]]&lt;&gt;"",单词表[[#This Row],[学词]]&lt;&gt;""),MAX(单词表[[#This Row],[学英]:[学词]]),"")</f>
        <v>42649.494050925925</v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15">
      <c r="A106">
        <v>105</v>
      </c>
      <c r="B106" t="s">
        <v>43</v>
      </c>
      <c r="C106" t="s">
        <v>52</v>
      </c>
      <c r="D106" s="72" t="s">
        <v>54</v>
      </c>
      <c r="E106" t="s">
        <v>36</v>
      </c>
      <c r="F106" t="s">
        <v>55</v>
      </c>
      <c r="G106" s="92">
        <v>42563.380787037036</v>
      </c>
      <c r="H106" s="92">
        <v>42563.380787037036</v>
      </c>
      <c r="I106" s="92">
        <v>42563.380787037036</v>
      </c>
      <c r="J106" s="92">
        <v>42559.459351851852</v>
      </c>
      <c r="K106" s="92">
        <v>42575.465648148151</v>
      </c>
      <c r="L106" s="92">
        <f>IF(AND(单词表[[#This Row],[学英]]&lt;&gt;"",单词表[[#This Row],[学中]]&lt;&gt;"",单词表[[#This Row],[学词]]&lt;&gt;""),MAX(单词表[[#This Row],[学英]:[学词]]),"")</f>
        <v>42563.380787037036</v>
      </c>
      <c r="M106" s="2">
        <f>IF(AND(单词表[[#This Row],[考英]]&lt;&gt;"",单词表[[#This Row],[考中]]&lt;&gt;""),MAX(单词表[[#This Row],[考英]:[考中]]),"")</f>
        <v>42575.465648148151</v>
      </c>
      <c r="N106"/>
      <c r="P106" s="32"/>
    </row>
    <row r="107" spans="1:16" hidden="1" x14ac:dyDescent="0.15">
      <c r="A107">
        <v>106</v>
      </c>
      <c r="B107" t="s">
        <v>43</v>
      </c>
      <c r="C107" t="s">
        <v>52</v>
      </c>
      <c r="D107" s="72" t="s">
        <v>56</v>
      </c>
      <c r="E107" t="s">
        <v>36</v>
      </c>
      <c r="F107" t="s">
        <v>228</v>
      </c>
      <c r="G107" s="92">
        <v>42557.849826388891</v>
      </c>
      <c r="H107" s="92">
        <v>42557.851851851854</v>
      </c>
      <c r="I107" s="92">
        <v>42557.849826388891</v>
      </c>
      <c r="J107" s="92">
        <v>42559.459560185183</v>
      </c>
      <c r="K107" s="92">
        <v>42561.780057870368</v>
      </c>
      <c r="L107" s="92">
        <f>IF(AND(单词表[[#This Row],[学英]]&lt;&gt;"",单词表[[#This Row],[学中]]&lt;&gt;"",单词表[[#This Row],[学词]]&lt;&gt;""),MAX(单词表[[#This Row],[学英]:[学词]]),"")</f>
        <v>42557.851851851854</v>
      </c>
      <c r="M107" s="2">
        <f>IF(AND(单词表[[#This Row],[考英]]&lt;&gt;"",单词表[[#This Row],[考中]]&lt;&gt;""),MAX(单词表[[#This Row],[考英]:[考中]]),"")</f>
        <v>42561.780057870368</v>
      </c>
      <c r="N107"/>
      <c r="P107" s="32"/>
    </row>
    <row r="108" spans="1:16" hidden="1" x14ac:dyDescent="0.15">
      <c r="A108">
        <v>107</v>
      </c>
      <c r="B108" t="s">
        <v>43</v>
      </c>
      <c r="C108" t="s">
        <v>52</v>
      </c>
      <c r="D108" s="72" t="s">
        <v>57</v>
      </c>
      <c r="E108" t="s">
        <v>736</v>
      </c>
      <c r="F108" t="s">
        <v>58</v>
      </c>
      <c r="G108" s="92">
        <v>42557.848703703705</v>
      </c>
      <c r="H108" s="92">
        <v>42557.851261574076</v>
      </c>
      <c r="I108" s="92">
        <v>42557.848703703705</v>
      </c>
      <c r="J108" s="92">
        <v>42559.459710648145</v>
      </c>
      <c r="K108" s="92">
        <v>42561.78020833333</v>
      </c>
      <c r="L108" s="92">
        <f>IF(AND(单词表[[#This Row],[学英]]&lt;&gt;"",单词表[[#This Row],[学中]]&lt;&gt;"",单词表[[#This Row],[学词]]&lt;&gt;""),MAX(单词表[[#This Row],[学英]:[学词]]),"")</f>
        <v>42557.851261574076</v>
      </c>
      <c r="M108" s="2">
        <f>IF(AND(单词表[[#This Row],[考英]]&lt;&gt;"",单词表[[#This Row],[考中]]&lt;&gt;""),MAX(单词表[[#This Row],[考英]:[考中]]),"")</f>
        <v>42561.78020833333</v>
      </c>
      <c r="N108"/>
      <c r="P108" s="32"/>
    </row>
    <row r="109" spans="1:16" hidden="1" x14ac:dyDescent="0.15">
      <c r="A109">
        <v>108</v>
      </c>
      <c r="B109" t="s">
        <v>43</v>
      </c>
      <c r="C109" t="s">
        <v>52</v>
      </c>
      <c r="D109" s="72" t="s">
        <v>59</v>
      </c>
      <c r="E109" t="s">
        <v>36</v>
      </c>
      <c r="F109" t="s">
        <v>1234</v>
      </c>
      <c r="G109" s="92">
        <v>42557.849618055552</v>
      </c>
      <c r="H109" s="92">
        <v>42557.852025462962</v>
      </c>
      <c r="I109" s="92">
        <v>42557.849652777775</v>
      </c>
      <c r="J109" s="92">
        <v>42559.459803240738</v>
      </c>
      <c r="K109" s="92">
        <v>42561.780370370368</v>
      </c>
      <c r="L109" s="92">
        <f>IF(AND(单词表[[#This Row],[学英]]&lt;&gt;"",单词表[[#This Row],[学中]]&lt;&gt;"",单词表[[#This Row],[学词]]&lt;&gt;""),MAX(单词表[[#This Row],[学英]:[学词]]),"")</f>
        <v>42557.852025462962</v>
      </c>
      <c r="M109" s="2">
        <f>IF(AND(单词表[[#This Row],[考英]]&lt;&gt;"",单词表[[#This Row],[考中]]&lt;&gt;""),MAX(单词表[[#This Row],[考英]:[考中]]),"")</f>
        <v>42561.780370370368</v>
      </c>
      <c r="N109"/>
      <c r="P109" s="32"/>
    </row>
    <row r="110" spans="1:16" hidden="1" x14ac:dyDescent="0.15">
      <c r="A110">
        <v>109</v>
      </c>
      <c r="B110" t="s">
        <v>43</v>
      </c>
      <c r="C110" t="s">
        <v>52</v>
      </c>
      <c r="D110" s="72" t="s">
        <v>60</v>
      </c>
      <c r="E110" t="s">
        <v>61</v>
      </c>
      <c r="F110" t="s">
        <v>62</v>
      </c>
      <c r="G110" s="92">
        <v>42557.854039351849</v>
      </c>
      <c r="H110" s="92">
        <v>42557.85565972222</v>
      </c>
      <c r="I110" s="92">
        <v>42557.854039351849</v>
      </c>
      <c r="J110" s="92">
        <v>42559.460219907407</v>
      </c>
      <c r="K110" s="92">
        <v>42575.465682870374</v>
      </c>
      <c r="L110" s="92">
        <f>IF(AND(单词表[[#This Row],[学英]]&lt;&gt;"",单词表[[#This Row],[学中]]&lt;&gt;"",单词表[[#This Row],[学词]]&lt;&gt;""),MAX(单词表[[#This Row],[学英]:[学词]]),"")</f>
        <v>42557.85565972222</v>
      </c>
      <c r="M110" s="2">
        <f>IF(AND(单词表[[#This Row],[考英]]&lt;&gt;"",单词表[[#This Row],[考中]]&lt;&gt;""),MAX(单词表[[#This Row],[考英]:[考中]]),"")</f>
        <v>42575.465682870374</v>
      </c>
      <c r="N110"/>
      <c r="P110" s="32"/>
    </row>
    <row r="111" spans="1:16" hidden="1" x14ac:dyDescent="0.15">
      <c r="A111">
        <v>110</v>
      </c>
      <c r="B111" t="s">
        <v>43</v>
      </c>
      <c r="C111" t="s">
        <v>52</v>
      </c>
      <c r="D111" s="72" t="s">
        <v>63</v>
      </c>
      <c r="E111" t="s">
        <v>61</v>
      </c>
      <c r="F111" t="s">
        <v>1235</v>
      </c>
      <c r="G111" s="92">
        <v>42557.854212962964</v>
      </c>
      <c r="H111" s="92">
        <v>42557.874166666668</v>
      </c>
      <c r="I111" s="92">
        <v>42557.854224537034</v>
      </c>
      <c r="J111" s="92">
        <v>42559.460439814815</v>
      </c>
      <c r="K111" s="92">
        <v>42561.780775462961</v>
      </c>
      <c r="L111" s="92">
        <f>IF(AND(单词表[[#This Row],[学英]]&lt;&gt;"",单词表[[#This Row],[学中]]&lt;&gt;"",单词表[[#This Row],[学词]]&lt;&gt;""),MAX(单词表[[#This Row],[学英]:[学词]]),"")</f>
        <v>42557.874166666668</v>
      </c>
      <c r="M111" s="2">
        <f>IF(AND(单词表[[#This Row],[考英]]&lt;&gt;"",单词表[[#This Row],[考中]]&lt;&gt;""),MAX(单词表[[#This Row],[考英]:[考中]]),"")</f>
        <v>42561.780775462961</v>
      </c>
      <c r="N111"/>
      <c r="P111" s="32"/>
    </row>
    <row r="112" spans="1:16" hidden="1" x14ac:dyDescent="0.15">
      <c r="A112">
        <v>111</v>
      </c>
      <c r="B112" t="s">
        <v>43</v>
      </c>
      <c r="C112" t="s">
        <v>52</v>
      </c>
      <c r="D112" s="72" t="s">
        <v>64</v>
      </c>
      <c r="E112" t="s">
        <v>61</v>
      </c>
      <c r="F112" t="s">
        <v>227</v>
      </c>
      <c r="G112" s="92">
        <v>42557.854386574072</v>
      </c>
      <c r="H112" s="92">
        <v>42557.877916666665</v>
      </c>
      <c r="I112" s="92">
        <v>42557.854398148149</v>
      </c>
      <c r="J112" s="92">
        <v>42559.460543981484</v>
      </c>
      <c r="K112" s="92">
        <v>42561.780902777777</v>
      </c>
      <c r="L112" s="92">
        <f>IF(AND(单词表[[#This Row],[学英]]&lt;&gt;"",单词表[[#This Row],[学中]]&lt;&gt;"",单词表[[#This Row],[学词]]&lt;&gt;""),MAX(单词表[[#This Row],[学英]:[学词]]),"")</f>
        <v>42557.877916666665</v>
      </c>
      <c r="M112" s="2">
        <f>IF(AND(单词表[[#This Row],[考英]]&lt;&gt;"",单词表[[#This Row],[考中]]&lt;&gt;""),MAX(单词表[[#This Row],[考英]:[考中]]),"")</f>
        <v>42561.780902777777</v>
      </c>
      <c r="N112"/>
      <c r="P112" s="32"/>
    </row>
    <row r="113" spans="1:16" hidden="1" x14ac:dyDescent="0.15">
      <c r="A113">
        <v>112</v>
      </c>
      <c r="B113" t="s">
        <v>43</v>
      </c>
      <c r="C113" t="s">
        <v>52</v>
      </c>
      <c r="D113" s="72" t="s">
        <v>64</v>
      </c>
      <c r="E113" t="s">
        <v>36</v>
      </c>
      <c r="F113" t="s">
        <v>1236</v>
      </c>
      <c r="G113" s="92">
        <v>42557.854444444441</v>
      </c>
      <c r="H113" s="92">
        <v>42557.877881944441</v>
      </c>
      <c r="I113" s="92">
        <v>42557.854444444441</v>
      </c>
      <c r="J113" s="92">
        <v>42559.460648148146</v>
      </c>
      <c r="K113" s="92">
        <v>42561.780949074076</v>
      </c>
      <c r="L113" s="92">
        <f>IF(AND(单词表[[#This Row],[学英]]&lt;&gt;"",单词表[[#This Row],[学中]]&lt;&gt;"",单词表[[#This Row],[学词]]&lt;&gt;""),MAX(单词表[[#This Row],[学英]:[学词]]),"")</f>
        <v>42557.877881944441</v>
      </c>
      <c r="M113" s="2">
        <f>IF(AND(单词表[[#This Row],[考英]]&lt;&gt;"",单词表[[#This Row],[考中]]&lt;&gt;""),MAX(单词表[[#This Row],[考英]:[考中]]),"")</f>
        <v>42561.780949074076</v>
      </c>
      <c r="N113"/>
      <c r="P113" s="32"/>
    </row>
    <row r="114" spans="1:16" hidden="1" x14ac:dyDescent="0.15">
      <c r="A114">
        <v>113</v>
      </c>
      <c r="B114" t="s">
        <v>43</v>
      </c>
      <c r="C114" t="s">
        <v>52</v>
      </c>
      <c r="D114" s="72" t="s">
        <v>65</v>
      </c>
      <c r="E114" t="s">
        <v>61</v>
      </c>
      <c r="F114" t="s">
        <v>1237</v>
      </c>
      <c r="G114" s="92">
        <v>42557.854618055557</v>
      </c>
      <c r="H114" s="92">
        <v>42557.862916666665</v>
      </c>
      <c r="I114" s="92">
        <v>42557.854629629626</v>
      </c>
      <c r="J114" s="92">
        <v>42559.460798611108</v>
      </c>
      <c r="K114" s="92">
        <v>42561.781087962961</v>
      </c>
      <c r="L114" s="92">
        <f>IF(AND(单词表[[#This Row],[学英]]&lt;&gt;"",单词表[[#This Row],[学中]]&lt;&gt;"",单词表[[#This Row],[学词]]&lt;&gt;""),MAX(单词表[[#This Row],[学英]:[学词]]),"")</f>
        <v>42557.862916666665</v>
      </c>
      <c r="M114" s="2">
        <f>IF(AND(单词表[[#This Row],[考英]]&lt;&gt;"",单词表[[#This Row],[考中]]&lt;&gt;""),MAX(单词表[[#This Row],[考英]:[考中]]),"")</f>
        <v>42561.781087962961</v>
      </c>
      <c r="N114"/>
      <c r="P114" s="32"/>
    </row>
    <row r="115" spans="1:16" hidden="1" x14ac:dyDescent="0.15">
      <c r="A115">
        <v>114</v>
      </c>
      <c r="B115" t="s">
        <v>43</v>
      </c>
      <c r="C115" t="s">
        <v>52</v>
      </c>
      <c r="D115" s="72" t="s">
        <v>66</v>
      </c>
      <c r="E115" t="s">
        <v>36</v>
      </c>
      <c r="F115" t="s">
        <v>67</v>
      </c>
      <c r="G115" s="92">
        <v>42557.860231481478</v>
      </c>
      <c r="H115" s="92">
        <v>42557.862939814811</v>
      </c>
      <c r="I115" s="92">
        <v>42557.860231481478</v>
      </c>
      <c r="J115" s="92">
        <v>42559.460856481484</v>
      </c>
      <c r="K115" s="92">
        <v>42561.781168981484</v>
      </c>
      <c r="L115" s="92">
        <f>IF(AND(单词表[[#This Row],[学英]]&lt;&gt;"",单词表[[#This Row],[学中]]&lt;&gt;"",单词表[[#This Row],[学词]]&lt;&gt;""),MAX(单词表[[#This Row],[学英]:[学词]]),"")</f>
        <v>42557.862939814811</v>
      </c>
      <c r="M115" s="2">
        <f>IF(AND(单词表[[#This Row],[考英]]&lt;&gt;"",单词表[[#This Row],[考中]]&lt;&gt;""),MAX(单词表[[#This Row],[考英]:[考中]]),"")</f>
        <v>42561.781168981484</v>
      </c>
      <c r="N115"/>
      <c r="P115" s="32"/>
    </row>
    <row r="116" spans="1:16" hidden="1" x14ac:dyDescent="0.15">
      <c r="A116">
        <v>115</v>
      </c>
      <c r="B116" t="s">
        <v>43</v>
      </c>
      <c r="C116" t="s">
        <v>52</v>
      </c>
      <c r="D116" s="72" t="s">
        <v>5645</v>
      </c>
      <c r="E116" t="s">
        <v>1019</v>
      </c>
      <c r="F116" t="s">
        <v>5517</v>
      </c>
      <c r="G116" s="92">
        <v>42557.860462962963</v>
      </c>
      <c r="H116" s="92">
        <v>42557.861701388887</v>
      </c>
      <c r="I116" s="92">
        <v>42557.860474537039</v>
      </c>
      <c r="J116" s="92">
        <v>42559.4609837963</v>
      </c>
      <c r="K116" s="92">
        <v>42561.781215277777</v>
      </c>
      <c r="L116" s="92">
        <f>IF(AND(单词表[[#This Row],[学英]]&lt;&gt;"",单词表[[#This Row],[学中]]&lt;&gt;"",单词表[[#This Row],[学词]]&lt;&gt;""),MAX(单词表[[#This Row],[学英]:[学词]]),"")</f>
        <v>42557.861701388887</v>
      </c>
      <c r="M116" s="2">
        <f>IF(AND(单词表[[#This Row],[考英]]&lt;&gt;"",单词表[[#This Row],[考中]]&lt;&gt;""),MAX(单词表[[#This Row],[考英]:[考中]]),"")</f>
        <v>42561.781215277777</v>
      </c>
      <c r="N116"/>
      <c r="P116" s="32"/>
    </row>
    <row r="117" spans="1:16" hidden="1" x14ac:dyDescent="0.15">
      <c r="A117">
        <v>116</v>
      </c>
      <c r="B117" t="s">
        <v>43</v>
      </c>
      <c r="C117" t="s">
        <v>52</v>
      </c>
      <c r="D117" s="72" t="s">
        <v>68</v>
      </c>
      <c r="E117" t="s">
        <v>36</v>
      </c>
      <c r="F117" t="s">
        <v>69</v>
      </c>
      <c r="G117" s="92">
        <v>42557.860590277778</v>
      </c>
      <c r="H117" s="92">
        <v>42557.874282407407</v>
      </c>
      <c r="I117" s="92">
        <v>42557.860601851855</v>
      </c>
      <c r="J117" s="92">
        <v>42559.461145833331</v>
      </c>
      <c r="K117" s="92">
        <v>42561.781284722223</v>
      </c>
      <c r="L117" s="92">
        <f>IF(AND(单词表[[#This Row],[学英]]&lt;&gt;"",单词表[[#This Row],[学中]]&lt;&gt;"",单词表[[#This Row],[学词]]&lt;&gt;""),MAX(单词表[[#This Row],[学英]:[学词]]),"")</f>
        <v>42557.874282407407</v>
      </c>
      <c r="M117" s="2">
        <f>IF(AND(单词表[[#This Row],[考英]]&lt;&gt;"",单词表[[#This Row],[考中]]&lt;&gt;""),MAX(单词表[[#This Row],[考英]:[考中]]),"")</f>
        <v>42561.781284722223</v>
      </c>
      <c r="N117"/>
      <c r="P117" s="32"/>
    </row>
    <row r="118" spans="1:16" hidden="1" x14ac:dyDescent="0.15">
      <c r="A118">
        <v>117</v>
      </c>
      <c r="B118" t="s">
        <v>43</v>
      </c>
      <c r="C118" t="s">
        <v>52</v>
      </c>
      <c r="D118" s="72" t="s">
        <v>70</v>
      </c>
      <c r="E118" s="30" t="s">
        <v>736</v>
      </c>
      <c r="F118" t="s">
        <v>71</v>
      </c>
      <c r="G118" s="92">
        <v>42557.860775462963</v>
      </c>
      <c r="H118" s="92">
        <v>42557.861805555556</v>
      </c>
      <c r="I118" s="92">
        <v>42557.86078703704</v>
      </c>
      <c r="J118" s="92">
        <v>42559.461273148147</v>
      </c>
      <c r="K118" s="92">
        <v>42561.781423611108</v>
      </c>
      <c r="L118" s="92">
        <f>IF(AND(单词表[[#This Row],[学英]]&lt;&gt;"",单词表[[#This Row],[学中]]&lt;&gt;"",单词表[[#This Row],[学词]]&lt;&gt;""),MAX(单词表[[#This Row],[学英]:[学词]]),"")</f>
        <v>42557.861805555556</v>
      </c>
      <c r="M118" s="2">
        <f>IF(AND(单词表[[#This Row],[考英]]&lt;&gt;"",单词表[[#This Row],[考中]]&lt;&gt;""),MAX(单词表[[#This Row],[考英]:[考中]]),"")</f>
        <v>42561.781423611108</v>
      </c>
      <c r="N118"/>
      <c r="P118" s="32"/>
    </row>
    <row r="119" spans="1:16" hidden="1" x14ac:dyDescent="0.15">
      <c r="A119">
        <v>118</v>
      </c>
      <c r="B119" t="s">
        <v>43</v>
      </c>
      <c r="C119" t="s">
        <v>52</v>
      </c>
      <c r="D119" s="72" t="s">
        <v>72</v>
      </c>
      <c r="E119" t="s">
        <v>73</v>
      </c>
      <c r="F119" t="s">
        <v>74</v>
      </c>
      <c r="G119" s="92">
        <v>42557.861493055556</v>
      </c>
      <c r="H119" s="92">
        <v>42557.861875000002</v>
      </c>
      <c r="I119" s="92">
        <v>42557.861504629633</v>
      </c>
      <c r="J119" s="92">
        <v>42559.461365740739</v>
      </c>
      <c r="K119" s="92">
        <v>42561.781493055554</v>
      </c>
      <c r="L119" s="92">
        <f>IF(AND(单词表[[#This Row],[学英]]&lt;&gt;"",单词表[[#This Row],[学中]]&lt;&gt;"",单词表[[#This Row],[学词]]&lt;&gt;""),MAX(单词表[[#This Row],[学英]:[学词]]),"")</f>
        <v>42557.861875000002</v>
      </c>
      <c r="M119" s="2">
        <f>IF(AND(单词表[[#This Row],[考英]]&lt;&gt;"",单词表[[#This Row],[考中]]&lt;&gt;""),MAX(单词表[[#This Row],[考英]:[考中]]),"")</f>
        <v>42561.781493055554</v>
      </c>
      <c r="N119"/>
      <c r="P119" s="32"/>
    </row>
    <row r="120" spans="1:16" hidden="1" x14ac:dyDescent="0.15">
      <c r="A120">
        <v>119</v>
      </c>
      <c r="B120" t="s">
        <v>43</v>
      </c>
      <c r="C120" t="s">
        <v>52</v>
      </c>
      <c r="D120" s="72" t="s">
        <v>75</v>
      </c>
      <c r="E120" t="s">
        <v>36</v>
      </c>
      <c r="F120" t="s">
        <v>1238</v>
      </c>
      <c r="G120" s="92">
        <v>42557.861608796295</v>
      </c>
      <c r="H120" s="92">
        <v>42557.861921296295</v>
      </c>
      <c r="I120" s="92">
        <v>42557.861608796295</v>
      </c>
      <c r="J120" s="92">
        <v>42559.461516203701</v>
      </c>
      <c r="K120" s="92">
        <v>42561.781597222223</v>
      </c>
      <c r="L120" s="92">
        <f>IF(AND(单词表[[#This Row],[学英]]&lt;&gt;"",单词表[[#This Row],[学中]]&lt;&gt;"",单词表[[#This Row],[学词]]&lt;&gt;""),MAX(单词表[[#This Row],[学英]:[学词]]),"")</f>
        <v>42557.861921296295</v>
      </c>
      <c r="M120" s="2">
        <f>IF(AND(单词表[[#This Row],[考英]]&lt;&gt;"",单词表[[#This Row],[考中]]&lt;&gt;""),MAX(单词表[[#This Row],[考英]:[考中]]),"")</f>
        <v>42561.781597222223</v>
      </c>
      <c r="N120"/>
      <c r="P120" s="32"/>
    </row>
    <row r="121" spans="1:16" hidden="1" x14ac:dyDescent="0.15">
      <c r="A121">
        <v>120</v>
      </c>
      <c r="B121" t="s">
        <v>43</v>
      </c>
      <c r="C121" t="s">
        <v>52</v>
      </c>
      <c r="D121" s="72" t="s">
        <v>76</v>
      </c>
      <c r="E121" t="s">
        <v>73</v>
      </c>
      <c r="F121" t="s">
        <v>77</v>
      </c>
      <c r="G121" s="92">
        <v>42557.865254629629</v>
      </c>
      <c r="H121" s="92">
        <v>42557.866099537037</v>
      </c>
      <c r="I121" s="92">
        <v>42557.865254629629</v>
      </c>
      <c r="J121" s="92">
        <v>42559.461574074077</v>
      </c>
      <c r="K121" s="92">
        <v>42561.781655092593</v>
      </c>
      <c r="L121" s="92">
        <f>IF(AND(单词表[[#This Row],[学英]]&lt;&gt;"",单词表[[#This Row],[学中]]&lt;&gt;"",单词表[[#This Row],[学词]]&lt;&gt;""),MAX(单词表[[#This Row],[学英]:[学词]]),"")</f>
        <v>42557.866099537037</v>
      </c>
      <c r="M121" s="2">
        <f>IF(AND(单词表[[#This Row],[考英]]&lt;&gt;"",单词表[[#This Row],[考中]]&lt;&gt;""),MAX(单词表[[#This Row],[考英]:[考中]]),"")</f>
        <v>42561.781655092593</v>
      </c>
      <c r="N121"/>
      <c r="P121" s="32"/>
    </row>
    <row r="122" spans="1:16" hidden="1" x14ac:dyDescent="0.15">
      <c r="A122">
        <v>121</v>
      </c>
      <c r="B122" t="s">
        <v>43</v>
      </c>
      <c r="C122" t="s">
        <v>52</v>
      </c>
      <c r="D122" s="72" t="s">
        <v>78</v>
      </c>
      <c r="E122" t="s">
        <v>736</v>
      </c>
      <c r="F122" t="s">
        <v>79</v>
      </c>
      <c r="G122" s="92">
        <v>42557.866006944445</v>
      </c>
      <c r="H122" s="92">
        <v>42557.874085648145</v>
      </c>
      <c r="I122" s="92">
        <v>42557.865995370368</v>
      </c>
      <c r="J122" s="92">
        <v>42559.488252314812</v>
      </c>
      <c r="K122" s="92">
        <v>42561.781909722224</v>
      </c>
      <c r="L122" s="92">
        <f>IF(AND(单词表[[#This Row],[学英]]&lt;&gt;"",单词表[[#This Row],[学中]]&lt;&gt;"",单词表[[#This Row],[学词]]&lt;&gt;""),MAX(单词表[[#This Row],[学英]:[学词]]),"")</f>
        <v>42557.874085648145</v>
      </c>
      <c r="M122" s="2">
        <f>IF(AND(单词表[[#This Row],[考英]]&lt;&gt;"",单词表[[#This Row],[考中]]&lt;&gt;""),MAX(单词表[[#This Row],[考英]:[考中]]),"")</f>
        <v>42561.781909722224</v>
      </c>
      <c r="N122"/>
      <c r="P122" s="32"/>
    </row>
    <row r="123" spans="1:16" hidden="1" x14ac:dyDescent="0.15">
      <c r="A123">
        <v>122</v>
      </c>
      <c r="B123" t="s">
        <v>43</v>
      </c>
      <c r="C123" t="s">
        <v>52</v>
      </c>
      <c r="D123" s="72" t="s">
        <v>80</v>
      </c>
      <c r="E123" t="s">
        <v>61</v>
      </c>
      <c r="F123" t="s">
        <v>81</v>
      </c>
      <c r="G123" s="92">
        <v>42557.865833333337</v>
      </c>
      <c r="H123" s="92">
        <v>42557.881215277775</v>
      </c>
      <c r="I123" s="92">
        <v>42557.865833333337</v>
      </c>
      <c r="J123" s="92">
        <v>42559.48883101852</v>
      </c>
      <c r="K123" s="92">
        <v>42561.782060185185</v>
      </c>
      <c r="L123" s="92">
        <f>IF(AND(单词表[[#This Row],[学英]]&lt;&gt;"",单词表[[#This Row],[学中]]&lt;&gt;"",单词表[[#This Row],[学词]]&lt;&gt;""),MAX(单词表[[#This Row],[学英]:[学词]]),"")</f>
        <v>42557.881215277775</v>
      </c>
      <c r="M123" s="2">
        <f>IF(AND(单词表[[#This Row],[考英]]&lt;&gt;"",单词表[[#This Row],[考中]]&lt;&gt;""),MAX(单词表[[#This Row],[考英]:[考中]]),"")</f>
        <v>42561.782060185185</v>
      </c>
      <c r="N123"/>
      <c r="P123" s="32"/>
    </row>
    <row r="124" spans="1:16" hidden="1" x14ac:dyDescent="0.15">
      <c r="A124">
        <v>123</v>
      </c>
      <c r="B124" t="s">
        <v>43</v>
      </c>
      <c r="C124" t="s">
        <v>52</v>
      </c>
      <c r="D124" s="72" t="s">
        <v>82</v>
      </c>
      <c r="E124" t="s">
        <v>36</v>
      </c>
      <c r="F124" t="s">
        <v>83</v>
      </c>
      <c r="G124" s="92">
        <v>42557.866261574076</v>
      </c>
      <c r="H124" s="92">
        <v>42557.873819444445</v>
      </c>
      <c r="I124" s="92">
        <v>42557.866238425922</v>
      </c>
      <c r="J124" s="92">
        <v>42559.488935185182</v>
      </c>
      <c r="K124" s="92">
        <v>42561.782164351855</v>
      </c>
      <c r="L124" s="92">
        <f>IF(AND(单词表[[#This Row],[学英]]&lt;&gt;"",单词表[[#This Row],[学中]]&lt;&gt;"",单词表[[#This Row],[学词]]&lt;&gt;""),MAX(单词表[[#This Row],[学英]:[学词]]),"")</f>
        <v>42557.873819444445</v>
      </c>
      <c r="M124" s="2">
        <f>IF(AND(单词表[[#This Row],[考英]]&lt;&gt;"",单词表[[#This Row],[考中]]&lt;&gt;""),MAX(单词表[[#This Row],[考英]:[考中]]),"")</f>
        <v>42561.782164351855</v>
      </c>
      <c r="N124"/>
      <c r="P124" s="32"/>
    </row>
    <row r="125" spans="1:16" hidden="1" x14ac:dyDescent="0.15">
      <c r="A125">
        <v>124</v>
      </c>
      <c r="B125" t="s">
        <v>43</v>
      </c>
      <c r="C125" t="s">
        <v>52</v>
      </c>
      <c r="D125" s="72" t="s">
        <v>84</v>
      </c>
      <c r="E125" t="s">
        <v>36</v>
      </c>
      <c r="F125" t="s">
        <v>85</v>
      </c>
      <c r="G125" s="92">
        <v>42557.866805555554</v>
      </c>
      <c r="H125" s="92">
        <v>42557.866828703707</v>
      </c>
      <c r="I125" s="92">
        <v>42557.86681712963</v>
      </c>
      <c r="J125" s="92">
        <v>42559.489085648151</v>
      </c>
      <c r="K125" s="92">
        <v>42561.782256944447</v>
      </c>
      <c r="L125" s="92">
        <f>IF(AND(单词表[[#This Row],[学英]]&lt;&gt;"",单词表[[#This Row],[学中]]&lt;&gt;"",单词表[[#This Row],[学词]]&lt;&gt;""),MAX(单词表[[#This Row],[学英]:[学词]]),"")</f>
        <v>42557.866828703707</v>
      </c>
      <c r="M125" s="2">
        <f>IF(AND(单词表[[#This Row],[考英]]&lt;&gt;"",单词表[[#This Row],[考中]]&lt;&gt;""),MAX(单词表[[#This Row],[考英]:[考中]]),"")</f>
        <v>42561.782256944447</v>
      </c>
      <c r="N125"/>
      <c r="P125" s="32"/>
    </row>
    <row r="126" spans="1:16" hidden="1" x14ac:dyDescent="0.15">
      <c r="A126">
        <v>125</v>
      </c>
      <c r="B126" t="s">
        <v>43</v>
      </c>
      <c r="C126" t="s">
        <v>52</v>
      </c>
      <c r="D126" s="72" t="s">
        <v>86</v>
      </c>
      <c r="E126" t="s">
        <v>36</v>
      </c>
      <c r="F126" t="s">
        <v>87</v>
      </c>
      <c r="G126" s="92">
        <v>42557.867418981485</v>
      </c>
      <c r="H126" s="92">
        <v>42557.867442129631</v>
      </c>
      <c r="I126" s="92">
        <v>42557.867430555554</v>
      </c>
      <c r="J126" s="92">
        <v>42559.489224537036</v>
      </c>
      <c r="K126" s="92">
        <v>42561.78230324074</v>
      </c>
      <c r="L126" s="92">
        <f>IF(AND(单词表[[#This Row],[学英]]&lt;&gt;"",单词表[[#This Row],[学中]]&lt;&gt;"",单词表[[#This Row],[学词]]&lt;&gt;""),MAX(单词表[[#This Row],[学英]:[学词]]),"")</f>
        <v>42557.867442129631</v>
      </c>
      <c r="M126" s="2">
        <f>IF(AND(单词表[[#This Row],[考英]]&lt;&gt;"",单词表[[#This Row],[考中]]&lt;&gt;""),MAX(单词表[[#This Row],[考英]:[考中]]),"")</f>
        <v>42561.78230324074</v>
      </c>
      <c r="N126"/>
      <c r="P126" s="32"/>
    </row>
    <row r="127" spans="1:16" hidden="1" x14ac:dyDescent="0.15">
      <c r="A127">
        <v>126</v>
      </c>
      <c r="B127" t="s">
        <v>43</v>
      </c>
      <c r="C127" t="s">
        <v>52</v>
      </c>
      <c r="D127" s="72" t="s">
        <v>88</v>
      </c>
      <c r="E127" t="s">
        <v>61</v>
      </c>
      <c r="F127" t="s">
        <v>89</v>
      </c>
      <c r="G127" s="92">
        <v>42557.86755787037</v>
      </c>
      <c r="H127" s="92">
        <v>42557.867569444446</v>
      </c>
      <c r="I127" s="92">
        <v>42557.867569444446</v>
      </c>
      <c r="J127" s="92">
        <v>42559.489305555559</v>
      </c>
      <c r="K127" s="92">
        <v>42561.782395833332</v>
      </c>
      <c r="L127" s="92">
        <f>IF(AND(单词表[[#This Row],[学英]]&lt;&gt;"",单词表[[#This Row],[学中]]&lt;&gt;"",单词表[[#This Row],[学词]]&lt;&gt;""),MAX(单词表[[#This Row],[学英]:[学词]]),"")</f>
        <v>42557.867569444446</v>
      </c>
      <c r="M127" s="2">
        <f>IF(AND(单词表[[#This Row],[考英]]&lt;&gt;"",单词表[[#This Row],[考中]]&lt;&gt;""),MAX(单词表[[#This Row],[考英]:[考中]]),"")</f>
        <v>42561.782395833332</v>
      </c>
      <c r="N127"/>
      <c r="P127" s="32"/>
    </row>
    <row r="128" spans="1:16" hidden="1" x14ac:dyDescent="0.15">
      <c r="A128">
        <v>127</v>
      </c>
      <c r="B128" t="s">
        <v>43</v>
      </c>
      <c r="C128" t="s">
        <v>52</v>
      </c>
      <c r="D128" s="72" t="s">
        <v>90</v>
      </c>
      <c r="E128" t="s">
        <v>36</v>
      </c>
      <c r="F128" t="s">
        <v>91</v>
      </c>
      <c r="G128" s="92">
        <v>42557.874039351853</v>
      </c>
      <c r="H128" s="92">
        <v>42557.874039351853</v>
      </c>
      <c r="I128" s="92">
        <v>42557.874039351853</v>
      </c>
      <c r="J128" s="92">
        <v>42559.489398148151</v>
      </c>
      <c r="K128" s="92">
        <v>42561.782442129632</v>
      </c>
      <c r="L128" s="92">
        <f>IF(AND(单词表[[#This Row],[学英]]&lt;&gt;"",单词表[[#This Row],[学中]]&lt;&gt;"",单词表[[#This Row],[学词]]&lt;&gt;""),MAX(单词表[[#This Row],[学英]:[学词]]),"")</f>
        <v>42557.874039351853</v>
      </c>
      <c r="M128" s="2">
        <f>IF(AND(单词表[[#This Row],[考英]]&lt;&gt;"",单词表[[#This Row],[考中]]&lt;&gt;""),MAX(单词表[[#This Row],[考英]:[考中]]),"")</f>
        <v>42561.782442129632</v>
      </c>
      <c r="N128"/>
      <c r="P128" s="32"/>
    </row>
    <row r="129" spans="1:16" hidden="1" x14ac:dyDescent="0.15">
      <c r="A129">
        <v>128</v>
      </c>
      <c r="B129" t="s">
        <v>43</v>
      </c>
      <c r="C129" t="s">
        <v>52</v>
      </c>
      <c r="D129" s="72" t="s">
        <v>92</v>
      </c>
      <c r="E129" t="s">
        <v>61</v>
      </c>
      <c r="F129" t="s">
        <v>93</v>
      </c>
      <c r="G129" s="92">
        <v>42557.877511574072</v>
      </c>
      <c r="H129" s="92">
        <v>42557.876400462963</v>
      </c>
      <c r="I129" s="92">
        <v>42557.87641203704</v>
      </c>
      <c r="J129" s="92">
        <v>42559.489490740743</v>
      </c>
      <c r="K129" s="92">
        <v>42561.782523148147</v>
      </c>
      <c r="L129" s="92">
        <f>IF(AND(单词表[[#This Row],[学英]]&lt;&gt;"",单词表[[#This Row],[学中]]&lt;&gt;"",单词表[[#This Row],[学词]]&lt;&gt;""),MAX(单词表[[#This Row],[学英]:[学词]]),"")</f>
        <v>42557.877511574072</v>
      </c>
      <c r="M129" s="2">
        <f>IF(AND(单词表[[#This Row],[考英]]&lt;&gt;"",单词表[[#This Row],[考中]]&lt;&gt;""),MAX(单词表[[#This Row],[考英]:[考中]]),"")</f>
        <v>42561.782523148147</v>
      </c>
      <c r="N129"/>
      <c r="P129" s="32"/>
    </row>
    <row r="130" spans="1:16" hidden="1" x14ac:dyDescent="0.15">
      <c r="A130">
        <v>129</v>
      </c>
      <c r="B130" t="s">
        <v>43</v>
      </c>
      <c r="C130" t="s">
        <v>52</v>
      </c>
      <c r="D130" s="72" t="s">
        <v>92</v>
      </c>
      <c r="E130" t="s">
        <v>73</v>
      </c>
      <c r="F130" t="s">
        <v>94</v>
      </c>
      <c r="G130" s="92">
        <v>42557.877488425926</v>
      </c>
      <c r="H130" s="92">
        <v>42557.875937500001</v>
      </c>
      <c r="I130" s="92">
        <v>42557.875949074078</v>
      </c>
      <c r="J130" s="92">
        <v>42559.489548611113</v>
      </c>
      <c r="K130" s="92">
        <v>42561.782569444447</v>
      </c>
      <c r="L130" s="92">
        <f>IF(AND(单词表[[#This Row],[学英]]&lt;&gt;"",单词表[[#This Row],[学中]]&lt;&gt;"",单词表[[#This Row],[学词]]&lt;&gt;""),MAX(单词表[[#This Row],[学英]:[学词]]),"")</f>
        <v>42557.877488425926</v>
      </c>
      <c r="M130" s="2">
        <f>IF(AND(单词表[[#This Row],[考英]]&lt;&gt;"",单词表[[#This Row],[考中]]&lt;&gt;""),MAX(单词表[[#This Row],[考英]:[考中]]),"")</f>
        <v>42561.782569444447</v>
      </c>
      <c r="N130"/>
      <c r="P130" s="32"/>
    </row>
    <row r="131" spans="1:16" hidden="1" x14ac:dyDescent="0.15">
      <c r="A131">
        <v>130</v>
      </c>
      <c r="B131" t="s">
        <v>43</v>
      </c>
      <c r="C131" t="s">
        <v>52</v>
      </c>
      <c r="D131" s="72" t="s">
        <v>95</v>
      </c>
      <c r="E131" t="s">
        <v>736</v>
      </c>
      <c r="F131" t="s">
        <v>96</v>
      </c>
      <c r="G131" s="92">
        <v>42557.877465277779</v>
      </c>
      <c r="H131" s="92">
        <v>42557.87605324074</v>
      </c>
      <c r="I131" s="92">
        <v>42557.87604166667</v>
      </c>
      <c r="J131" s="92">
        <v>42559.489814814813</v>
      </c>
      <c r="K131" s="92">
        <v>42561.782627314817</v>
      </c>
      <c r="L131" s="92">
        <f>IF(AND(单词表[[#This Row],[学英]]&lt;&gt;"",单词表[[#This Row],[学中]]&lt;&gt;"",单词表[[#This Row],[学词]]&lt;&gt;""),MAX(单词表[[#This Row],[学英]:[学词]]),"")</f>
        <v>42557.877465277779</v>
      </c>
      <c r="M131" s="2">
        <f>IF(AND(单词表[[#This Row],[考英]]&lt;&gt;"",单词表[[#This Row],[考中]]&lt;&gt;""),MAX(单词表[[#This Row],[考英]:[考中]]),"")</f>
        <v>42561.782627314817</v>
      </c>
      <c r="N131"/>
      <c r="P131" s="32"/>
    </row>
    <row r="132" spans="1:16" hidden="1" x14ac:dyDescent="0.15">
      <c r="A132">
        <v>131</v>
      </c>
      <c r="B132" t="s">
        <v>43</v>
      </c>
      <c r="C132" t="s">
        <v>52</v>
      </c>
      <c r="D132" s="72" t="s">
        <v>97</v>
      </c>
      <c r="E132" t="s">
        <v>1021</v>
      </c>
      <c r="F132" t="s">
        <v>98</v>
      </c>
      <c r="G132" s="92">
        <v>42557.877430555556</v>
      </c>
      <c r="H132" s="92">
        <v>42557.87667824074</v>
      </c>
      <c r="I132" s="92">
        <v>42557.876134259262</v>
      </c>
      <c r="J132" s="92">
        <v>42559.490046296298</v>
      </c>
      <c r="K132" s="92">
        <v>42561.782708333332</v>
      </c>
      <c r="L132" s="92">
        <f>IF(AND(单词表[[#This Row],[学英]]&lt;&gt;"",单词表[[#This Row],[学中]]&lt;&gt;"",单词表[[#This Row],[学词]]&lt;&gt;""),MAX(单词表[[#This Row],[学英]:[学词]]),"")</f>
        <v>42557.877430555556</v>
      </c>
      <c r="M132" s="2">
        <f>IF(AND(单词表[[#This Row],[考英]]&lt;&gt;"",单词表[[#This Row],[考中]]&lt;&gt;""),MAX(单词表[[#This Row],[考英]:[考中]]),"")</f>
        <v>42561.782708333332</v>
      </c>
      <c r="N132"/>
      <c r="P132" s="32"/>
    </row>
    <row r="133" spans="1:16" hidden="1" x14ac:dyDescent="0.15">
      <c r="A133">
        <v>132</v>
      </c>
      <c r="B133" t="s">
        <v>43</v>
      </c>
      <c r="C133" t="s">
        <v>52</v>
      </c>
      <c r="D133" s="72" t="s">
        <v>99</v>
      </c>
      <c r="E133" t="s">
        <v>61</v>
      </c>
      <c r="F133" t="s">
        <v>100</v>
      </c>
      <c r="G133" s="92">
        <v>42557.88</v>
      </c>
      <c r="H133" s="92">
        <v>42557.88</v>
      </c>
      <c r="I133" s="92">
        <v>42557.88</v>
      </c>
      <c r="J133" s="92">
        <v>42559.490289351852</v>
      </c>
      <c r="K133" s="92">
        <v>42561.782812500001</v>
      </c>
      <c r="L133" s="92">
        <f>IF(AND(单词表[[#This Row],[学英]]&lt;&gt;"",单词表[[#This Row],[学中]]&lt;&gt;"",单词表[[#This Row],[学词]]&lt;&gt;""),MAX(单词表[[#This Row],[学英]:[学词]]),"")</f>
        <v>42557.88</v>
      </c>
      <c r="M133" s="2">
        <f>IF(AND(单词表[[#This Row],[考英]]&lt;&gt;"",单词表[[#This Row],[考中]]&lt;&gt;""),MAX(单词表[[#This Row],[考英]:[考中]]),"")</f>
        <v>42561.782812500001</v>
      </c>
      <c r="N133"/>
      <c r="P133" s="32"/>
    </row>
    <row r="134" spans="1:16" hidden="1" x14ac:dyDescent="0.15">
      <c r="A134">
        <v>133</v>
      </c>
      <c r="B134" t="s">
        <v>43</v>
      </c>
      <c r="C134" t="s">
        <v>52</v>
      </c>
      <c r="D134" s="72" t="s">
        <v>101</v>
      </c>
      <c r="E134" t="s">
        <v>36</v>
      </c>
      <c r="F134" t="s">
        <v>102</v>
      </c>
      <c r="G134" s="92">
        <v>42557.877384259256</v>
      </c>
      <c r="H134" s="92">
        <v>42557.87736111111</v>
      </c>
      <c r="I134" s="92">
        <v>42557.87736111111</v>
      </c>
      <c r="J134" s="92">
        <v>42559.490370370368</v>
      </c>
      <c r="K134" s="92">
        <v>42561.782858796294</v>
      </c>
      <c r="L134" s="92">
        <f>IF(AND(单词表[[#This Row],[学英]]&lt;&gt;"",单词表[[#This Row],[学中]]&lt;&gt;"",单词表[[#This Row],[学词]]&lt;&gt;""),MAX(单词表[[#This Row],[学英]:[学词]]),"")</f>
        <v>42557.877384259256</v>
      </c>
      <c r="M134" s="2">
        <f>IF(AND(单词表[[#This Row],[考英]]&lt;&gt;"",单词表[[#This Row],[考中]]&lt;&gt;""),MAX(单词表[[#This Row],[考英]:[考中]]),"")</f>
        <v>42561.782858796294</v>
      </c>
      <c r="N134"/>
      <c r="P134" s="32"/>
    </row>
    <row r="135" spans="1:16" hidden="1" x14ac:dyDescent="0.15">
      <c r="A135">
        <v>134</v>
      </c>
      <c r="B135" t="s">
        <v>43</v>
      </c>
      <c r="C135" t="s">
        <v>52</v>
      </c>
      <c r="D135" s="72" t="s">
        <v>103</v>
      </c>
      <c r="E135" t="s">
        <v>61</v>
      </c>
      <c r="F135" t="s">
        <v>104</v>
      </c>
      <c r="G135" s="92">
        <v>42557.880115740743</v>
      </c>
      <c r="H135" s="92">
        <v>42557.880127314813</v>
      </c>
      <c r="I135" s="92">
        <v>42557.880127314813</v>
      </c>
      <c r="J135" s="92">
        <v>42559.490659722222</v>
      </c>
      <c r="K135" s="92">
        <v>42561.782986111109</v>
      </c>
      <c r="L135" s="92">
        <f>IF(AND(单词表[[#This Row],[学英]]&lt;&gt;"",单词表[[#This Row],[学中]]&lt;&gt;"",单词表[[#This Row],[学词]]&lt;&gt;""),MAX(单词表[[#This Row],[学英]:[学词]]),"")</f>
        <v>42557.880127314813</v>
      </c>
      <c r="M135" s="2">
        <f>IF(AND(单词表[[#This Row],[考英]]&lt;&gt;"",单词表[[#This Row],[考中]]&lt;&gt;""),MAX(单词表[[#This Row],[考英]:[考中]]),"")</f>
        <v>42561.782986111109</v>
      </c>
      <c r="N135"/>
      <c r="P135" s="32"/>
    </row>
    <row r="136" spans="1:16" hidden="1" x14ac:dyDescent="0.15">
      <c r="A136">
        <v>135</v>
      </c>
      <c r="B136" t="s">
        <v>43</v>
      </c>
      <c r="C136" t="s">
        <v>52</v>
      </c>
      <c r="D136" s="72" t="s">
        <v>105</v>
      </c>
      <c r="E136" t="s">
        <v>61</v>
      </c>
      <c r="F136" t="s">
        <v>106</v>
      </c>
      <c r="G136" s="92">
        <v>42557.880254629628</v>
      </c>
      <c r="H136" s="92">
        <v>42557.880266203705</v>
      </c>
      <c r="I136" s="92">
        <v>42557.880601851852</v>
      </c>
      <c r="J136" s="92">
        <v>42559.490706018521</v>
      </c>
      <c r="K136" s="92">
        <v>42561.783206018517</v>
      </c>
      <c r="L136" s="92">
        <f>IF(AND(单词表[[#This Row],[学英]]&lt;&gt;"",单词表[[#This Row],[学中]]&lt;&gt;"",单词表[[#This Row],[学词]]&lt;&gt;""),MAX(单词表[[#This Row],[学英]:[学词]]),"")</f>
        <v>42557.880601851852</v>
      </c>
      <c r="M136" s="2">
        <f>IF(AND(单词表[[#This Row],[考英]]&lt;&gt;"",单词表[[#This Row],[考中]]&lt;&gt;""),MAX(单词表[[#This Row],[考英]:[考中]]),"")</f>
        <v>42561.783206018517</v>
      </c>
      <c r="N136"/>
      <c r="P136" s="32"/>
    </row>
    <row r="137" spans="1:16" hidden="1" x14ac:dyDescent="0.15">
      <c r="A137">
        <v>136</v>
      </c>
      <c r="B137" t="s">
        <v>43</v>
      </c>
      <c r="C137" t="s">
        <v>52</v>
      </c>
      <c r="D137" s="72" t="s">
        <v>107</v>
      </c>
      <c r="E137" t="s">
        <v>73</v>
      </c>
      <c r="F137" t="s">
        <v>108</v>
      </c>
      <c r="G137" s="92">
        <v>42557.880347222221</v>
      </c>
      <c r="H137" s="92">
        <v>42557.880358796298</v>
      </c>
      <c r="I137" s="92">
        <v>42557.880347222221</v>
      </c>
      <c r="J137" s="92">
        <v>42559.490949074076</v>
      </c>
      <c r="K137" s="92">
        <v>42561.78334490741</v>
      </c>
      <c r="L137" s="92">
        <f>IF(AND(单词表[[#This Row],[学英]]&lt;&gt;"",单词表[[#This Row],[学中]]&lt;&gt;"",单词表[[#This Row],[学词]]&lt;&gt;""),MAX(单词表[[#This Row],[学英]:[学词]]),"")</f>
        <v>42557.880358796298</v>
      </c>
      <c r="M137" s="2">
        <f>IF(AND(单词表[[#This Row],[考英]]&lt;&gt;"",单词表[[#This Row],[考中]]&lt;&gt;""),MAX(单词表[[#This Row],[考英]:[考中]]),"")</f>
        <v>42561.78334490741</v>
      </c>
      <c r="N137"/>
      <c r="P137" s="32"/>
    </row>
    <row r="138" spans="1:16" hidden="1" x14ac:dyDescent="0.15">
      <c r="A138">
        <v>137</v>
      </c>
      <c r="B138" t="s">
        <v>43</v>
      </c>
      <c r="C138" t="s">
        <v>52</v>
      </c>
      <c r="D138" s="72" t="s">
        <v>109</v>
      </c>
      <c r="E138" t="s">
        <v>61</v>
      </c>
      <c r="F138" t="s">
        <v>110</v>
      </c>
      <c r="G138" s="92">
        <v>42557.880474537036</v>
      </c>
      <c r="H138" s="92">
        <v>42557.880497685182</v>
      </c>
      <c r="I138" s="92">
        <v>42557.880486111113</v>
      </c>
      <c r="J138" s="92">
        <v>42559.49113425926</v>
      </c>
      <c r="K138" s="92">
        <v>42561.783402777779</v>
      </c>
      <c r="L138" s="92">
        <f>IF(AND(单词表[[#This Row],[学英]]&lt;&gt;"",单词表[[#This Row],[学中]]&lt;&gt;"",单词表[[#This Row],[学词]]&lt;&gt;""),MAX(单词表[[#This Row],[学英]:[学词]]),"")</f>
        <v>42557.880497685182</v>
      </c>
      <c r="M138" s="2">
        <f>IF(AND(单词表[[#This Row],[考英]]&lt;&gt;"",单词表[[#This Row],[考中]]&lt;&gt;""),MAX(单词表[[#This Row],[考英]:[考中]]),"")</f>
        <v>42561.783402777779</v>
      </c>
      <c r="N138"/>
      <c r="P138" s="32"/>
    </row>
    <row r="139" spans="1:16" hidden="1" x14ac:dyDescent="0.15">
      <c r="A139">
        <v>138</v>
      </c>
      <c r="B139" t="s">
        <v>43</v>
      </c>
      <c r="C139" t="s">
        <v>51</v>
      </c>
      <c r="D139" s="72" t="s">
        <v>159</v>
      </c>
      <c r="E139" t="s">
        <v>702</v>
      </c>
      <c r="F139" t="s">
        <v>160</v>
      </c>
      <c r="G139" s="92">
        <v>42563.390231481484</v>
      </c>
      <c r="H139" s="92">
        <v>42563.390231481484</v>
      </c>
      <c r="I139" s="92">
        <v>42563.390231481484</v>
      </c>
      <c r="J139" s="92">
        <v>42563.386782407404</v>
      </c>
      <c r="K139" s="92">
        <v>42563.392569444448</v>
      </c>
      <c r="L139" s="92">
        <f>IF(AND(单词表[[#This Row],[学英]]&lt;&gt;"",单词表[[#This Row],[学中]]&lt;&gt;"",单词表[[#This Row],[学词]]&lt;&gt;""),MAX(单词表[[#This Row],[学英]:[学词]]),"")</f>
        <v>42563.390231481484</v>
      </c>
      <c r="M139" s="2">
        <f>IF(AND(单词表[[#This Row],[考英]]&lt;&gt;"",单词表[[#This Row],[考中]]&lt;&gt;""),MAX(单词表[[#This Row],[考英]:[考中]]),"")</f>
        <v>42563.392569444448</v>
      </c>
      <c r="N139" s="33"/>
      <c r="P139" s="32"/>
    </row>
    <row r="140" spans="1:16" hidden="1" x14ac:dyDescent="0.15">
      <c r="A140">
        <v>139</v>
      </c>
      <c r="B140" t="s">
        <v>43</v>
      </c>
      <c r="C140" t="s">
        <v>51</v>
      </c>
      <c r="D140" s="72" t="s">
        <v>161</v>
      </c>
      <c r="E140" t="s">
        <v>36</v>
      </c>
      <c r="F140" t="s">
        <v>162</v>
      </c>
      <c r="G140" s="92">
        <v>42562.86959490741</v>
      </c>
      <c r="H140" s="92">
        <v>42562.869606481479</v>
      </c>
      <c r="I140" s="92">
        <v>42562.86959490741</v>
      </c>
      <c r="J140" s="92">
        <v>42563.386967592596</v>
      </c>
      <c r="K140" s="92">
        <v>42563.39266203704</v>
      </c>
      <c r="L140" s="92">
        <f>IF(AND(单词表[[#This Row],[学英]]&lt;&gt;"",单词表[[#This Row],[学中]]&lt;&gt;"",单词表[[#This Row],[学词]]&lt;&gt;""),MAX(单词表[[#This Row],[学英]:[学词]]),"")</f>
        <v>42562.869606481479</v>
      </c>
      <c r="M140" s="2">
        <f>IF(AND(单词表[[#This Row],[考英]]&lt;&gt;"",单词表[[#This Row],[考中]]&lt;&gt;""),MAX(单词表[[#This Row],[考英]:[考中]]),"")</f>
        <v>42563.39266203704</v>
      </c>
      <c r="P140" s="32"/>
    </row>
    <row r="141" spans="1:16" hidden="1" x14ac:dyDescent="0.15">
      <c r="A141">
        <v>140</v>
      </c>
      <c r="B141" t="s">
        <v>43</v>
      </c>
      <c r="C141" t="s">
        <v>51</v>
      </c>
      <c r="D141" s="72" t="s">
        <v>163</v>
      </c>
      <c r="E141" t="s">
        <v>736</v>
      </c>
      <c r="F141" t="s">
        <v>164</v>
      </c>
      <c r="G141" s="92">
        <v>42562.869780092595</v>
      </c>
      <c r="H141" s="92">
        <v>42562.869791666664</v>
      </c>
      <c r="I141" s="92">
        <v>42562.869791666664</v>
      </c>
      <c r="J141" s="92">
        <v>42563.387071759258</v>
      </c>
      <c r="K141" s="92">
        <v>42563.392731481479</v>
      </c>
      <c r="L141" s="92">
        <f>IF(AND(单词表[[#This Row],[学英]]&lt;&gt;"",单词表[[#This Row],[学中]]&lt;&gt;"",单词表[[#This Row],[学词]]&lt;&gt;""),MAX(单词表[[#This Row],[学英]:[学词]]),"")</f>
        <v>42562.869791666664</v>
      </c>
      <c r="M141" s="2">
        <f>IF(AND(单词表[[#This Row],[考英]]&lt;&gt;"",单词表[[#This Row],[考中]]&lt;&gt;""),MAX(单词表[[#This Row],[考英]:[考中]]),"")</f>
        <v>42563.392731481479</v>
      </c>
      <c r="P141" s="32"/>
    </row>
    <row r="142" spans="1:16" hidden="1" x14ac:dyDescent="0.15">
      <c r="A142">
        <v>141</v>
      </c>
      <c r="B142" t="s">
        <v>43</v>
      </c>
      <c r="C142" t="s">
        <v>51</v>
      </c>
      <c r="D142" s="72" t="s">
        <v>441</v>
      </c>
      <c r="E142" t="s">
        <v>61</v>
      </c>
      <c r="F142" t="s">
        <v>1239</v>
      </c>
      <c r="G142" s="92">
        <v>42562.885069444441</v>
      </c>
      <c r="H142" s="92">
        <v>42562.885081018518</v>
      </c>
      <c r="I142" s="92">
        <v>42562.885069444441</v>
      </c>
      <c r="J142" s="92">
        <v>42563.38726851852</v>
      </c>
      <c r="K142" s="92">
        <v>42563.392858796295</v>
      </c>
      <c r="L142" s="92">
        <f>IF(AND(单词表[[#This Row],[学英]]&lt;&gt;"",单词表[[#This Row],[学中]]&lt;&gt;"",单词表[[#This Row],[学词]]&lt;&gt;""),MAX(单词表[[#This Row],[学英]:[学词]]),"")</f>
        <v>42562.885081018518</v>
      </c>
      <c r="M142" s="2">
        <f>IF(AND(单词表[[#This Row],[考英]]&lt;&gt;"",单词表[[#This Row],[考中]]&lt;&gt;""),MAX(单词表[[#This Row],[考英]:[考中]]),"")</f>
        <v>42563.392858796295</v>
      </c>
      <c r="N142" s="3" t="s">
        <v>1030</v>
      </c>
      <c r="P142" s="32"/>
    </row>
    <row r="143" spans="1:16" hidden="1" x14ac:dyDescent="0.15">
      <c r="A143">
        <v>142</v>
      </c>
      <c r="B143" t="s">
        <v>43</v>
      </c>
      <c r="C143" t="s">
        <v>51</v>
      </c>
      <c r="D143" s="72" t="s">
        <v>165</v>
      </c>
      <c r="E143" t="s">
        <v>36</v>
      </c>
      <c r="F143" t="s">
        <v>1240</v>
      </c>
      <c r="G143" s="92">
        <v>42562.90420138889</v>
      </c>
      <c r="H143" s="92">
        <v>42562.90425925926</v>
      </c>
      <c r="I143" s="92">
        <v>42562.90420138889</v>
      </c>
      <c r="J143" s="92">
        <v>42563.387465277781</v>
      </c>
      <c r="K143" s="92">
        <v>42563.392962962964</v>
      </c>
      <c r="L143" s="92">
        <f>IF(AND(单词表[[#This Row],[学英]]&lt;&gt;"",单词表[[#This Row],[学中]]&lt;&gt;"",单词表[[#This Row],[学词]]&lt;&gt;""),MAX(单词表[[#This Row],[学英]:[学词]]),"")</f>
        <v>42562.90425925926</v>
      </c>
      <c r="M143" s="2">
        <f>IF(AND(单词表[[#This Row],[考英]]&lt;&gt;"",单词表[[#This Row],[考中]]&lt;&gt;""),MAX(单词表[[#This Row],[考英]:[考中]]),"")</f>
        <v>42563.392962962964</v>
      </c>
      <c r="N143" s="3" t="s">
        <v>1029</v>
      </c>
      <c r="P143" s="32"/>
    </row>
    <row r="144" spans="1:16" hidden="1" x14ac:dyDescent="0.15">
      <c r="A144">
        <v>143</v>
      </c>
      <c r="B144" t="s">
        <v>43</v>
      </c>
      <c r="C144" t="s">
        <v>51</v>
      </c>
      <c r="D144" s="72" t="s">
        <v>166</v>
      </c>
      <c r="E144" t="s">
        <v>36</v>
      </c>
      <c r="F144" t="s">
        <v>167</v>
      </c>
      <c r="G144" s="92">
        <v>42562.885127314818</v>
      </c>
      <c r="H144" s="92">
        <v>42562.885127314818</v>
      </c>
      <c r="I144" s="92">
        <v>42562.885127314818</v>
      </c>
      <c r="J144" s="92">
        <v>42563.387523148151</v>
      </c>
      <c r="K144" s="92">
        <v>42563.393078703702</v>
      </c>
      <c r="L144" s="92">
        <f>IF(AND(单词表[[#This Row],[学英]]&lt;&gt;"",单词表[[#This Row],[学中]]&lt;&gt;"",单词表[[#This Row],[学词]]&lt;&gt;""),MAX(单词表[[#This Row],[学英]:[学词]]),"")</f>
        <v>42562.885127314818</v>
      </c>
      <c r="M144" s="2">
        <f>IF(AND(单词表[[#This Row],[考英]]&lt;&gt;"",单词表[[#This Row],[考中]]&lt;&gt;""),MAX(单词表[[#This Row],[考英]:[考中]]),"")</f>
        <v>42563.393078703702</v>
      </c>
      <c r="N144" s="33"/>
      <c r="P144" s="32"/>
    </row>
    <row r="145" spans="1:16" hidden="1" x14ac:dyDescent="0.15">
      <c r="A145">
        <v>144</v>
      </c>
      <c r="B145" t="s">
        <v>43</v>
      </c>
      <c r="C145" t="s">
        <v>51</v>
      </c>
      <c r="D145" s="72" t="s">
        <v>168</v>
      </c>
      <c r="E145" t="s">
        <v>36</v>
      </c>
      <c r="F145" t="s">
        <v>169</v>
      </c>
      <c r="G145" s="92">
        <v>42562.8828125</v>
      </c>
      <c r="H145" s="92">
        <v>42562.882835648146</v>
      </c>
      <c r="I145" s="92">
        <v>42562.882824074077</v>
      </c>
      <c r="J145" s="92">
        <v>42563.387627314813</v>
      </c>
      <c r="K145" s="92">
        <v>42563.393171296295</v>
      </c>
      <c r="L145" s="92">
        <f>IF(AND(单词表[[#This Row],[学英]]&lt;&gt;"",单词表[[#This Row],[学中]]&lt;&gt;"",单词表[[#This Row],[学词]]&lt;&gt;""),MAX(单词表[[#This Row],[学英]:[学词]]),"")</f>
        <v>42562.882835648146</v>
      </c>
      <c r="M145" s="2">
        <f>IF(AND(单词表[[#This Row],[考英]]&lt;&gt;"",单词表[[#This Row],[考中]]&lt;&gt;""),MAX(单词表[[#This Row],[考英]:[考中]]),"")</f>
        <v>42563.393171296295</v>
      </c>
      <c r="P145" s="32"/>
    </row>
    <row r="146" spans="1:16" hidden="1" x14ac:dyDescent="0.15">
      <c r="A146">
        <v>145</v>
      </c>
      <c r="B146" t="s">
        <v>43</v>
      </c>
      <c r="C146" t="s">
        <v>51</v>
      </c>
      <c r="D146" s="72" t="s">
        <v>170</v>
      </c>
      <c r="E146" t="s">
        <v>36</v>
      </c>
      <c r="F146" t="s">
        <v>171</v>
      </c>
      <c r="G146" s="92">
        <v>42562.884710648148</v>
      </c>
      <c r="H146" s="92">
        <v>42562.884710648148</v>
      </c>
      <c r="I146" s="92">
        <v>42562.884710648148</v>
      </c>
      <c r="J146" s="92">
        <v>42563.387777777774</v>
      </c>
      <c r="K146" s="92">
        <v>42563.393240740741</v>
      </c>
      <c r="L146" s="92">
        <f>IF(AND(单词表[[#This Row],[学英]]&lt;&gt;"",单词表[[#This Row],[学中]]&lt;&gt;"",单词表[[#This Row],[学词]]&lt;&gt;""),MAX(单词表[[#This Row],[学英]:[学词]]),"")</f>
        <v>42562.884710648148</v>
      </c>
      <c r="M146" s="2">
        <f>IF(AND(单词表[[#This Row],[考英]]&lt;&gt;"",单词表[[#This Row],[考中]]&lt;&gt;""),MAX(单词表[[#This Row],[考英]:[考中]]),"")</f>
        <v>42563.393240740741</v>
      </c>
      <c r="P146" s="32"/>
    </row>
    <row r="147" spans="1:16" hidden="1" x14ac:dyDescent="0.15">
      <c r="A147">
        <v>146</v>
      </c>
      <c r="B147" t="s">
        <v>43</v>
      </c>
      <c r="C147" t="s">
        <v>51</v>
      </c>
      <c r="D147" s="72" t="s">
        <v>172</v>
      </c>
      <c r="E147" t="s">
        <v>61</v>
      </c>
      <c r="F147" t="s">
        <v>154</v>
      </c>
      <c r="G147" s="92">
        <v>42562.900625000002</v>
      </c>
      <c r="H147" s="92">
        <v>42562.900636574072</v>
      </c>
      <c r="I147" s="92">
        <v>42562.900625000002</v>
      </c>
      <c r="J147" s="92">
        <v>42563.387997685182</v>
      </c>
      <c r="K147" s="92">
        <v>42563.39329861111</v>
      </c>
      <c r="L147" s="92">
        <f>IF(AND(单词表[[#This Row],[学英]]&lt;&gt;"",单词表[[#This Row],[学中]]&lt;&gt;"",单词表[[#This Row],[学词]]&lt;&gt;""),MAX(单词表[[#This Row],[学英]:[学词]]),"")</f>
        <v>42562.900636574072</v>
      </c>
      <c r="M147" s="2">
        <f>IF(AND(单词表[[#This Row],[考英]]&lt;&gt;"",单词表[[#This Row],[考中]]&lt;&gt;""),MAX(单词表[[#This Row],[考英]:[考中]]),"")</f>
        <v>42563.39329861111</v>
      </c>
      <c r="P147" s="32"/>
    </row>
    <row r="148" spans="1:16" hidden="1" x14ac:dyDescent="0.15">
      <c r="A148">
        <v>147</v>
      </c>
      <c r="B148" t="s">
        <v>43</v>
      </c>
      <c r="C148" t="s">
        <v>51</v>
      </c>
      <c r="D148" s="72" t="s">
        <v>173</v>
      </c>
      <c r="E148" t="s">
        <v>36</v>
      </c>
      <c r="F148" t="s">
        <v>174</v>
      </c>
      <c r="G148" s="92">
        <v>42562.886145833334</v>
      </c>
      <c r="H148" s="92">
        <v>42562.886145833334</v>
      </c>
      <c r="I148" s="92">
        <v>42562.886145833334</v>
      </c>
      <c r="J148" s="92">
        <v>42563.388101851851</v>
      </c>
      <c r="K148" s="92">
        <v>42563.393368055556</v>
      </c>
      <c r="L148" s="92">
        <f>IF(AND(单词表[[#This Row],[学英]]&lt;&gt;"",单词表[[#This Row],[学中]]&lt;&gt;"",单词表[[#This Row],[学词]]&lt;&gt;""),MAX(单词表[[#This Row],[学英]:[学词]]),"")</f>
        <v>42562.886145833334</v>
      </c>
      <c r="M148" s="2">
        <f>IF(AND(单词表[[#This Row],[考英]]&lt;&gt;"",单词表[[#This Row],[考中]]&lt;&gt;""),MAX(单词表[[#This Row],[考英]:[考中]]),"")</f>
        <v>42563.393368055556</v>
      </c>
      <c r="P148" s="32"/>
    </row>
    <row r="149" spans="1:16" hidden="1" x14ac:dyDescent="0.15">
      <c r="A149">
        <v>148</v>
      </c>
      <c r="B149" t="s">
        <v>43</v>
      </c>
      <c r="C149" t="s">
        <v>51</v>
      </c>
      <c r="D149" s="72" t="s">
        <v>175</v>
      </c>
      <c r="E149" t="s">
        <v>36</v>
      </c>
      <c r="F149" t="s">
        <v>176</v>
      </c>
      <c r="G149" s="92">
        <v>42562.886342592596</v>
      </c>
      <c r="H149" s="92">
        <v>42562.886365740742</v>
      </c>
      <c r="I149" s="92">
        <v>42562.886354166665</v>
      </c>
      <c r="J149" s="92">
        <v>42563.388206018521</v>
      </c>
      <c r="K149" s="92">
        <v>42563.393460648149</v>
      </c>
      <c r="L149" s="92">
        <f>IF(AND(单词表[[#This Row],[学英]]&lt;&gt;"",单词表[[#This Row],[学中]]&lt;&gt;"",单词表[[#This Row],[学词]]&lt;&gt;""),MAX(单词表[[#This Row],[学英]:[学词]]),"")</f>
        <v>42562.886365740742</v>
      </c>
      <c r="M149" s="2">
        <f>IF(AND(单词表[[#This Row],[考英]]&lt;&gt;"",单词表[[#This Row],[考中]]&lt;&gt;""),MAX(单词表[[#This Row],[考英]:[考中]]),"")</f>
        <v>42563.393460648149</v>
      </c>
      <c r="P149" s="32"/>
    </row>
    <row r="150" spans="1:16" hidden="1" x14ac:dyDescent="0.15">
      <c r="A150">
        <v>149</v>
      </c>
      <c r="B150" t="s">
        <v>43</v>
      </c>
      <c r="C150" t="s">
        <v>51</v>
      </c>
      <c r="D150" s="72" t="s">
        <v>177</v>
      </c>
      <c r="E150" t="s">
        <v>36</v>
      </c>
      <c r="F150" t="s">
        <v>178</v>
      </c>
      <c r="G150" s="92">
        <v>42562.88652777778</v>
      </c>
      <c r="H150" s="92">
        <v>42562.88653935185</v>
      </c>
      <c r="I150" s="92">
        <v>42562.88653935185</v>
      </c>
      <c r="J150" s="92">
        <v>42563.388356481482</v>
      </c>
      <c r="K150" s="92">
        <v>42563.393506944441</v>
      </c>
      <c r="L150" s="92">
        <f>IF(AND(单词表[[#This Row],[学英]]&lt;&gt;"",单词表[[#This Row],[学中]]&lt;&gt;"",单词表[[#This Row],[学词]]&lt;&gt;""),MAX(单词表[[#This Row],[学英]:[学词]]),"")</f>
        <v>42562.88653935185</v>
      </c>
      <c r="M150" s="2">
        <f>IF(AND(单词表[[#This Row],[考英]]&lt;&gt;"",单词表[[#This Row],[考中]]&lt;&gt;""),MAX(单词表[[#This Row],[考英]:[考中]]),"")</f>
        <v>42563.393506944441</v>
      </c>
      <c r="P150" s="32"/>
    </row>
    <row r="151" spans="1:16" hidden="1" x14ac:dyDescent="0.15">
      <c r="A151">
        <v>150</v>
      </c>
      <c r="B151" t="s">
        <v>43</v>
      </c>
      <c r="C151" t="s">
        <v>51</v>
      </c>
      <c r="D151" s="72" t="s">
        <v>179</v>
      </c>
      <c r="E151" t="s">
        <v>736</v>
      </c>
      <c r="F151" t="s">
        <v>180</v>
      </c>
      <c r="G151" s="92">
        <v>42562.886805555558</v>
      </c>
      <c r="H151" s="92">
        <v>42562.886828703704</v>
      </c>
      <c r="I151" s="92">
        <v>42562.886817129627</v>
      </c>
      <c r="J151" s="92">
        <v>42563.388483796298</v>
      </c>
      <c r="K151" s="92">
        <v>42563.393634259257</v>
      </c>
      <c r="L151" s="92">
        <f>IF(AND(单词表[[#This Row],[学英]]&lt;&gt;"",单词表[[#This Row],[学中]]&lt;&gt;"",单词表[[#This Row],[学词]]&lt;&gt;""),MAX(单词表[[#This Row],[学英]:[学词]]),"")</f>
        <v>42562.886828703704</v>
      </c>
      <c r="M151" s="2">
        <f>IF(AND(单词表[[#This Row],[考英]]&lt;&gt;"",单词表[[#This Row],[考中]]&lt;&gt;""),MAX(单词表[[#This Row],[考英]:[考中]]),"")</f>
        <v>42563.393634259257</v>
      </c>
      <c r="P151" s="32"/>
    </row>
    <row r="152" spans="1:16" hidden="1" x14ac:dyDescent="0.15">
      <c r="A152">
        <v>151</v>
      </c>
      <c r="B152" t="s">
        <v>43</v>
      </c>
      <c r="C152" t="s">
        <v>51</v>
      </c>
      <c r="D152" s="72" t="s">
        <v>181</v>
      </c>
      <c r="E152" t="s">
        <v>36</v>
      </c>
      <c r="F152" t="s">
        <v>1241</v>
      </c>
      <c r="G152" s="92">
        <v>42562.900810185187</v>
      </c>
      <c r="H152" s="92">
        <v>42562.900833333333</v>
      </c>
      <c r="I152" s="92">
        <v>42562.900821759256</v>
      </c>
      <c r="J152" s="92">
        <v>42563.388819444444</v>
      </c>
      <c r="K152" s="92">
        <v>42563.39371527778</v>
      </c>
      <c r="L152" s="92">
        <f>IF(AND(单词表[[#This Row],[学英]]&lt;&gt;"",单词表[[#This Row],[学中]]&lt;&gt;"",单词表[[#This Row],[学词]]&lt;&gt;""),MAX(单词表[[#This Row],[学英]:[学词]]),"")</f>
        <v>42562.900833333333</v>
      </c>
      <c r="M152" s="2">
        <f>IF(AND(单词表[[#This Row],[考英]]&lt;&gt;"",单词表[[#This Row],[考中]]&lt;&gt;""),MAX(单词表[[#This Row],[考英]:[考中]]),"")</f>
        <v>42563.39371527778</v>
      </c>
      <c r="P152" s="32"/>
    </row>
    <row r="153" spans="1:16" hidden="1" x14ac:dyDescent="0.15">
      <c r="A153">
        <v>152</v>
      </c>
      <c r="B153" t="s">
        <v>43</v>
      </c>
      <c r="C153" t="s">
        <v>51</v>
      </c>
      <c r="D153" s="72" t="s">
        <v>182</v>
      </c>
      <c r="E153" t="s">
        <v>61</v>
      </c>
      <c r="F153" t="s">
        <v>1242</v>
      </c>
      <c r="G153" s="92">
        <v>42562.890069444446</v>
      </c>
      <c r="H153" s="92">
        <v>42562.890092592592</v>
      </c>
      <c r="I153" s="92">
        <v>42562.890081018515</v>
      </c>
      <c r="J153" s="92">
        <v>42563.38921296296</v>
      </c>
      <c r="K153" s="92">
        <v>42563.393831018519</v>
      </c>
      <c r="L153" s="92">
        <f>IF(AND(单词表[[#This Row],[学英]]&lt;&gt;"",单词表[[#This Row],[学中]]&lt;&gt;"",单词表[[#This Row],[学词]]&lt;&gt;""),MAX(单词表[[#This Row],[学英]:[学词]]),"")</f>
        <v>42562.890092592592</v>
      </c>
      <c r="M153" s="2">
        <f>IF(AND(单词表[[#This Row],[考英]]&lt;&gt;"",单词表[[#This Row],[考中]]&lt;&gt;""),MAX(单词表[[#This Row],[考英]:[考中]]),"")</f>
        <v>42563.393831018519</v>
      </c>
      <c r="P153" s="32"/>
    </row>
    <row r="154" spans="1:16" hidden="1" x14ac:dyDescent="0.15">
      <c r="A154">
        <v>153</v>
      </c>
      <c r="B154" t="s">
        <v>43</v>
      </c>
      <c r="C154" t="s">
        <v>51</v>
      </c>
      <c r="D154" s="72" t="s">
        <v>184</v>
      </c>
      <c r="E154" t="s">
        <v>36</v>
      </c>
      <c r="F154" t="s">
        <v>185</v>
      </c>
      <c r="G154" s="92">
        <v>42562.901122685187</v>
      </c>
      <c r="H154" s="92">
        <v>42562.901134259257</v>
      </c>
      <c r="I154" s="92">
        <v>42562.901180555556</v>
      </c>
      <c r="J154" s="92">
        <v>42563.389560185184</v>
      </c>
      <c r="K154" s="92">
        <v>42562.924791666665</v>
      </c>
      <c r="L154" s="92">
        <f>IF(AND(单词表[[#This Row],[学英]]&lt;&gt;"",单词表[[#This Row],[学中]]&lt;&gt;"",单词表[[#This Row],[学词]]&lt;&gt;""),MAX(单词表[[#This Row],[学英]:[学词]]),"")</f>
        <v>42562.901180555556</v>
      </c>
      <c r="M154" s="2">
        <f>IF(AND(单词表[[#This Row],[考英]]&lt;&gt;"",单词表[[#This Row],[考中]]&lt;&gt;""),MAX(单词表[[#This Row],[考英]:[考中]]),"")</f>
        <v>42563.389560185184</v>
      </c>
      <c r="P154" s="32"/>
    </row>
    <row r="155" spans="1:16" hidden="1" x14ac:dyDescent="0.15">
      <c r="A155">
        <v>154</v>
      </c>
      <c r="B155" t="s">
        <v>43</v>
      </c>
      <c r="C155" t="s">
        <v>51</v>
      </c>
      <c r="D155" s="72" t="s">
        <v>186</v>
      </c>
      <c r="E155" t="s">
        <v>36</v>
      </c>
      <c r="F155" t="s">
        <v>187</v>
      </c>
      <c r="G155" s="92">
        <v>42562.890613425923</v>
      </c>
      <c r="H155" s="92">
        <v>42562.890625</v>
      </c>
      <c r="I155" s="92">
        <v>42562.890613425923</v>
      </c>
      <c r="J155" s="92">
        <v>42563.38962962963</v>
      </c>
      <c r="K155" s="92">
        <v>42563.394062500003</v>
      </c>
      <c r="L155" s="92">
        <f>IF(AND(单词表[[#This Row],[学英]]&lt;&gt;"",单词表[[#This Row],[学中]]&lt;&gt;"",单词表[[#This Row],[学词]]&lt;&gt;""),MAX(单词表[[#This Row],[学英]:[学词]]),"")</f>
        <v>42562.890625</v>
      </c>
      <c r="M155" s="2">
        <f>IF(AND(单词表[[#This Row],[考英]]&lt;&gt;"",单词表[[#This Row],[考中]]&lt;&gt;""),MAX(单词表[[#This Row],[考英]:[考中]]),"")</f>
        <v>42563.394062500003</v>
      </c>
      <c r="P155" s="32"/>
    </row>
    <row r="156" spans="1:16" hidden="1" x14ac:dyDescent="0.15">
      <c r="A156">
        <v>155</v>
      </c>
      <c r="B156" t="s">
        <v>43</v>
      </c>
      <c r="C156" t="s">
        <v>51</v>
      </c>
      <c r="D156" s="72" t="s">
        <v>186</v>
      </c>
      <c r="E156" t="s">
        <v>61</v>
      </c>
      <c r="F156" t="s">
        <v>188</v>
      </c>
      <c r="G156" s="92">
        <v>42562.890706018516</v>
      </c>
      <c r="H156" s="92">
        <v>42562.890729166669</v>
      </c>
      <c r="I156" s="92">
        <v>42562.890717592592</v>
      </c>
      <c r="J156" s="92">
        <v>42563.389687499999</v>
      </c>
      <c r="K156" s="92">
        <v>42563.394155092596</v>
      </c>
      <c r="L156" s="92">
        <f>IF(AND(单词表[[#This Row],[学英]]&lt;&gt;"",单词表[[#This Row],[学中]]&lt;&gt;"",单词表[[#This Row],[学词]]&lt;&gt;""),MAX(单词表[[#This Row],[学英]:[学词]]),"")</f>
        <v>42562.890729166669</v>
      </c>
      <c r="M156" s="2">
        <f>IF(AND(单词表[[#This Row],[考英]]&lt;&gt;"",单词表[[#This Row],[考中]]&lt;&gt;""),MAX(单词表[[#This Row],[考英]:[考中]]),"")</f>
        <v>42563.394155092596</v>
      </c>
      <c r="P156" s="32"/>
    </row>
    <row r="157" spans="1:16" hidden="1" x14ac:dyDescent="0.15">
      <c r="A157">
        <v>156</v>
      </c>
      <c r="B157" t="s">
        <v>43</v>
      </c>
      <c r="C157" t="s">
        <v>51</v>
      </c>
      <c r="D157" s="72" t="s">
        <v>189</v>
      </c>
      <c r="E157" t="s">
        <v>736</v>
      </c>
      <c r="F157" t="s">
        <v>190</v>
      </c>
      <c r="G157" s="92">
        <v>42562.890868055554</v>
      </c>
      <c r="H157" s="92">
        <v>42562.8908912037</v>
      </c>
      <c r="I157" s="92">
        <v>42562.890879629631</v>
      </c>
      <c r="J157" s="92">
        <v>42563.389907407407</v>
      </c>
      <c r="K157" s="92">
        <v>42563.394363425927</v>
      </c>
      <c r="L157" s="92">
        <f>IF(AND(单词表[[#This Row],[学英]]&lt;&gt;"",单词表[[#This Row],[学中]]&lt;&gt;"",单词表[[#This Row],[学词]]&lt;&gt;""),MAX(单词表[[#This Row],[学英]:[学词]]),"")</f>
        <v>42562.8908912037</v>
      </c>
      <c r="M157" s="2">
        <f>IF(AND(单词表[[#This Row],[考英]]&lt;&gt;"",单词表[[#This Row],[考中]]&lt;&gt;""),MAX(单词表[[#This Row],[考英]:[考中]]),"")</f>
        <v>42563.394363425927</v>
      </c>
      <c r="P157" s="32"/>
    </row>
    <row r="158" spans="1:16" hidden="1" x14ac:dyDescent="0.15">
      <c r="A158">
        <v>157</v>
      </c>
      <c r="B158" t="s">
        <v>43</v>
      </c>
      <c r="C158" t="s">
        <v>51</v>
      </c>
      <c r="D158" s="72" t="s">
        <v>191</v>
      </c>
      <c r="E158" t="s">
        <v>1016</v>
      </c>
      <c r="F158" t="s">
        <v>192</v>
      </c>
      <c r="G158" s="92">
        <v>42562.896111111113</v>
      </c>
      <c r="H158" s="92">
        <v>42562.896134259259</v>
      </c>
      <c r="I158" s="92">
        <v>42562.896122685182</v>
      </c>
      <c r="J158" s="92">
        <v>42563.39</v>
      </c>
      <c r="K158" s="92">
        <v>42563.394606481481</v>
      </c>
      <c r="L158" s="92">
        <f>IF(AND(单词表[[#This Row],[学英]]&lt;&gt;"",单词表[[#This Row],[学中]]&lt;&gt;"",单词表[[#This Row],[学词]]&lt;&gt;""),MAX(单词表[[#This Row],[学英]:[学词]]),"")</f>
        <v>42562.896134259259</v>
      </c>
      <c r="M158" s="2">
        <f>IF(AND(单词表[[#This Row],[考英]]&lt;&gt;"",单词表[[#This Row],[考中]]&lt;&gt;""),MAX(单词表[[#This Row],[考英]:[考中]]),"")</f>
        <v>42563.394606481481</v>
      </c>
      <c r="P158" s="32"/>
    </row>
    <row r="159" spans="1:16" hidden="1" x14ac:dyDescent="0.15">
      <c r="A159">
        <v>158</v>
      </c>
      <c r="B159" t="s">
        <v>43</v>
      </c>
      <c r="C159" t="s">
        <v>51</v>
      </c>
      <c r="D159" s="72" t="s">
        <v>193</v>
      </c>
      <c r="E159" t="s">
        <v>61</v>
      </c>
      <c r="F159" t="s">
        <v>1243</v>
      </c>
      <c r="G159" s="92">
        <v>42562.904479166667</v>
      </c>
      <c r="H159" s="92">
        <v>42562.904490740744</v>
      </c>
      <c r="I159" s="92">
        <v>42562.904479166667</v>
      </c>
      <c r="J159" s="92">
        <v>42563.390717592592</v>
      </c>
      <c r="K159" s="92">
        <v>42563.394699074073</v>
      </c>
      <c r="L159" s="92">
        <f>IF(AND(单词表[[#This Row],[学英]]&lt;&gt;"",单词表[[#This Row],[学中]]&lt;&gt;"",单词表[[#This Row],[学词]]&lt;&gt;""),MAX(单词表[[#This Row],[学英]:[学词]]),"")</f>
        <v>42562.904490740744</v>
      </c>
      <c r="M159" s="2">
        <f>IF(AND(单词表[[#This Row],[考英]]&lt;&gt;"",单词表[[#This Row],[考中]]&lt;&gt;""),MAX(单词表[[#This Row],[考英]:[考中]]),"")</f>
        <v>42563.394699074073</v>
      </c>
      <c r="P159" s="32"/>
    </row>
    <row r="160" spans="1:16" hidden="1" x14ac:dyDescent="0.15">
      <c r="A160">
        <v>159</v>
      </c>
      <c r="B160" t="s">
        <v>43</v>
      </c>
      <c r="C160" t="s">
        <v>51</v>
      </c>
      <c r="D160" s="72" t="s">
        <v>194</v>
      </c>
      <c r="E160" t="s">
        <v>61</v>
      </c>
      <c r="F160" t="s">
        <v>195</v>
      </c>
      <c r="G160" s="92">
        <v>42562.896435185183</v>
      </c>
      <c r="H160" s="92">
        <v>42562.896458333336</v>
      </c>
      <c r="I160" s="92">
        <v>42562.89644675926</v>
      </c>
      <c r="J160" s="92">
        <v>42563.390902777777</v>
      </c>
      <c r="K160" s="92">
        <v>42563.394745370373</v>
      </c>
      <c r="L160" s="92">
        <f>IF(AND(单词表[[#This Row],[学英]]&lt;&gt;"",单词表[[#This Row],[学中]]&lt;&gt;"",单词表[[#This Row],[学词]]&lt;&gt;""),MAX(单词表[[#This Row],[学英]:[学词]]),"")</f>
        <v>42562.896458333336</v>
      </c>
      <c r="M160" s="2">
        <f>IF(AND(单词表[[#This Row],[考英]]&lt;&gt;"",单词表[[#This Row],[考中]]&lt;&gt;""),MAX(单词表[[#This Row],[考英]:[考中]]),"")</f>
        <v>42563.394745370373</v>
      </c>
      <c r="P160" s="32"/>
    </row>
    <row r="161" spans="1:16" hidden="1" x14ac:dyDescent="0.15">
      <c r="A161">
        <v>160</v>
      </c>
      <c r="B161" t="s">
        <v>43</v>
      </c>
      <c r="C161" t="s">
        <v>51</v>
      </c>
      <c r="D161" s="72" t="s">
        <v>196</v>
      </c>
      <c r="E161" t="s">
        <v>73</v>
      </c>
      <c r="F161" t="s">
        <v>198</v>
      </c>
      <c r="G161" s="92">
        <v>42562.896643518521</v>
      </c>
      <c r="H161" s="92">
        <v>42562.896655092591</v>
      </c>
      <c r="I161" s="92">
        <v>42562.896655092591</v>
      </c>
      <c r="J161" s="92">
        <v>42563.391041666669</v>
      </c>
      <c r="K161" s="92">
        <v>42563.394814814812</v>
      </c>
      <c r="L161" s="92">
        <f>IF(AND(单词表[[#This Row],[学英]]&lt;&gt;"",单词表[[#This Row],[学中]]&lt;&gt;"",单词表[[#This Row],[学词]]&lt;&gt;""),MAX(单词表[[#This Row],[学英]:[学词]]),"")</f>
        <v>42562.896655092591</v>
      </c>
      <c r="M161" s="2">
        <f>IF(AND(单词表[[#This Row],[考英]]&lt;&gt;"",单词表[[#This Row],[考中]]&lt;&gt;""),MAX(单词表[[#This Row],[考英]:[考中]]),"")</f>
        <v>42563.394814814812</v>
      </c>
      <c r="P161" s="32"/>
    </row>
    <row r="162" spans="1:16" hidden="1" x14ac:dyDescent="0.15">
      <c r="A162">
        <v>161</v>
      </c>
      <c r="B162" t="s">
        <v>43</v>
      </c>
      <c r="C162" t="s">
        <v>51</v>
      </c>
      <c r="D162" s="72" t="s">
        <v>197</v>
      </c>
      <c r="E162" t="s">
        <v>73</v>
      </c>
      <c r="F162" t="s">
        <v>199</v>
      </c>
      <c r="G162" s="92">
        <v>42562.896932870368</v>
      </c>
      <c r="H162" s="92">
        <v>42562.896944444445</v>
      </c>
      <c r="I162" s="92">
        <v>42562.896932870368</v>
      </c>
      <c r="J162" s="92">
        <v>42563.391192129631</v>
      </c>
      <c r="K162" s="92">
        <v>42563.394872685189</v>
      </c>
      <c r="L162" s="92">
        <f>IF(AND(单词表[[#This Row],[学英]]&lt;&gt;"",单词表[[#This Row],[学中]]&lt;&gt;"",单词表[[#This Row],[学词]]&lt;&gt;""),MAX(单词表[[#This Row],[学英]:[学词]]),"")</f>
        <v>42562.896944444445</v>
      </c>
      <c r="M162" s="2">
        <f>IF(AND(单词表[[#This Row],[考英]]&lt;&gt;"",单词表[[#This Row],[考中]]&lt;&gt;""),MAX(单词表[[#This Row],[考英]:[考中]]),"")</f>
        <v>42563.394872685189</v>
      </c>
      <c r="P162" s="32"/>
    </row>
    <row r="163" spans="1:16" hidden="1" x14ac:dyDescent="0.15">
      <c r="A163">
        <v>162</v>
      </c>
      <c r="B163" t="s">
        <v>43</v>
      </c>
      <c r="C163" t="s">
        <v>51</v>
      </c>
      <c r="D163" s="72" t="s">
        <v>200</v>
      </c>
      <c r="E163" t="s">
        <v>61</v>
      </c>
      <c r="F163" t="s">
        <v>201</v>
      </c>
      <c r="G163" s="92">
        <v>42562.901643518519</v>
      </c>
      <c r="H163" s="92">
        <v>42562.901516203703</v>
      </c>
      <c r="I163" s="92">
        <v>42562.901516203703</v>
      </c>
      <c r="J163" s="92">
        <v>42563.391388888886</v>
      </c>
      <c r="K163" s="92">
        <v>42563.394953703704</v>
      </c>
      <c r="L163" s="92">
        <f>IF(AND(单词表[[#This Row],[学英]]&lt;&gt;"",单词表[[#This Row],[学中]]&lt;&gt;"",单词表[[#This Row],[学词]]&lt;&gt;""),MAX(单词表[[#This Row],[学英]:[学词]]),"")</f>
        <v>42562.901643518519</v>
      </c>
      <c r="M163" s="2">
        <f>IF(AND(单词表[[#This Row],[考英]]&lt;&gt;"",单词表[[#This Row],[考中]]&lt;&gt;""),MAX(单词表[[#This Row],[考英]:[考中]]),"")</f>
        <v>42563.394953703704</v>
      </c>
      <c r="P163" s="32"/>
    </row>
    <row r="164" spans="1:16" hidden="1" x14ac:dyDescent="0.15">
      <c r="A164">
        <v>163</v>
      </c>
      <c r="B164" t="s">
        <v>43</v>
      </c>
      <c r="C164" t="s">
        <v>51</v>
      </c>
      <c r="D164" s="72" t="s">
        <v>202</v>
      </c>
      <c r="E164" t="s">
        <v>61</v>
      </c>
      <c r="F164" t="s">
        <v>203</v>
      </c>
      <c r="G164" s="92">
        <v>42562.899641203701</v>
      </c>
      <c r="H164" s="92">
        <v>42562.897372685184</v>
      </c>
      <c r="I164" s="92">
        <v>42562.901724537034</v>
      </c>
      <c r="J164" s="92">
        <v>42563.391469907408</v>
      </c>
      <c r="K164" s="92">
        <v>42563.395011574074</v>
      </c>
      <c r="L164" s="92">
        <f>IF(AND(单词表[[#This Row],[学英]]&lt;&gt;"",单词表[[#This Row],[学中]]&lt;&gt;"",单词表[[#This Row],[学词]]&lt;&gt;""),MAX(单词表[[#This Row],[学英]:[学词]]),"")</f>
        <v>42562.901724537034</v>
      </c>
      <c r="M164" s="2">
        <f>IF(AND(单词表[[#This Row],[考英]]&lt;&gt;"",单词表[[#This Row],[考中]]&lt;&gt;""),MAX(单词表[[#This Row],[考英]:[考中]]),"")</f>
        <v>42563.395011574074</v>
      </c>
      <c r="P164" s="32"/>
    </row>
    <row r="165" spans="1:16" hidden="1" x14ac:dyDescent="0.15">
      <c r="A165">
        <v>164</v>
      </c>
      <c r="B165" t="s">
        <v>43</v>
      </c>
      <c r="C165" t="s">
        <v>51</v>
      </c>
      <c r="D165" s="72" t="s">
        <v>204</v>
      </c>
      <c r="E165" t="s">
        <v>1016</v>
      </c>
      <c r="F165" t="s">
        <v>205</v>
      </c>
      <c r="G165" s="92">
        <v>42562.897569444445</v>
      </c>
      <c r="H165" s="92">
        <v>42562.897581018522</v>
      </c>
      <c r="I165" s="92">
        <v>42562.897569444445</v>
      </c>
      <c r="J165" s="92">
        <v>42563.39162037037</v>
      </c>
      <c r="K165" s="92">
        <v>42562.923946759256</v>
      </c>
      <c r="L165" s="92">
        <f>IF(AND(单词表[[#This Row],[学英]]&lt;&gt;"",单词表[[#This Row],[学中]]&lt;&gt;"",单词表[[#This Row],[学词]]&lt;&gt;""),MAX(单词表[[#This Row],[学英]:[学词]]),"")</f>
        <v>42562.897581018522</v>
      </c>
      <c r="M165" s="2">
        <f>IF(AND(单词表[[#This Row],[考英]]&lt;&gt;"",单词表[[#This Row],[考中]]&lt;&gt;""),MAX(单词表[[#This Row],[考英]:[考中]]),"")</f>
        <v>42563.39162037037</v>
      </c>
      <c r="P165" s="32"/>
    </row>
    <row r="166" spans="1:16" hidden="1" x14ac:dyDescent="0.15">
      <c r="A166">
        <v>165</v>
      </c>
      <c r="B166" t="s">
        <v>43</v>
      </c>
      <c r="C166" t="s">
        <v>51</v>
      </c>
      <c r="D166" s="72" t="s">
        <v>206</v>
      </c>
      <c r="E166" t="s">
        <v>736</v>
      </c>
      <c r="F166" t="s">
        <v>5518</v>
      </c>
      <c r="G166" s="92">
        <v>42562.901898148149</v>
      </c>
      <c r="H166" s="92">
        <v>42562.898738425924</v>
      </c>
      <c r="I166" s="92">
        <v>42562.899699074071</v>
      </c>
      <c r="J166" s="92">
        <v>42563.391817129632</v>
      </c>
      <c r="K166" s="92">
        <v>42563.395300925928</v>
      </c>
      <c r="L166" s="92">
        <f>IF(AND(单词表[[#This Row],[学英]]&lt;&gt;"",单词表[[#This Row],[学中]]&lt;&gt;"",单词表[[#This Row],[学词]]&lt;&gt;""),MAX(单词表[[#This Row],[学英]:[学词]]),"")</f>
        <v>42562.901898148149</v>
      </c>
      <c r="M166" s="2">
        <f>IF(AND(单词表[[#This Row],[考英]]&lt;&gt;"",单词表[[#This Row],[考中]]&lt;&gt;""),MAX(单词表[[#This Row],[考英]:[考中]]),"")</f>
        <v>42563.395300925928</v>
      </c>
      <c r="P166" s="32"/>
    </row>
    <row r="167" spans="1:16" hidden="1" x14ac:dyDescent="0.15">
      <c r="A167">
        <v>166</v>
      </c>
      <c r="B167" t="s">
        <v>43</v>
      </c>
      <c r="C167" t="s">
        <v>51</v>
      </c>
      <c r="D167" s="72" t="s">
        <v>207</v>
      </c>
      <c r="E167" t="s">
        <v>736</v>
      </c>
      <c r="F167" t="s">
        <v>208</v>
      </c>
      <c r="G167" s="92">
        <v>42562.898032407407</v>
      </c>
      <c r="H167" s="92">
        <v>42562.898055555554</v>
      </c>
      <c r="I167" s="92">
        <v>42562.898043981484</v>
      </c>
      <c r="J167" s="92">
        <v>42563.392025462963</v>
      </c>
      <c r="K167" s="92">
        <v>42563.395428240743</v>
      </c>
      <c r="L167" s="92">
        <f>IF(AND(单词表[[#This Row],[学英]]&lt;&gt;"",单词表[[#This Row],[学中]]&lt;&gt;"",单词表[[#This Row],[学词]]&lt;&gt;""),MAX(单词表[[#This Row],[学英]:[学词]]),"")</f>
        <v>42562.898055555554</v>
      </c>
      <c r="M167" s="2">
        <f>IF(AND(单词表[[#This Row],[考英]]&lt;&gt;"",单词表[[#This Row],[考中]]&lt;&gt;""),MAX(单词表[[#This Row],[考英]:[考中]]),"")</f>
        <v>42563.395428240743</v>
      </c>
      <c r="P167" s="32"/>
    </row>
    <row r="168" spans="1:16" hidden="1" x14ac:dyDescent="0.15">
      <c r="A168">
        <v>167</v>
      </c>
      <c r="B168" t="s">
        <v>43</v>
      </c>
      <c r="C168" t="s">
        <v>51</v>
      </c>
      <c r="D168" s="72" t="s">
        <v>209</v>
      </c>
      <c r="E168" t="s">
        <v>210</v>
      </c>
      <c r="F168" t="s">
        <v>211</v>
      </c>
      <c r="G168" s="92">
        <v>42562.904363425929</v>
      </c>
      <c r="H168" s="92">
        <v>42562.904363425929</v>
      </c>
      <c r="I168" s="92">
        <v>42562.904363425929</v>
      </c>
      <c r="J168" s="92">
        <v>42563.392071759263</v>
      </c>
      <c r="K168" s="92">
        <v>42563.395532407405</v>
      </c>
      <c r="L168" s="92">
        <f>IF(AND(单词表[[#This Row],[学英]]&lt;&gt;"",单词表[[#This Row],[学中]]&lt;&gt;"",单词表[[#This Row],[学词]]&lt;&gt;""),MAX(单词表[[#This Row],[学英]:[学词]]),"")</f>
        <v>42562.904363425929</v>
      </c>
      <c r="M168" s="2">
        <f>IF(AND(单词表[[#This Row],[考英]]&lt;&gt;"",单词表[[#This Row],[考中]]&lt;&gt;""),MAX(单词表[[#This Row],[考英]:[考中]]),"")</f>
        <v>42563.395532407405</v>
      </c>
      <c r="P168" s="32"/>
    </row>
    <row r="169" spans="1:16" hidden="1" x14ac:dyDescent="0.15">
      <c r="A169">
        <v>168</v>
      </c>
      <c r="B169" t="s">
        <v>43</v>
      </c>
      <c r="C169" t="s">
        <v>51</v>
      </c>
      <c r="D169" s="72" t="s">
        <v>212</v>
      </c>
      <c r="E169" t="s">
        <v>210</v>
      </c>
      <c r="F169" t="s">
        <v>213</v>
      </c>
      <c r="G169" s="92">
        <v>42562.902291666665</v>
      </c>
      <c r="H169" s="92">
        <v>42562.902291666665</v>
      </c>
      <c r="I169" s="92">
        <v>42562.902291666665</v>
      </c>
      <c r="J169" s="92">
        <v>42563.392152777778</v>
      </c>
      <c r="K169" s="92">
        <v>42563.395613425928</v>
      </c>
      <c r="L169" s="92">
        <f>IF(AND(单词表[[#This Row],[学英]]&lt;&gt;"",单词表[[#This Row],[学中]]&lt;&gt;"",单词表[[#This Row],[学词]]&lt;&gt;""),MAX(单词表[[#This Row],[学英]:[学词]]),"")</f>
        <v>42562.902291666665</v>
      </c>
      <c r="M169" s="2">
        <f>IF(AND(单词表[[#This Row],[考英]]&lt;&gt;"",单词表[[#This Row],[考中]]&lt;&gt;""),MAX(单词表[[#This Row],[考英]:[考中]]),"")</f>
        <v>42563.395613425928</v>
      </c>
      <c r="N169" s="33"/>
      <c r="P169" s="32"/>
    </row>
    <row r="170" spans="1:16" hidden="1" x14ac:dyDescent="0.15">
      <c r="A170">
        <v>169</v>
      </c>
      <c r="B170" t="s">
        <v>43</v>
      </c>
      <c r="C170" t="s">
        <v>53</v>
      </c>
      <c r="D170" s="72" t="s">
        <v>214</v>
      </c>
      <c r="E170" t="s">
        <v>36</v>
      </c>
      <c r="F170" t="s">
        <v>215</v>
      </c>
      <c r="G170" s="92"/>
      <c r="H170" s="92"/>
      <c r="I170" s="92"/>
      <c r="J170" s="92"/>
      <c r="K170" s="92"/>
      <c r="L170" s="9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15">
      <c r="A171">
        <v>170</v>
      </c>
      <c r="B171" t="s">
        <v>43</v>
      </c>
      <c r="C171" t="s">
        <v>53</v>
      </c>
      <c r="D171" s="72" t="s">
        <v>216</v>
      </c>
      <c r="E171" t="s">
        <v>73</v>
      </c>
      <c r="F171" t="s">
        <v>217</v>
      </c>
      <c r="G171" s="92"/>
      <c r="H171" s="92"/>
      <c r="I171" s="92"/>
      <c r="J171" s="92"/>
      <c r="K171" s="92"/>
      <c r="L171" s="9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15">
      <c r="A172">
        <v>171</v>
      </c>
      <c r="B172" t="s">
        <v>43</v>
      </c>
      <c r="C172" t="s">
        <v>53</v>
      </c>
      <c r="D172" s="72" t="s">
        <v>218</v>
      </c>
      <c r="E172" t="s">
        <v>36</v>
      </c>
      <c r="F172" t="s">
        <v>219</v>
      </c>
      <c r="G172" s="92"/>
      <c r="H172" s="92"/>
      <c r="I172" s="92"/>
      <c r="J172" s="92"/>
      <c r="K172" s="92"/>
      <c r="L172" s="9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15">
      <c r="A173">
        <v>172</v>
      </c>
      <c r="B173" t="s">
        <v>43</v>
      </c>
      <c r="C173" t="s">
        <v>53</v>
      </c>
      <c r="D173" s="72" t="s">
        <v>220</v>
      </c>
      <c r="E173" t="s">
        <v>61</v>
      </c>
      <c r="F173" t="s">
        <v>221</v>
      </c>
      <c r="G173" s="92"/>
      <c r="H173" s="92"/>
      <c r="I173" s="92"/>
      <c r="J173" s="92"/>
      <c r="K173" s="92"/>
      <c r="L173" s="9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15">
      <c r="A174">
        <v>173</v>
      </c>
      <c r="B174" t="s">
        <v>43</v>
      </c>
      <c r="C174" t="s">
        <v>53</v>
      </c>
      <c r="D174" s="72" t="s">
        <v>224</v>
      </c>
      <c r="E174" t="s">
        <v>61</v>
      </c>
      <c r="F174" t="s">
        <v>226</v>
      </c>
      <c r="G174" s="92"/>
      <c r="H174" s="92"/>
      <c r="I174" s="92"/>
      <c r="J174" s="92"/>
      <c r="K174" s="92"/>
      <c r="L174" s="9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15">
      <c r="A175">
        <v>174</v>
      </c>
      <c r="B175" t="s">
        <v>43</v>
      </c>
      <c r="C175" t="s">
        <v>53</v>
      </c>
      <c r="D175" s="72" t="s">
        <v>224</v>
      </c>
      <c r="E175" t="s">
        <v>36</v>
      </c>
      <c r="F175" t="s">
        <v>225</v>
      </c>
      <c r="G175" s="92"/>
      <c r="H175" s="92"/>
      <c r="I175" s="92"/>
      <c r="J175" s="92"/>
      <c r="K175" s="92"/>
      <c r="L175" s="9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15">
      <c r="A176">
        <v>175</v>
      </c>
      <c r="B176" t="s">
        <v>43</v>
      </c>
      <c r="C176" t="s">
        <v>53</v>
      </c>
      <c r="D176" s="72" t="s">
        <v>229</v>
      </c>
      <c r="E176" t="s">
        <v>36</v>
      </c>
      <c r="F176" t="s">
        <v>230</v>
      </c>
      <c r="G176" s="92"/>
      <c r="H176" s="92"/>
      <c r="I176" s="92"/>
      <c r="J176" s="92"/>
      <c r="K176" s="92"/>
      <c r="L176" s="9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15">
      <c r="A177">
        <v>176</v>
      </c>
      <c r="B177" t="s">
        <v>43</v>
      </c>
      <c r="C177" t="s">
        <v>53</v>
      </c>
      <c r="D177" s="72" t="s">
        <v>231</v>
      </c>
      <c r="E177" t="s">
        <v>61</v>
      </c>
      <c r="F177" t="s">
        <v>232</v>
      </c>
      <c r="G177" s="92"/>
      <c r="H177" s="92"/>
      <c r="I177" s="92"/>
      <c r="J177" s="92"/>
      <c r="K177" s="92"/>
      <c r="L177" s="9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15">
      <c r="A178">
        <v>177</v>
      </c>
      <c r="B178" t="s">
        <v>43</v>
      </c>
      <c r="C178" t="s">
        <v>53</v>
      </c>
      <c r="D178" s="72" t="s">
        <v>233</v>
      </c>
      <c r="E178" t="s">
        <v>36</v>
      </c>
      <c r="F178" t="s">
        <v>1048</v>
      </c>
      <c r="G178" s="92"/>
      <c r="H178" s="92"/>
      <c r="I178" s="92"/>
      <c r="J178" s="92"/>
      <c r="K178" s="92"/>
      <c r="L178" s="9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15">
      <c r="A179">
        <v>178</v>
      </c>
      <c r="B179" t="s">
        <v>43</v>
      </c>
      <c r="C179" t="s">
        <v>53</v>
      </c>
      <c r="D179" s="72" t="s">
        <v>234</v>
      </c>
      <c r="E179" t="s">
        <v>36</v>
      </c>
      <c r="F179" t="s">
        <v>235</v>
      </c>
      <c r="G179" s="92"/>
      <c r="H179" s="92"/>
      <c r="I179" s="92"/>
      <c r="J179" s="92"/>
      <c r="K179" s="92"/>
      <c r="L179" s="9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15">
      <c r="A180">
        <v>179</v>
      </c>
      <c r="B180" t="s">
        <v>43</v>
      </c>
      <c r="C180" t="s">
        <v>53</v>
      </c>
      <c r="D180" s="72" t="s">
        <v>236</v>
      </c>
      <c r="E180" t="s">
        <v>36</v>
      </c>
      <c r="F180" t="s">
        <v>237</v>
      </c>
      <c r="G180" s="92"/>
      <c r="H180" s="92"/>
      <c r="I180" s="92"/>
      <c r="J180" s="92"/>
      <c r="K180" s="92"/>
      <c r="L180" s="9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15">
      <c r="A181">
        <v>180</v>
      </c>
      <c r="B181" t="s">
        <v>43</v>
      </c>
      <c r="C181" t="s">
        <v>53</v>
      </c>
      <c r="D181" s="72" t="s">
        <v>238</v>
      </c>
      <c r="E181" t="s">
        <v>36</v>
      </c>
      <c r="F181" t="s">
        <v>1049</v>
      </c>
      <c r="G181" s="92"/>
      <c r="H181" s="92"/>
      <c r="I181" s="92"/>
      <c r="J181" s="92"/>
      <c r="K181" s="92"/>
      <c r="L181" s="9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15">
      <c r="A182">
        <v>181</v>
      </c>
      <c r="B182" t="s">
        <v>43</v>
      </c>
      <c r="C182" t="s">
        <v>53</v>
      </c>
      <c r="D182" s="72" t="s">
        <v>240</v>
      </c>
      <c r="E182" t="s">
        <v>36</v>
      </c>
      <c r="F182" t="s">
        <v>241</v>
      </c>
      <c r="G182" s="92"/>
      <c r="H182" s="92"/>
      <c r="I182" s="92"/>
      <c r="J182" s="92"/>
      <c r="K182" s="92"/>
      <c r="L182" s="9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15">
      <c r="A183">
        <v>182</v>
      </c>
      <c r="B183" t="s">
        <v>43</v>
      </c>
      <c r="C183" t="s">
        <v>53</v>
      </c>
      <c r="D183" s="72" t="s">
        <v>242</v>
      </c>
      <c r="E183" t="s">
        <v>736</v>
      </c>
      <c r="F183" t="s">
        <v>243</v>
      </c>
      <c r="G183" s="92"/>
      <c r="H183" s="92"/>
      <c r="I183" s="92"/>
      <c r="J183" s="92"/>
      <c r="K183" s="92"/>
      <c r="L183" s="9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15">
      <c r="A184">
        <v>183</v>
      </c>
      <c r="B184" t="s">
        <v>43</v>
      </c>
      <c r="C184" t="s">
        <v>53</v>
      </c>
      <c r="D184" s="72" t="s">
        <v>244</v>
      </c>
      <c r="E184" t="s">
        <v>61</v>
      </c>
      <c r="F184" t="s">
        <v>245</v>
      </c>
      <c r="G184" s="92"/>
      <c r="H184" s="92"/>
      <c r="I184" s="92"/>
      <c r="J184" s="92"/>
      <c r="K184" s="92"/>
      <c r="L184" s="9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15">
      <c r="A185">
        <v>184</v>
      </c>
      <c r="B185" t="s">
        <v>43</v>
      </c>
      <c r="C185" t="s">
        <v>53</v>
      </c>
      <c r="D185" s="72" t="s">
        <v>246</v>
      </c>
      <c r="E185" t="s">
        <v>61</v>
      </c>
      <c r="F185" t="s">
        <v>247</v>
      </c>
      <c r="G185" s="92"/>
      <c r="H185" s="92"/>
      <c r="I185" s="92"/>
      <c r="J185" s="92"/>
      <c r="K185" s="92"/>
      <c r="L185" s="9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15">
      <c r="A186">
        <v>185</v>
      </c>
      <c r="B186" t="s">
        <v>43</v>
      </c>
      <c r="C186" t="s">
        <v>53</v>
      </c>
      <c r="D186" s="72" t="s">
        <v>248</v>
      </c>
      <c r="E186" t="s">
        <v>736</v>
      </c>
      <c r="F186" t="s">
        <v>249</v>
      </c>
      <c r="G186" s="92"/>
      <c r="H186" s="92"/>
      <c r="I186" s="92"/>
      <c r="J186" s="92"/>
      <c r="K186" s="92"/>
      <c r="L186" s="9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15">
      <c r="A187">
        <v>186</v>
      </c>
      <c r="B187" t="s">
        <v>43</v>
      </c>
      <c r="C187" t="s">
        <v>53</v>
      </c>
      <c r="D187" s="72" t="s">
        <v>250</v>
      </c>
      <c r="E187" t="s">
        <v>36</v>
      </c>
      <c r="F187" t="s">
        <v>251</v>
      </c>
      <c r="G187" s="92"/>
      <c r="H187" s="92"/>
      <c r="I187" s="92"/>
      <c r="J187" s="92"/>
      <c r="K187" s="92"/>
      <c r="L187" s="9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15">
      <c r="A188">
        <v>187</v>
      </c>
      <c r="B188" t="s">
        <v>43</v>
      </c>
      <c r="C188" t="s">
        <v>53</v>
      </c>
      <c r="D188" s="72" t="s">
        <v>252</v>
      </c>
      <c r="E188" t="s">
        <v>36</v>
      </c>
      <c r="F188" t="s">
        <v>253</v>
      </c>
      <c r="G188" s="92"/>
      <c r="H188" s="92"/>
      <c r="I188" s="92"/>
      <c r="J188" s="92"/>
      <c r="K188" s="92"/>
      <c r="L188" s="9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15">
      <c r="A189">
        <v>188</v>
      </c>
      <c r="B189" t="s">
        <v>43</v>
      </c>
      <c r="C189" t="s">
        <v>53</v>
      </c>
      <c r="D189" s="72" t="s">
        <v>254</v>
      </c>
      <c r="E189" t="s">
        <v>61</v>
      </c>
      <c r="F189" t="s">
        <v>255</v>
      </c>
      <c r="G189" s="92"/>
      <c r="H189" s="92"/>
      <c r="I189" s="92"/>
      <c r="J189" s="92"/>
      <c r="K189" s="92"/>
      <c r="L189" s="9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15">
      <c r="A190">
        <v>189</v>
      </c>
      <c r="B190" t="s">
        <v>43</v>
      </c>
      <c r="C190" t="s">
        <v>53</v>
      </c>
      <c r="D190" s="72" t="s">
        <v>256</v>
      </c>
      <c r="E190" t="s">
        <v>36</v>
      </c>
      <c r="F190" t="s">
        <v>257</v>
      </c>
      <c r="G190" s="92"/>
      <c r="H190" s="92"/>
      <c r="I190" s="92"/>
      <c r="J190" s="92"/>
      <c r="K190" s="92"/>
      <c r="L190" s="9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15">
      <c r="A191">
        <v>190</v>
      </c>
      <c r="B191" t="s">
        <v>43</v>
      </c>
      <c r="C191" t="s">
        <v>53</v>
      </c>
      <c r="D191" s="72" t="s">
        <v>258</v>
      </c>
      <c r="E191" t="s">
        <v>36</v>
      </c>
      <c r="F191" t="s">
        <v>259</v>
      </c>
      <c r="G191" s="92"/>
      <c r="H191" s="92"/>
      <c r="I191" s="92"/>
      <c r="J191" s="92"/>
      <c r="K191" s="92"/>
      <c r="L191" s="9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15">
      <c r="A192">
        <v>191</v>
      </c>
      <c r="B192" t="s">
        <v>43</v>
      </c>
      <c r="C192" t="s">
        <v>53</v>
      </c>
      <c r="D192" s="72" t="s">
        <v>260</v>
      </c>
      <c r="E192" t="s">
        <v>36</v>
      </c>
      <c r="F192" t="s">
        <v>261</v>
      </c>
      <c r="G192" s="92"/>
      <c r="H192" s="92"/>
      <c r="I192" s="92"/>
      <c r="J192" s="92"/>
      <c r="K192" s="92"/>
      <c r="L192" s="9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15">
      <c r="A193">
        <v>192</v>
      </c>
      <c r="B193" t="s">
        <v>43</v>
      </c>
      <c r="C193" t="s">
        <v>53</v>
      </c>
      <c r="D193" s="72" t="s">
        <v>262</v>
      </c>
      <c r="E193" t="s">
        <v>36</v>
      </c>
      <c r="F193" t="s">
        <v>263</v>
      </c>
      <c r="G193" s="92"/>
      <c r="H193" s="92"/>
      <c r="I193" s="92"/>
      <c r="J193" s="92"/>
      <c r="K193" s="92"/>
      <c r="L193" s="9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15">
      <c r="A194">
        <v>193</v>
      </c>
      <c r="B194" t="s">
        <v>43</v>
      </c>
      <c r="C194" t="s">
        <v>53</v>
      </c>
      <c r="D194" s="72" t="s">
        <v>264</v>
      </c>
      <c r="E194" t="s">
        <v>36</v>
      </c>
      <c r="F194" t="s">
        <v>265</v>
      </c>
      <c r="G194" s="92"/>
      <c r="H194" s="92"/>
      <c r="I194" s="92"/>
      <c r="J194" s="92"/>
      <c r="K194" s="92"/>
      <c r="L194" s="9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15">
      <c r="A195">
        <v>194</v>
      </c>
      <c r="B195" t="s">
        <v>35</v>
      </c>
      <c r="C195" t="s">
        <v>6</v>
      </c>
      <c r="D195" s="72" t="s">
        <v>268</v>
      </c>
      <c r="E195" t="s">
        <v>36</v>
      </c>
      <c r="F195" t="s">
        <v>269</v>
      </c>
      <c r="G195" s="92">
        <v>42597.467997685184</v>
      </c>
      <c r="H195" s="92">
        <v>42597.468009259261</v>
      </c>
      <c r="I195" s="92">
        <v>42597.467997685184</v>
      </c>
      <c r="J195" s="92">
        <v>42597.492743055554</v>
      </c>
      <c r="K195" s="92">
        <v>42650.398738425924</v>
      </c>
      <c r="L195" s="92">
        <f>IF(AND(单词表[[#This Row],[学英]]&lt;&gt;"",单词表[[#This Row],[学中]]&lt;&gt;"",单词表[[#This Row],[学词]]&lt;&gt;""),MAX(单词表[[#This Row],[学英]:[学词]]),"")</f>
        <v>42597.468009259261</v>
      </c>
      <c r="M195" s="2">
        <f>IF(AND(单词表[[#This Row],[考英]]&lt;&gt;"",单词表[[#This Row],[考中]]&lt;&gt;""),MAX(单词表[[#This Row],[考英]:[考中]]),"")</f>
        <v>42650.398738425924</v>
      </c>
      <c r="P195" s="32"/>
    </row>
    <row r="196" spans="1:16" hidden="1" x14ac:dyDescent="0.15">
      <c r="A196">
        <v>195</v>
      </c>
      <c r="B196" t="s">
        <v>35</v>
      </c>
      <c r="C196" t="s">
        <v>6</v>
      </c>
      <c r="D196" s="72" t="s">
        <v>270</v>
      </c>
      <c r="E196" t="s">
        <v>702</v>
      </c>
      <c r="F196" t="s">
        <v>271</v>
      </c>
      <c r="G196" s="92">
        <v>42597.468032407407</v>
      </c>
      <c r="H196" s="92">
        <v>42597.468043981484</v>
      </c>
      <c r="I196" s="92">
        <v>42597.468032407407</v>
      </c>
      <c r="J196" s="92">
        <v>42597.492881944447</v>
      </c>
      <c r="K196" s="92">
        <v>42650.398773148147</v>
      </c>
      <c r="L196" s="92">
        <f>IF(AND(单词表[[#This Row],[学英]]&lt;&gt;"",单词表[[#This Row],[学中]]&lt;&gt;"",单词表[[#This Row],[学词]]&lt;&gt;""),MAX(单词表[[#This Row],[学英]:[学词]]),"")</f>
        <v>42597.468043981484</v>
      </c>
      <c r="M196" s="2">
        <f>IF(AND(单词表[[#This Row],[考英]]&lt;&gt;"",单词表[[#This Row],[考中]]&lt;&gt;""),MAX(单词表[[#This Row],[考英]:[考中]]),"")</f>
        <v>42650.398773148147</v>
      </c>
      <c r="P196" s="32"/>
    </row>
    <row r="197" spans="1:16" hidden="1" x14ac:dyDescent="0.15">
      <c r="A197">
        <v>196</v>
      </c>
      <c r="B197" t="s">
        <v>35</v>
      </c>
      <c r="C197" t="s">
        <v>6</v>
      </c>
      <c r="D197" s="72" t="s">
        <v>272</v>
      </c>
      <c r="E197" t="s">
        <v>61</v>
      </c>
      <c r="F197" t="s">
        <v>5493</v>
      </c>
      <c r="G197" s="92">
        <v>42597.468090277776</v>
      </c>
      <c r="H197" s="92">
        <v>42650.421157407407</v>
      </c>
      <c r="I197" s="92">
        <v>42650.42114583333</v>
      </c>
      <c r="J197" s="92">
        <v>42597.492974537039</v>
      </c>
      <c r="K197" s="92">
        <v>42650.423194444447</v>
      </c>
      <c r="L197" s="92">
        <f>IF(AND(单词表[[#This Row],[学英]]&lt;&gt;"",单词表[[#This Row],[学中]]&lt;&gt;"",单词表[[#This Row],[学词]]&lt;&gt;""),MAX(单词表[[#This Row],[学英]:[学词]]),"")</f>
        <v>42650.421157407407</v>
      </c>
      <c r="M197" s="2">
        <f>IF(AND(单词表[[#This Row],[考英]]&lt;&gt;"",单词表[[#This Row],[考中]]&lt;&gt;""),MAX(单词表[[#This Row],[考英]:[考中]]),"")</f>
        <v>42650.423194444447</v>
      </c>
      <c r="P197" s="32"/>
    </row>
    <row r="198" spans="1:16" hidden="1" x14ac:dyDescent="0.15">
      <c r="A198">
        <v>197</v>
      </c>
      <c r="B198" t="s">
        <v>35</v>
      </c>
      <c r="C198" t="s">
        <v>6</v>
      </c>
      <c r="D198" s="72" t="s">
        <v>273</v>
      </c>
      <c r="E198" t="s">
        <v>36</v>
      </c>
      <c r="F198" t="s">
        <v>274</v>
      </c>
      <c r="G198" s="92">
        <v>42597.468182870369</v>
      </c>
      <c r="H198" s="92">
        <v>42630.485798611109</v>
      </c>
      <c r="I198" s="92">
        <v>42630.485775462963</v>
      </c>
      <c r="J198" s="92">
        <v>42597.493055555555</v>
      </c>
      <c r="K198" s="92">
        <v>42650.398888888885</v>
      </c>
      <c r="L198" s="92">
        <f>IF(AND(单词表[[#This Row],[学英]]&lt;&gt;"",单词表[[#This Row],[学中]]&lt;&gt;"",单词表[[#This Row],[学词]]&lt;&gt;""),MAX(单词表[[#This Row],[学英]:[学词]]),"")</f>
        <v>42630.485798611109</v>
      </c>
      <c r="M198" s="2">
        <f>IF(AND(单词表[[#This Row],[考英]]&lt;&gt;"",单词表[[#This Row],[考中]]&lt;&gt;""),MAX(单词表[[#This Row],[考英]:[考中]]),"")</f>
        <v>42650.398888888885</v>
      </c>
      <c r="N198" s="33"/>
      <c r="P198" s="32"/>
    </row>
    <row r="199" spans="1:16" hidden="1" x14ac:dyDescent="0.15">
      <c r="A199">
        <v>198</v>
      </c>
      <c r="B199" t="s">
        <v>35</v>
      </c>
      <c r="C199" t="s">
        <v>6</v>
      </c>
      <c r="D199" s="72" t="s">
        <v>275</v>
      </c>
      <c r="E199" t="s">
        <v>73</v>
      </c>
      <c r="F199" t="s">
        <v>276</v>
      </c>
      <c r="G199" s="92">
        <v>42597.470925925925</v>
      </c>
      <c r="H199" s="92">
        <v>42597.470949074072</v>
      </c>
      <c r="I199" s="92">
        <v>42597.470937500002</v>
      </c>
      <c r="J199" s="92">
        <v>42597.493206018517</v>
      </c>
      <c r="K199" s="92">
        <v>42650.398935185185</v>
      </c>
      <c r="L199" s="92">
        <f>IF(AND(单词表[[#This Row],[学英]]&lt;&gt;"",单词表[[#This Row],[学中]]&lt;&gt;"",单词表[[#This Row],[学词]]&lt;&gt;""),MAX(单词表[[#This Row],[学英]:[学词]]),"")</f>
        <v>42597.470949074072</v>
      </c>
      <c r="M199" s="2">
        <f>IF(AND(单词表[[#This Row],[考英]]&lt;&gt;"",单词表[[#This Row],[考中]]&lt;&gt;""),MAX(单词表[[#This Row],[考英]:[考中]]),"")</f>
        <v>42650.398935185185</v>
      </c>
      <c r="P199" s="32"/>
    </row>
    <row r="200" spans="1:16" hidden="1" x14ac:dyDescent="0.15">
      <c r="A200">
        <v>199</v>
      </c>
      <c r="B200" t="s">
        <v>35</v>
      </c>
      <c r="C200" t="s">
        <v>6</v>
      </c>
      <c r="D200" s="72" t="s">
        <v>277</v>
      </c>
      <c r="E200" t="s">
        <v>36</v>
      </c>
      <c r="F200" t="s">
        <v>278</v>
      </c>
      <c r="G200" s="92">
        <v>42650.427893518521</v>
      </c>
      <c r="H200" s="92">
        <v>42630.485914351855</v>
      </c>
      <c r="I200" s="92">
        <v>42630.485902777778</v>
      </c>
      <c r="J200" s="92">
        <v>42650.428101851852</v>
      </c>
      <c r="K200" s="92">
        <v>42650.398981481485</v>
      </c>
      <c r="L200" s="92">
        <f>IF(AND(单词表[[#This Row],[学英]]&lt;&gt;"",单词表[[#This Row],[学中]]&lt;&gt;"",单词表[[#This Row],[学词]]&lt;&gt;""),MAX(单词表[[#This Row],[学英]:[学词]]),"")</f>
        <v>42650.427893518521</v>
      </c>
      <c r="M200" s="2">
        <f>IF(AND(单词表[[#This Row],[考英]]&lt;&gt;"",单词表[[#This Row],[考中]]&lt;&gt;""),MAX(单词表[[#This Row],[考英]:[考中]]),"")</f>
        <v>42650.428101851852</v>
      </c>
      <c r="P200" s="32"/>
    </row>
    <row r="201" spans="1:16" hidden="1" x14ac:dyDescent="0.15">
      <c r="A201">
        <v>200</v>
      </c>
      <c r="B201" t="s">
        <v>35</v>
      </c>
      <c r="C201" t="s">
        <v>6</v>
      </c>
      <c r="D201" s="72" t="s">
        <v>279</v>
      </c>
      <c r="E201" t="s">
        <v>36</v>
      </c>
      <c r="F201" t="s">
        <v>280</v>
      </c>
      <c r="G201" s="92">
        <v>42597.470671296294</v>
      </c>
      <c r="H201" s="92">
        <v>42597.470659722225</v>
      </c>
      <c r="I201" s="92">
        <v>42597.470659722225</v>
      </c>
      <c r="J201" s="92">
        <v>42597.493391203701</v>
      </c>
      <c r="K201" s="92">
        <v>42650.399016203701</v>
      </c>
      <c r="L201" s="92">
        <f>IF(AND(单词表[[#This Row],[学英]]&lt;&gt;"",单词表[[#This Row],[学中]]&lt;&gt;"",单词表[[#This Row],[学词]]&lt;&gt;""),MAX(单词表[[#This Row],[学英]:[学词]]),"")</f>
        <v>42597.470671296294</v>
      </c>
      <c r="M201" s="2">
        <f>IF(AND(单词表[[#This Row],[考英]]&lt;&gt;"",单词表[[#This Row],[考中]]&lt;&gt;""),MAX(单词表[[#This Row],[考英]:[考中]]),"")</f>
        <v>42650.399016203701</v>
      </c>
      <c r="P201" s="32"/>
    </row>
    <row r="202" spans="1:16" hidden="1" x14ac:dyDescent="0.15">
      <c r="A202">
        <v>201</v>
      </c>
      <c r="B202" t="s">
        <v>35</v>
      </c>
      <c r="C202" t="s">
        <v>6</v>
      </c>
      <c r="D202" s="72" t="s">
        <v>281</v>
      </c>
      <c r="E202" t="s">
        <v>61</v>
      </c>
      <c r="F202" t="s">
        <v>282</v>
      </c>
      <c r="G202" s="92">
        <v>42597.553032407406</v>
      </c>
      <c r="H202" s="92">
        <v>42630.485937500001</v>
      </c>
      <c r="I202" s="92">
        <v>42630.485937500001</v>
      </c>
      <c r="J202" s="92">
        <v>42597.588726851849</v>
      </c>
      <c r="K202" s="92">
        <v>42650.399062500001</v>
      </c>
      <c r="L202" s="92">
        <f>IF(AND(单词表[[#This Row],[学英]]&lt;&gt;"",单词表[[#This Row],[学中]]&lt;&gt;"",单词表[[#This Row],[学词]]&lt;&gt;""),MAX(单词表[[#This Row],[学英]:[学词]]),"")</f>
        <v>42630.485937500001</v>
      </c>
      <c r="M202" s="2">
        <f>IF(AND(单词表[[#This Row],[考英]]&lt;&gt;"",单词表[[#This Row],[考中]]&lt;&gt;""),MAX(单词表[[#This Row],[考英]:[考中]]),"")</f>
        <v>42650.399062500001</v>
      </c>
      <c r="P202" s="32"/>
    </row>
    <row r="203" spans="1:16" hidden="1" x14ac:dyDescent="0.15">
      <c r="A203">
        <v>202</v>
      </c>
      <c r="B203" t="s">
        <v>35</v>
      </c>
      <c r="C203" t="s">
        <v>6</v>
      </c>
      <c r="D203" s="72" t="s">
        <v>283</v>
      </c>
      <c r="E203" t="s">
        <v>61</v>
      </c>
      <c r="F203" t="s">
        <v>285</v>
      </c>
      <c r="G203" s="92">
        <v>42597.470729166664</v>
      </c>
      <c r="H203" s="92">
        <v>42650.421180555553</v>
      </c>
      <c r="I203" s="92">
        <v>42650.421180555553</v>
      </c>
      <c r="J203" s="92">
        <v>42597.493668981479</v>
      </c>
      <c r="K203" s="92">
        <v>42650.42324074074</v>
      </c>
      <c r="L203" s="92">
        <f>IF(AND(单词表[[#This Row],[学英]]&lt;&gt;"",单词表[[#This Row],[学中]]&lt;&gt;"",单词表[[#This Row],[学词]]&lt;&gt;""),MAX(单词表[[#This Row],[学英]:[学词]]),"")</f>
        <v>42650.421180555553</v>
      </c>
      <c r="M203" s="2">
        <f>IF(AND(单词表[[#This Row],[考英]]&lt;&gt;"",单词表[[#This Row],[考中]]&lt;&gt;""),MAX(单词表[[#This Row],[考英]:[考中]]),"")</f>
        <v>42650.42324074074</v>
      </c>
      <c r="P203" s="32"/>
    </row>
    <row r="204" spans="1:16" hidden="1" x14ac:dyDescent="0.15">
      <c r="A204">
        <v>203</v>
      </c>
      <c r="B204" t="s">
        <v>35</v>
      </c>
      <c r="C204" t="s">
        <v>6</v>
      </c>
      <c r="D204" s="72" t="s">
        <v>284</v>
      </c>
      <c r="E204" t="s">
        <v>36</v>
      </c>
      <c r="F204" t="s">
        <v>286</v>
      </c>
      <c r="G204" s="92">
        <v>42597.608171296299</v>
      </c>
      <c r="H204" s="92">
        <v>42597.47079861111</v>
      </c>
      <c r="I204" s="92">
        <v>42597.470775462964</v>
      </c>
      <c r="J204" s="92">
        <v>42597.611122685186</v>
      </c>
      <c r="K204" s="92">
        <v>42650.39916666667</v>
      </c>
      <c r="L204" s="92">
        <f>IF(AND(单词表[[#This Row],[学英]]&lt;&gt;"",单词表[[#This Row],[学中]]&lt;&gt;"",单词表[[#This Row],[学词]]&lt;&gt;""),MAX(单词表[[#This Row],[学英]:[学词]]),"")</f>
        <v>42597.608171296299</v>
      </c>
      <c r="M204" s="2">
        <f>IF(AND(单词表[[#This Row],[考英]]&lt;&gt;"",单词表[[#This Row],[考中]]&lt;&gt;""),MAX(单词表[[#This Row],[考英]:[考中]]),"")</f>
        <v>42650.39916666667</v>
      </c>
      <c r="P204" s="32"/>
    </row>
    <row r="205" spans="1:16" hidden="1" x14ac:dyDescent="0.15">
      <c r="A205">
        <v>204</v>
      </c>
      <c r="B205" t="s">
        <v>35</v>
      </c>
      <c r="C205" t="s">
        <v>6</v>
      </c>
      <c r="D205" s="72" t="s">
        <v>287</v>
      </c>
      <c r="E205" t="s">
        <v>61</v>
      </c>
      <c r="F205" t="s">
        <v>288</v>
      </c>
      <c r="G205" s="92">
        <v>42597.472071759257</v>
      </c>
      <c r="H205" s="92">
        <v>42650.407129629632</v>
      </c>
      <c r="I205" s="92">
        <v>42650.407141203701</v>
      </c>
      <c r="J205" s="92">
        <v>42597.493935185186</v>
      </c>
      <c r="K205" s="92">
        <v>42650.415393518517</v>
      </c>
      <c r="L205" s="92">
        <f>IF(AND(单词表[[#This Row],[学英]]&lt;&gt;"",单词表[[#This Row],[学中]]&lt;&gt;"",单词表[[#This Row],[学词]]&lt;&gt;""),MAX(单词表[[#This Row],[学英]:[学词]]),"")</f>
        <v>42650.407141203701</v>
      </c>
      <c r="M205" s="2">
        <f>IF(AND(单词表[[#This Row],[考英]]&lt;&gt;"",单词表[[#This Row],[考中]]&lt;&gt;""),MAX(单词表[[#This Row],[考英]:[考中]]),"")</f>
        <v>42650.415393518517</v>
      </c>
      <c r="P205" s="32"/>
    </row>
    <row r="206" spans="1:16" hidden="1" x14ac:dyDescent="0.15">
      <c r="A206">
        <v>205</v>
      </c>
      <c r="B206" t="s">
        <v>35</v>
      </c>
      <c r="C206" t="s">
        <v>6</v>
      </c>
      <c r="D206" s="72" t="s">
        <v>289</v>
      </c>
      <c r="E206" t="s">
        <v>736</v>
      </c>
      <c r="F206" t="s">
        <v>5519</v>
      </c>
      <c r="G206" s="92">
        <v>42597.472187500003</v>
      </c>
      <c r="H206" s="92">
        <v>42650.421215277776</v>
      </c>
      <c r="I206" s="92">
        <v>42650.421203703707</v>
      </c>
      <c r="J206" s="92">
        <v>42597.494131944448</v>
      </c>
      <c r="K206" s="92">
        <v>42650.423263888886</v>
      </c>
      <c r="L206" s="92">
        <f>IF(AND(单词表[[#This Row],[学英]]&lt;&gt;"",单词表[[#This Row],[学中]]&lt;&gt;"",单词表[[#This Row],[学词]]&lt;&gt;""),MAX(单词表[[#This Row],[学英]:[学词]]),"")</f>
        <v>42650.421215277776</v>
      </c>
      <c r="M206" s="2">
        <f>IF(AND(单词表[[#This Row],[考英]]&lt;&gt;"",单词表[[#This Row],[考中]]&lt;&gt;""),MAX(单词表[[#This Row],[考英]:[考中]]),"")</f>
        <v>42650.423263888886</v>
      </c>
      <c r="P206" s="32"/>
    </row>
    <row r="207" spans="1:16" hidden="1" x14ac:dyDescent="0.15">
      <c r="A207">
        <v>206</v>
      </c>
      <c r="B207" t="s">
        <v>35</v>
      </c>
      <c r="C207" t="s">
        <v>6</v>
      </c>
      <c r="D207" s="72" t="s">
        <v>290</v>
      </c>
      <c r="E207" t="s">
        <v>1021</v>
      </c>
      <c r="F207" t="s">
        <v>291</v>
      </c>
      <c r="G207" s="92">
        <v>42597.553078703706</v>
      </c>
      <c r="H207" s="92">
        <v>42650.423761574071</v>
      </c>
      <c r="I207" s="92">
        <v>42650.423750000002</v>
      </c>
      <c r="J207" s="92">
        <v>42597.589537037034</v>
      </c>
      <c r="K207" s="92">
        <v>42650.424062500002</v>
      </c>
      <c r="L207" s="92">
        <f>IF(AND(单词表[[#This Row],[学英]]&lt;&gt;"",单词表[[#This Row],[学中]]&lt;&gt;"",单词表[[#This Row],[学词]]&lt;&gt;""),MAX(单词表[[#This Row],[学英]:[学词]]),"")</f>
        <v>42650.423761574071</v>
      </c>
      <c r="M207" s="2">
        <f>IF(AND(单词表[[#This Row],[考英]]&lt;&gt;"",单词表[[#This Row],[考中]]&lt;&gt;""),MAX(单词表[[#This Row],[考英]:[考中]]),"")</f>
        <v>42650.424062500002</v>
      </c>
      <c r="P207" s="32"/>
    </row>
    <row r="208" spans="1:16" hidden="1" x14ac:dyDescent="0.15">
      <c r="A208">
        <v>207</v>
      </c>
      <c r="B208" t="s">
        <v>35</v>
      </c>
      <c r="C208" t="s">
        <v>6</v>
      </c>
      <c r="D208" s="72" t="s">
        <v>292</v>
      </c>
      <c r="E208" t="s">
        <v>157</v>
      </c>
      <c r="F208" t="s">
        <v>293</v>
      </c>
      <c r="G208" s="92">
        <v>42597.472500000003</v>
      </c>
      <c r="H208" s="92">
        <v>42630.531030092592</v>
      </c>
      <c r="I208" s="92">
        <v>42630.531018518515</v>
      </c>
      <c r="J208" s="92">
        <v>42597.49428240741</v>
      </c>
      <c r="K208" s="92">
        <v>42650.399409722224</v>
      </c>
      <c r="L208" s="92">
        <f>IF(AND(单词表[[#This Row],[学英]]&lt;&gt;"",单词表[[#This Row],[学中]]&lt;&gt;"",单词表[[#This Row],[学词]]&lt;&gt;""),MAX(单词表[[#This Row],[学英]:[学词]]),"")</f>
        <v>42630.531030092592</v>
      </c>
      <c r="M208" s="2">
        <f>IF(AND(单词表[[#This Row],[考英]]&lt;&gt;"",单词表[[#This Row],[考中]]&lt;&gt;""),MAX(单词表[[#This Row],[考英]:[考中]]),"")</f>
        <v>42650.399409722224</v>
      </c>
      <c r="P208" s="32"/>
    </row>
    <row r="209" spans="1:16" hidden="1" x14ac:dyDescent="0.15">
      <c r="A209">
        <v>208</v>
      </c>
      <c r="B209" t="s">
        <v>35</v>
      </c>
      <c r="C209" t="s">
        <v>6</v>
      </c>
      <c r="D209" s="72" t="s">
        <v>294</v>
      </c>
      <c r="E209" t="s">
        <v>36</v>
      </c>
      <c r="F209" t="s">
        <v>1244</v>
      </c>
      <c r="G209" s="92">
        <v>42597.478564814817</v>
      </c>
      <c r="H209" s="92">
        <v>42650.407384259262</v>
      </c>
      <c r="I209" s="92">
        <v>42650.407384259262</v>
      </c>
      <c r="J209" s="92">
        <v>42597.49459490741</v>
      </c>
      <c r="K209" s="92">
        <v>42650.415578703702</v>
      </c>
      <c r="L209" s="92">
        <f>IF(AND(单词表[[#This Row],[学英]]&lt;&gt;"",单词表[[#This Row],[学中]]&lt;&gt;"",单词表[[#This Row],[学词]]&lt;&gt;""),MAX(单词表[[#This Row],[学英]:[学词]]),"")</f>
        <v>42650.407384259262</v>
      </c>
      <c r="M209" s="2">
        <f>IF(AND(单词表[[#This Row],[考英]]&lt;&gt;"",单词表[[#This Row],[考中]]&lt;&gt;""),MAX(单词表[[#This Row],[考英]:[考中]]),"")</f>
        <v>42650.415578703702</v>
      </c>
      <c r="P209" s="32"/>
    </row>
    <row r="210" spans="1:16" hidden="1" x14ac:dyDescent="0.15">
      <c r="A210">
        <v>209</v>
      </c>
      <c r="B210" t="s">
        <v>35</v>
      </c>
      <c r="C210" t="s">
        <v>6</v>
      </c>
      <c r="D210" s="72" t="s">
        <v>295</v>
      </c>
      <c r="E210" t="s">
        <v>36</v>
      </c>
      <c r="F210" t="s">
        <v>296</v>
      </c>
      <c r="G210" s="92">
        <v>42597.478738425925</v>
      </c>
      <c r="H210" s="92">
        <v>42650.425115740742</v>
      </c>
      <c r="I210" s="92">
        <v>42650.425092592595</v>
      </c>
      <c r="J210" s="92">
        <v>42597.494756944441</v>
      </c>
      <c r="K210" s="92">
        <v>42650.426076388889</v>
      </c>
      <c r="L210" s="92">
        <f>IF(AND(单词表[[#This Row],[学英]]&lt;&gt;"",单词表[[#This Row],[学中]]&lt;&gt;"",单词表[[#This Row],[学词]]&lt;&gt;""),MAX(单词表[[#This Row],[学英]:[学词]]),"")</f>
        <v>42650.425115740742</v>
      </c>
      <c r="M210" s="2">
        <f>IF(AND(单词表[[#This Row],[考英]]&lt;&gt;"",单词表[[#This Row],[考中]]&lt;&gt;""),MAX(单词表[[#This Row],[考英]:[考中]]),"")</f>
        <v>42650.426076388889</v>
      </c>
      <c r="P210" s="32"/>
    </row>
    <row r="211" spans="1:16" hidden="1" x14ac:dyDescent="0.15">
      <c r="A211">
        <v>210</v>
      </c>
      <c r="B211" t="s">
        <v>35</v>
      </c>
      <c r="C211" t="s">
        <v>6</v>
      </c>
      <c r="D211" s="72" t="s">
        <v>297</v>
      </c>
      <c r="E211" t="s">
        <v>36</v>
      </c>
      <c r="F211" t="s">
        <v>298</v>
      </c>
      <c r="G211" s="92">
        <v>42597.478773148148</v>
      </c>
      <c r="H211" s="92">
        <v>42597.478796296295</v>
      </c>
      <c r="I211" s="92">
        <v>42597.478773148148</v>
      </c>
      <c r="J211" s="92">
        <v>42597.494803240741</v>
      </c>
      <c r="K211" s="92">
        <v>42650.399571759262</v>
      </c>
      <c r="L211" s="92">
        <f>IF(AND(单词表[[#This Row],[学英]]&lt;&gt;"",单词表[[#This Row],[学中]]&lt;&gt;"",单词表[[#This Row],[学词]]&lt;&gt;""),MAX(单词表[[#This Row],[学英]:[学词]]),"")</f>
        <v>42597.478796296295</v>
      </c>
      <c r="M211" s="2">
        <f>IF(AND(单词表[[#This Row],[考英]]&lt;&gt;"",单词表[[#This Row],[考中]]&lt;&gt;""),MAX(单词表[[#This Row],[考英]:[考中]]),"")</f>
        <v>42650.399571759262</v>
      </c>
      <c r="P211" s="32"/>
    </row>
    <row r="212" spans="1:16" hidden="1" x14ac:dyDescent="0.15">
      <c r="A212">
        <v>211</v>
      </c>
      <c r="B212" t="s">
        <v>35</v>
      </c>
      <c r="C212" t="s">
        <v>6</v>
      </c>
      <c r="D212" s="72" t="s">
        <v>299</v>
      </c>
      <c r="E212" t="s">
        <v>36</v>
      </c>
      <c r="F212" t="s">
        <v>300</v>
      </c>
      <c r="G212" s="92">
        <v>42597.553090277775</v>
      </c>
      <c r="H212" s="92">
        <v>42597.478819444441</v>
      </c>
      <c r="I212" s="92">
        <v>42597.478819444441</v>
      </c>
      <c r="J212" s="92">
        <v>42597.589618055557</v>
      </c>
      <c r="K212" s="92">
        <v>42650.399606481478</v>
      </c>
      <c r="L212" s="92">
        <f>IF(AND(单词表[[#This Row],[学英]]&lt;&gt;"",单词表[[#This Row],[学中]]&lt;&gt;"",单词表[[#This Row],[学词]]&lt;&gt;""),MAX(单词表[[#This Row],[学英]:[学词]]),"")</f>
        <v>42597.553090277775</v>
      </c>
      <c r="M212" s="2">
        <f>IF(AND(单词表[[#This Row],[考英]]&lt;&gt;"",单词表[[#This Row],[考中]]&lt;&gt;""),MAX(单词表[[#This Row],[考英]:[考中]]),"")</f>
        <v>42650.399606481478</v>
      </c>
      <c r="P212" s="32"/>
    </row>
    <row r="213" spans="1:16" hidden="1" x14ac:dyDescent="0.15">
      <c r="A213">
        <v>212</v>
      </c>
      <c r="B213" t="s">
        <v>35</v>
      </c>
      <c r="C213" t="s">
        <v>6</v>
      </c>
      <c r="D213" s="72" t="s">
        <v>301</v>
      </c>
      <c r="E213" t="s">
        <v>702</v>
      </c>
      <c r="F213" t="s">
        <v>302</v>
      </c>
      <c r="G213" s="92">
        <v>42597.615046296298</v>
      </c>
      <c r="H213" s="92">
        <v>42597.478854166664</v>
      </c>
      <c r="I213" s="92">
        <v>42597.478842592594</v>
      </c>
      <c r="J213" s="92">
        <v>42597.615208333336</v>
      </c>
      <c r="K213" s="92">
        <v>42650.399641203701</v>
      </c>
      <c r="L213" s="92">
        <f>IF(AND(单词表[[#This Row],[学英]]&lt;&gt;"",单词表[[#This Row],[学中]]&lt;&gt;"",单词表[[#This Row],[学词]]&lt;&gt;""),MAX(单词表[[#This Row],[学英]:[学词]]),"")</f>
        <v>42597.615046296298</v>
      </c>
      <c r="M213" s="2">
        <f>IF(AND(单词表[[#This Row],[考英]]&lt;&gt;"",单词表[[#This Row],[考中]]&lt;&gt;""),MAX(单词表[[#This Row],[考英]:[考中]]),"")</f>
        <v>42650.399641203701</v>
      </c>
      <c r="P213" s="32"/>
    </row>
    <row r="214" spans="1:16" hidden="1" x14ac:dyDescent="0.15">
      <c r="A214">
        <v>213</v>
      </c>
      <c r="B214" t="s">
        <v>35</v>
      </c>
      <c r="C214" t="s">
        <v>6</v>
      </c>
      <c r="D214" s="72" t="s">
        <v>303</v>
      </c>
      <c r="E214" t="s">
        <v>36</v>
      </c>
      <c r="F214" t="s">
        <v>304</v>
      </c>
      <c r="G214" s="92">
        <v>42597.478877314818</v>
      </c>
      <c r="H214" s="92">
        <v>42597.478888888887</v>
      </c>
      <c r="I214" s="92">
        <v>42597.478877314818</v>
      </c>
      <c r="J214" s="92">
        <v>42597.495081018518</v>
      </c>
      <c r="K214" s="92">
        <v>42650.399664351855</v>
      </c>
      <c r="L214" s="92">
        <f>IF(AND(单词表[[#This Row],[学英]]&lt;&gt;"",单词表[[#This Row],[学中]]&lt;&gt;"",单词表[[#This Row],[学词]]&lt;&gt;""),MAX(单词表[[#This Row],[学英]:[学词]]),"")</f>
        <v>42597.478888888887</v>
      </c>
      <c r="M214" s="2">
        <f>IF(AND(单词表[[#This Row],[考英]]&lt;&gt;"",单词表[[#This Row],[考中]]&lt;&gt;""),MAX(单词表[[#This Row],[考英]:[考中]]),"")</f>
        <v>42650.399664351855</v>
      </c>
      <c r="P214" s="32"/>
    </row>
    <row r="215" spans="1:16" hidden="1" x14ac:dyDescent="0.15">
      <c r="A215">
        <v>214</v>
      </c>
      <c r="B215" t="s">
        <v>35</v>
      </c>
      <c r="C215" t="s">
        <v>6</v>
      </c>
      <c r="D215" s="72" t="s">
        <v>305</v>
      </c>
      <c r="E215" t="s">
        <v>36</v>
      </c>
      <c r="F215" t="s">
        <v>306</v>
      </c>
      <c r="G215" s="92">
        <v>42597.479328703703</v>
      </c>
      <c r="H215" s="92">
        <v>42597.47934027778</v>
      </c>
      <c r="I215" s="92">
        <v>42597.479328703703</v>
      </c>
      <c r="J215" s="92">
        <v>42597.495173611111</v>
      </c>
      <c r="K215" s="92">
        <v>42650.399710648147</v>
      </c>
      <c r="L215" s="92">
        <f>IF(AND(单词表[[#This Row],[学英]]&lt;&gt;"",单词表[[#This Row],[学中]]&lt;&gt;"",单词表[[#This Row],[学词]]&lt;&gt;""),MAX(单词表[[#This Row],[学英]:[学词]]),"")</f>
        <v>42597.47934027778</v>
      </c>
      <c r="M215" s="2">
        <f>IF(AND(单词表[[#This Row],[考英]]&lt;&gt;"",单词表[[#This Row],[考中]]&lt;&gt;""),MAX(单词表[[#This Row],[考英]:[考中]]),"")</f>
        <v>42650.399710648147</v>
      </c>
      <c r="P215" s="32"/>
    </row>
    <row r="216" spans="1:16" hidden="1" x14ac:dyDescent="0.15">
      <c r="A216">
        <v>215</v>
      </c>
      <c r="B216" t="s">
        <v>35</v>
      </c>
      <c r="C216" t="s">
        <v>6</v>
      </c>
      <c r="D216" s="72" t="s">
        <v>307</v>
      </c>
      <c r="E216" t="s">
        <v>702</v>
      </c>
      <c r="F216" t="s">
        <v>308</v>
      </c>
      <c r="G216" s="92">
        <v>42597.479363425926</v>
      </c>
      <c r="H216" s="92">
        <v>42650.408182870371</v>
      </c>
      <c r="I216" s="92">
        <v>42650.408182870371</v>
      </c>
      <c r="J216" s="92">
        <v>42597.495289351849</v>
      </c>
      <c r="K216" s="92">
        <v>42650.415694444448</v>
      </c>
      <c r="L216" s="92">
        <f>IF(AND(单词表[[#This Row],[学英]]&lt;&gt;"",单词表[[#This Row],[学中]]&lt;&gt;"",单词表[[#This Row],[学词]]&lt;&gt;""),MAX(单词表[[#This Row],[学英]:[学词]]),"")</f>
        <v>42650.408182870371</v>
      </c>
      <c r="M216" s="2">
        <f>IF(AND(单词表[[#This Row],[考英]]&lt;&gt;"",单词表[[#This Row],[考中]]&lt;&gt;""),MAX(单词表[[#This Row],[考英]:[考中]]),"")</f>
        <v>42650.415694444448</v>
      </c>
      <c r="P216" s="32"/>
    </row>
    <row r="217" spans="1:16" hidden="1" x14ac:dyDescent="0.15">
      <c r="A217">
        <v>216</v>
      </c>
      <c r="B217" t="s">
        <v>35</v>
      </c>
      <c r="C217" t="s">
        <v>6</v>
      </c>
      <c r="D217" s="72" t="s">
        <v>309</v>
      </c>
      <c r="E217" t="s">
        <v>36</v>
      </c>
      <c r="F217" t="s">
        <v>310</v>
      </c>
      <c r="G217" s="92">
        <v>42597.479432870372</v>
      </c>
      <c r="H217" s="92">
        <v>42650.408333333333</v>
      </c>
      <c r="I217" s="92">
        <v>42650.408321759256</v>
      </c>
      <c r="J217" s="92">
        <v>42597.49559027778</v>
      </c>
      <c r="K217" s="92">
        <v>42650.415729166663</v>
      </c>
      <c r="L217" s="92">
        <f>IF(AND(单词表[[#This Row],[学英]]&lt;&gt;"",单词表[[#This Row],[学中]]&lt;&gt;"",单词表[[#This Row],[学词]]&lt;&gt;""),MAX(单词表[[#This Row],[学英]:[学词]]),"")</f>
        <v>42650.408333333333</v>
      </c>
      <c r="M217" s="2">
        <f>IF(AND(单词表[[#This Row],[考英]]&lt;&gt;"",单词表[[#This Row],[考中]]&lt;&gt;""),MAX(单词表[[#This Row],[考英]:[考中]]),"")</f>
        <v>42650.415729166663</v>
      </c>
      <c r="P217" s="32"/>
    </row>
    <row r="218" spans="1:16" hidden="1" x14ac:dyDescent="0.15">
      <c r="A218">
        <v>217</v>
      </c>
      <c r="B218" t="s">
        <v>35</v>
      </c>
      <c r="C218" t="s">
        <v>6</v>
      </c>
      <c r="D218" s="72" t="s">
        <v>311</v>
      </c>
      <c r="E218" t="s">
        <v>36</v>
      </c>
      <c r="F218" t="s">
        <v>102</v>
      </c>
      <c r="G218" s="92">
        <v>42597.479895833334</v>
      </c>
      <c r="H218" s="92">
        <v>42630.531157407408</v>
      </c>
      <c r="I218" s="92">
        <v>42630.531157407408</v>
      </c>
      <c r="J218" s="92">
        <v>42597.495625000003</v>
      </c>
      <c r="K218" s="92">
        <v>42650.399884259263</v>
      </c>
      <c r="L218" s="92">
        <f>IF(AND(单词表[[#This Row],[学英]]&lt;&gt;"",单词表[[#This Row],[学中]]&lt;&gt;"",单词表[[#This Row],[学词]]&lt;&gt;""),MAX(单词表[[#This Row],[学英]:[学词]]),"")</f>
        <v>42630.531157407408</v>
      </c>
      <c r="M218" s="2">
        <f>IF(AND(单词表[[#This Row],[考英]]&lt;&gt;"",单词表[[#This Row],[考中]]&lt;&gt;""),MAX(单词表[[#This Row],[考英]:[考中]]),"")</f>
        <v>42650.399884259263</v>
      </c>
      <c r="P218" s="32"/>
    </row>
    <row r="219" spans="1:16" hidden="1" x14ac:dyDescent="0.15">
      <c r="A219">
        <v>218</v>
      </c>
      <c r="B219" t="s">
        <v>35</v>
      </c>
      <c r="C219" t="s">
        <v>6</v>
      </c>
      <c r="D219" s="72" t="s">
        <v>312</v>
      </c>
      <c r="E219" t="s">
        <v>36</v>
      </c>
      <c r="F219" t="s">
        <v>313</v>
      </c>
      <c r="G219" s="92">
        <v>42597.479953703703</v>
      </c>
      <c r="H219" s="92">
        <v>42650.423819444448</v>
      </c>
      <c r="I219" s="92">
        <v>42650.423819444448</v>
      </c>
      <c r="J219" s="92">
        <v>42597.495706018519</v>
      </c>
      <c r="K219" s="92">
        <v>42650.424166666664</v>
      </c>
      <c r="L219" s="92">
        <f>IF(AND(单词表[[#This Row],[学英]]&lt;&gt;"",单词表[[#This Row],[学中]]&lt;&gt;"",单词表[[#This Row],[学词]]&lt;&gt;""),MAX(单词表[[#This Row],[学英]:[学词]]),"")</f>
        <v>42650.423819444448</v>
      </c>
      <c r="M219" s="2">
        <f>IF(AND(单词表[[#This Row],[考英]]&lt;&gt;"",单词表[[#This Row],[考中]]&lt;&gt;""),MAX(单词表[[#This Row],[考英]:[考中]]),"")</f>
        <v>42650.424166666664</v>
      </c>
      <c r="N219" s="33"/>
      <c r="P219" s="32"/>
    </row>
    <row r="220" spans="1:16" hidden="1" x14ac:dyDescent="0.15">
      <c r="A220">
        <v>219</v>
      </c>
      <c r="B220" t="s">
        <v>35</v>
      </c>
      <c r="C220" t="s">
        <v>6</v>
      </c>
      <c r="D220" s="72" t="s">
        <v>314</v>
      </c>
      <c r="E220" t="s">
        <v>36</v>
      </c>
      <c r="F220" t="s">
        <v>315</v>
      </c>
      <c r="G220" s="92">
        <v>42597.482986111114</v>
      </c>
      <c r="H220" s="92">
        <v>42630.531215277777</v>
      </c>
      <c r="I220" s="92">
        <v>42630.5312037037</v>
      </c>
      <c r="J220" s="92">
        <v>42597.495798611111</v>
      </c>
      <c r="K220" s="92">
        <v>42650.400023148148</v>
      </c>
      <c r="L220" s="92">
        <f>IF(AND(单词表[[#This Row],[学英]]&lt;&gt;"",单词表[[#This Row],[学中]]&lt;&gt;"",单词表[[#This Row],[学词]]&lt;&gt;""),MAX(单词表[[#This Row],[学英]:[学词]]),"")</f>
        <v>42630.531215277777</v>
      </c>
      <c r="M220" s="2">
        <f>IF(AND(单词表[[#This Row],[考英]]&lt;&gt;"",单词表[[#This Row],[考中]]&lt;&gt;""),MAX(单词表[[#This Row],[考英]:[考中]]),"")</f>
        <v>42650.400023148148</v>
      </c>
      <c r="P220" s="32"/>
    </row>
    <row r="221" spans="1:16" hidden="1" x14ac:dyDescent="0.15">
      <c r="A221">
        <v>220</v>
      </c>
      <c r="B221" t="s">
        <v>35</v>
      </c>
      <c r="C221" t="s">
        <v>6</v>
      </c>
      <c r="D221" s="72" t="s">
        <v>316</v>
      </c>
      <c r="E221" t="s">
        <v>157</v>
      </c>
      <c r="F221" t="s">
        <v>317</v>
      </c>
      <c r="G221" s="92">
        <v>42597.483032407406</v>
      </c>
      <c r="H221" s="92">
        <v>42650.427164351851</v>
      </c>
      <c r="I221" s="92">
        <v>42650.427164351851</v>
      </c>
      <c r="J221" s="92">
        <v>42597.495879629627</v>
      </c>
      <c r="K221" s="92">
        <v>42650.427291666667</v>
      </c>
      <c r="L221" s="92">
        <f>IF(AND(单词表[[#This Row],[学英]]&lt;&gt;"",单词表[[#This Row],[学中]]&lt;&gt;"",单词表[[#This Row],[学词]]&lt;&gt;""),MAX(单词表[[#This Row],[学英]:[学词]]),"")</f>
        <v>42650.427164351851</v>
      </c>
      <c r="M221" s="2">
        <f>IF(AND(单词表[[#This Row],[考英]]&lt;&gt;"",单词表[[#This Row],[考中]]&lt;&gt;""),MAX(单词表[[#This Row],[考英]:[考中]]),"")</f>
        <v>42650.427291666667</v>
      </c>
      <c r="P221" s="32"/>
    </row>
    <row r="222" spans="1:16" hidden="1" x14ac:dyDescent="0.15">
      <c r="A222">
        <v>221</v>
      </c>
      <c r="B222" t="s">
        <v>35</v>
      </c>
      <c r="C222" t="s">
        <v>6</v>
      </c>
      <c r="D222" s="72" t="s">
        <v>318</v>
      </c>
      <c r="E222" t="s">
        <v>36</v>
      </c>
      <c r="F222" t="s">
        <v>319</v>
      </c>
      <c r="G222" s="92">
        <v>42597.553136574075</v>
      </c>
      <c r="H222" s="92">
        <v>42650.409837962965</v>
      </c>
      <c r="I222" s="92">
        <v>42650.409826388888</v>
      </c>
      <c r="J222" s="92">
        <v>42597.590173611112</v>
      </c>
      <c r="K222" s="92">
        <v>42650.415937500002</v>
      </c>
      <c r="L222" s="92">
        <f>IF(AND(单词表[[#This Row],[学英]]&lt;&gt;"",单词表[[#This Row],[学中]]&lt;&gt;"",单词表[[#This Row],[学词]]&lt;&gt;""),MAX(单词表[[#This Row],[学英]:[学词]]),"")</f>
        <v>42650.409837962965</v>
      </c>
      <c r="M222" s="2">
        <f>IF(AND(单词表[[#This Row],[考英]]&lt;&gt;"",单词表[[#This Row],[考中]]&lt;&gt;""),MAX(单词表[[#This Row],[考英]:[考中]]),"")</f>
        <v>42650.415937500002</v>
      </c>
      <c r="P222" s="32"/>
    </row>
    <row r="223" spans="1:16" hidden="1" x14ac:dyDescent="0.15">
      <c r="A223">
        <v>222</v>
      </c>
      <c r="B223" t="s">
        <v>35</v>
      </c>
      <c r="C223" t="s">
        <v>6</v>
      </c>
      <c r="D223" s="72" t="s">
        <v>183</v>
      </c>
      <c r="E223" t="s">
        <v>36</v>
      </c>
      <c r="F223" t="s">
        <v>320</v>
      </c>
      <c r="G223" s="92">
        <v>42562.899062500001</v>
      </c>
      <c r="H223" s="92">
        <v>42562.899062500001</v>
      </c>
      <c r="I223" s="92">
        <v>42562.900949074072</v>
      </c>
      <c r="J223" s="92">
        <v>42563.389374999999</v>
      </c>
      <c r="K223" s="92">
        <v>42650.40016203704</v>
      </c>
      <c r="L223" s="92">
        <f>IF(AND(单词表[[#This Row],[学英]]&lt;&gt;"",单词表[[#This Row],[学中]]&lt;&gt;"",单词表[[#This Row],[学词]]&lt;&gt;""),MAX(单词表[[#This Row],[学英]:[学词]]),"")</f>
        <v>42562.900949074072</v>
      </c>
      <c r="M223" s="2">
        <f>IF(AND(单词表[[#This Row],[考英]]&lt;&gt;"",单词表[[#This Row],[考中]]&lt;&gt;""),MAX(单词表[[#This Row],[考英]:[考中]]),"")</f>
        <v>42650.40016203704</v>
      </c>
      <c r="P223" s="32"/>
    </row>
    <row r="224" spans="1:16" hidden="1" x14ac:dyDescent="0.15">
      <c r="A224">
        <v>223</v>
      </c>
      <c r="B224" t="s">
        <v>35</v>
      </c>
      <c r="C224" t="s">
        <v>6</v>
      </c>
      <c r="D224" s="72" t="s">
        <v>183</v>
      </c>
      <c r="E224" t="s">
        <v>61</v>
      </c>
      <c r="F224" t="s">
        <v>321</v>
      </c>
      <c r="G224" s="92">
        <v>42597.553159722222</v>
      </c>
      <c r="H224" s="92">
        <v>42630.5312962963</v>
      </c>
      <c r="I224" s="92">
        <v>42630.531284722223</v>
      </c>
      <c r="J224" s="92">
        <v>42597.590254629627</v>
      </c>
      <c r="K224" s="92">
        <v>42650.400208333333</v>
      </c>
      <c r="L224" s="92">
        <f>IF(AND(单词表[[#This Row],[学英]]&lt;&gt;"",单词表[[#This Row],[学中]]&lt;&gt;"",单词表[[#This Row],[学词]]&lt;&gt;""),MAX(单词表[[#This Row],[学英]:[学词]]),"")</f>
        <v>42630.5312962963</v>
      </c>
      <c r="M224" s="2">
        <f>IF(AND(单词表[[#This Row],[考英]]&lt;&gt;"",单词表[[#This Row],[考中]]&lt;&gt;""),MAX(单词表[[#This Row],[考英]:[考中]]),"")</f>
        <v>42650.400208333333</v>
      </c>
      <c r="P224" s="32"/>
    </row>
    <row r="225" spans="1:16" hidden="1" x14ac:dyDescent="0.15">
      <c r="A225">
        <v>224</v>
      </c>
      <c r="B225" t="s">
        <v>35</v>
      </c>
      <c r="C225" t="s">
        <v>6</v>
      </c>
      <c r="D225" s="72" t="s">
        <v>322</v>
      </c>
      <c r="E225" t="s">
        <v>36</v>
      </c>
      <c r="F225" t="s">
        <v>323</v>
      </c>
      <c r="G225" s="92">
        <v>42597.48474537037</v>
      </c>
      <c r="H225" s="92">
        <v>42650.410046296296</v>
      </c>
      <c r="I225" s="92">
        <v>42650.410046296296</v>
      </c>
      <c r="J225" s="92">
        <v>42597.496041666665</v>
      </c>
      <c r="K225" s="92">
        <v>42650.415983796294</v>
      </c>
      <c r="L225" s="92">
        <f>IF(AND(单词表[[#This Row],[学英]]&lt;&gt;"",单词表[[#This Row],[学中]]&lt;&gt;"",单词表[[#This Row],[学词]]&lt;&gt;""),MAX(单词表[[#This Row],[学英]:[学词]]),"")</f>
        <v>42650.410046296296</v>
      </c>
      <c r="M225" s="2">
        <f>IF(AND(单词表[[#This Row],[考英]]&lt;&gt;"",单词表[[#This Row],[考中]]&lt;&gt;""),MAX(单词表[[#This Row],[考英]:[考中]]),"")</f>
        <v>42650.415983796294</v>
      </c>
      <c r="N225" s="33"/>
      <c r="P225" s="32"/>
    </row>
    <row r="226" spans="1:16" hidden="1" x14ac:dyDescent="0.15">
      <c r="A226">
        <v>225</v>
      </c>
      <c r="B226" t="s">
        <v>35</v>
      </c>
      <c r="C226" t="s">
        <v>6</v>
      </c>
      <c r="D226" s="72" t="s">
        <v>324</v>
      </c>
      <c r="E226" t="s">
        <v>702</v>
      </c>
      <c r="F226" t="s">
        <v>325</v>
      </c>
      <c r="G226" s="92">
        <v>42597.484768518516</v>
      </c>
      <c r="H226" s="92">
        <v>42597.484780092593</v>
      </c>
      <c r="I226" s="92">
        <v>42597.484780092593</v>
      </c>
      <c r="J226" s="92">
        <v>42597.496412037035</v>
      </c>
      <c r="K226" s="92">
        <v>42650.400300925925</v>
      </c>
      <c r="L226" s="92">
        <f>IF(AND(单词表[[#This Row],[学英]]&lt;&gt;"",单词表[[#This Row],[学中]]&lt;&gt;"",单词表[[#This Row],[学词]]&lt;&gt;""),MAX(单词表[[#This Row],[学英]:[学词]]),"")</f>
        <v>42597.484780092593</v>
      </c>
      <c r="M226" s="2">
        <f>IF(AND(单词表[[#This Row],[考英]]&lt;&gt;"",单词表[[#This Row],[考中]]&lt;&gt;""),MAX(单词表[[#This Row],[考英]:[考中]]),"")</f>
        <v>42650.400300925925</v>
      </c>
      <c r="P226" s="32"/>
    </row>
    <row r="227" spans="1:16" hidden="1" x14ac:dyDescent="0.15">
      <c r="A227">
        <v>226</v>
      </c>
      <c r="B227" t="s">
        <v>35</v>
      </c>
      <c r="C227" t="s">
        <v>6</v>
      </c>
      <c r="D227" s="72" t="s">
        <v>326</v>
      </c>
      <c r="E227" t="s">
        <v>36</v>
      </c>
      <c r="F227" t="s">
        <v>327</v>
      </c>
      <c r="G227" s="92">
        <v>42597.486585648148</v>
      </c>
      <c r="H227" s="92">
        <v>42597.486597222225</v>
      </c>
      <c r="I227" s="92">
        <v>42597.486597222225</v>
      </c>
      <c r="J227" s="92">
        <v>42597.496562499997</v>
      </c>
      <c r="K227" s="92">
        <v>42650.400347222225</v>
      </c>
      <c r="L227" s="92">
        <f>IF(AND(单词表[[#This Row],[学英]]&lt;&gt;"",单词表[[#This Row],[学中]]&lt;&gt;"",单词表[[#This Row],[学词]]&lt;&gt;""),MAX(单词表[[#This Row],[学英]:[学词]]),"")</f>
        <v>42597.486597222225</v>
      </c>
      <c r="M227" s="2">
        <f>IF(AND(单词表[[#This Row],[考英]]&lt;&gt;"",单词表[[#This Row],[考中]]&lt;&gt;""),MAX(单词表[[#This Row],[考英]:[考中]]),"")</f>
        <v>42650.400347222225</v>
      </c>
      <c r="P227" s="32"/>
    </row>
    <row r="228" spans="1:16" hidden="1" x14ac:dyDescent="0.15">
      <c r="A228">
        <v>227</v>
      </c>
      <c r="B228" t="s">
        <v>35</v>
      </c>
      <c r="C228" t="s">
        <v>6</v>
      </c>
      <c r="D228" s="72" t="s">
        <v>328</v>
      </c>
      <c r="E228" t="s">
        <v>73</v>
      </c>
      <c r="F228" t="s">
        <v>329</v>
      </c>
      <c r="G228" s="92">
        <v>42597.553171296298</v>
      </c>
      <c r="H228" s="92">
        <v>42630.54587962963</v>
      </c>
      <c r="I228" s="92">
        <v>42630.545856481483</v>
      </c>
      <c r="J228" s="92">
        <v>42597.590497685182</v>
      </c>
      <c r="K228" s="92">
        <v>42650.400405092594</v>
      </c>
      <c r="L228" s="92">
        <f>IF(AND(单词表[[#This Row],[学英]]&lt;&gt;"",单词表[[#This Row],[学中]]&lt;&gt;"",单词表[[#This Row],[学词]]&lt;&gt;""),MAX(单词表[[#This Row],[学英]:[学词]]),"")</f>
        <v>42630.54587962963</v>
      </c>
      <c r="M228" s="2">
        <f>IF(AND(单词表[[#This Row],[考英]]&lt;&gt;"",单词表[[#This Row],[考中]]&lt;&gt;""),MAX(单词表[[#This Row],[考英]:[考中]]),"")</f>
        <v>42650.400405092594</v>
      </c>
      <c r="P228" s="32"/>
    </row>
    <row r="229" spans="1:16" hidden="1" x14ac:dyDescent="0.15">
      <c r="A229">
        <v>228</v>
      </c>
      <c r="B229" t="s">
        <v>35</v>
      </c>
      <c r="C229" t="s">
        <v>6</v>
      </c>
      <c r="D229" s="72" t="s">
        <v>330</v>
      </c>
      <c r="E229" t="s">
        <v>36</v>
      </c>
      <c r="F229" t="s">
        <v>331</v>
      </c>
      <c r="G229" s="92">
        <v>42597.486689814818</v>
      </c>
      <c r="H229" s="92">
        <v>42650.410104166665</v>
      </c>
      <c r="I229" s="92">
        <v>42650.410104166665</v>
      </c>
      <c r="J229" s="92">
        <v>42597.496736111112</v>
      </c>
      <c r="K229" s="92">
        <v>42650.416030092594</v>
      </c>
      <c r="L229" s="92">
        <f>IF(AND(单词表[[#This Row],[学英]]&lt;&gt;"",单词表[[#This Row],[学中]]&lt;&gt;"",单词表[[#This Row],[学词]]&lt;&gt;""),MAX(单词表[[#This Row],[学英]:[学词]]),"")</f>
        <v>42650.410104166665</v>
      </c>
      <c r="M229" s="2">
        <f>IF(AND(单词表[[#This Row],[考英]]&lt;&gt;"",单词表[[#This Row],[考中]]&lt;&gt;""),MAX(单词表[[#This Row],[考英]:[考中]]),"")</f>
        <v>42650.416030092594</v>
      </c>
      <c r="P229" s="32"/>
    </row>
    <row r="230" spans="1:16" hidden="1" x14ac:dyDescent="0.15">
      <c r="A230">
        <v>229</v>
      </c>
      <c r="B230" t="s">
        <v>35</v>
      </c>
      <c r="C230" t="s">
        <v>6</v>
      </c>
      <c r="D230" s="72" t="s">
        <v>332</v>
      </c>
      <c r="E230" t="s">
        <v>73</v>
      </c>
      <c r="F230" t="s">
        <v>333</v>
      </c>
      <c r="G230" s="92">
        <v>42597.486724537041</v>
      </c>
      <c r="H230" s="92">
        <v>42650.421354166669</v>
      </c>
      <c r="I230" s="92">
        <v>42650.421342592592</v>
      </c>
      <c r="J230" s="92">
        <v>42597.496967592589</v>
      </c>
      <c r="K230" s="92">
        <v>42650.424270833333</v>
      </c>
      <c r="L230" s="92">
        <f>IF(AND(单词表[[#This Row],[学英]]&lt;&gt;"",单词表[[#This Row],[学中]]&lt;&gt;"",单词表[[#This Row],[学词]]&lt;&gt;""),MAX(单词表[[#This Row],[学英]:[学词]]),"")</f>
        <v>42650.421354166669</v>
      </c>
      <c r="M230" s="2">
        <f>IF(AND(单词表[[#This Row],[考英]]&lt;&gt;"",单词表[[#This Row],[考中]]&lt;&gt;""),MAX(单词表[[#This Row],[考英]:[考中]]),"")</f>
        <v>42650.424270833333</v>
      </c>
      <c r="N230" s="33"/>
      <c r="P230" s="32"/>
    </row>
    <row r="231" spans="1:16" hidden="1" x14ac:dyDescent="0.15">
      <c r="A231">
        <v>230</v>
      </c>
      <c r="B231" t="s">
        <v>35</v>
      </c>
      <c r="C231" t="s">
        <v>6</v>
      </c>
      <c r="D231" s="72" t="s">
        <v>334</v>
      </c>
      <c r="E231" t="s">
        <v>36</v>
      </c>
      <c r="F231" t="s">
        <v>335</v>
      </c>
      <c r="G231" s="92">
        <v>42597.486759259256</v>
      </c>
      <c r="H231" s="92">
        <v>42597.486770833333</v>
      </c>
      <c r="I231" s="92">
        <v>42597.486770833333</v>
      </c>
      <c r="J231" s="92">
        <v>42597.497048611112</v>
      </c>
      <c r="K231" s="92">
        <v>42650.400578703702</v>
      </c>
      <c r="L231" s="92">
        <f>IF(AND(单词表[[#This Row],[学英]]&lt;&gt;"",单词表[[#This Row],[学中]]&lt;&gt;"",单词表[[#This Row],[学词]]&lt;&gt;""),MAX(单词表[[#This Row],[学英]:[学词]]),"")</f>
        <v>42597.486770833333</v>
      </c>
      <c r="M231" s="2">
        <f>IF(AND(单词表[[#This Row],[考英]]&lt;&gt;"",单词表[[#This Row],[考中]]&lt;&gt;""),MAX(单词表[[#This Row],[考英]:[考中]]),"")</f>
        <v>42650.400578703702</v>
      </c>
      <c r="N231" s="33"/>
      <c r="P231" s="32"/>
    </row>
    <row r="232" spans="1:16" hidden="1" x14ac:dyDescent="0.15">
      <c r="A232">
        <v>231</v>
      </c>
      <c r="B232" t="s">
        <v>35</v>
      </c>
      <c r="C232" t="s">
        <v>6</v>
      </c>
      <c r="D232" s="72" t="s">
        <v>336</v>
      </c>
      <c r="E232" t="s">
        <v>36</v>
      </c>
      <c r="F232" t="s">
        <v>337</v>
      </c>
      <c r="G232" s="92">
        <v>42597.48704861111</v>
      </c>
      <c r="H232" s="92">
        <v>42650.410567129627</v>
      </c>
      <c r="I232" s="92">
        <v>42650.410555555558</v>
      </c>
      <c r="J232" s="92">
        <v>42597.497187499997</v>
      </c>
      <c r="K232" s="92">
        <v>42650.416145833333</v>
      </c>
      <c r="L232" s="92">
        <f>IF(AND(单词表[[#This Row],[学英]]&lt;&gt;"",单词表[[#This Row],[学中]]&lt;&gt;"",单词表[[#This Row],[学词]]&lt;&gt;""),MAX(单词表[[#This Row],[学英]:[学词]]),"")</f>
        <v>42650.410567129627</v>
      </c>
      <c r="M232" s="2">
        <f>IF(AND(单词表[[#This Row],[考英]]&lt;&gt;"",单词表[[#This Row],[考中]]&lt;&gt;""),MAX(单词表[[#This Row],[考英]:[考中]]),"")</f>
        <v>42650.416145833333</v>
      </c>
      <c r="P232" s="32"/>
    </row>
    <row r="233" spans="1:16" hidden="1" x14ac:dyDescent="0.15">
      <c r="A233">
        <v>232</v>
      </c>
      <c r="B233" t="s">
        <v>35</v>
      </c>
      <c r="C233" t="s">
        <v>6</v>
      </c>
      <c r="D233" s="72" t="s">
        <v>338</v>
      </c>
      <c r="E233" t="s">
        <v>36</v>
      </c>
      <c r="F233" t="s">
        <v>339</v>
      </c>
      <c r="G233" s="92">
        <v>42597.487083333333</v>
      </c>
      <c r="H233" s="92">
        <v>42630.531458333331</v>
      </c>
      <c r="I233" s="92">
        <v>42630.531458333331</v>
      </c>
      <c r="J233" s="92">
        <v>42597.497245370374</v>
      </c>
      <c r="K233" s="92">
        <v>42650.400694444441</v>
      </c>
      <c r="L233" s="92">
        <f>IF(AND(单词表[[#This Row],[学英]]&lt;&gt;"",单词表[[#This Row],[学中]]&lt;&gt;"",单词表[[#This Row],[学词]]&lt;&gt;""),MAX(单词表[[#This Row],[学英]:[学词]]),"")</f>
        <v>42630.531458333331</v>
      </c>
      <c r="M233" s="2">
        <f>IF(AND(单词表[[#This Row],[考英]]&lt;&gt;"",单词表[[#This Row],[考中]]&lt;&gt;""),MAX(单词表[[#This Row],[考英]:[考中]]),"")</f>
        <v>42650.400694444441</v>
      </c>
      <c r="P233" s="32"/>
    </row>
    <row r="234" spans="1:16" hidden="1" x14ac:dyDescent="0.15">
      <c r="A234">
        <v>233</v>
      </c>
      <c r="B234" t="s">
        <v>35</v>
      </c>
      <c r="C234" t="s">
        <v>6</v>
      </c>
      <c r="D234" s="72" t="s">
        <v>340</v>
      </c>
      <c r="E234" t="s">
        <v>36</v>
      </c>
      <c r="F234" t="s">
        <v>341</v>
      </c>
      <c r="G234" s="92">
        <v>42597.608206018522</v>
      </c>
      <c r="H234" s="92">
        <v>42597.487141203703</v>
      </c>
      <c r="I234" s="92">
        <v>42597.487118055556</v>
      </c>
      <c r="J234" s="92">
        <v>42597.611655092594</v>
      </c>
      <c r="K234" s="92">
        <v>42650.400729166664</v>
      </c>
      <c r="L234" s="92">
        <f>IF(AND(单词表[[#This Row],[学英]]&lt;&gt;"",单词表[[#This Row],[学中]]&lt;&gt;"",单词表[[#This Row],[学词]]&lt;&gt;""),MAX(单词表[[#This Row],[学英]:[学词]]),"")</f>
        <v>42597.608206018522</v>
      </c>
      <c r="M234" s="2">
        <f>IF(AND(单词表[[#This Row],[考英]]&lt;&gt;"",单词表[[#This Row],[考中]]&lt;&gt;""),MAX(单词表[[#This Row],[考英]:[考中]]),"")</f>
        <v>42650.400729166664</v>
      </c>
      <c r="P234" s="32"/>
    </row>
    <row r="235" spans="1:16" hidden="1" x14ac:dyDescent="0.15">
      <c r="A235">
        <v>234</v>
      </c>
      <c r="B235" t="s">
        <v>35</v>
      </c>
      <c r="C235" t="s">
        <v>6</v>
      </c>
      <c r="D235" s="72" t="s">
        <v>342</v>
      </c>
      <c r="E235" t="s">
        <v>73</v>
      </c>
      <c r="F235" t="s">
        <v>343</v>
      </c>
      <c r="G235" s="92">
        <v>42597.487199074072</v>
      </c>
      <c r="H235" s="92">
        <v>42630.531481481485</v>
      </c>
      <c r="I235" s="92">
        <v>42630.531481481485</v>
      </c>
      <c r="J235" s="92">
        <v>42597.497546296298</v>
      </c>
      <c r="K235" s="92">
        <v>42650.400775462964</v>
      </c>
      <c r="L235" s="92">
        <f>IF(AND(单词表[[#This Row],[学英]]&lt;&gt;"",单词表[[#This Row],[学中]]&lt;&gt;"",单词表[[#This Row],[学词]]&lt;&gt;""),MAX(单词表[[#This Row],[学英]:[学词]]),"")</f>
        <v>42630.531481481485</v>
      </c>
      <c r="M235" s="2">
        <f>IF(AND(单词表[[#This Row],[考英]]&lt;&gt;"",单词表[[#This Row],[考中]]&lt;&gt;""),MAX(单词表[[#This Row],[考英]:[考中]]),"")</f>
        <v>42650.400775462964</v>
      </c>
      <c r="P235" s="32"/>
    </row>
    <row r="236" spans="1:16" hidden="1" x14ac:dyDescent="0.15">
      <c r="A236">
        <v>235</v>
      </c>
      <c r="B236" t="s">
        <v>35</v>
      </c>
      <c r="C236" t="s">
        <v>6</v>
      </c>
      <c r="D236" s="72" t="s">
        <v>344</v>
      </c>
      <c r="E236" t="s">
        <v>73</v>
      </c>
      <c r="F236" t="s">
        <v>345</v>
      </c>
      <c r="G236" s="92">
        <v>42597.487233796295</v>
      </c>
      <c r="H236" s="92">
        <v>42630.531504629631</v>
      </c>
      <c r="I236" s="92">
        <v>42630.531504629631</v>
      </c>
      <c r="J236" s="92">
        <v>42597.497719907406</v>
      </c>
      <c r="K236" s="92">
        <v>42650.400810185187</v>
      </c>
      <c r="L236" s="92">
        <f>IF(AND(单词表[[#This Row],[学英]]&lt;&gt;"",单词表[[#This Row],[学中]]&lt;&gt;"",单词表[[#This Row],[学词]]&lt;&gt;""),MAX(单词表[[#This Row],[学英]:[学词]]),"")</f>
        <v>42630.531504629631</v>
      </c>
      <c r="M236" s="2">
        <f>IF(AND(单词表[[#This Row],[考英]]&lt;&gt;"",单词表[[#This Row],[考中]]&lt;&gt;""),MAX(单词表[[#This Row],[考英]:[考中]]),"")</f>
        <v>42650.400810185187</v>
      </c>
      <c r="N236" s="33"/>
      <c r="P236" s="32"/>
    </row>
    <row r="237" spans="1:16" hidden="1" x14ac:dyDescent="0.15">
      <c r="A237">
        <v>236</v>
      </c>
      <c r="B237" t="s">
        <v>35</v>
      </c>
      <c r="C237" t="s">
        <v>6</v>
      </c>
      <c r="D237" s="72" t="s">
        <v>222</v>
      </c>
      <c r="E237" t="s">
        <v>36</v>
      </c>
      <c r="F237" t="s">
        <v>223</v>
      </c>
      <c r="G237" s="92">
        <v>42597.48883101852</v>
      </c>
      <c r="H237" s="92">
        <v>42630.539259259262</v>
      </c>
      <c r="I237" s="92">
        <v>42630.539259259262</v>
      </c>
      <c r="J237" s="92">
        <v>42597.497812499998</v>
      </c>
      <c r="K237" s="92">
        <v>42650.400868055556</v>
      </c>
      <c r="L237" s="92">
        <f>IF(AND(单词表[[#This Row],[学英]]&lt;&gt;"",单词表[[#This Row],[学中]]&lt;&gt;"",单词表[[#This Row],[学词]]&lt;&gt;""),MAX(单词表[[#This Row],[学英]:[学词]]),"")</f>
        <v>42630.539259259262</v>
      </c>
      <c r="M237" s="2">
        <f>IF(AND(单词表[[#This Row],[考英]]&lt;&gt;"",单词表[[#This Row],[考中]]&lt;&gt;""),MAX(单词表[[#This Row],[考英]:[考中]]),"")</f>
        <v>42650.400868055556</v>
      </c>
      <c r="P237" s="32"/>
    </row>
    <row r="238" spans="1:16" hidden="1" x14ac:dyDescent="0.15">
      <c r="A238">
        <v>237</v>
      </c>
      <c r="B238" t="s">
        <v>35</v>
      </c>
      <c r="C238" t="s">
        <v>6</v>
      </c>
      <c r="D238" s="72" t="s">
        <v>346</v>
      </c>
      <c r="E238" t="s">
        <v>36</v>
      </c>
      <c r="F238" t="s">
        <v>347</v>
      </c>
      <c r="G238" s="92">
        <v>42597.488865740743</v>
      </c>
      <c r="H238" s="92">
        <v>42597.488888888889</v>
      </c>
      <c r="I238" s="92">
        <v>42597.488877314812</v>
      </c>
      <c r="J238" s="92">
        <v>42597.497858796298</v>
      </c>
      <c r="K238" s="92">
        <v>42650.400914351849</v>
      </c>
      <c r="L238" s="92">
        <f>IF(AND(单词表[[#This Row],[学英]]&lt;&gt;"",单词表[[#This Row],[学中]]&lt;&gt;"",单词表[[#This Row],[学词]]&lt;&gt;""),MAX(单词表[[#This Row],[学英]:[学词]]),"")</f>
        <v>42597.488888888889</v>
      </c>
      <c r="M238" s="2">
        <f>IF(AND(单词表[[#This Row],[考英]]&lt;&gt;"",单词表[[#This Row],[考中]]&lt;&gt;""),MAX(单词表[[#This Row],[考英]:[考中]]),"")</f>
        <v>42650.400914351849</v>
      </c>
      <c r="P238" s="32"/>
    </row>
    <row r="239" spans="1:16" hidden="1" x14ac:dyDescent="0.15">
      <c r="A239">
        <v>238</v>
      </c>
      <c r="B239" t="s">
        <v>35</v>
      </c>
      <c r="C239" t="s">
        <v>6</v>
      </c>
      <c r="D239" s="72" t="s">
        <v>348</v>
      </c>
      <c r="E239" t="s">
        <v>36</v>
      </c>
      <c r="F239" t="s">
        <v>349</v>
      </c>
      <c r="G239" s="92">
        <v>42597.488912037035</v>
      </c>
      <c r="H239" s="92">
        <v>42597.488923611112</v>
      </c>
      <c r="I239" s="92">
        <v>42597.488923611112</v>
      </c>
      <c r="J239" s="92">
        <v>42597.498032407406</v>
      </c>
      <c r="K239" s="92">
        <v>42650.400949074072</v>
      </c>
      <c r="L239" s="92">
        <f>IF(AND(单词表[[#This Row],[学英]]&lt;&gt;"",单词表[[#This Row],[学中]]&lt;&gt;"",单词表[[#This Row],[学词]]&lt;&gt;""),MAX(单词表[[#This Row],[学英]:[学词]]),"")</f>
        <v>42597.488923611112</v>
      </c>
      <c r="M239" s="2">
        <f>IF(AND(单词表[[#This Row],[考英]]&lt;&gt;"",单词表[[#This Row],[考中]]&lt;&gt;""),MAX(单词表[[#This Row],[考英]:[考中]]),"")</f>
        <v>42650.400949074072</v>
      </c>
      <c r="P239" s="32"/>
    </row>
    <row r="240" spans="1:16" hidden="1" x14ac:dyDescent="0.15">
      <c r="A240">
        <v>239</v>
      </c>
      <c r="B240" t="s">
        <v>35</v>
      </c>
      <c r="C240" t="s">
        <v>6</v>
      </c>
      <c r="D240" s="72" t="s">
        <v>350</v>
      </c>
      <c r="E240" t="s">
        <v>36</v>
      </c>
      <c r="F240" t="s">
        <v>351</v>
      </c>
      <c r="G240" s="92">
        <v>42597.488946759258</v>
      </c>
      <c r="H240" s="92">
        <v>42597.488969907405</v>
      </c>
      <c r="I240" s="92">
        <v>42597.488946759258</v>
      </c>
      <c r="J240" s="92">
        <v>42597.498113425929</v>
      </c>
      <c r="K240" s="92">
        <v>42650.400983796295</v>
      </c>
      <c r="L240" s="92">
        <f>IF(AND(单词表[[#This Row],[学英]]&lt;&gt;"",单词表[[#This Row],[学中]]&lt;&gt;"",单词表[[#This Row],[学词]]&lt;&gt;""),MAX(单词表[[#This Row],[学英]:[学词]]),"")</f>
        <v>42597.488969907405</v>
      </c>
      <c r="M240" s="2">
        <f>IF(AND(单词表[[#This Row],[考英]]&lt;&gt;"",单词表[[#This Row],[考中]]&lt;&gt;""),MAX(单词表[[#This Row],[考英]:[考中]]),"")</f>
        <v>42650.400983796295</v>
      </c>
      <c r="P240" s="32"/>
    </row>
    <row r="241" spans="1:16" hidden="1" x14ac:dyDescent="0.15">
      <c r="A241">
        <v>240</v>
      </c>
      <c r="B241" t="s">
        <v>35</v>
      </c>
      <c r="C241" t="s">
        <v>6</v>
      </c>
      <c r="D241" s="72" t="s">
        <v>352</v>
      </c>
      <c r="E241" t="s">
        <v>36</v>
      </c>
      <c r="F241" t="s">
        <v>353</v>
      </c>
      <c r="G241" s="92">
        <v>42597.488993055558</v>
      </c>
      <c r="H241" s="92">
        <v>42630.5315625</v>
      </c>
      <c r="I241" s="92">
        <v>42630.531550925924</v>
      </c>
      <c r="J241" s="92">
        <v>42597.498159722221</v>
      </c>
      <c r="K241" s="92">
        <v>42650.401030092595</v>
      </c>
      <c r="L241" s="92">
        <f>IF(AND(单词表[[#This Row],[学英]]&lt;&gt;"",单词表[[#This Row],[学中]]&lt;&gt;"",单词表[[#This Row],[学词]]&lt;&gt;""),MAX(单词表[[#This Row],[学英]:[学词]]),"")</f>
        <v>42630.5315625</v>
      </c>
      <c r="M241" s="2">
        <f>IF(AND(单词表[[#This Row],[考英]]&lt;&gt;"",单词表[[#This Row],[考中]]&lt;&gt;""),MAX(单词表[[#This Row],[考英]:[考中]]),"")</f>
        <v>42650.401030092595</v>
      </c>
      <c r="N241" s="33"/>
      <c r="P241" s="32"/>
    </row>
    <row r="242" spans="1:16" hidden="1" x14ac:dyDescent="0.15">
      <c r="A242">
        <v>241</v>
      </c>
      <c r="B242" t="s">
        <v>35</v>
      </c>
      <c r="C242" t="s">
        <v>6</v>
      </c>
      <c r="D242" s="72" t="s">
        <v>352</v>
      </c>
      <c r="E242" t="s">
        <v>61</v>
      </c>
      <c r="F242" t="s">
        <v>354</v>
      </c>
      <c r="G242" s="92">
        <v>42597.489016203705</v>
      </c>
      <c r="H242" s="92">
        <v>42597.489027777781</v>
      </c>
      <c r="I242" s="92">
        <v>42597.489027777781</v>
      </c>
      <c r="J242" s="92">
        <v>42597.498217592591</v>
      </c>
      <c r="K242" s="92">
        <v>42650.401064814818</v>
      </c>
      <c r="L242" s="92">
        <f>IF(AND(单词表[[#This Row],[学英]]&lt;&gt;"",单词表[[#This Row],[学中]]&lt;&gt;"",单词表[[#This Row],[学词]]&lt;&gt;""),MAX(单词表[[#This Row],[学英]:[学词]]),"")</f>
        <v>42597.489027777781</v>
      </c>
      <c r="M242" s="2">
        <f>IF(AND(单词表[[#This Row],[考英]]&lt;&gt;"",单词表[[#This Row],[考中]]&lt;&gt;""),MAX(单词表[[#This Row],[考英]:[考中]]),"")</f>
        <v>42650.401064814818</v>
      </c>
      <c r="P242" s="32"/>
    </row>
    <row r="243" spans="1:16" hidden="1" x14ac:dyDescent="0.15">
      <c r="A243">
        <v>242</v>
      </c>
      <c r="B243" t="s">
        <v>35</v>
      </c>
      <c r="C243" t="s">
        <v>6</v>
      </c>
      <c r="D243" s="72" t="s">
        <v>355</v>
      </c>
      <c r="E243" t="s">
        <v>61</v>
      </c>
      <c r="F243" t="s">
        <v>356</v>
      </c>
      <c r="G243" s="92">
        <v>42597.489108796297</v>
      </c>
      <c r="H243" s="92">
        <v>42597.489120370374</v>
      </c>
      <c r="I243" s="92">
        <v>42597.489120370374</v>
      </c>
      <c r="J243" s="92">
        <v>42597.498263888891</v>
      </c>
      <c r="K243" s="92">
        <v>42650.40111111111</v>
      </c>
      <c r="L243" s="92">
        <f>IF(AND(单词表[[#This Row],[学英]]&lt;&gt;"",单词表[[#This Row],[学中]]&lt;&gt;"",单词表[[#This Row],[学词]]&lt;&gt;""),MAX(单词表[[#This Row],[学英]:[学词]]),"")</f>
        <v>42597.489120370374</v>
      </c>
      <c r="M243" s="2">
        <f>IF(AND(单词表[[#This Row],[考英]]&lt;&gt;"",单词表[[#This Row],[考中]]&lt;&gt;""),MAX(单词表[[#This Row],[考英]:[考中]]),"")</f>
        <v>42650.40111111111</v>
      </c>
      <c r="P243" s="32"/>
    </row>
    <row r="244" spans="1:16" hidden="1" x14ac:dyDescent="0.15">
      <c r="A244">
        <v>243</v>
      </c>
      <c r="B244" t="s">
        <v>35</v>
      </c>
      <c r="C244" t="s">
        <v>6</v>
      </c>
      <c r="D244" s="72" t="s">
        <v>355</v>
      </c>
      <c r="E244" t="s">
        <v>36</v>
      </c>
      <c r="F244" t="s">
        <v>1245</v>
      </c>
      <c r="G244" s="92">
        <v>42597.489131944443</v>
      </c>
      <c r="H244" s="92">
        <v>42597.48914351852</v>
      </c>
      <c r="I244" s="92">
        <v>42597.48914351852</v>
      </c>
      <c r="J244" s="92">
        <v>42597.498287037037</v>
      </c>
      <c r="K244" s="92">
        <v>42650.401145833333</v>
      </c>
      <c r="L244" s="92">
        <f>IF(AND(单词表[[#This Row],[学英]]&lt;&gt;"",单词表[[#This Row],[学中]]&lt;&gt;"",单词表[[#This Row],[学词]]&lt;&gt;""),MAX(单词表[[#This Row],[学英]:[学词]]),"")</f>
        <v>42597.48914351852</v>
      </c>
      <c r="M244" s="2">
        <f>IF(AND(单词表[[#This Row],[考英]]&lt;&gt;"",单词表[[#This Row],[考中]]&lt;&gt;""),MAX(单词表[[#This Row],[考英]:[考中]]),"")</f>
        <v>42650.401145833333</v>
      </c>
      <c r="P244" s="32"/>
    </row>
    <row r="245" spans="1:16" hidden="1" x14ac:dyDescent="0.15">
      <c r="A245">
        <v>244</v>
      </c>
      <c r="B245" t="s">
        <v>35</v>
      </c>
      <c r="C245" t="s">
        <v>6</v>
      </c>
      <c r="D245" s="72" t="s">
        <v>357</v>
      </c>
      <c r="E245" t="s">
        <v>61</v>
      </c>
      <c r="F245" t="s">
        <v>239</v>
      </c>
      <c r="G245" s="92">
        <v>42597.489166666666</v>
      </c>
      <c r="H245" s="92">
        <v>42650.410636574074</v>
      </c>
      <c r="I245" s="92">
        <v>42650.410624999997</v>
      </c>
      <c r="J245" s="92">
        <v>42597.498356481483</v>
      </c>
      <c r="K245" s="92">
        <v>42650.416203703702</v>
      </c>
      <c r="L245" s="92">
        <f>IF(AND(单词表[[#This Row],[学英]]&lt;&gt;"",单词表[[#This Row],[学中]]&lt;&gt;"",单词表[[#This Row],[学词]]&lt;&gt;""),MAX(单词表[[#This Row],[学英]:[学词]]),"")</f>
        <v>42650.410636574074</v>
      </c>
      <c r="M245" s="2">
        <f>IF(AND(单词表[[#This Row],[考英]]&lt;&gt;"",单词表[[#This Row],[考中]]&lt;&gt;""),MAX(单词表[[#This Row],[考英]:[考中]]),"")</f>
        <v>42650.416203703702</v>
      </c>
      <c r="N245" s="33"/>
      <c r="P245" s="32"/>
    </row>
    <row r="246" spans="1:16" hidden="1" x14ac:dyDescent="0.15">
      <c r="A246">
        <v>245</v>
      </c>
      <c r="B246" t="s">
        <v>35</v>
      </c>
      <c r="C246" t="s">
        <v>6</v>
      </c>
      <c r="D246" s="72" t="s">
        <v>358</v>
      </c>
      <c r="E246" t="s">
        <v>359</v>
      </c>
      <c r="F246" t="s">
        <v>360</v>
      </c>
      <c r="G246" s="92">
        <v>42597.489212962966</v>
      </c>
      <c r="H246" s="92">
        <v>42650.425208333334</v>
      </c>
      <c r="I246" s="92">
        <v>42650.425208333334</v>
      </c>
      <c r="J246" s="92">
        <v>42597.498437499999</v>
      </c>
      <c r="K246" s="92">
        <v>42650.426157407404</v>
      </c>
      <c r="L246" s="92">
        <f>IF(AND(单词表[[#This Row],[学英]]&lt;&gt;"",单词表[[#This Row],[学中]]&lt;&gt;"",单词表[[#This Row],[学词]]&lt;&gt;""),MAX(单词表[[#This Row],[学英]:[学词]]),"")</f>
        <v>42650.425208333334</v>
      </c>
      <c r="M246" s="2">
        <f>IF(AND(单词表[[#This Row],[考英]]&lt;&gt;"",单词表[[#This Row],[考中]]&lt;&gt;""),MAX(单词表[[#This Row],[考英]:[考中]]),"")</f>
        <v>42650.426157407404</v>
      </c>
      <c r="P246" s="32"/>
    </row>
    <row r="247" spans="1:16" hidden="1" x14ac:dyDescent="0.15">
      <c r="A247">
        <v>246</v>
      </c>
      <c r="B247" t="s">
        <v>35</v>
      </c>
      <c r="C247" t="s">
        <v>6</v>
      </c>
      <c r="D247" s="72" t="s">
        <v>361</v>
      </c>
      <c r="E247" t="s">
        <v>36</v>
      </c>
      <c r="F247" t="s">
        <v>362</v>
      </c>
      <c r="G247" s="92">
        <v>42597.587071759262</v>
      </c>
      <c r="H247" s="92">
        <v>42630.531631944446</v>
      </c>
      <c r="I247" s="92">
        <v>42630.53162037037</v>
      </c>
      <c r="J247" s="92">
        <v>42597.59070601852</v>
      </c>
      <c r="K247" s="92">
        <v>42650.401307870372</v>
      </c>
      <c r="L247" s="92">
        <f>IF(AND(单词表[[#This Row],[学英]]&lt;&gt;"",单词表[[#This Row],[学中]]&lt;&gt;"",单词表[[#This Row],[学词]]&lt;&gt;""),MAX(单词表[[#This Row],[学英]:[学词]]),"")</f>
        <v>42630.531631944446</v>
      </c>
      <c r="M247" s="2">
        <f>IF(AND(单词表[[#This Row],[考英]]&lt;&gt;"",单词表[[#This Row],[考中]]&lt;&gt;""),MAX(单词表[[#This Row],[考英]:[考中]]),"")</f>
        <v>42650.401307870372</v>
      </c>
      <c r="P247" s="32"/>
    </row>
    <row r="248" spans="1:16" hidden="1" x14ac:dyDescent="0.15">
      <c r="A248">
        <v>247</v>
      </c>
      <c r="B248" t="s">
        <v>35</v>
      </c>
      <c r="C248" t="s">
        <v>6</v>
      </c>
      <c r="D248" s="72" t="s">
        <v>363</v>
      </c>
      <c r="E248" t="s">
        <v>36</v>
      </c>
      <c r="F248" t="s">
        <v>364</v>
      </c>
      <c r="G248" s="92">
        <v>42597.490069444444</v>
      </c>
      <c r="H248" s="92">
        <v>42650.425266203703</v>
      </c>
      <c r="I248" s="92">
        <v>42650.425254629627</v>
      </c>
      <c r="J248" s="92">
        <v>42597.498819444445</v>
      </c>
      <c r="K248" s="92">
        <v>42650.426215277781</v>
      </c>
      <c r="L248" s="92">
        <f>IF(AND(单词表[[#This Row],[学英]]&lt;&gt;"",单词表[[#This Row],[学中]]&lt;&gt;"",单词表[[#This Row],[学词]]&lt;&gt;""),MAX(单词表[[#This Row],[学英]:[学词]]),"")</f>
        <v>42650.425266203703</v>
      </c>
      <c r="M248" s="2">
        <f>IF(AND(单词表[[#This Row],[考英]]&lt;&gt;"",单词表[[#This Row],[考中]]&lt;&gt;""),MAX(单词表[[#This Row],[考英]:[考中]]),"")</f>
        <v>42650.426215277781</v>
      </c>
      <c r="P248" s="32"/>
    </row>
    <row r="249" spans="1:16" hidden="1" x14ac:dyDescent="0.15">
      <c r="A249">
        <v>248</v>
      </c>
      <c r="B249" t="s">
        <v>35</v>
      </c>
      <c r="C249" t="s">
        <v>6</v>
      </c>
      <c r="D249" s="72" t="s">
        <v>365</v>
      </c>
      <c r="E249" t="s">
        <v>73</v>
      </c>
      <c r="F249" t="s">
        <v>366</v>
      </c>
      <c r="G249" s="92">
        <v>42597.490115740744</v>
      </c>
      <c r="H249" s="92">
        <v>42630.531701388885</v>
      </c>
      <c r="I249" s="92">
        <v>42630.531689814816</v>
      </c>
      <c r="J249" s="92">
        <v>42597.49900462963</v>
      </c>
      <c r="K249" s="92">
        <v>42650.401423611111</v>
      </c>
      <c r="L249" s="92">
        <f>IF(AND(单词表[[#This Row],[学英]]&lt;&gt;"",单词表[[#This Row],[学中]]&lt;&gt;"",单词表[[#This Row],[学词]]&lt;&gt;""),MAX(单词表[[#This Row],[学英]:[学词]]),"")</f>
        <v>42630.531701388885</v>
      </c>
      <c r="M249" s="2">
        <f>IF(AND(单词表[[#This Row],[考英]]&lt;&gt;"",单词表[[#This Row],[考中]]&lt;&gt;""),MAX(单词表[[#This Row],[考英]:[考中]]),"")</f>
        <v>42650.401423611111</v>
      </c>
      <c r="P249" s="32"/>
    </row>
    <row r="250" spans="1:16" hidden="1" x14ac:dyDescent="0.15">
      <c r="A250">
        <v>249</v>
      </c>
      <c r="B250" t="s">
        <v>35</v>
      </c>
      <c r="C250" t="s">
        <v>6</v>
      </c>
      <c r="D250" s="72" t="s">
        <v>367</v>
      </c>
      <c r="E250" t="s">
        <v>36</v>
      </c>
      <c r="F250" t="s">
        <v>368</v>
      </c>
      <c r="G250" s="92">
        <v>42597.49013888889</v>
      </c>
      <c r="H250" s="92">
        <v>42630.531736111108</v>
      </c>
      <c r="I250" s="92">
        <v>42630.531724537039</v>
      </c>
      <c r="J250" s="92">
        <v>42597.499074074076</v>
      </c>
      <c r="K250" s="92">
        <v>42650.401458333334</v>
      </c>
      <c r="L250" s="92">
        <f>IF(AND(单词表[[#This Row],[学英]]&lt;&gt;"",单词表[[#This Row],[学中]]&lt;&gt;"",单词表[[#This Row],[学词]]&lt;&gt;""),MAX(单词表[[#This Row],[学英]:[学词]]),"")</f>
        <v>42630.531736111108</v>
      </c>
      <c r="M250" s="2">
        <f>IF(AND(单词表[[#This Row],[考英]]&lt;&gt;"",单词表[[#This Row],[考中]]&lt;&gt;""),MAX(单词表[[#This Row],[考英]:[考中]]),"")</f>
        <v>42650.401458333334</v>
      </c>
      <c r="N250" s="33"/>
      <c r="P250" s="32"/>
    </row>
    <row r="251" spans="1:16" hidden="1" x14ac:dyDescent="0.15">
      <c r="A251">
        <v>250</v>
      </c>
      <c r="B251" t="s">
        <v>35</v>
      </c>
      <c r="C251" t="s">
        <v>6</v>
      </c>
      <c r="D251" s="72" t="s">
        <v>369</v>
      </c>
      <c r="E251" t="s">
        <v>61</v>
      </c>
      <c r="F251" t="s">
        <v>370</v>
      </c>
      <c r="G251" s="92">
        <v>42597.587094907409</v>
      </c>
      <c r="H251" s="92">
        <v>42650.410787037035</v>
      </c>
      <c r="I251" s="92">
        <v>42650.410775462966</v>
      </c>
      <c r="J251" s="92">
        <v>42597.590787037036</v>
      </c>
      <c r="K251" s="92">
        <v>42650.416377314818</v>
      </c>
      <c r="L251" s="92">
        <f>IF(AND(单词表[[#This Row],[学英]]&lt;&gt;"",单词表[[#This Row],[学中]]&lt;&gt;"",单词表[[#This Row],[学词]]&lt;&gt;""),MAX(单词表[[#This Row],[学英]:[学词]]),"")</f>
        <v>42650.410787037035</v>
      </c>
      <c r="M251" s="2">
        <f>IF(AND(单词表[[#This Row],[考英]]&lt;&gt;"",单词表[[#This Row],[考中]]&lt;&gt;""),MAX(单词表[[#This Row],[考英]:[考中]]),"")</f>
        <v>42650.416377314818</v>
      </c>
      <c r="P251" s="32"/>
    </row>
    <row r="252" spans="1:16" hidden="1" x14ac:dyDescent="0.15">
      <c r="A252">
        <v>251</v>
      </c>
      <c r="B252" t="s">
        <v>35</v>
      </c>
      <c r="C252" t="s">
        <v>6</v>
      </c>
      <c r="D252" s="72" t="s">
        <v>371</v>
      </c>
      <c r="E252" t="s">
        <v>36</v>
      </c>
      <c r="F252" t="s">
        <v>372</v>
      </c>
      <c r="G252" s="92">
        <v>42597.490231481483</v>
      </c>
      <c r="H252" s="92">
        <v>42597.490243055552</v>
      </c>
      <c r="I252" s="92">
        <v>42597.490231481483</v>
      </c>
      <c r="J252" s="92">
        <v>42597.499293981484</v>
      </c>
      <c r="K252" s="92">
        <v>42650.401585648149</v>
      </c>
      <c r="L252" s="92">
        <f>IF(AND(单词表[[#This Row],[学英]]&lt;&gt;"",单词表[[#This Row],[学中]]&lt;&gt;"",单词表[[#This Row],[学词]]&lt;&gt;""),MAX(单词表[[#This Row],[学英]:[学词]]),"")</f>
        <v>42597.490243055552</v>
      </c>
      <c r="M252" s="2">
        <f>IF(AND(单词表[[#This Row],[考英]]&lt;&gt;"",单词表[[#This Row],[考中]]&lt;&gt;""),MAX(单词表[[#This Row],[考英]:[考中]]),"")</f>
        <v>42650.401585648149</v>
      </c>
      <c r="P252" s="32"/>
    </row>
    <row r="253" spans="1:16" hidden="1" x14ac:dyDescent="0.15">
      <c r="A253">
        <v>252</v>
      </c>
      <c r="B253" t="s">
        <v>35</v>
      </c>
      <c r="C253" t="s">
        <v>6</v>
      </c>
      <c r="D253" s="72" t="s">
        <v>373</v>
      </c>
      <c r="E253" t="s">
        <v>36</v>
      </c>
      <c r="F253" t="s">
        <v>374</v>
      </c>
      <c r="G253" s="92">
        <v>42597.491249999999</v>
      </c>
      <c r="H253" s="92">
        <v>42597.491261574076</v>
      </c>
      <c r="I253" s="92">
        <v>42597.491249999999</v>
      </c>
      <c r="J253" s="92">
        <v>42597.499537037038</v>
      </c>
      <c r="K253" s="92">
        <v>42650.401643518519</v>
      </c>
      <c r="L253" s="92">
        <f>IF(AND(单词表[[#This Row],[学英]]&lt;&gt;"",单词表[[#This Row],[学中]]&lt;&gt;"",单词表[[#This Row],[学词]]&lt;&gt;""),MAX(单词表[[#This Row],[学英]:[学词]]),"")</f>
        <v>42597.491261574076</v>
      </c>
      <c r="M253" s="2">
        <f>IF(AND(单词表[[#This Row],[考英]]&lt;&gt;"",单词表[[#This Row],[考中]]&lt;&gt;""),MAX(单词表[[#This Row],[考英]:[考中]]),"")</f>
        <v>42650.401643518519</v>
      </c>
      <c r="P253" s="32"/>
    </row>
    <row r="254" spans="1:16" hidden="1" x14ac:dyDescent="0.15">
      <c r="A254">
        <v>253</v>
      </c>
      <c r="B254" t="s">
        <v>35</v>
      </c>
      <c r="C254" t="s">
        <v>6</v>
      </c>
      <c r="D254" s="72" t="s">
        <v>375</v>
      </c>
      <c r="E254" t="s">
        <v>61</v>
      </c>
      <c r="F254" t="s">
        <v>376</v>
      </c>
      <c r="G254" s="92">
        <v>42597.491284722222</v>
      </c>
      <c r="H254" s="92">
        <v>42597.491296296299</v>
      </c>
      <c r="I254" s="92">
        <v>42597.491284722222</v>
      </c>
      <c r="J254" s="92">
        <v>42597.49962962963</v>
      </c>
      <c r="K254" s="92">
        <v>42650.401701388888</v>
      </c>
      <c r="L254" s="92">
        <f>IF(AND(单词表[[#This Row],[学英]]&lt;&gt;"",单词表[[#This Row],[学中]]&lt;&gt;"",单词表[[#This Row],[学词]]&lt;&gt;""),MAX(单词表[[#This Row],[学英]:[学词]]),"")</f>
        <v>42597.491296296299</v>
      </c>
      <c r="M254" s="2">
        <f>IF(AND(单词表[[#This Row],[考英]]&lt;&gt;"",单词表[[#This Row],[考中]]&lt;&gt;""),MAX(单词表[[#This Row],[考英]:[考中]]),"")</f>
        <v>42650.401701388888</v>
      </c>
      <c r="P254" s="32"/>
    </row>
    <row r="255" spans="1:16" hidden="1" x14ac:dyDescent="0.15">
      <c r="A255">
        <v>254</v>
      </c>
      <c r="B255" t="s">
        <v>35</v>
      </c>
      <c r="C255" t="s">
        <v>6</v>
      </c>
      <c r="D255" s="72" t="s">
        <v>377</v>
      </c>
      <c r="E255" t="s">
        <v>36</v>
      </c>
      <c r="F255" t="s">
        <v>378</v>
      </c>
      <c r="G255" s="92">
        <v>42597.608229166668</v>
      </c>
      <c r="H255" s="92">
        <v>42597.491331018522</v>
      </c>
      <c r="I255" s="92">
        <v>42597.491319444445</v>
      </c>
      <c r="J255" s="92">
        <v>42597.611724537041</v>
      </c>
      <c r="K255" s="92">
        <v>42650.401747685188</v>
      </c>
      <c r="L255" s="92">
        <f>IF(AND(单词表[[#This Row],[学英]]&lt;&gt;"",单词表[[#This Row],[学中]]&lt;&gt;"",单词表[[#This Row],[学词]]&lt;&gt;""),MAX(单词表[[#This Row],[学英]:[学词]]),"")</f>
        <v>42597.608229166668</v>
      </c>
      <c r="M255" s="2">
        <f>IF(AND(单词表[[#This Row],[考英]]&lt;&gt;"",单词表[[#This Row],[考中]]&lt;&gt;""),MAX(单词表[[#This Row],[考英]:[考中]]),"")</f>
        <v>42650.401747685188</v>
      </c>
      <c r="N255" s="33"/>
      <c r="P255" s="32"/>
    </row>
    <row r="256" spans="1:16" hidden="1" x14ac:dyDescent="0.15">
      <c r="A256">
        <v>255</v>
      </c>
      <c r="B256" t="s">
        <v>35</v>
      </c>
      <c r="C256" t="s">
        <v>6</v>
      </c>
      <c r="D256" s="72" t="s">
        <v>379</v>
      </c>
      <c r="E256" t="s">
        <v>36</v>
      </c>
      <c r="F256" t="s">
        <v>380</v>
      </c>
      <c r="G256" s="92">
        <v>42597.491365740738</v>
      </c>
      <c r="H256" s="92">
        <v>42630.531759259262</v>
      </c>
      <c r="I256" s="92">
        <v>42630.531759259262</v>
      </c>
      <c r="J256" s="92">
        <v>42597.499814814815</v>
      </c>
      <c r="K256" s="92">
        <v>42650.40179398148</v>
      </c>
      <c r="L256" s="92">
        <f>IF(AND(单词表[[#This Row],[学英]]&lt;&gt;"",单词表[[#This Row],[学中]]&lt;&gt;"",单词表[[#This Row],[学词]]&lt;&gt;""),MAX(单词表[[#This Row],[学英]:[学词]]),"")</f>
        <v>42630.531759259262</v>
      </c>
      <c r="M256" s="2">
        <f>IF(AND(单词表[[#This Row],[考英]]&lt;&gt;"",单词表[[#This Row],[考中]]&lt;&gt;""),MAX(单词表[[#This Row],[考英]:[考中]]),"")</f>
        <v>42650.40179398148</v>
      </c>
      <c r="P256" s="32"/>
    </row>
    <row r="257" spans="1:16" hidden="1" x14ac:dyDescent="0.15">
      <c r="A257">
        <v>256</v>
      </c>
      <c r="B257" t="s">
        <v>35</v>
      </c>
      <c r="C257" t="s">
        <v>6</v>
      </c>
      <c r="D257" s="72" t="s">
        <v>381</v>
      </c>
      <c r="E257" t="s">
        <v>36</v>
      </c>
      <c r="F257" t="s">
        <v>382</v>
      </c>
      <c r="G257" s="92">
        <v>42597.587129629632</v>
      </c>
      <c r="H257" s="92">
        <v>42597.491412037038</v>
      </c>
      <c r="I257" s="92">
        <v>42597.491400462961</v>
      </c>
      <c r="J257" s="92">
        <v>42597.59097222222</v>
      </c>
      <c r="K257" s="92">
        <v>42650.401828703703</v>
      </c>
      <c r="L257" s="92">
        <f>IF(AND(单词表[[#This Row],[学英]]&lt;&gt;"",单词表[[#This Row],[学中]]&lt;&gt;"",单词表[[#This Row],[学词]]&lt;&gt;""),MAX(单词表[[#This Row],[学英]:[学词]]),"")</f>
        <v>42597.587129629632</v>
      </c>
      <c r="M257" s="2">
        <f>IF(AND(单词表[[#This Row],[考英]]&lt;&gt;"",单词表[[#This Row],[考中]]&lt;&gt;""),MAX(单词表[[#This Row],[考英]:[考中]]),"")</f>
        <v>42650.401828703703</v>
      </c>
      <c r="N257" s="33"/>
      <c r="P257" s="32"/>
    </row>
    <row r="258" spans="1:16" hidden="1" x14ac:dyDescent="0.15">
      <c r="A258">
        <v>257</v>
      </c>
      <c r="B258" t="s">
        <v>35</v>
      </c>
      <c r="C258" t="s">
        <v>6</v>
      </c>
      <c r="D258" s="72" t="s">
        <v>383</v>
      </c>
      <c r="E258" t="s">
        <v>702</v>
      </c>
      <c r="F258" t="s">
        <v>384</v>
      </c>
      <c r="G258" s="92">
        <v>42597.491435185184</v>
      </c>
      <c r="H258" s="92">
        <v>42597.491446759261</v>
      </c>
      <c r="I258" s="92">
        <v>42597.491446759261</v>
      </c>
      <c r="J258" s="92">
        <v>42597.500115740739</v>
      </c>
      <c r="K258" s="92">
        <v>42650.401863425926</v>
      </c>
      <c r="L258" s="92">
        <f>IF(AND(单词表[[#This Row],[学英]]&lt;&gt;"",单词表[[#This Row],[学中]]&lt;&gt;"",单词表[[#This Row],[学词]]&lt;&gt;""),MAX(单词表[[#This Row],[学英]:[学词]]),"")</f>
        <v>42597.491446759261</v>
      </c>
      <c r="M258" s="2">
        <f>IF(AND(单词表[[#This Row],[考英]]&lt;&gt;"",单词表[[#This Row],[考中]]&lt;&gt;""),MAX(单词表[[#This Row],[考英]:[考中]]),"")</f>
        <v>42650.401863425926</v>
      </c>
      <c r="N258" s="33"/>
      <c r="P258" s="32"/>
    </row>
    <row r="259" spans="1:16" hidden="1" x14ac:dyDescent="0.15">
      <c r="A259">
        <v>258</v>
      </c>
      <c r="B259" t="s">
        <v>35</v>
      </c>
      <c r="C259" t="s">
        <v>6</v>
      </c>
      <c r="D259" s="72" t="s">
        <v>385</v>
      </c>
      <c r="E259" t="s">
        <v>61</v>
      </c>
      <c r="F259" t="s">
        <v>386</v>
      </c>
      <c r="G259" s="92">
        <v>42597.587152777778</v>
      </c>
      <c r="H259" s="92">
        <v>42650.410821759258</v>
      </c>
      <c r="I259" s="92">
        <v>42650.410821759258</v>
      </c>
      <c r="J259" s="92">
        <v>42597.591087962966</v>
      </c>
      <c r="K259" s="92">
        <v>42650.416412037041</v>
      </c>
      <c r="L259" s="92">
        <f>IF(AND(单词表[[#This Row],[学英]]&lt;&gt;"",单词表[[#This Row],[学中]]&lt;&gt;"",单词表[[#This Row],[学词]]&lt;&gt;""),MAX(单词表[[#This Row],[学英]:[学词]]),"")</f>
        <v>42650.410821759258</v>
      </c>
      <c r="M259" s="2">
        <f>IF(AND(单词表[[#This Row],[考英]]&lt;&gt;"",单词表[[#This Row],[考中]]&lt;&gt;""),MAX(单词表[[#This Row],[考英]:[考中]]),"")</f>
        <v>42650.416412037041</v>
      </c>
      <c r="P259" s="32"/>
    </row>
    <row r="260" spans="1:16" hidden="1" x14ac:dyDescent="0.15">
      <c r="A260">
        <v>259</v>
      </c>
      <c r="B260" t="s">
        <v>35</v>
      </c>
      <c r="C260" t="s">
        <v>6</v>
      </c>
      <c r="D260" s="72" t="s">
        <v>387</v>
      </c>
      <c r="E260" t="s">
        <v>61</v>
      </c>
      <c r="F260" t="s">
        <v>388</v>
      </c>
      <c r="G260" s="92">
        <v>42597.587187500001</v>
      </c>
      <c r="H260" s="92">
        <v>42650.421458333331</v>
      </c>
      <c r="I260" s="92">
        <v>42650.421446759261</v>
      </c>
      <c r="J260" s="92">
        <v>42597.591273148151</v>
      </c>
      <c r="K260" s="92">
        <v>42650.424432870372</v>
      </c>
      <c r="L260" s="92">
        <f>IF(AND(单词表[[#This Row],[学英]]&lt;&gt;"",单词表[[#This Row],[学中]]&lt;&gt;"",单词表[[#This Row],[学词]]&lt;&gt;""),MAX(单词表[[#This Row],[学英]:[学词]]),"")</f>
        <v>42650.421458333331</v>
      </c>
      <c r="M260" s="2">
        <f>IF(AND(单词表[[#This Row],[考英]]&lt;&gt;"",单词表[[#This Row],[考中]]&lt;&gt;""),MAX(单词表[[#This Row],[考英]:[考中]]),"")</f>
        <v>42650.424432870372</v>
      </c>
      <c r="P260" s="32"/>
    </row>
    <row r="261" spans="1:16" hidden="1" x14ac:dyDescent="0.15">
      <c r="A261">
        <v>260</v>
      </c>
      <c r="B261" t="s">
        <v>35</v>
      </c>
      <c r="C261" t="s">
        <v>6</v>
      </c>
      <c r="D261" s="72" t="s">
        <v>5669</v>
      </c>
      <c r="E261" t="s">
        <v>61</v>
      </c>
      <c r="F261" t="s">
        <v>389</v>
      </c>
      <c r="G261" s="92">
        <v>42597.587210648147</v>
      </c>
      <c r="H261" s="92">
        <v>42650.421493055554</v>
      </c>
      <c r="I261" s="92">
        <v>42650.421481481484</v>
      </c>
      <c r="J261" s="92">
        <v>42597.59138888889</v>
      </c>
      <c r="K261" s="92">
        <v>42650.424687500003</v>
      </c>
      <c r="L261" s="92">
        <f>IF(AND(单词表[[#This Row],[学英]]&lt;&gt;"",单词表[[#This Row],[学中]]&lt;&gt;"",单词表[[#This Row],[学词]]&lt;&gt;""),MAX(单词表[[#This Row],[学英]:[学词]]),"")</f>
        <v>42650.421493055554</v>
      </c>
      <c r="M261" s="2">
        <f>IF(AND(单词表[[#This Row],[考英]]&lt;&gt;"",单词表[[#This Row],[考中]]&lt;&gt;""),MAX(单词表[[#This Row],[考英]:[考中]]),"")</f>
        <v>42650.424687500003</v>
      </c>
      <c r="P261" s="32"/>
    </row>
    <row r="262" spans="1:16" hidden="1" x14ac:dyDescent="0.15">
      <c r="A262">
        <v>261</v>
      </c>
      <c r="B262" t="s">
        <v>35</v>
      </c>
      <c r="C262" t="s">
        <v>6</v>
      </c>
      <c r="D262" s="72" t="s">
        <v>390</v>
      </c>
      <c r="E262" t="s">
        <v>1016</v>
      </c>
      <c r="F262" t="s">
        <v>391</v>
      </c>
      <c r="G262" s="92">
        <v>42597.587534722225</v>
      </c>
      <c r="H262" s="92">
        <v>42650.427199074074</v>
      </c>
      <c r="I262" s="92">
        <v>42650.427199074074</v>
      </c>
      <c r="J262" s="92">
        <v>42597.591597222221</v>
      </c>
      <c r="K262" s="92">
        <v>42650.427349537036</v>
      </c>
      <c r="L262" s="92">
        <f>IF(AND(单词表[[#This Row],[学英]]&lt;&gt;"",单词表[[#This Row],[学中]]&lt;&gt;"",单词表[[#This Row],[学词]]&lt;&gt;""),MAX(单词表[[#This Row],[学英]:[学词]]),"")</f>
        <v>42650.427199074074</v>
      </c>
      <c r="M262" s="2">
        <f>IF(AND(单词表[[#This Row],[考英]]&lt;&gt;"",单词表[[#This Row],[考中]]&lt;&gt;""),MAX(单词表[[#This Row],[考英]:[考中]]),"")</f>
        <v>42650.427349537036</v>
      </c>
      <c r="P262" s="32"/>
    </row>
    <row r="263" spans="1:16" hidden="1" x14ac:dyDescent="0.15">
      <c r="A263">
        <v>262</v>
      </c>
      <c r="B263" t="s">
        <v>35</v>
      </c>
      <c r="C263" t="s">
        <v>6</v>
      </c>
      <c r="D263" s="72" t="s">
        <v>392</v>
      </c>
      <c r="E263" t="s">
        <v>36</v>
      </c>
      <c r="F263" t="s">
        <v>393</v>
      </c>
      <c r="G263" s="92">
        <v>42597.608287037037</v>
      </c>
      <c r="H263" s="92">
        <v>42650.425358796296</v>
      </c>
      <c r="I263" s="92">
        <v>42650.425358796296</v>
      </c>
      <c r="J263" s="92">
        <v>42597.611840277779</v>
      </c>
      <c r="K263" s="92">
        <v>42650.426435185182</v>
      </c>
      <c r="L263" s="92">
        <f>IF(AND(单词表[[#This Row],[学英]]&lt;&gt;"",单词表[[#This Row],[学中]]&lt;&gt;"",单词表[[#This Row],[学词]]&lt;&gt;""),MAX(单词表[[#This Row],[学英]:[学词]]),"")</f>
        <v>42650.425358796296</v>
      </c>
      <c r="M263" s="2">
        <f>IF(AND(单词表[[#This Row],[考英]]&lt;&gt;"",单词表[[#This Row],[考中]]&lt;&gt;""),MAX(单词表[[#This Row],[考英]:[考中]]),"")</f>
        <v>42650.426435185182</v>
      </c>
      <c r="P263" s="32"/>
    </row>
    <row r="264" spans="1:16" hidden="1" x14ac:dyDescent="0.15">
      <c r="A264">
        <v>263</v>
      </c>
      <c r="B264" t="s">
        <v>35</v>
      </c>
      <c r="C264" t="s">
        <v>6</v>
      </c>
      <c r="D264" s="72" t="s">
        <v>394</v>
      </c>
      <c r="E264" t="s">
        <v>157</v>
      </c>
      <c r="F264" t="s">
        <v>395</v>
      </c>
      <c r="G264" s="92">
        <v>42597.587638888886</v>
      </c>
      <c r="H264" s="92">
        <v>42650.411435185182</v>
      </c>
      <c r="I264" s="92">
        <v>42650.411435185182</v>
      </c>
      <c r="J264" s="92">
        <v>42597.591990740744</v>
      </c>
      <c r="K264" s="92">
        <v>42650.416724537034</v>
      </c>
      <c r="L264" s="92">
        <f>IF(AND(单词表[[#This Row],[学英]]&lt;&gt;"",单词表[[#This Row],[学中]]&lt;&gt;"",单词表[[#This Row],[学词]]&lt;&gt;""),MAX(单词表[[#This Row],[学英]:[学词]]),"")</f>
        <v>42650.411435185182</v>
      </c>
      <c r="M264" s="2">
        <f>IF(AND(单词表[[#This Row],[考英]]&lt;&gt;"",单词表[[#This Row],[考中]]&lt;&gt;""),MAX(单词表[[#This Row],[考英]:[考中]]),"")</f>
        <v>42650.416724537034</v>
      </c>
      <c r="P264" s="32"/>
    </row>
    <row r="265" spans="1:16" hidden="1" x14ac:dyDescent="0.15">
      <c r="A265">
        <v>264</v>
      </c>
      <c r="B265" t="s">
        <v>35</v>
      </c>
      <c r="C265" t="s">
        <v>6</v>
      </c>
      <c r="D265" s="72" t="s">
        <v>396</v>
      </c>
      <c r="E265" t="s">
        <v>73</v>
      </c>
      <c r="F265" t="s">
        <v>397</v>
      </c>
      <c r="G265" s="92">
        <v>42597.587673611109</v>
      </c>
      <c r="H265" s="92">
        <v>42597.587685185186</v>
      </c>
      <c r="I265" s="92">
        <v>42597.587673611109</v>
      </c>
      <c r="J265" s="92">
        <v>42597.592141203706</v>
      </c>
      <c r="K265" s="92">
        <v>42650.402361111112</v>
      </c>
      <c r="L265" s="92">
        <f>IF(AND(单词表[[#This Row],[学英]]&lt;&gt;"",单词表[[#This Row],[学中]]&lt;&gt;"",单词表[[#This Row],[学词]]&lt;&gt;""),MAX(单词表[[#This Row],[学英]:[学词]]),"")</f>
        <v>42597.587685185186</v>
      </c>
      <c r="M265" s="2">
        <f>IF(AND(单词表[[#This Row],[考英]]&lt;&gt;"",单词表[[#This Row],[考中]]&lt;&gt;""),MAX(单词表[[#This Row],[考英]:[考中]]),"")</f>
        <v>42650.402361111112</v>
      </c>
      <c r="P265" s="32"/>
    </row>
    <row r="266" spans="1:16" hidden="1" x14ac:dyDescent="0.15">
      <c r="A266">
        <v>265</v>
      </c>
      <c r="B266" t="s">
        <v>35</v>
      </c>
      <c r="C266" t="s">
        <v>6</v>
      </c>
      <c r="D266" s="72" t="s">
        <v>398</v>
      </c>
      <c r="E266" t="s">
        <v>36</v>
      </c>
      <c r="F266" t="s">
        <v>399</v>
      </c>
      <c r="G266" s="92">
        <v>42597.587719907409</v>
      </c>
      <c r="H266" s="92">
        <v>42597.587731481479</v>
      </c>
      <c r="I266" s="92">
        <v>42597.587719907409</v>
      </c>
      <c r="J266" s="92">
        <v>42597.592256944445</v>
      </c>
      <c r="K266" s="92">
        <v>42650.402418981481</v>
      </c>
      <c r="L266" s="92">
        <f>IF(AND(单词表[[#This Row],[学英]]&lt;&gt;"",单词表[[#This Row],[学中]]&lt;&gt;"",单词表[[#This Row],[学词]]&lt;&gt;""),MAX(单词表[[#This Row],[学英]:[学词]]),"")</f>
        <v>42597.587731481479</v>
      </c>
      <c r="M266" s="2">
        <f>IF(AND(单词表[[#This Row],[考英]]&lt;&gt;"",单词表[[#This Row],[考中]]&lt;&gt;""),MAX(单词表[[#This Row],[考英]:[考中]]),"")</f>
        <v>42650.402418981481</v>
      </c>
      <c r="P266" s="32"/>
    </row>
    <row r="267" spans="1:16" hidden="1" x14ac:dyDescent="0.15">
      <c r="A267">
        <v>266</v>
      </c>
      <c r="B267" t="s">
        <v>35</v>
      </c>
      <c r="C267" t="s">
        <v>6</v>
      </c>
      <c r="D267" s="72" t="s">
        <v>400</v>
      </c>
      <c r="E267" t="s">
        <v>36</v>
      </c>
      <c r="F267" t="s">
        <v>401</v>
      </c>
      <c r="G267" s="92">
        <v>42597.587777777779</v>
      </c>
      <c r="H267" s="92">
        <v>42650.411539351851</v>
      </c>
      <c r="I267" s="92">
        <v>42650.411539351851</v>
      </c>
      <c r="J267" s="92">
        <v>42597.592465277776</v>
      </c>
      <c r="K267" s="92">
        <v>42650.41678240741</v>
      </c>
      <c r="L267" s="92">
        <f>IF(AND(单词表[[#This Row],[学英]]&lt;&gt;"",单词表[[#This Row],[学中]]&lt;&gt;"",单词表[[#This Row],[学词]]&lt;&gt;""),MAX(单词表[[#This Row],[学英]:[学词]]),"")</f>
        <v>42650.411539351851</v>
      </c>
      <c r="M267" s="2">
        <f>IF(AND(单词表[[#This Row],[考英]]&lt;&gt;"",单词表[[#This Row],[考中]]&lt;&gt;""),MAX(单词表[[#This Row],[考英]:[考中]]),"")</f>
        <v>42650.41678240741</v>
      </c>
      <c r="P267" s="32"/>
    </row>
    <row r="268" spans="1:16" hidden="1" x14ac:dyDescent="0.15">
      <c r="A268">
        <v>267</v>
      </c>
      <c r="B268" t="s">
        <v>35</v>
      </c>
      <c r="C268" t="s">
        <v>6</v>
      </c>
      <c r="D268" s="72" t="s">
        <v>402</v>
      </c>
      <c r="E268" t="s">
        <v>1019</v>
      </c>
      <c r="F268" t="s">
        <v>403</v>
      </c>
      <c r="G268" s="92">
        <v>42597.587939814817</v>
      </c>
      <c r="H268" s="92">
        <v>42630.547118055554</v>
      </c>
      <c r="I268" s="92">
        <v>42630.547106481485</v>
      </c>
      <c r="J268" s="92">
        <v>42597.592534722222</v>
      </c>
      <c r="K268" s="92">
        <v>42650.40253472222</v>
      </c>
      <c r="L268" s="92">
        <f>IF(AND(单词表[[#This Row],[学英]]&lt;&gt;"",单词表[[#This Row],[学中]]&lt;&gt;"",单词表[[#This Row],[学词]]&lt;&gt;""),MAX(单词表[[#This Row],[学英]:[学词]]),"")</f>
        <v>42630.547118055554</v>
      </c>
      <c r="M268" s="2">
        <f>IF(AND(单词表[[#This Row],[考英]]&lt;&gt;"",单词表[[#This Row],[考中]]&lt;&gt;""),MAX(单词表[[#This Row],[考英]:[考中]]),"")</f>
        <v>42650.40253472222</v>
      </c>
      <c r="P268" s="32"/>
    </row>
    <row r="269" spans="1:16" hidden="1" x14ac:dyDescent="0.15">
      <c r="A269">
        <v>268</v>
      </c>
      <c r="B269" t="s">
        <v>35</v>
      </c>
      <c r="C269" t="s">
        <v>6</v>
      </c>
      <c r="D269" s="72" t="s">
        <v>404</v>
      </c>
      <c r="E269" t="s">
        <v>36</v>
      </c>
      <c r="F269" t="s">
        <v>405</v>
      </c>
      <c r="G269" s="92">
        <v>42597.608298611114</v>
      </c>
      <c r="H269" s="92">
        <v>42630.532280092593</v>
      </c>
      <c r="I269" s="92">
        <v>42630.532280092593</v>
      </c>
      <c r="J269" s="92">
        <v>42597.61204861111</v>
      </c>
      <c r="K269" s="92">
        <v>42650.402569444443</v>
      </c>
      <c r="L269" s="92">
        <f>IF(AND(单词表[[#This Row],[学英]]&lt;&gt;"",单词表[[#This Row],[学中]]&lt;&gt;"",单词表[[#This Row],[学词]]&lt;&gt;""),MAX(单词表[[#This Row],[学英]:[学词]]),"")</f>
        <v>42630.532280092593</v>
      </c>
      <c r="M269" s="2">
        <f>IF(AND(单词表[[#This Row],[考英]]&lt;&gt;"",单词表[[#This Row],[考中]]&lt;&gt;""),MAX(单词表[[#This Row],[考英]:[考中]]),"")</f>
        <v>42650.402569444443</v>
      </c>
      <c r="P269" s="32"/>
    </row>
    <row r="270" spans="1:16" hidden="1" x14ac:dyDescent="0.15">
      <c r="A270">
        <v>269</v>
      </c>
      <c r="B270" t="s">
        <v>35</v>
      </c>
      <c r="C270" t="s">
        <v>6</v>
      </c>
      <c r="D270" s="72" t="s">
        <v>406</v>
      </c>
      <c r="E270" t="s">
        <v>36</v>
      </c>
      <c r="F270" t="s">
        <v>407</v>
      </c>
      <c r="G270" s="92">
        <v>42597.586956018517</v>
      </c>
      <c r="H270" s="92">
        <v>42650.411620370367</v>
      </c>
      <c r="I270" s="92">
        <v>42650.411608796298</v>
      </c>
      <c r="J270" s="92">
        <v>42597.592858796299</v>
      </c>
      <c r="K270" s="92">
        <v>42650.416828703703</v>
      </c>
      <c r="L270" s="92">
        <f>IF(AND(单词表[[#This Row],[学英]]&lt;&gt;"",单词表[[#This Row],[学中]]&lt;&gt;"",单词表[[#This Row],[学词]]&lt;&gt;""),MAX(单词表[[#This Row],[学英]:[学词]]),"")</f>
        <v>42650.411620370367</v>
      </c>
      <c r="M270" s="2">
        <f>IF(AND(单词表[[#This Row],[考英]]&lt;&gt;"",单词表[[#This Row],[考中]]&lt;&gt;""),MAX(单词表[[#This Row],[考英]:[考中]]),"")</f>
        <v>42650.416828703703</v>
      </c>
      <c r="P270" s="32"/>
    </row>
    <row r="271" spans="1:16" hidden="1" x14ac:dyDescent="0.15">
      <c r="A271">
        <v>270</v>
      </c>
      <c r="B271" t="s">
        <v>35</v>
      </c>
      <c r="C271" t="s">
        <v>6</v>
      </c>
      <c r="D271" s="72" t="s">
        <v>408</v>
      </c>
      <c r="E271" t="s">
        <v>73</v>
      </c>
      <c r="F271" t="s">
        <v>409</v>
      </c>
      <c r="G271" s="92">
        <v>42597.586909722224</v>
      </c>
      <c r="H271" s="92">
        <v>42650.425381944442</v>
      </c>
      <c r="I271" s="92">
        <v>42650.425393518519</v>
      </c>
      <c r="J271" s="92">
        <v>42597.593356481484</v>
      </c>
      <c r="K271" s="92">
        <v>42650.426469907405</v>
      </c>
      <c r="L271" s="92">
        <f>IF(AND(单词表[[#This Row],[学英]]&lt;&gt;"",单词表[[#This Row],[学中]]&lt;&gt;"",单词表[[#This Row],[学词]]&lt;&gt;""),MAX(单词表[[#This Row],[学英]:[学词]]),"")</f>
        <v>42650.425393518519</v>
      </c>
      <c r="M271" s="2">
        <f>IF(AND(单词表[[#This Row],[考英]]&lt;&gt;"",单词表[[#This Row],[考中]]&lt;&gt;""),MAX(单词表[[#This Row],[考英]:[考中]]),"")</f>
        <v>42650.426469907405</v>
      </c>
      <c r="P271" s="32"/>
    </row>
    <row r="272" spans="1:16" hidden="1" x14ac:dyDescent="0.15">
      <c r="A272">
        <v>271</v>
      </c>
      <c r="B272" t="s">
        <v>35</v>
      </c>
      <c r="C272" t="s">
        <v>6</v>
      </c>
      <c r="D272" s="72" t="s">
        <v>410</v>
      </c>
      <c r="E272" t="s">
        <v>36</v>
      </c>
      <c r="F272" t="s">
        <v>411</v>
      </c>
      <c r="G272" s="92">
        <v>42597.586863425924</v>
      </c>
      <c r="H272" s="92">
        <v>42650.414687500001</v>
      </c>
      <c r="I272" s="92">
        <v>42650.414675925924</v>
      </c>
      <c r="J272" s="92">
        <v>42597.594085648147</v>
      </c>
      <c r="K272" s="92">
        <v>42650.416956018518</v>
      </c>
      <c r="L272" s="92">
        <f>IF(AND(单词表[[#This Row],[学英]]&lt;&gt;"",单词表[[#This Row],[学中]]&lt;&gt;"",单词表[[#This Row],[学词]]&lt;&gt;""),MAX(单词表[[#This Row],[学英]:[学词]]),"")</f>
        <v>42650.414687500001</v>
      </c>
      <c r="M272" s="2">
        <f>IF(AND(单词表[[#This Row],[考英]]&lt;&gt;"",单词表[[#This Row],[考中]]&lt;&gt;""),MAX(单词表[[#This Row],[考英]:[考中]]),"")</f>
        <v>42650.416956018518</v>
      </c>
      <c r="P272" s="32"/>
    </row>
    <row r="273" spans="1:16" hidden="1" x14ac:dyDescent="0.15">
      <c r="A273">
        <v>272</v>
      </c>
      <c r="B273" t="s">
        <v>35</v>
      </c>
      <c r="C273" t="s">
        <v>6</v>
      </c>
      <c r="D273" s="72" t="s">
        <v>412</v>
      </c>
      <c r="E273" t="s">
        <v>61</v>
      </c>
      <c r="F273" t="s">
        <v>413</v>
      </c>
      <c r="G273" s="92">
        <v>42597.586782407408</v>
      </c>
      <c r="H273" s="92">
        <v>42597.586805555555</v>
      </c>
      <c r="I273" s="92">
        <v>42597.586793981478</v>
      </c>
      <c r="J273" s="92">
        <v>42597.594351851854</v>
      </c>
      <c r="K273" s="92">
        <v>42650.402800925927</v>
      </c>
      <c r="L273" s="92">
        <f>IF(AND(单词表[[#This Row],[学英]]&lt;&gt;"",单词表[[#This Row],[学中]]&lt;&gt;"",单词表[[#This Row],[学词]]&lt;&gt;""),MAX(单词表[[#This Row],[学英]:[学词]]),"")</f>
        <v>42597.586805555555</v>
      </c>
      <c r="M273" s="2">
        <f>IF(AND(单词表[[#This Row],[考英]]&lt;&gt;"",单词表[[#This Row],[考中]]&lt;&gt;""),MAX(单词表[[#This Row],[考英]:[考中]]),"")</f>
        <v>42650.402800925927</v>
      </c>
      <c r="P273" s="32"/>
    </row>
    <row r="274" spans="1:16" hidden="1" x14ac:dyDescent="0.15">
      <c r="A274">
        <v>273</v>
      </c>
      <c r="B274" t="s">
        <v>35</v>
      </c>
      <c r="C274" t="s">
        <v>6</v>
      </c>
      <c r="D274" s="72" t="s">
        <v>412</v>
      </c>
      <c r="E274" t="s">
        <v>36</v>
      </c>
      <c r="F274" t="s">
        <v>414</v>
      </c>
      <c r="G274" s="92">
        <v>42597.586724537039</v>
      </c>
      <c r="H274" s="92">
        <v>42597.586736111109</v>
      </c>
      <c r="I274" s="92">
        <v>42597.586736111109</v>
      </c>
      <c r="J274" s="92">
        <v>42597.594386574077</v>
      </c>
      <c r="K274" s="92">
        <v>42650.40283564815</v>
      </c>
      <c r="L274" s="92">
        <f>IF(AND(单词表[[#This Row],[学英]]&lt;&gt;"",单词表[[#This Row],[学中]]&lt;&gt;"",单词表[[#This Row],[学词]]&lt;&gt;""),MAX(单词表[[#This Row],[学英]:[学词]]),"")</f>
        <v>42597.586736111109</v>
      </c>
      <c r="M274" s="2">
        <f>IF(AND(单词表[[#This Row],[考英]]&lt;&gt;"",单词表[[#This Row],[考中]]&lt;&gt;""),MAX(单词表[[#This Row],[考英]:[考中]]),"")</f>
        <v>42650.40283564815</v>
      </c>
      <c r="P274" s="32"/>
    </row>
    <row r="275" spans="1:16" hidden="1" x14ac:dyDescent="0.15">
      <c r="A275">
        <v>274</v>
      </c>
      <c r="B275" t="s">
        <v>35</v>
      </c>
      <c r="C275" t="s">
        <v>6</v>
      </c>
      <c r="D275" s="72" t="s">
        <v>415</v>
      </c>
      <c r="E275" t="s">
        <v>702</v>
      </c>
      <c r="F275" t="s">
        <v>416</v>
      </c>
      <c r="G275" s="92">
        <v>42597.553703703707</v>
      </c>
      <c r="H275" s="92">
        <v>42630.548518518517</v>
      </c>
      <c r="I275" s="92">
        <v>42630.548506944448</v>
      </c>
      <c r="J275" s="92">
        <v>42597.594502314816</v>
      </c>
      <c r="K275" s="92">
        <v>42650.40289351852</v>
      </c>
      <c r="L275" s="92">
        <f>IF(AND(单词表[[#This Row],[学英]]&lt;&gt;"",单词表[[#This Row],[学中]]&lt;&gt;"",单词表[[#This Row],[学词]]&lt;&gt;""),MAX(单词表[[#This Row],[学英]:[学词]]),"")</f>
        <v>42630.548518518517</v>
      </c>
      <c r="M275" s="2">
        <f>IF(AND(单词表[[#This Row],[考英]]&lt;&gt;"",单词表[[#This Row],[考中]]&lt;&gt;""),MAX(单词表[[#This Row],[考英]:[考中]]),"")</f>
        <v>42650.40289351852</v>
      </c>
      <c r="P275" s="32"/>
    </row>
    <row r="276" spans="1:16" hidden="1" x14ac:dyDescent="0.15">
      <c r="A276">
        <v>275</v>
      </c>
      <c r="B276" t="s">
        <v>35</v>
      </c>
      <c r="C276" t="s">
        <v>6</v>
      </c>
      <c r="D276" s="72" t="s">
        <v>5662</v>
      </c>
      <c r="E276" t="s">
        <v>36</v>
      </c>
      <c r="F276" t="s">
        <v>417</v>
      </c>
      <c r="G276" s="92">
        <v>42597.610023148147</v>
      </c>
      <c r="H276" s="92">
        <v>42650.425428240742</v>
      </c>
      <c r="I276" s="92">
        <v>42650.425416666665</v>
      </c>
      <c r="J276" s="92">
        <v>42597.612256944441</v>
      </c>
      <c r="K276" s="92">
        <v>42650.426504629628</v>
      </c>
      <c r="L276" s="92">
        <f>IF(AND(单词表[[#This Row],[学英]]&lt;&gt;"",单词表[[#This Row],[学中]]&lt;&gt;"",单词表[[#This Row],[学词]]&lt;&gt;""),MAX(单词表[[#This Row],[学英]:[学词]]),"")</f>
        <v>42650.425428240742</v>
      </c>
      <c r="M276" s="2">
        <f>IF(AND(单词表[[#This Row],[考英]]&lt;&gt;"",单词表[[#This Row],[考中]]&lt;&gt;""),MAX(单词表[[#This Row],[考英]:[考中]]),"")</f>
        <v>42650.426504629628</v>
      </c>
      <c r="P276" s="32"/>
    </row>
    <row r="277" spans="1:16" hidden="1" x14ac:dyDescent="0.15">
      <c r="A277">
        <v>276</v>
      </c>
      <c r="B277" t="s">
        <v>35</v>
      </c>
      <c r="C277" t="s">
        <v>6</v>
      </c>
      <c r="D277" s="72" t="s">
        <v>418</v>
      </c>
      <c r="E277" t="s">
        <v>36</v>
      </c>
      <c r="F277" t="s">
        <v>419</v>
      </c>
      <c r="G277" s="92">
        <v>42597.553599537037</v>
      </c>
      <c r="H277" s="92">
        <v>42650.426782407405</v>
      </c>
      <c r="I277" s="92">
        <v>42650.426770833335</v>
      </c>
      <c r="J277" s="92">
        <v>42597.59584490741</v>
      </c>
      <c r="K277" s="92">
        <v>42650.427025462966</v>
      </c>
      <c r="L277" s="92">
        <f>IF(AND(单词表[[#This Row],[学英]]&lt;&gt;"",单词表[[#This Row],[学中]]&lt;&gt;"",单词表[[#This Row],[学词]]&lt;&gt;""),MAX(单词表[[#This Row],[学英]:[学词]]),"")</f>
        <v>42650.426782407405</v>
      </c>
      <c r="M277" s="2">
        <f>IF(AND(单词表[[#This Row],[考英]]&lt;&gt;"",单词表[[#This Row],[考中]]&lt;&gt;""),MAX(单词表[[#This Row],[考英]:[考中]]),"")</f>
        <v>42650.427025462966</v>
      </c>
      <c r="P277" s="32"/>
    </row>
    <row r="278" spans="1:16" hidden="1" x14ac:dyDescent="0.15">
      <c r="A278">
        <v>277</v>
      </c>
      <c r="B278" t="s">
        <v>35</v>
      </c>
      <c r="C278" t="s">
        <v>6</v>
      </c>
      <c r="D278" s="72" t="s">
        <v>420</v>
      </c>
      <c r="E278" t="s">
        <v>702</v>
      </c>
      <c r="F278" t="s">
        <v>421</v>
      </c>
      <c r="G278" s="92">
        <v>42597.553564814814</v>
      </c>
      <c r="H278" s="92">
        <v>42597.553576388891</v>
      </c>
      <c r="I278" s="92">
        <v>42597.553576388891</v>
      </c>
      <c r="J278" s="92">
        <v>42597.596770833334</v>
      </c>
      <c r="K278" s="92">
        <v>42650.403078703705</v>
      </c>
      <c r="L278" s="92">
        <f>IF(AND(单词表[[#This Row],[学英]]&lt;&gt;"",单词表[[#This Row],[学中]]&lt;&gt;"",单词表[[#This Row],[学词]]&lt;&gt;""),MAX(单词表[[#This Row],[学英]:[学词]]),"")</f>
        <v>42597.553576388891</v>
      </c>
      <c r="M278" s="2">
        <f>IF(AND(单词表[[#This Row],[考英]]&lt;&gt;"",单词表[[#This Row],[考中]]&lt;&gt;""),MAX(单词表[[#This Row],[考英]:[考中]]),"")</f>
        <v>42650.403078703705</v>
      </c>
      <c r="P278" s="32"/>
    </row>
    <row r="279" spans="1:16" hidden="1" x14ac:dyDescent="0.15">
      <c r="A279">
        <v>278</v>
      </c>
      <c r="B279" t="s">
        <v>35</v>
      </c>
      <c r="C279" t="s">
        <v>6</v>
      </c>
      <c r="D279" s="72" t="s">
        <v>422</v>
      </c>
      <c r="E279" t="s">
        <v>36</v>
      </c>
      <c r="F279" t="s">
        <v>423</v>
      </c>
      <c r="G279" s="92">
        <v>42597.553530092591</v>
      </c>
      <c r="H279" s="92">
        <v>42597.553541666668</v>
      </c>
      <c r="I279" s="92">
        <v>42597.553530092591</v>
      </c>
      <c r="J279" s="92">
        <v>42597.597187500003</v>
      </c>
      <c r="K279" s="92">
        <v>42650.403136574074</v>
      </c>
      <c r="L279" s="92">
        <f>IF(AND(单词表[[#This Row],[学英]]&lt;&gt;"",单词表[[#This Row],[学中]]&lt;&gt;"",单词表[[#This Row],[学词]]&lt;&gt;""),MAX(单词表[[#This Row],[学英]:[学词]]),"")</f>
        <v>42597.553541666668</v>
      </c>
      <c r="M279" s="2">
        <f>IF(AND(单词表[[#This Row],[考英]]&lt;&gt;"",单词表[[#This Row],[考中]]&lt;&gt;""),MAX(单词表[[#This Row],[考英]:[考中]]),"")</f>
        <v>42650.403136574074</v>
      </c>
      <c r="P279" s="32"/>
    </row>
    <row r="280" spans="1:16" hidden="1" x14ac:dyDescent="0.15">
      <c r="A280">
        <v>279</v>
      </c>
      <c r="B280" t="s">
        <v>35</v>
      </c>
      <c r="C280" t="s">
        <v>6</v>
      </c>
      <c r="D280" s="72" t="s">
        <v>424</v>
      </c>
      <c r="E280" t="s">
        <v>36</v>
      </c>
      <c r="F280" t="s">
        <v>425</v>
      </c>
      <c r="G280" s="92">
        <v>42597.553483796299</v>
      </c>
      <c r="H280" s="92">
        <v>42650.414976851855</v>
      </c>
      <c r="I280" s="92">
        <v>42650.414965277778</v>
      </c>
      <c r="J280" s="92">
        <v>42597.597824074073</v>
      </c>
      <c r="K280" s="92">
        <v>42650.417129629626</v>
      </c>
      <c r="L280" s="92">
        <f>IF(AND(单词表[[#This Row],[学英]]&lt;&gt;"",单词表[[#This Row],[学中]]&lt;&gt;"",单词表[[#This Row],[学词]]&lt;&gt;""),MAX(单词表[[#This Row],[学英]:[学词]]),"")</f>
        <v>42650.414976851855</v>
      </c>
      <c r="M280" s="2">
        <f>IF(AND(单词表[[#This Row],[考英]]&lt;&gt;"",单词表[[#This Row],[考中]]&lt;&gt;""),MAX(单词表[[#This Row],[考英]:[考中]]),"")</f>
        <v>42650.417129629626</v>
      </c>
      <c r="P280" s="32"/>
    </row>
    <row r="281" spans="1:16" hidden="1" x14ac:dyDescent="0.15">
      <c r="A281">
        <v>280</v>
      </c>
      <c r="B281" t="s">
        <v>35</v>
      </c>
      <c r="C281" t="s">
        <v>6</v>
      </c>
      <c r="D281" s="72" t="s">
        <v>426</v>
      </c>
      <c r="E281" t="s">
        <v>36</v>
      </c>
      <c r="F281" t="s">
        <v>427</v>
      </c>
      <c r="G281" s="92">
        <v>42597.61005787037</v>
      </c>
      <c r="H281" s="92">
        <v>42597.553472222222</v>
      </c>
      <c r="I281" s="92">
        <v>42597.553460648145</v>
      </c>
      <c r="J281" s="92">
        <v>42597.612476851849</v>
      </c>
      <c r="K281" s="92">
        <v>42650.403229166666</v>
      </c>
      <c r="L281" s="92">
        <f>IF(AND(单词表[[#This Row],[学英]]&lt;&gt;"",单词表[[#This Row],[学中]]&lt;&gt;"",单词表[[#This Row],[学词]]&lt;&gt;""),MAX(单词表[[#This Row],[学英]:[学词]]),"")</f>
        <v>42597.61005787037</v>
      </c>
      <c r="M281" s="2">
        <f>IF(AND(单词表[[#This Row],[考英]]&lt;&gt;"",单词表[[#This Row],[考中]]&lt;&gt;""),MAX(单词表[[#This Row],[考英]:[考中]]),"")</f>
        <v>42650.403229166666</v>
      </c>
      <c r="P281" s="32"/>
    </row>
    <row r="282" spans="1:16" hidden="1" x14ac:dyDescent="0.15">
      <c r="A282">
        <v>281</v>
      </c>
      <c r="B282" t="s">
        <v>35</v>
      </c>
      <c r="C282" t="s">
        <v>6</v>
      </c>
      <c r="D282" s="72" t="s">
        <v>428</v>
      </c>
      <c r="E282" t="s">
        <v>36</v>
      </c>
      <c r="F282" t="s">
        <v>429</v>
      </c>
      <c r="G282" s="92">
        <v>42597.553414351853</v>
      </c>
      <c r="H282" s="92">
        <v>42597.553425925929</v>
      </c>
      <c r="I282" s="92">
        <v>42597.553425925929</v>
      </c>
      <c r="J282" s="92">
        <v>42597.598611111112</v>
      </c>
      <c r="K282" s="92">
        <v>42650.403275462966</v>
      </c>
      <c r="L282" s="92">
        <f>IF(AND(单词表[[#This Row],[学英]]&lt;&gt;"",单词表[[#This Row],[学中]]&lt;&gt;"",单词表[[#This Row],[学词]]&lt;&gt;""),MAX(单词表[[#This Row],[学英]:[学词]]),"")</f>
        <v>42597.553425925929</v>
      </c>
      <c r="M282" s="2">
        <f>IF(AND(单词表[[#This Row],[考英]]&lt;&gt;"",单词表[[#This Row],[考中]]&lt;&gt;""),MAX(单词表[[#This Row],[考英]:[考中]]),"")</f>
        <v>42650.403275462966</v>
      </c>
      <c r="N282" s="33"/>
      <c r="P282" s="32"/>
    </row>
    <row r="283" spans="1:16" hidden="1" x14ac:dyDescent="0.15">
      <c r="A283">
        <v>282</v>
      </c>
      <c r="B283" t="s">
        <v>35</v>
      </c>
      <c r="C283" t="s">
        <v>6</v>
      </c>
      <c r="D283" s="72" t="s">
        <v>430</v>
      </c>
      <c r="E283" t="s">
        <v>36</v>
      </c>
      <c r="F283" t="s">
        <v>431</v>
      </c>
      <c r="G283" s="92">
        <v>42597.610115740739</v>
      </c>
      <c r="H283" s="92">
        <v>42597.553402777776</v>
      </c>
      <c r="I283" s="92">
        <v>42597.553391203706</v>
      </c>
      <c r="J283" s="92">
        <v>42597.613738425927</v>
      </c>
      <c r="K283" s="92">
        <v>42650.403298611112</v>
      </c>
      <c r="L283" s="92">
        <f>IF(AND(单词表[[#This Row],[学英]]&lt;&gt;"",单词表[[#This Row],[学中]]&lt;&gt;"",单词表[[#This Row],[学词]]&lt;&gt;""),MAX(单词表[[#This Row],[学英]:[学词]]),"")</f>
        <v>42597.610115740739</v>
      </c>
      <c r="M283" s="2">
        <f>IF(AND(单词表[[#This Row],[考英]]&lt;&gt;"",单词表[[#This Row],[考中]]&lt;&gt;""),MAX(单词表[[#This Row],[考英]:[考中]]),"")</f>
        <v>42650.403298611112</v>
      </c>
      <c r="N283" s="33"/>
      <c r="P283" s="32"/>
    </row>
    <row r="284" spans="1:16" hidden="1" x14ac:dyDescent="0.15">
      <c r="A284">
        <v>283</v>
      </c>
      <c r="B284" t="s">
        <v>35</v>
      </c>
      <c r="C284" t="s">
        <v>6</v>
      </c>
      <c r="D284" s="72" t="s">
        <v>432</v>
      </c>
      <c r="E284" t="s">
        <v>36</v>
      </c>
      <c r="F284" t="s">
        <v>433</v>
      </c>
      <c r="G284" s="92">
        <v>42597.614120370374</v>
      </c>
      <c r="H284" s="92">
        <v>42597.553368055553</v>
      </c>
      <c r="I284" s="92">
        <v>42597.553356481483</v>
      </c>
      <c r="J284" s="92">
        <v>42597.614490740743</v>
      </c>
      <c r="K284" s="92">
        <v>42650.403356481482</v>
      </c>
      <c r="L284" s="92">
        <f>IF(AND(单词表[[#This Row],[学英]]&lt;&gt;"",单词表[[#This Row],[学中]]&lt;&gt;"",单词表[[#This Row],[学词]]&lt;&gt;""),MAX(单词表[[#This Row],[学英]:[学词]]),"")</f>
        <v>42597.614120370374</v>
      </c>
      <c r="M284" s="2">
        <f>IF(AND(单词表[[#This Row],[考英]]&lt;&gt;"",单词表[[#This Row],[考中]]&lt;&gt;""),MAX(单词表[[#This Row],[考英]:[考中]]),"")</f>
        <v>42650.403356481482</v>
      </c>
      <c r="N284" s="33"/>
      <c r="P284" s="32"/>
    </row>
    <row r="285" spans="1:16" hidden="1" x14ac:dyDescent="0.15">
      <c r="A285">
        <v>284</v>
      </c>
      <c r="B285" t="s">
        <v>35</v>
      </c>
      <c r="C285" t="s">
        <v>6</v>
      </c>
      <c r="D285" s="72" t="s">
        <v>434</v>
      </c>
      <c r="E285" t="s">
        <v>73</v>
      </c>
      <c r="F285" t="s">
        <v>435</v>
      </c>
      <c r="G285" s="92">
        <v>42597.55332175926</v>
      </c>
      <c r="H285" s="92">
        <v>42630.532488425924</v>
      </c>
      <c r="I285" s="92">
        <v>42630.532488425924</v>
      </c>
      <c r="J285" s="92">
        <v>42597.613946759258</v>
      </c>
      <c r="K285" s="92">
        <v>42650.403402777774</v>
      </c>
      <c r="L285" s="92">
        <f>IF(AND(单词表[[#This Row],[学英]]&lt;&gt;"",单词表[[#This Row],[学中]]&lt;&gt;"",单词表[[#This Row],[学词]]&lt;&gt;""),MAX(单词表[[#This Row],[学英]:[学词]]),"")</f>
        <v>42630.532488425924</v>
      </c>
      <c r="M285" s="2">
        <f>IF(AND(单词表[[#This Row],[考英]]&lt;&gt;"",单词表[[#This Row],[考中]]&lt;&gt;""),MAX(单词表[[#This Row],[考英]:[考中]]),"")</f>
        <v>42650.403402777774</v>
      </c>
      <c r="N285" s="33"/>
      <c r="P285" s="32"/>
    </row>
    <row r="286" spans="1:16" hidden="1" x14ac:dyDescent="0.15">
      <c r="A286">
        <v>285</v>
      </c>
      <c r="B286" t="s">
        <v>35</v>
      </c>
      <c r="C286" t="s">
        <v>6</v>
      </c>
      <c r="D286" s="72" t="s">
        <v>436</v>
      </c>
      <c r="E286" t="s">
        <v>36</v>
      </c>
      <c r="F286" t="s">
        <v>1246</v>
      </c>
      <c r="G286" s="92">
        <v>42597.553287037037</v>
      </c>
      <c r="H286" s="92">
        <v>42597.553298611114</v>
      </c>
      <c r="I286" s="92">
        <v>42597.553287037037</v>
      </c>
      <c r="J286" s="92">
        <v>42597.599259259259</v>
      </c>
      <c r="K286" s="92">
        <v>42650.403437499997</v>
      </c>
      <c r="L286" s="92">
        <f>IF(AND(单词表[[#This Row],[学英]]&lt;&gt;"",单词表[[#This Row],[学中]]&lt;&gt;"",单词表[[#This Row],[学词]]&lt;&gt;""),MAX(单词表[[#This Row],[学英]:[学词]]),"")</f>
        <v>42597.553298611114</v>
      </c>
      <c r="M286" s="2">
        <f>IF(AND(单词表[[#This Row],[考英]]&lt;&gt;"",单词表[[#This Row],[考中]]&lt;&gt;""),MAX(单词表[[#This Row],[考英]:[考中]]),"")</f>
        <v>42650.403437499997</v>
      </c>
      <c r="P286" s="32"/>
    </row>
    <row r="287" spans="1:16" hidden="1" x14ac:dyDescent="0.15">
      <c r="A287">
        <v>286</v>
      </c>
      <c r="B287" t="s">
        <v>35</v>
      </c>
      <c r="C287" t="s">
        <v>6</v>
      </c>
      <c r="D287" s="72" t="s">
        <v>437</v>
      </c>
      <c r="E287" t="s">
        <v>36</v>
      </c>
      <c r="F287" t="s">
        <v>438</v>
      </c>
      <c r="G287" s="92">
        <v>42597.610069444447</v>
      </c>
      <c r="H287" s="92">
        <v>42597.553263888891</v>
      </c>
      <c r="I287" s="92">
        <v>42597.553252314814</v>
      </c>
      <c r="J287" s="92">
        <v>42597.614768518521</v>
      </c>
      <c r="K287" s="92">
        <v>42650.40347222222</v>
      </c>
      <c r="L287" s="92">
        <f>IF(AND(单词表[[#This Row],[学英]]&lt;&gt;"",单词表[[#This Row],[学中]]&lt;&gt;"",单词表[[#This Row],[学词]]&lt;&gt;""),MAX(单词表[[#This Row],[学英]:[学词]]),"")</f>
        <v>42597.610069444447</v>
      </c>
      <c r="M287" s="2">
        <f>IF(AND(单词表[[#This Row],[考英]]&lt;&gt;"",单词表[[#This Row],[考中]]&lt;&gt;""),MAX(单词表[[#This Row],[考英]:[考中]]),"")</f>
        <v>42650.40347222222</v>
      </c>
      <c r="P287" s="32"/>
    </row>
    <row r="288" spans="1:16" hidden="1" x14ac:dyDescent="0.15">
      <c r="A288">
        <v>287</v>
      </c>
      <c r="B288" t="s">
        <v>35</v>
      </c>
      <c r="C288" t="s">
        <v>6</v>
      </c>
      <c r="D288" s="72" t="s">
        <v>439</v>
      </c>
      <c r="E288" t="s">
        <v>36</v>
      </c>
      <c r="F288" t="s">
        <v>440</v>
      </c>
      <c r="G288" s="92">
        <v>42597.553206018521</v>
      </c>
      <c r="H288" s="92">
        <v>42597.553229166668</v>
      </c>
      <c r="I288" s="92">
        <v>42597.553217592591</v>
      </c>
      <c r="J288" s="92">
        <v>42597.600138888891</v>
      </c>
      <c r="K288" s="92">
        <v>42650.403506944444</v>
      </c>
      <c r="L288" s="92">
        <f>IF(AND(单词表[[#This Row],[学英]]&lt;&gt;"",单词表[[#This Row],[学中]]&lt;&gt;"",单词表[[#This Row],[学词]]&lt;&gt;""),MAX(单词表[[#This Row],[学英]:[学词]]),"")</f>
        <v>42597.553229166668</v>
      </c>
      <c r="M288" s="2">
        <f>IF(AND(单词表[[#This Row],[考英]]&lt;&gt;"",单词表[[#This Row],[考中]]&lt;&gt;""),MAX(单词表[[#This Row],[考英]:[考中]]),"")</f>
        <v>42650.403506944444</v>
      </c>
      <c r="N288" s="33"/>
      <c r="P288" s="32"/>
    </row>
    <row r="289" spans="1:16" hidden="1" x14ac:dyDescent="0.15">
      <c r="A289">
        <v>288</v>
      </c>
      <c r="B289" t="s">
        <v>445</v>
      </c>
      <c r="C289" t="s">
        <v>446</v>
      </c>
      <c r="D289" s="72" t="s">
        <v>447</v>
      </c>
      <c r="E289" t="s">
        <v>36</v>
      </c>
      <c r="F289" t="s">
        <v>448</v>
      </c>
      <c r="G289" s="92">
        <v>42587.445486111108</v>
      </c>
      <c r="H289" s="92">
        <v>42567.539259259262</v>
      </c>
      <c r="I289" s="92">
        <v>42567.539259259262</v>
      </c>
      <c r="J289" s="92">
        <v>42587.450682870367</v>
      </c>
      <c r="K289" s="92">
        <v>42587.453287037039</v>
      </c>
      <c r="L289" s="92">
        <f>IF(AND(单词表[[#This Row],[学英]]&lt;&gt;"",单词表[[#This Row],[学中]]&lt;&gt;"",单词表[[#This Row],[学词]]&lt;&gt;""),MAX(单词表[[#This Row],[学英]:[学词]]),"")</f>
        <v>42587.445486111108</v>
      </c>
      <c r="M289" s="2">
        <f>IF(AND(单词表[[#This Row],[考英]]&lt;&gt;"",单词表[[#This Row],[考中]]&lt;&gt;""),MAX(单词表[[#This Row],[考英]:[考中]]),"")</f>
        <v>42587.453287037039</v>
      </c>
      <c r="N289" s="33" t="s">
        <v>1029</v>
      </c>
      <c r="P289" s="32"/>
    </row>
    <row r="290" spans="1:16" hidden="1" x14ac:dyDescent="0.15">
      <c r="A290">
        <v>289</v>
      </c>
      <c r="B290" t="s">
        <v>445</v>
      </c>
      <c r="C290" t="s">
        <v>446</v>
      </c>
      <c r="D290" s="72" t="s">
        <v>1247</v>
      </c>
      <c r="E290" t="s">
        <v>36</v>
      </c>
      <c r="F290" t="s">
        <v>449</v>
      </c>
      <c r="G290" s="92">
        <v>42587.445509259262</v>
      </c>
      <c r="H290" s="92">
        <v>42564.468657407408</v>
      </c>
      <c r="I290" s="92">
        <v>42564.468657407408</v>
      </c>
      <c r="J290" s="92">
        <v>42587.450787037036</v>
      </c>
      <c r="K290" s="92">
        <v>42587.453344907408</v>
      </c>
      <c r="L290" s="92">
        <f>IF(AND(单词表[[#This Row],[学英]]&lt;&gt;"",单词表[[#This Row],[学中]]&lt;&gt;"",单词表[[#This Row],[学词]]&lt;&gt;""),MAX(单词表[[#This Row],[学英]:[学词]]),"")</f>
        <v>42587.445509259262</v>
      </c>
      <c r="M290" s="2">
        <f>IF(AND(单词表[[#This Row],[考英]]&lt;&gt;"",单词表[[#This Row],[考中]]&lt;&gt;""),MAX(单词表[[#This Row],[考英]:[考中]]),"")</f>
        <v>42587.453344907408</v>
      </c>
      <c r="N290" s="33"/>
      <c r="P290" s="32"/>
    </row>
    <row r="291" spans="1:16" hidden="1" x14ac:dyDescent="0.15">
      <c r="A291">
        <v>290</v>
      </c>
      <c r="B291" t="s">
        <v>445</v>
      </c>
      <c r="C291" t="s">
        <v>446</v>
      </c>
      <c r="D291" s="72" t="s">
        <v>450</v>
      </c>
      <c r="E291" t="s">
        <v>73</v>
      </c>
      <c r="F291" t="s">
        <v>451</v>
      </c>
      <c r="G291" s="92">
        <v>42566.440659722219</v>
      </c>
      <c r="H291" s="92">
        <v>42566.440659722219</v>
      </c>
      <c r="I291" s="92">
        <v>42566.440659722219</v>
      </c>
      <c r="J291" s="92">
        <v>42587.450821759259</v>
      </c>
      <c r="K291" s="92">
        <v>42587.453402777777</v>
      </c>
      <c r="L291" s="92">
        <f>IF(AND(单词表[[#This Row],[学英]]&lt;&gt;"",单词表[[#This Row],[学中]]&lt;&gt;"",单词表[[#This Row],[学词]]&lt;&gt;""),MAX(单词表[[#This Row],[学英]:[学词]]),"")</f>
        <v>42566.440659722219</v>
      </c>
      <c r="M291" s="2">
        <f>IF(AND(单词表[[#This Row],[考英]]&lt;&gt;"",单词表[[#This Row],[考中]]&lt;&gt;""),MAX(单词表[[#This Row],[考英]:[考中]]),"")</f>
        <v>42587.453402777777</v>
      </c>
      <c r="N291" s="33"/>
      <c r="P291" s="32"/>
    </row>
    <row r="292" spans="1:16" hidden="1" x14ac:dyDescent="0.15">
      <c r="A292">
        <v>291</v>
      </c>
      <c r="B292" t="s">
        <v>445</v>
      </c>
      <c r="C292" t="s">
        <v>446</v>
      </c>
      <c r="D292" s="72" t="s">
        <v>452</v>
      </c>
      <c r="E292" t="s">
        <v>61</v>
      </c>
      <c r="F292" t="s">
        <v>453</v>
      </c>
      <c r="G292" s="92">
        <v>42567.527719907404</v>
      </c>
      <c r="H292" s="92">
        <v>42567.527627314812</v>
      </c>
      <c r="I292" s="92">
        <v>42567.527627314812</v>
      </c>
      <c r="J292" s="92">
        <v>42587.450972222221</v>
      </c>
      <c r="K292" s="92">
        <v>42587.442743055559</v>
      </c>
      <c r="L292" s="92">
        <f>IF(AND(单词表[[#This Row],[学英]]&lt;&gt;"",单词表[[#This Row],[学中]]&lt;&gt;"",单词表[[#This Row],[学词]]&lt;&gt;""),MAX(单词表[[#This Row],[学英]:[学词]]),"")</f>
        <v>42567.527719907404</v>
      </c>
      <c r="M292" s="2">
        <f>IF(AND(单词表[[#This Row],[考英]]&lt;&gt;"",单词表[[#This Row],[考中]]&lt;&gt;""),MAX(单词表[[#This Row],[考英]:[考中]]),"")</f>
        <v>42587.450972222221</v>
      </c>
      <c r="N292" s="33"/>
      <c r="P292" s="32"/>
    </row>
    <row r="293" spans="1:16" hidden="1" x14ac:dyDescent="0.15">
      <c r="A293">
        <v>292</v>
      </c>
      <c r="B293" t="s">
        <v>445</v>
      </c>
      <c r="C293" t="s">
        <v>446</v>
      </c>
      <c r="D293" s="72" t="s">
        <v>454</v>
      </c>
      <c r="E293" t="s">
        <v>61</v>
      </c>
      <c r="F293" t="s">
        <v>455</v>
      </c>
      <c r="G293" s="92">
        <v>42587.454340277778</v>
      </c>
      <c r="H293" s="92">
        <v>42568.353912037041</v>
      </c>
      <c r="I293" s="92">
        <v>42568.353900462964</v>
      </c>
      <c r="J293" s="92">
        <v>42587.454826388886</v>
      </c>
      <c r="K293" s="92">
        <v>42587.442766203705</v>
      </c>
      <c r="L293" s="92">
        <f>IF(AND(单词表[[#This Row],[学英]]&lt;&gt;"",单词表[[#This Row],[学中]]&lt;&gt;"",单词表[[#This Row],[学词]]&lt;&gt;""),MAX(单词表[[#This Row],[学英]:[学词]]),"")</f>
        <v>42587.454340277778</v>
      </c>
      <c r="M293" s="2">
        <f>IF(AND(单词表[[#This Row],[考英]]&lt;&gt;"",单词表[[#This Row],[考中]]&lt;&gt;""),MAX(单词表[[#This Row],[考英]:[考中]]),"")</f>
        <v>42587.454826388886</v>
      </c>
      <c r="N293" s="33"/>
      <c r="P293" s="32"/>
    </row>
    <row r="294" spans="1:16" hidden="1" x14ac:dyDescent="0.15">
      <c r="A294">
        <v>293</v>
      </c>
      <c r="B294" t="s">
        <v>445</v>
      </c>
      <c r="C294" t="s">
        <v>446</v>
      </c>
      <c r="D294" s="72" t="s">
        <v>454</v>
      </c>
      <c r="E294" t="s">
        <v>36</v>
      </c>
      <c r="F294" t="s">
        <v>456</v>
      </c>
      <c r="G294" s="92">
        <v>42564.473796296297</v>
      </c>
      <c r="H294" s="92">
        <v>42564.473796296297</v>
      </c>
      <c r="I294" s="92">
        <v>42564.473796296297</v>
      </c>
      <c r="J294" s="92">
        <v>42587.451180555552</v>
      </c>
      <c r="K294" s="92">
        <v>42587.442800925928</v>
      </c>
      <c r="L294" s="92">
        <f>IF(AND(单词表[[#This Row],[学英]]&lt;&gt;"",单词表[[#This Row],[学中]]&lt;&gt;"",单词表[[#This Row],[学词]]&lt;&gt;""),MAX(单词表[[#This Row],[学英]:[学词]]),"")</f>
        <v>42564.473796296297</v>
      </c>
      <c r="M294" s="2">
        <f>IF(AND(单词表[[#This Row],[考英]]&lt;&gt;"",单词表[[#This Row],[考中]]&lt;&gt;""),MAX(单词表[[#This Row],[考英]:[考中]]),"")</f>
        <v>42587.451180555552</v>
      </c>
      <c r="N294" s="33"/>
      <c r="P294" s="32"/>
    </row>
    <row r="295" spans="1:16" hidden="1" x14ac:dyDescent="0.15">
      <c r="A295">
        <v>294</v>
      </c>
      <c r="B295" t="s">
        <v>445</v>
      </c>
      <c r="C295" t="s">
        <v>446</v>
      </c>
      <c r="D295" s="72" t="s">
        <v>457</v>
      </c>
      <c r="E295" t="s">
        <v>36</v>
      </c>
      <c r="F295" t="s">
        <v>458</v>
      </c>
      <c r="G295" s="92">
        <v>42587.454375000001</v>
      </c>
      <c r="H295" s="92">
        <v>42564.473923611113</v>
      </c>
      <c r="I295" s="92">
        <v>42564.473923611113</v>
      </c>
      <c r="J295" s="92">
        <v>42587.454988425925</v>
      </c>
      <c r="K295" s="92">
        <v>42587.442847222221</v>
      </c>
      <c r="L295" s="92">
        <f>IF(AND(单词表[[#This Row],[学英]]&lt;&gt;"",单词表[[#This Row],[学中]]&lt;&gt;"",单词表[[#This Row],[学词]]&lt;&gt;""),MAX(单词表[[#This Row],[学英]:[学词]]),"")</f>
        <v>42587.454375000001</v>
      </c>
      <c r="M295" s="2">
        <f>IF(AND(单词表[[#This Row],[考英]]&lt;&gt;"",单词表[[#This Row],[考中]]&lt;&gt;""),MAX(单词表[[#This Row],[考英]:[考中]]),"")</f>
        <v>42587.454988425925</v>
      </c>
      <c r="N295" s="33"/>
      <c r="P295" s="32"/>
    </row>
    <row r="296" spans="1:16" hidden="1" x14ac:dyDescent="0.15">
      <c r="A296">
        <v>295</v>
      </c>
      <c r="B296" t="s">
        <v>445</v>
      </c>
      <c r="C296" t="s">
        <v>446</v>
      </c>
      <c r="D296" s="72" t="s">
        <v>459</v>
      </c>
      <c r="E296" t="s">
        <v>36</v>
      </c>
      <c r="F296" t="s">
        <v>460</v>
      </c>
      <c r="G296" s="92">
        <v>42564.473333333335</v>
      </c>
      <c r="H296" s="92">
        <v>42564.473344907405</v>
      </c>
      <c r="I296" s="92">
        <v>42564.473344907405</v>
      </c>
      <c r="J296" s="92">
        <v>42587.451412037037</v>
      </c>
      <c r="K296" s="92">
        <v>42587.442881944444</v>
      </c>
      <c r="L296" s="92">
        <f>IF(AND(单词表[[#This Row],[学英]]&lt;&gt;"",单词表[[#This Row],[学中]]&lt;&gt;"",单词表[[#This Row],[学词]]&lt;&gt;""),MAX(单词表[[#This Row],[学英]:[学词]]),"")</f>
        <v>42564.473344907405</v>
      </c>
      <c r="M296" s="2">
        <f>IF(AND(单词表[[#This Row],[考英]]&lt;&gt;"",单词表[[#This Row],[考中]]&lt;&gt;""),MAX(单词表[[#This Row],[考英]:[考中]]),"")</f>
        <v>42587.451412037037</v>
      </c>
      <c r="N296" s="33"/>
      <c r="P296" s="32"/>
    </row>
    <row r="297" spans="1:16" hidden="1" x14ac:dyDescent="0.15">
      <c r="A297">
        <v>296</v>
      </c>
      <c r="B297" t="s">
        <v>445</v>
      </c>
      <c r="C297" t="s">
        <v>446</v>
      </c>
      <c r="D297" s="72" t="s">
        <v>461</v>
      </c>
      <c r="E297" t="s">
        <v>61</v>
      </c>
      <c r="F297" t="s">
        <v>462</v>
      </c>
      <c r="G297" s="92">
        <v>42587.454386574071</v>
      </c>
      <c r="H297" s="92">
        <v>42564.47351851852</v>
      </c>
      <c r="I297" s="92">
        <v>42564.47351851852</v>
      </c>
      <c r="J297" s="92">
        <v>42587.455046296294</v>
      </c>
      <c r="K297" s="92">
        <v>42587.442928240744</v>
      </c>
      <c r="L297" s="92">
        <f>IF(AND(单词表[[#This Row],[学英]]&lt;&gt;"",单词表[[#This Row],[学中]]&lt;&gt;"",单词表[[#This Row],[学词]]&lt;&gt;""),MAX(单词表[[#This Row],[学英]:[学词]]),"")</f>
        <v>42587.454386574071</v>
      </c>
      <c r="M297" s="2">
        <f>IF(AND(单词表[[#This Row],[考英]]&lt;&gt;"",单词表[[#This Row],[考中]]&lt;&gt;""),MAX(单词表[[#This Row],[考英]:[考中]]),"")</f>
        <v>42587.455046296294</v>
      </c>
      <c r="N297" s="33"/>
      <c r="P297" s="32"/>
    </row>
    <row r="298" spans="1:16" hidden="1" x14ac:dyDescent="0.15">
      <c r="A298">
        <v>297</v>
      </c>
      <c r="B298" t="s">
        <v>445</v>
      </c>
      <c r="C298" t="s">
        <v>446</v>
      </c>
      <c r="D298" s="72" t="s">
        <v>463</v>
      </c>
      <c r="E298" t="s">
        <v>73</v>
      </c>
      <c r="F298" t="s">
        <v>464</v>
      </c>
      <c r="G298" s="92">
        <v>42587.454421296294</v>
      </c>
      <c r="H298" s="92">
        <v>42566.440497685187</v>
      </c>
      <c r="I298" s="92">
        <v>42566.440497685187</v>
      </c>
      <c r="J298" s="92">
        <v>42587.455208333333</v>
      </c>
      <c r="K298" s="92">
        <v>42587.44295138889</v>
      </c>
      <c r="L298" s="92">
        <f>IF(AND(单词表[[#This Row],[学英]]&lt;&gt;"",单词表[[#This Row],[学中]]&lt;&gt;"",单词表[[#This Row],[学词]]&lt;&gt;""),MAX(单词表[[#This Row],[学英]:[学词]]),"")</f>
        <v>42587.454421296294</v>
      </c>
      <c r="M298" s="2">
        <f>IF(AND(单词表[[#This Row],[考英]]&lt;&gt;"",单词表[[#This Row],[考中]]&lt;&gt;""),MAX(单词表[[#This Row],[考英]:[考中]]),"")</f>
        <v>42587.455208333333</v>
      </c>
      <c r="N298" s="33"/>
      <c r="P298" s="32"/>
    </row>
    <row r="299" spans="1:16" hidden="1" x14ac:dyDescent="0.15">
      <c r="A299">
        <v>298</v>
      </c>
      <c r="B299" t="s">
        <v>445</v>
      </c>
      <c r="C299" t="s">
        <v>446</v>
      </c>
      <c r="D299" s="72" t="s">
        <v>465</v>
      </c>
      <c r="E299" t="s">
        <v>36</v>
      </c>
      <c r="F299" t="s">
        <v>466</v>
      </c>
      <c r="G299" s="92">
        <v>42567.530127314814</v>
      </c>
      <c r="H299" s="92">
        <v>42587.445590277777</v>
      </c>
      <c r="I299" s="92">
        <v>42587.445590277777</v>
      </c>
      <c r="J299" s="92">
        <v>42587.439027777778</v>
      </c>
      <c r="K299" s="92">
        <v>42587.453819444447</v>
      </c>
      <c r="L299" s="92">
        <f>IF(AND(单词表[[#This Row],[学英]]&lt;&gt;"",单词表[[#This Row],[学中]]&lt;&gt;"",单词表[[#This Row],[学词]]&lt;&gt;""),MAX(单词表[[#This Row],[学英]:[学词]]),"")</f>
        <v>42587.445590277777</v>
      </c>
      <c r="M299" s="2">
        <f>IF(AND(单词表[[#This Row],[考英]]&lt;&gt;"",单词表[[#This Row],[考中]]&lt;&gt;""),MAX(单词表[[#This Row],[考英]:[考中]]),"")</f>
        <v>42587.453819444447</v>
      </c>
      <c r="N299" s="33"/>
      <c r="P299" s="32"/>
    </row>
    <row r="300" spans="1:16" hidden="1" x14ac:dyDescent="0.15">
      <c r="A300">
        <v>299</v>
      </c>
      <c r="B300" t="s">
        <v>445</v>
      </c>
      <c r="C300" t="s">
        <v>446</v>
      </c>
      <c r="D300" s="72" t="s">
        <v>467</v>
      </c>
      <c r="E300" s="30" t="s">
        <v>736</v>
      </c>
      <c r="F300" t="s">
        <v>468</v>
      </c>
      <c r="G300" s="92">
        <v>42564.477442129632</v>
      </c>
      <c r="H300" s="92">
        <v>42564.477453703701</v>
      </c>
      <c r="I300" s="92">
        <v>42564.477453703701</v>
      </c>
      <c r="J300" s="92">
        <v>42587.439143518517</v>
      </c>
      <c r="K300" s="92">
        <v>42587.443124999998</v>
      </c>
      <c r="L300" s="92">
        <f>IF(AND(单词表[[#This Row],[学英]]&lt;&gt;"",单词表[[#This Row],[学中]]&lt;&gt;"",单词表[[#This Row],[学词]]&lt;&gt;""),MAX(单词表[[#This Row],[学英]:[学词]]),"")</f>
        <v>42564.477453703701</v>
      </c>
      <c r="M300" s="2">
        <f>IF(AND(单词表[[#This Row],[考英]]&lt;&gt;"",单词表[[#This Row],[考中]]&lt;&gt;""),MAX(单词表[[#This Row],[考英]:[考中]]),"")</f>
        <v>42587.443124999998</v>
      </c>
      <c r="N300" s="33"/>
      <c r="P300" s="32"/>
    </row>
    <row r="301" spans="1:16" hidden="1" x14ac:dyDescent="0.15">
      <c r="A301">
        <v>300</v>
      </c>
      <c r="B301" t="s">
        <v>445</v>
      </c>
      <c r="C301" t="s">
        <v>446</v>
      </c>
      <c r="D301" s="72" t="s">
        <v>469</v>
      </c>
      <c r="E301" t="s">
        <v>73</v>
      </c>
      <c r="F301" t="s">
        <v>470</v>
      </c>
      <c r="G301" s="92">
        <v>42566.440428240741</v>
      </c>
      <c r="H301" s="92">
        <v>42566.440428240741</v>
      </c>
      <c r="I301" s="92">
        <v>42566.440428240741</v>
      </c>
      <c r="J301" s="92">
        <v>42587.439236111109</v>
      </c>
      <c r="K301" s="92">
        <v>42587.443159722221</v>
      </c>
      <c r="L301" s="92">
        <f>IF(AND(单词表[[#This Row],[学英]]&lt;&gt;"",单词表[[#This Row],[学中]]&lt;&gt;"",单词表[[#This Row],[学词]]&lt;&gt;""),MAX(单词表[[#This Row],[学英]:[学词]]),"")</f>
        <v>42566.440428240741</v>
      </c>
      <c r="M301" s="2">
        <f>IF(AND(单词表[[#This Row],[考英]]&lt;&gt;"",单词表[[#This Row],[考中]]&lt;&gt;""),MAX(单词表[[#This Row],[考英]:[考中]]),"")</f>
        <v>42587.443159722221</v>
      </c>
      <c r="N301" s="33"/>
      <c r="P301" s="32"/>
    </row>
    <row r="302" spans="1:16" hidden="1" x14ac:dyDescent="0.15">
      <c r="A302">
        <v>301</v>
      </c>
      <c r="B302" t="s">
        <v>445</v>
      </c>
      <c r="C302" t="s">
        <v>446</v>
      </c>
      <c r="D302" s="72" t="s">
        <v>471</v>
      </c>
      <c r="E302" t="s">
        <v>36</v>
      </c>
      <c r="F302" t="s">
        <v>472</v>
      </c>
      <c r="G302" s="92">
        <v>42567.528067129628</v>
      </c>
      <c r="H302" s="92">
        <v>42567.528090277781</v>
      </c>
      <c r="I302" s="92">
        <v>42567.519918981481</v>
      </c>
      <c r="J302" s="92">
        <v>42587.439340277779</v>
      </c>
      <c r="K302" s="92">
        <v>42587.443206018521</v>
      </c>
      <c r="L302" s="92">
        <f>IF(AND(单词表[[#This Row],[学英]]&lt;&gt;"",单词表[[#This Row],[学中]]&lt;&gt;"",单词表[[#This Row],[学词]]&lt;&gt;""),MAX(单词表[[#This Row],[学英]:[学词]]),"")</f>
        <v>42567.528090277781</v>
      </c>
      <c r="M302" s="2">
        <f>IF(AND(单词表[[#This Row],[考英]]&lt;&gt;"",单词表[[#This Row],[考中]]&lt;&gt;""),MAX(单词表[[#This Row],[考英]:[考中]]),"")</f>
        <v>42587.443206018521</v>
      </c>
      <c r="N302" s="33"/>
      <c r="P302" s="32"/>
    </row>
    <row r="303" spans="1:16" hidden="1" x14ac:dyDescent="0.15">
      <c r="A303">
        <v>302</v>
      </c>
      <c r="B303" t="s">
        <v>445</v>
      </c>
      <c r="C303" t="s">
        <v>446</v>
      </c>
      <c r="D303" s="72" t="s">
        <v>471</v>
      </c>
      <c r="E303" t="s">
        <v>61</v>
      </c>
      <c r="F303" t="s">
        <v>473</v>
      </c>
      <c r="G303" s="92">
        <v>42567.528136574074</v>
      </c>
      <c r="H303" s="92">
        <v>42567.524189814816</v>
      </c>
      <c r="I303" s="92">
        <v>42567.520902777775</v>
      </c>
      <c r="J303" s="92">
        <v>42587.439375000002</v>
      </c>
      <c r="K303" s="92">
        <v>42587.443229166667</v>
      </c>
      <c r="L303" s="92">
        <f>IF(AND(单词表[[#This Row],[学英]]&lt;&gt;"",单词表[[#This Row],[学中]]&lt;&gt;"",单词表[[#This Row],[学词]]&lt;&gt;""),MAX(单词表[[#This Row],[学英]:[学词]]),"")</f>
        <v>42567.528136574074</v>
      </c>
      <c r="M303" s="2">
        <f>IF(AND(单词表[[#This Row],[考英]]&lt;&gt;"",单词表[[#This Row],[考中]]&lt;&gt;""),MAX(单词表[[#This Row],[考英]:[考中]]),"")</f>
        <v>42587.443229166667</v>
      </c>
      <c r="N303" s="33"/>
      <c r="P303" s="32"/>
    </row>
    <row r="304" spans="1:16" hidden="1" x14ac:dyDescent="0.15">
      <c r="A304">
        <v>303</v>
      </c>
      <c r="B304" t="s">
        <v>445</v>
      </c>
      <c r="C304" t="s">
        <v>446</v>
      </c>
      <c r="D304" s="72" t="s">
        <v>474</v>
      </c>
      <c r="E304" t="s">
        <v>36</v>
      </c>
      <c r="F304" t="s">
        <v>1248</v>
      </c>
      <c r="G304" s="92">
        <v>42587.445625</v>
      </c>
      <c r="H304" s="92">
        <v>42587.445636574077</v>
      </c>
      <c r="I304" s="92">
        <v>42587.445648148147</v>
      </c>
      <c r="J304" s="92">
        <v>42587.455393518518</v>
      </c>
      <c r="K304" s="92">
        <v>42587.453865740739</v>
      </c>
      <c r="L304" s="92">
        <f>IF(AND(单词表[[#This Row],[学英]]&lt;&gt;"",单词表[[#This Row],[学中]]&lt;&gt;"",单词表[[#This Row],[学词]]&lt;&gt;""),MAX(单词表[[#This Row],[学英]:[学词]]),"")</f>
        <v>42587.445648148147</v>
      </c>
      <c r="M304" s="2">
        <f>IF(AND(单词表[[#This Row],[考英]]&lt;&gt;"",单词表[[#This Row],[考中]]&lt;&gt;""),MAX(单词表[[#This Row],[考英]:[考中]]),"")</f>
        <v>42587.455393518518</v>
      </c>
      <c r="N304" s="33"/>
      <c r="P304" s="32"/>
    </row>
    <row r="305" spans="1:16" hidden="1" x14ac:dyDescent="0.15">
      <c r="A305">
        <v>304</v>
      </c>
      <c r="B305" t="s">
        <v>445</v>
      </c>
      <c r="C305" t="s">
        <v>446</v>
      </c>
      <c r="D305" s="72" t="s">
        <v>475</v>
      </c>
      <c r="E305" t="s">
        <v>73</v>
      </c>
      <c r="F305" t="s">
        <v>476</v>
      </c>
      <c r="G305" s="92">
        <v>42587.445671296293</v>
      </c>
      <c r="H305" s="92">
        <v>42567.527222222219</v>
      </c>
      <c r="I305" s="92">
        <v>42567.527222222219</v>
      </c>
      <c r="J305" s="92">
        <v>42587.455578703702</v>
      </c>
      <c r="K305" s="92">
        <v>42587.443437499998</v>
      </c>
      <c r="L305" s="92">
        <f>IF(AND(单词表[[#This Row],[学英]]&lt;&gt;"",单词表[[#This Row],[学中]]&lt;&gt;"",单词表[[#This Row],[学词]]&lt;&gt;""),MAX(单词表[[#This Row],[学英]:[学词]]),"")</f>
        <v>42587.445671296293</v>
      </c>
      <c r="M305" s="2">
        <f>IF(AND(单词表[[#This Row],[考英]]&lt;&gt;"",单词表[[#This Row],[考中]]&lt;&gt;""),MAX(单词表[[#This Row],[考英]:[考中]]),"")</f>
        <v>42587.455578703702</v>
      </c>
      <c r="N305" s="33"/>
      <c r="P305" s="32"/>
    </row>
    <row r="306" spans="1:16" hidden="1" x14ac:dyDescent="0.15">
      <c r="A306">
        <v>305</v>
      </c>
      <c r="B306" t="s">
        <v>445</v>
      </c>
      <c r="C306" t="s">
        <v>446</v>
      </c>
      <c r="D306" s="72" t="s">
        <v>477</v>
      </c>
      <c r="E306" t="s">
        <v>702</v>
      </c>
      <c r="F306" t="s">
        <v>478</v>
      </c>
      <c r="G306" s="92">
        <v>42587.445694444446</v>
      </c>
      <c r="H306" s="92">
        <v>42564.485277777778</v>
      </c>
      <c r="I306" s="92">
        <v>42564.485277777778</v>
      </c>
      <c r="J306" s="92">
        <v>42587.455717592595</v>
      </c>
      <c r="K306" s="92">
        <v>42587.443483796298</v>
      </c>
      <c r="L306" s="92">
        <f>IF(AND(单词表[[#This Row],[学英]]&lt;&gt;"",单词表[[#This Row],[学中]]&lt;&gt;"",单词表[[#This Row],[学词]]&lt;&gt;""),MAX(单词表[[#This Row],[学英]:[学词]]),"")</f>
        <v>42587.445694444446</v>
      </c>
      <c r="M306" s="2">
        <f>IF(AND(单词表[[#This Row],[考英]]&lt;&gt;"",单词表[[#This Row],[考中]]&lt;&gt;""),MAX(单词表[[#This Row],[考英]:[考中]]),"")</f>
        <v>42587.455717592595</v>
      </c>
      <c r="N306" s="33"/>
      <c r="P306" s="32"/>
    </row>
    <row r="307" spans="1:16" hidden="1" x14ac:dyDescent="0.15">
      <c r="A307">
        <v>306</v>
      </c>
      <c r="B307" t="s">
        <v>445</v>
      </c>
      <c r="C307" t="s">
        <v>446</v>
      </c>
      <c r="D307" s="72" t="s">
        <v>479</v>
      </c>
      <c r="E307" t="s">
        <v>736</v>
      </c>
      <c r="F307" t="s">
        <v>480</v>
      </c>
      <c r="G307" s="92">
        <v>42566.440208333333</v>
      </c>
      <c r="H307" s="92">
        <v>42566.440208333333</v>
      </c>
      <c r="I307" s="92">
        <v>42566.440208333333</v>
      </c>
      <c r="J307" s="92">
        <v>42587.440162037034</v>
      </c>
      <c r="K307" s="92">
        <v>42587.443530092591</v>
      </c>
      <c r="L307" s="92">
        <f>IF(AND(单词表[[#This Row],[学英]]&lt;&gt;"",单词表[[#This Row],[学中]]&lt;&gt;"",单词表[[#This Row],[学词]]&lt;&gt;""),MAX(单词表[[#This Row],[学英]:[学词]]),"")</f>
        <v>42566.440208333333</v>
      </c>
      <c r="M307" s="2">
        <f>IF(AND(单词表[[#This Row],[考英]]&lt;&gt;"",单词表[[#This Row],[考中]]&lt;&gt;""),MAX(单词表[[#This Row],[考英]:[考中]]),"")</f>
        <v>42587.443530092591</v>
      </c>
      <c r="N307" s="33"/>
      <c r="P307" s="32"/>
    </row>
    <row r="308" spans="1:16" hidden="1" x14ac:dyDescent="0.15">
      <c r="A308">
        <v>307</v>
      </c>
      <c r="B308" t="s">
        <v>445</v>
      </c>
      <c r="C308" t="s">
        <v>446</v>
      </c>
      <c r="D308" s="72" t="s">
        <v>481</v>
      </c>
      <c r="E308" t="s">
        <v>73</v>
      </c>
      <c r="F308" t="s">
        <v>482</v>
      </c>
      <c r="G308" s="92">
        <v>42587.445717592593</v>
      </c>
      <c r="H308" s="92">
        <v>42567.523113425923</v>
      </c>
      <c r="I308" s="92">
        <v>42567.523101851853</v>
      </c>
      <c r="J308" s="92">
        <v>42587.45590277778</v>
      </c>
      <c r="K308" s="92">
        <v>42587.443599537037</v>
      </c>
      <c r="L308" s="92">
        <f>IF(AND(单词表[[#This Row],[学英]]&lt;&gt;"",单词表[[#This Row],[学中]]&lt;&gt;"",单词表[[#This Row],[学词]]&lt;&gt;""),MAX(单词表[[#This Row],[学英]:[学词]]),"")</f>
        <v>42587.445717592593</v>
      </c>
      <c r="M308" s="2">
        <f>IF(AND(单词表[[#This Row],[考英]]&lt;&gt;"",单词表[[#This Row],[考中]]&lt;&gt;""),MAX(单词表[[#This Row],[考英]:[考中]]),"")</f>
        <v>42587.45590277778</v>
      </c>
      <c r="N308" s="33"/>
      <c r="P308" s="32"/>
    </row>
    <row r="309" spans="1:16" hidden="1" x14ac:dyDescent="0.15">
      <c r="A309">
        <v>308</v>
      </c>
      <c r="B309" t="s">
        <v>445</v>
      </c>
      <c r="C309" t="s">
        <v>446</v>
      </c>
      <c r="D309" s="72" t="s">
        <v>483</v>
      </c>
      <c r="E309" t="s">
        <v>61</v>
      </c>
      <c r="F309" t="s">
        <v>1249</v>
      </c>
      <c r="G309" s="92">
        <v>42568.354409722226</v>
      </c>
      <c r="H309" s="92">
        <v>42567.526666666665</v>
      </c>
      <c r="I309" s="92">
        <v>42567.526655092595</v>
      </c>
      <c r="J309" s="92">
        <v>42587.440393518518</v>
      </c>
      <c r="K309" s="92">
        <v>42587.443749999999</v>
      </c>
      <c r="L309" s="92">
        <f>IF(AND(单词表[[#This Row],[学英]]&lt;&gt;"",单词表[[#This Row],[学中]]&lt;&gt;"",单词表[[#This Row],[学词]]&lt;&gt;""),MAX(单词表[[#This Row],[学英]:[学词]]),"")</f>
        <v>42568.354409722226</v>
      </c>
      <c r="M309" s="2">
        <f>IF(AND(单词表[[#This Row],[考英]]&lt;&gt;"",单词表[[#This Row],[考中]]&lt;&gt;""),MAX(单词表[[#This Row],[考英]:[考中]]),"")</f>
        <v>42587.443749999999</v>
      </c>
      <c r="N309" s="33"/>
      <c r="P309" s="32"/>
    </row>
    <row r="310" spans="1:16" hidden="1" x14ac:dyDescent="0.15">
      <c r="A310">
        <v>309</v>
      </c>
      <c r="B310" t="s">
        <v>445</v>
      </c>
      <c r="C310" t="s">
        <v>446</v>
      </c>
      <c r="D310" s="72" t="s">
        <v>484</v>
      </c>
      <c r="E310" t="s">
        <v>36</v>
      </c>
      <c r="F310" t="s">
        <v>485</v>
      </c>
      <c r="G310" s="92">
        <v>42566.440092592595</v>
      </c>
      <c r="H310" s="92">
        <v>42566.440092592595</v>
      </c>
      <c r="I310" s="92">
        <v>42566.440092592595</v>
      </c>
      <c r="J310" s="92">
        <v>42587.440509259257</v>
      </c>
      <c r="K310" s="92">
        <v>42587.443784722222</v>
      </c>
      <c r="L310" s="92">
        <f>IF(AND(单词表[[#This Row],[学英]]&lt;&gt;"",单词表[[#This Row],[学中]]&lt;&gt;"",单词表[[#This Row],[学词]]&lt;&gt;""),MAX(单词表[[#This Row],[学英]:[学词]]),"")</f>
        <v>42566.440092592595</v>
      </c>
      <c r="M310" s="2">
        <f>IF(AND(单词表[[#This Row],[考英]]&lt;&gt;"",单词表[[#This Row],[考中]]&lt;&gt;""),MAX(单词表[[#This Row],[考英]:[考中]]),"")</f>
        <v>42587.443784722222</v>
      </c>
      <c r="N310" s="33"/>
      <c r="P310" s="32"/>
    </row>
    <row r="311" spans="1:16" hidden="1" x14ac:dyDescent="0.15">
      <c r="A311">
        <v>310</v>
      </c>
      <c r="B311" t="s">
        <v>445</v>
      </c>
      <c r="C311" t="s">
        <v>446</v>
      </c>
      <c r="D311" s="72" t="s">
        <v>486</v>
      </c>
      <c r="E311" t="s">
        <v>73</v>
      </c>
      <c r="F311" t="s">
        <v>487</v>
      </c>
      <c r="G311" s="92">
        <v>42567.52615740741</v>
      </c>
      <c r="H311" s="92">
        <v>42567.526134259257</v>
      </c>
      <c r="I311" s="92">
        <v>42567.526145833333</v>
      </c>
      <c r="J311" s="92">
        <v>42587.440671296295</v>
      </c>
      <c r="K311" s="92">
        <v>42587.443888888891</v>
      </c>
      <c r="L311" s="92">
        <f>IF(AND(单词表[[#This Row],[学英]]&lt;&gt;"",单词表[[#This Row],[学中]]&lt;&gt;"",单词表[[#This Row],[学词]]&lt;&gt;""),MAX(单词表[[#This Row],[学英]:[学词]]),"")</f>
        <v>42567.52615740741</v>
      </c>
      <c r="M311" s="2">
        <f>IF(AND(单词表[[#This Row],[考英]]&lt;&gt;"",单词表[[#This Row],[考中]]&lt;&gt;""),MAX(单词表[[#This Row],[考英]:[考中]]),"")</f>
        <v>42587.443888888891</v>
      </c>
      <c r="N311" s="33"/>
      <c r="P311" s="32"/>
    </row>
    <row r="312" spans="1:16" hidden="1" x14ac:dyDescent="0.15">
      <c r="A312">
        <v>311</v>
      </c>
      <c r="B312" t="s">
        <v>445</v>
      </c>
      <c r="C312" t="s">
        <v>446</v>
      </c>
      <c r="D312" s="72" t="s">
        <v>488</v>
      </c>
      <c r="E312" t="s">
        <v>36</v>
      </c>
      <c r="F312" t="s">
        <v>1250</v>
      </c>
      <c r="G312" s="92">
        <v>42587.445740740739</v>
      </c>
      <c r="H312" s="92">
        <v>42587.445752314816</v>
      </c>
      <c r="I312" s="92">
        <v>42587.445740740739</v>
      </c>
      <c r="J312" s="92">
        <v>42587.456076388888</v>
      </c>
      <c r="K312" s="92">
        <v>42587.453935185185</v>
      </c>
      <c r="L312" s="92">
        <f>IF(AND(单词表[[#This Row],[学英]]&lt;&gt;"",单词表[[#This Row],[学中]]&lt;&gt;"",单词表[[#This Row],[学词]]&lt;&gt;""),MAX(单词表[[#This Row],[学英]:[学词]]),"")</f>
        <v>42587.445752314816</v>
      </c>
      <c r="M312" s="2">
        <f>IF(AND(单词表[[#This Row],[考英]]&lt;&gt;"",单词表[[#This Row],[考中]]&lt;&gt;""),MAX(单词表[[#This Row],[考英]:[考中]]),"")</f>
        <v>42587.456076388888</v>
      </c>
      <c r="N312" s="33" t="s">
        <v>1029</v>
      </c>
      <c r="P312" s="32"/>
    </row>
    <row r="313" spans="1:16" hidden="1" x14ac:dyDescent="0.15">
      <c r="A313">
        <v>312</v>
      </c>
      <c r="B313" t="s">
        <v>445</v>
      </c>
      <c r="C313" t="s">
        <v>446</v>
      </c>
      <c r="D313" s="72" t="s">
        <v>490</v>
      </c>
      <c r="E313" t="s">
        <v>73</v>
      </c>
      <c r="F313" t="s">
        <v>491</v>
      </c>
      <c r="G313" s="92">
        <v>42587.445775462962</v>
      </c>
      <c r="H313" s="92">
        <v>42568.354513888888</v>
      </c>
      <c r="I313" s="92">
        <v>42568.357905092591</v>
      </c>
      <c r="J313" s="92">
        <v>42587.456238425926</v>
      </c>
      <c r="K313" s="92">
        <v>42587.444016203706</v>
      </c>
      <c r="L313" s="92">
        <f>IF(AND(单词表[[#This Row],[学英]]&lt;&gt;"",单词表[[#This Row],[学中]]&lt;&gt;"",单词表[[#This Row],[学词]]&lt;&gt;""),MAX(单词表[[#This Row],[学英]:[学词]]),"")</f>
        <v>42587.445775462962</v>
      </c>
      <c r="M313" s="2">
        <f>IF(AND(单词表[[#This Row],[考英]]&lt;&gt;"",单词表[[#This Row],[考中]]&lt;&gt;""),MAX(单词表[[#This Row],[考英]:[考中]]),"")</f>
        <v>42587.456238425926</v>
      </c>
      <c r="N313" s="33" t="s">
        <v>3299</v>
      </c>
      <c r="P313" s="32"/>
    </row>
    <row r="314" spans="1:16" hidden="1" x14ac:dyDescent="0.15">
      <c r="A314">
        <v>313</v>
      </c>
      <c r="B314" t="s">
        <v>445</v>
      </c>
      <c r="C314" t="s">
        <v>446</v>
      </c>
      <c r="D314" s="72" t="s">
        <v>492</v>
      </c>
      <c r="E314" t="s">
        <v>61</v>
      </c>
      <c r="F314" t="s">
        <v>239</v>
      </c>
      <c r="G314" s="92">
        <v>42567.525601851848</v>
      </c>
      <c r="H314" s="92">
        <v>42567.518807870372</v>
      </c>
      <c r="I314" s="92">
        <v>42567.518807870372</v>
      </c>
      <c r="J314" s="92">
        <v>42587.440995370373</v>
      </c>
      <c r="K314" s="92">
        <v>42587.444247685184</v>
      </c>
      <c r="L314" s="92">
        <f>IF(AND(单词表[[#This Row],[学英]]&lt;&gt;"",单词表[[#This Row],[学中]]&lt;&gt;"",单词表[[#This Row],[学词]]&lt;&gt;""),MAX(单词表[[#This Row],[学英]:[学词]]),"")</f>
        <v>42567.525601851848</v>
      </c>
      <c r="M314" s="2">
        <f>IF(AND(单词表[[#This Row],[考英]]&lt;&gt;"",单词表[[#This Row],[考中]]&lt;&gt;""),MAX(单词表[[#This Row],[考英]:[考中]]),"")</f>
        <v>42587.444247685184</v>
      </c>
      <c r="N314" s="33"/>
      <c r="P314" s="32"/>
    </row>
    <row r="315" spans="1:16" hidden="1" x14ac:dyDescent="0.15">
      <c r="A315">
        <v>314</v>
      </c>
      <c r="B315" t="s">
        <v>445</v>
      </c>
      <c r="C315" t="s">
        <v>446</v>
      </c>
      <c r="D315" s="72" t="s">
        <v>493</v>
      </c>
      <c r="E315" t="s">
        <v>36</v>
      </c>
      <c r="F315" t="s">
        <v>494</v>
      </c>
      <c r="G315" s="92">
        <v>42564.489270833335</v>
      </c>
      <c r="H315" s="92">
        <v>42564.489270833335</v>
      </c>
      <c r="I315" s="92">
        <v>42564.489270833335</v>
      </c>
      <c r="J315" s="92">
        <v>42587.441053240742</v>
      </c>
      <c r="K315" s="92">
        <v>42587.444293981483</v>
      </c>
      <c r="L315" s="92">
        <f>IF(AND(单词表[[#This Row],[学英]]&lt;&gt;"",单词表[[#This Row],[学中]]&lt;&gt;"",单词表[[#This Row],[学词]]&lt;&gt;""),MAX(单词表[[#This Row],[学英]:[学词]]),"")</f>
        <v>42564.489270833335</v>
      </c>
      <c r="M315" s="2">
        <f>IF(AND(单词表[[#This Row],[考英]]&lt;&gt;"",单词表[[#This Row],[考中]]&lt;&gt;""),MAX(单词表[[#This Row],[考英]:[考中]]),"")</f>
        <v>42587.444293981483</v>
      </c>
      <c r="N315" s="33"/>
      <c r="P315" s="32"/>
    </row>
    <row r="316" spans="1:16" hidden="1" x14ac:dyDescent="0.15">
      <c r="A316">
        <v>315</v>
      </c>
      <c r="B316" t="s">
        <v>445</v>
      </c>
      <c r="C316" t="s">
        <v>495</v>
      </c>
      <c r="D316" s="72" t="s">
        <v>496</v>
      </c>
      <c r="E316" t="s">
        <v>36</v>
      </c>
      <c r="F316" t="s">
        <v>497</v>
      </c>
      <c r="G316" s="92">
        <v>42568.681157407409</v>
      </c>
      <c r="H316" s="92">
        <v>42587.468043981484</v>
      </c>
      <c r="I316" s="92">
        <v>42587.468032407407</v>
      </c>
      <c r="J316" s="92">
        <v>42587.460694444446</v>
      </c>
      <c r="K316" s="92">
        <v>42587.482592592591</v>
      </c>
      <c r="L316" s="92">
        <f>IF(AND(单词表[[#This Row],[学英]]&lt;&gt;"",单词表[[#This Row],[学中]]&lt;&gt;"",单词表[[#This Row],[学词]]&lt;&gt;""),MAX(单词表[[#This Row],[学英]:[学词]]),"")</f>
        <v>42587.468043981484</v>
      </c>
      <c r="M316" s="2">
        <f>IF(AND(单词表[[#This Row],[考英]]&lt;&gt;"",单词表[[#This Row],[考中]]&lt;&gt;""),MAX(单词表[[#This Row],[考英]:[考中]]),"")</f>
        <v>42587.482592592591</v>
      </c>
      <c r="N316" s="33"/>
      <c r="P316" s="32"/>
    </row>
    <row r="317" spans="1:16" hidden="1" x14ac:dyDescent="0.15">
      <c r="A317">
        <v>316</v>
      </c>
      <c r="B317" t="s">
        <v>445</v>
      </c>
      <c r="C317" t="s">
        <v>495</v>
      </c>
      <c r="D317" s="72" t="s">
        <v>498</v>
      </c>
      <c r="E317" t="s">
        <v>157</v>
      </c>
      <c r="F317" t="s">
        <v>499</v>
      </c>
      <c r="G317" s="92">
        <v>42565.545972222222</v>
      </c>
      <c r="H317" s="92">
        <v>42587.456469907411</v>
      </c>
      <c r="I317" s="92">
        <v>42587.456469907411</v>
      </c>
      <c r="J317" s="92">
        <v>42587.460752314815</v>
      </c>
      <c r="K317" s="92">
        <v>42587.457094907404</v>
      </c>
      <c r="L317" s="92">
        <f>IF(AND(单词表[[#This Row],[学英]]&lt;&gt;"",单词表[[#This Row],[学中]]&lt;&gt;"",单词表[[#This Row],[学词]]&lt;&gt;""),MAX(单词表[[#This Row],[学英]:[学词]]),"")</f>
        <v>42587.456469907411</v>
      </c>
      <c r="M317" s="2">
        <f>IF(AND(单词表[[#This Row],[考英]]&lt;&gt;"",单词表[[#This Row],[考中]]&lt;&gt;""),MAX(单词表[[#This Row],[考英]:[考中]]),"")</f>
        <v>42587.460752314815</v>
      </c>
      <c r="N317" s="33"/>
      <c r="P317" s="32"/>
    </row>
    <row r="318" spans="1:16" hidden="1" x14ac:dyDescent="0.15">
      <c r="A318">
        <v>317</v>
      </c>
      <c r="B318" t="s">
        <v>445</v>
      </c>
      <c r="C318" t="s">
        <v>495</v>
      </c>
      <c r="D318" s="72" t="s">
        <v>500</v>
      </c>
      <c r="E318" t="s">
        <v>61</v>
      </c>
      <c r="F318" t="s">
        <v>501</v>
      </c>
      <c r="G318" s="92">
        <v>42565.546111111114</v>
      </c>
      <c r="H318" s="92">
        <v>42565.546122685184</v>
      </c>
      <c r="I318" s="92">
        <v>42565.546111111114</v>
      </c>
      <c r="J318" s="92">
        <v>42587.460879629631</v>
      </c>
      <c r="K318" s="92">
        <v>42587.457175925927</v>
      </c>
      <c r="L318" s="92">
        <f>IF(AND(单词表[[#This Row],[学英]]&lt;&gt;"",单词表[[#This Row],[学中]]&lt;&gt;"",单词表[[#This Row],[学词]]&lt;&gt;""),MAX(单词表[[#This Row],[学英]:[学词]]),"")</f>
        <v>42565.546122685184</v>
      </c>
      <c r="M318" s="2">
        <f>IF(AND(单词表[[#This Row],[考英]]&lt;&gt;"",单词表[[#This Row],[考中]]&lt;&gt;""),MAX(单词表[[#This Row],[考英]:[考中]]),"")</f>
        <v>42587.460879629631</v>
      </c>
      <c r="N318" s="33"/>
      <c r="P318" s="32"/>
    </row>
    <row r="319" spans="1:16" hidden="1" x14ac:dyDescent="0.15">
      <c r="A319">
        <v>318</v>
      </c>
      <c r="B319" t="s">
        <v>445</v>
      </c>
      <c r="C319" t="s">
        <v>495</v>
      </c>
      <c r="D319" s="72" t="s">
        <v>502</v>
      </c>
      <c r="E319" t="s">
        <v>157</v>
      </c>
      <c r="F319" t="s">
        <v>503</v>
      </c>
      <c r="G319" s="92">
        <v>42587.468055555553</v>
      </c>
      <c r="H319" s="92">
        <v>42568.686099537037</v>
      </c>
      <c r="I319" s="92">
        <v>42568.68608796296</v>
      </c>
      <c r="J319" s="92">
        <v>42587.481956018521</v>
      </c>
      <c r="K319" s="92">
        <v>42587.457418981481</v>
      </c>
      <c r="L319" s="92">
        <f>IF(AND(单词表[[#This Row],[学英]]&lt;&gt;"",单词表[[#This Row],[学中]]&lt;&gt;"",单词表[[#This Row],[学词]]&lt;&gt;""),MAX(单词表[[#This Row],[学英]:[学词]]),"")</f>
        <v>42587.468055555553</v>
      </c>
      <c r="M319" s="2">
        <f>IF(AND(单词表[[#This Row],[考英]]&lt;&gt;"",单词表[[#This Row],[考中]]&lt;&gt;""),MAX(单词表[[#This Row],[考英]:[考中]]),"")</f>
        <v>42587.481956018521</v>
      </c>
      <c r="N319" s="33"/>
      <c r="P319" s="32"/>
    </row>
    <row r="320" spans="1:16" hidden="1" x14ac:dyDescent="0.15">
      <c r="A320">
        <v>319</v>
      </c>
      <c r="B320" t="s">
        <v>445</v>
      </c>
      <c r="C320" t="s">
        <v>495</v>
      </c>
      <c r="D320" s="72" t="s">
        <v>504</v>
      </c>
      <c r="E320" t="s">
        <v>73</v>
      </c>
      <c r="F320" t="s">
        <v>505</v>
      </c>
      <c r="G320" s="92">
        <v>42587.468101851853</v>
      </c>
      <c r="H320" s="92">
        <v>42587.456493055557</v>
      </c>
      <c r="I320" s="92">
        <v>42587.456493055557</v>
      </c>
      <c r="J320" s="92">
        <v>42587.482060185182</v>
      </c>
      <c r="K320" s="92">
        <v>42587.457499999997</v>
      </c>
      <c r="L320" s="92">
        <f>IF(AND(单词表[[#This Row],[学英]]&lt;&gt;"",单词表[[#This Row],[学中]]&lt;&gt;"",单词表[[#This Row],[学词]]&lt;&gt;""),MAX(单词表[[#This Row],[学英]:[学词]]),"")</f>
        <v>42587.468101851853</v>
      </c>
      <c r="M320" s="2">
        <f>IF(AND(单词表[[#This Row],[考英]]&lt;&gt;"",单词表[[#This Row],[考中]]&lt;&gt;""),MAX(单词表[[#This Row],[考英]:[考中]]),"")</f>
        <v>42587.482060185182</v>
      </c>
      <c r="N320" s="33"/>
      <c r="P320" s="32"/>
    </row>
    <row r="321" spans="1:16" hidden="1" x14ac:dyDescent="0.15">
      <c r="A321">
        <v>320</v>
      </c>
      <c r="B321" t="s">
        <v>445</v>
      </c>
      <c r="C321" t="s">
        <v>495</v>
      </c>
      <c r="D321" s="72" t="s">
        <v>506</v>
      </c>
      <c r="E321" t="s">
        <v>36</v>
      </c>
      <c r="F321" t="s">
        <v>1251</v>
      </c>
      <c r="G321" s="92">
        <v>42565.549189814818</v>
      </c>
      <c r="H321" s="92">
        <v>42565.549189814818</v>
      </c>
      <c r="I321" s="92">
        <v>42565.549189814818</v>
      </c>
      <c r="J321" s="92">
        <v>42587.461354166669</v>
      </c>
      <c r="K321" s="92">
        <v>42587.457604166666</v>
      </c>
      <c r="L321" s="92">
        <f>IF(AND(单词表[[#This Row],[学英]]&lt;&gt;"",单词表[[#This Row],[学中]]&lt;&gt;"",单词表[[#This Row],[学词]]&lt;&gt;""),MAX(单词表[[#This Row],[学英]:[学词]]),"")</f>
        <v>42565.549189814818</v>
      </c>
      <c r="M321" s="2">
        <f>IF(AND(单词表[[#This Row],[考英]]&lt;&gt;"",单词表[[#This Row],[考中]]&lt;&gt;""),MAX(单词表[[#This Row],[考英]:[考中]]),"")</f>
        <v>42587.461354166669</v>
      </c>
      <c r="N321" s="33"/>
      <c r="P321" s="32"/>
    </row>
    <row r="322" spans="1:16" hidden="1" x14ac:dyDescent="0.15">
      <c r="A322">
        <v>321</v>
      </c>
      <c r="B322" t="s">
        <v>445</v>
      </c>
      <c r="C322" t="s">
        <v>495</v>
      </c>
      <c r="D322" s="72" t="s">
        <v>507</v>
      </c>
      <c r="E322" t="s">
        <v>73</v>
      </c>
      <c r="F322" t="s">
        <v>508</v>
      </c>
      <c r="G322" s="92">
        <v>42587.468124999999</v>
      </c>
      <c r="H322" s="92">
        <v>42587.45652777778</v>
      </c>
      <c r="I322" s="92">
        <v>42587.45652777778</v>
      </c>
      <c r="J322" s="92">
        <v>42587.482129629629</v>
      </c>
      <c r="K322" s="92">
        <v>42587.457650462966</v>
      </c>
      <c r="L322" s="92">
        <f>IF(AND(单词表[[#This Row],[学英]]&lt;&gt;"",单词表[[#This Row],[学中]]&lt;&gt;"",单词表[[#This Row],[学词]]&lt;&gt;""),MAX(单词表[[#This Row],[学英]:[学词]]),"")</f>
        <v>42587.468124999999</v>
      </c>
      <c r="M322" s="2">
        <f>IF(AND(单词表[[#This Row],[考英]]&lt;&gt;"",单词表[[#This Row],[考中]]&lt;&gt;""),MAX(单词表[[#This Row],[考英]:[考中]]),"")</f>
        <v>42587.482129629629</v>
      </c>
      <c r="N322" s="33"/>
      <c r="P322" s="32"/>
    </row>
    <row r="323" spans="1:16" hidden="1" x14ac:dyDescent="0.15">
      <c r="A323">
        <v>322</v>
      </c>
      <c r="B323" t="s">
        <v>445</v>
      </c>
      <c r="C323" t="s">
        <v>495</v>
      </c>
      <c r="D323" s="72" t="s">
        <v>509</v>
      </c>
      <c r="E323" t="s">
        <v>73</v>
      </c>
      <c r="F323" t="s">
        <v>510</v>
      </c>
      <c r="G323" s="92">
        <v>42568.680231481485</v>
      </c>
      <c r="H323" s="92">
        <v>42568.680023148147</v>
      </c>
      <c r="I323" s="92">
        <v>42568.680023148147</v>
      </c>
      <c r="J323" s="92">
        <v>42587.461689814816</v>
      </c>
      <c r="K323" s="92">
        <v>42587.458009259259</v>
      </c>
      <c r="L323" s="92">
        <f>IF(AND(单词表[[#This Row],[学英]]&lt;&gt;"",单词表[[#This Row],[学中]]&lt;&gt;"",单词表[[#This Row],[学词]]&lt;&gt;""),MAX(单词表[[#This Row],[学英]:[学词]]),"")</f>
        <v>42568.680231481485</v>
      </c>
      <c r="M323" s="2">
        <f>IF(AND(单词表[[#This Row],[考英]]&lt;&gt;"",单词表[[#This Row],[考中]]&lt;&gt;""),MAX(单词表[[#This Row],[考英]:[考中]]),"")</f>
        <v>42587.461689814816</v>
      </c>
      <c r="N323" s="33"/>
      <c r="P323" s="32"/>
    </row>
    <row r="324" spans="1:16" hidden="1" x14ac:dyDescent="0.15">
      <c r="A324">
        <v>323</v>
      </c>
      <c r="B324" t="s">
        <v>445</v>
      </c>
      <c r="C324" t="s">
        <v>495</v>
      </c>
      <c r="D324" s="72" t="s">
        <v>511</v>
      </c>
      <c r="E324" t="s">
        <v>36</v>
      </c>
      <c r="F324" t="s">
        <v>512</v>
      </c>
      <c r="G324" s="92">
        <v>42587.468148148146</v>
      </c>
      <c r="H324" s="92">
        <v>42568.609456018516</v>
      </c>
      <c r="I324" s="92">
        <v>42568.609456018516</v>
      </c>
      <c r="J324" s="92">
        <v>42587.482407407406</v>
      </c>
      <c r="K324" s="92">
        <v>42587.458136574074</v>
      </c>
      <c r="L324" s="92">
        <f>IF(AND(单词表[[#This Row],[学英]]&lt;&gt;"",单词表[[#This Row],[学中]]&lt;&gt;"",单词表[[#This Row],[学词]]&lt;&gt;""),MAX(单词表[[#This Row],[学英]:[学词]]),"")</f>
        <v>42587.468148148146</v>
      </c>
      <c r="M324" s="2">
        <f>IF(AND(单词表[[#This Row],[考英]]&lt;&gt;"",单词表[[#This Row],[考中]]&lt;&gt;""),MAX(单词表[[#This Row],[考英]:[考中]]),"")</f>
        <v>42587.482407407406</v>
      </c>
      <c r="N324" s="33"/>
      <c r="P324" s="32"/>
    </row>
    <row r="325" spans="1:16" hidden="1" x14ac:dyDescent="0.15">
      <c r="A325">
        <v>324</v>
      </c>
      <c r="B325" t="s">
        <v>445</v>
      </c>
      <c r="C325" t="s">
        <v>495</v>
      </c>
      <c r="D325" s="72" t="s">
        <v>513</v>
      </c>
      <c r="E325" t="s">
        <v>61</v>
      </c>
      <c r="F325" t="s">
        <v>514</v>
      </c>
      <c r="G325" s="92">
        <v>42568.609780092593</v>
      </c>
      <c r="H325" s="92">
        <v>42587.456550925926</v>
      </c>
      <c r="I325" s="92">
        <v>42587.456550925926</v>
      </c>
      <c r="J325" s="92">
        <v>42568.689432870371</v>
      </c>
      <c r="K325" s="92">
        <v>42587.458182870374</v>
      </c>
      <c r="L325" s="92">
        <f>IF(AND(单词表[[#This Row],[学英]]&lt;&gt;"",单词表[[#This Row],[学中]]&lt;&gt;"",单词表[[#This Row],[学词]]&lt;&gt;""),MAX(单词表[[#This Row],[学英]:[学词]]),"")</f>
        <v>42587.456550925926</v>
      </c>
      <c r="M325" s="2">
        <f>IF(AND(单词表[[#This Row],[考英]]&lt;&gt;"",单词表[[#This Row],[考中]]&lt;&gt;""),MAX(单词表[[#This Row],[考英]:[考中]]),"")</f>
        <v>42587.458182870374</v>
      </c>
      <c r="N325" s="33"/>
      <c r="P325" s="32"/>
    </row>
    <row r="326" spans="1:16" hidden="1" x14ac:dyDescent="0.15">
      <c r="A326">
        <v>325</v>
      </c>
      <c r="B326" t="s">
        <v>445</v>
      </c>
      <c r="C326" t="s">
        <v>495</v>
      </c>
      <c r="D326" s="72" t="s">
        <v>515</v>
      </c>
      <c r="E326" t="s">
        <v>36</v>
      </c>
      <c r="F326" t="s">
        <v>1252</v>
      </c>
      <c r="G326" s="92">
        <v>42568.609930555554</v>
      </c>
      <c r="H326" s="92">
        <v>42568.608240740738</v>
      </c>
      <c r="I326" s="92">
        <v>42568.608240740738</v>
      </c>
      <c r="J326" s="92">
        <v>42568.689710648148</v>
      </c>
      <c r="K326" s="92">
        <v>42587.458252314813</v>
      </c>
      <c r="L326" s="92">
        <f>IF(AND(单词表[[#This Row],[学英]]&lt;&gt;"",单词表[[#This Row],[学中]]&lt;&gt;"",单词表[[#This Row],[学词]]&lt;&gt;""),MAX(单词表[[#This Row],[学英]:[学词]]),"")</f>
        <v>42568.609930555554</v>
      </c>
      <c r="M326" s="2">
        <f>IF(AND(单词表[[#This Row],[考英]]&lt;&gt;"",单词表[[#This Row],[考中]]&lt;&gt;""),MAX(单词表[[#This Row],[考英]:[考中]]),"")</f>
        <v>42587.458252314813</v>
      </c>
      <c r="N326" s="33"/>
      <c r="P326" s="32"/>
    </row>
    <row r="327" spans="1:16" hidden="1" x14ac:dyDescent="0.15">
      <c r="A327">
        <v>326</v>
      </c>
      <c r="B327" t="s">
        <v>445</v>
      </c>
      <c r="C327" t="s">
        <v>495</v>
      </c>
      <c r="D327" s="72" t="s">
        <v>516</v>
      </c>
      <c r="E327" t="s">
        <v>61</v>
      </c>
      <c r="F327" t="s">
        <v>517</v>
      </c>
      <c r="G327" s="92">
        <v>42568.711747685185</v>
      </c>
      <c r="H327" s="92">
        <v>42568.71020833333</v>
      </c>
      <c r="I327" s="92">
        <v>42568.71020833333</v>
      </c>
      <c r="J327" s="92">
        <v>42568.712094907409</v>
      </c>
      <c r="K327" s="92">
        <v>42587.458379629628</v>
      </c>
      <c r="L327" s="92">
        <f>IF(AND(单词表[[#This Row],[学英]]&lt;&gt;"",单词表[[#This Row],[学中]]&lt;&gt;"",单词表[[#This Row],[学词]]&lt;&gt;""),MAX(单词表[[#This Row],[学英]:[学词]]),"")</f>
        <v>42568.711747685185</v>
      </c>
      <c r="M327" s="2">
        <f>IF(AND(单词表[[#This Row],[考英]]&lt;&gt;"",单词表[[#This Row],[考中]]&lt;&gt;""),MAX(单词表[[#This Row],[考英]:[考中]]),"")</f>
        <v>42587.458379629628</v>
      </c>
      <c r="N327" s="33"/>
      <c r="P327" s="32"/>
    </row>
    <row r="328" spans="1:16" hidden="1" x14ac:dyDescent="0.15">
      <c r="A328">
        <v>327</v>
      </c>
      <c r="B328" t="s">
        <v>445</v>
      </c>
      <c r="C328" t="s">
        <v>495</v>
      </c>
      <c r="D328" s="72" t="s">
        <v>518</v>
      </c>
      <c r="E328" t="s">
        <v>36</v>
      </c>
      <c r="F328" t="s">
        <v>519</v>
      </c>
      <c r="G328" s="92">
        <v>42568.707395833335</v>
      </c>
      <c r="H328" s="92">
        <v>42568.610324074078</v>
      </c>
      <c r="I328" s="92">
        <v>42568.610312500001</v>
      </c>
      <c r="J328" s="92">
        <v>42568.708506944444</v>
      </c>
      <c r="K328" s="92">
        <v>42587.458599537036</v>
      </c>
      <c r="L328" s="92">
        <f>IF(AND(单词表[[#This Row],[学英]]&lt;&gt;"",单词表[[#This Row],[学中]]&lt;&gt;"",单词表[[#This Row],[学词]]&lt;&gt;""),MAX(单词表[[#This Row],[学英]:[学词]]),"")</f>
        <v>42568.707395833335</v>
      </c>
      <c r="M328" s="2">
        <f>IF(AND(单词表[[#This Row],[考英]]&lt;&gt;"",单词表[[#This Row],[考中]]&lt;&gt;""),MAX(单词表[[#This Row],[考英]:[考中]]),"")</f>
        <v>42587.458599537036</v>
      </c>
      <c r="N328" s="33"/>
      <c r="P328" s="32"/>
    </row>
    <row r="329" spans="1:16" hidden="1" x14ac:dyDescent="0.15">
      <c r="A329">
        <v>328</v>
      </c>
      <c r="B329" t="s">
        <v>445</v>
      </c>
      <c r="C329" t="s">
        <v>495</v>
      </c>
      <c r="D329" s="72" t="s">
        <v>520</v>
      </c>
      <c r="E329" t="s">
        <v>61</v>
      </c>
      <c r="F329" t="s">
        <v>521</v>
      </c>
      <c r="G329" s="92">
        <v>42568.712916666664</v>
      </c>
      <c r="H329" s="92">
        <v>42587.468182870369</v>
      </c>
      <c r="I329" s="92">
        <v>42587.468182870369</v>
      </c>
      <c r="J329" s="92">
        <v>42568.713078703702</v>
      </c>
      <c r="K329" s="92">
        <v>42587.482719907406</v>
      </c>
      <c r="L329" s="92">
        <f>IF(AND(单词表[[#This Row],[学英]]&lt;&gt;"",单词表[[#This Row],[学中]]&lt;&gt;"",单词表[[#This Row],[学词]]&lt;&gt;""),MAX(单词表[[#This Row],[学英]:[学词]]),"")</f>
        <v>42587.468182870369</v>
      </c>
      <c r="M329" s="2">
        <f>IF(AND(单词表[[#This Row],[考英]]&lt;&gt;"",单词表[[#This Row],[考中]]&lt;&gt;""),MAX(单词表[[#This Row],[考英]:[考中]]),"")</f>
        <v>42587.482719907406</v>
      </c>
      <c r="N329" s="33"/>
      <c r="P329" s="32"/>
    </row>
    <row r="330" spans="1:16" hidden="1" x14ac:dyDescent="0.15">
      <c r="A330">
        <v>329</v>
      </c>
      <c r="B330" t="s">
        <v>445</v>
      </c>
      <c r="C330" t="s">
        <v>495</v>
      </c>
      <c r="D330" s="72" t="s">
        <v>522</v>
      </c>
      <c r="E330" t="s">
        <v>1021</v>
      </c>
      <c r="F330" t="s">
        <v>523</v>
      </c>
      <c r="G330" s="92">
        <v>42568.714513888888</v>
      </c>
      <c r="H330" s="92">
        <v>42587.456712962965</v>
      </c>
      <c r="I330" s="92">
        <v>42587.456701388888</v>
      </c>
      <c r="J330" s="92">
        <v>42568.715520833335</v>
      </c>
      <c r="K330" s="92">
        <v>42587.45890046296</v>
      </c>
      <c r="L330" s="92">
        <f>IF(AND(单词表[[#This Row],[学英]]&lt;&gt;"",单词表[[#This Row],[学中]]&lt;&gt;"",单词表[[#This Row],[学词]]&lt;&gt;""),MAX(单词表[[#This Row],[学英]:[学词]]),"")</f>
        <v>42587.456712962965</v>
      </c>
      <c r="M330" s="2">
        <f>IF(AND(单词表[[#This Row],[考英]]&lt;&gt;"",单词表[[#This Row],[考中]]&lt;&gt;""),MAX(单词表[[#This Row],[考英]:[考中]]),"")</f>
        <v>42587.45890046296</v>
      </c>
      <c r="N330" s="33"/>
      <c r="P330" s="32"/>
    </row>
    <row r="331" spans="1:16" hidden="1" x14ac:dyDescent="0.15">
      <c r="A331">
        <v>330</v>
      </c>
      <c r="B331" t="s">
        <v>445</v>
      </c>
      <c r="C331" t="s">
        <v>495</v>
      </c>
      <c r="D331" s="72" t="s">
        <v>524</v>
      </c>
      <c r="E331" t="s">
        <v>1019</v>
      </c>
      <c r="F331" t="s">
        <v>525</v>
      </c>
      <c r="G331" s="92">
        <v>42566.439097222225</v>
      </c>
      <c r="H331" s="92">
        <v>42587.456678240742</v>
      </c>
      <c r="I331" s="92">
        <v>42587.456666666665</v>
      </c>
      <c r="J331" s="92">
        <v>42565.567245370374</v>
      </c>
      <c r="K331" s="92">
        <v>42587.459074074075</v>
      </c>
      <c r="L331" s="92">
        <f>IF(AND(单词表[[#This Row],[学英]]&lt;&gt;"",单词表[[#This Row],[学中]]&lt;&gt;"",单词表[[#This Row],[学词]]&lt;&gt;""),MAX(单词表[[#This Row],[学英]:[学词]]),"")</f>
        <v>42587.456678240742</v>
      </c>
      <c r="M331" s="2">
        <f>IF(AND(单词表[[#This Row],[考英]]&lt;&gt;"",单词表[[#This Row],[考中]]&lt;&gt;""),MAX(单词表[[#This Row],[考英]:[考中]]),"")</f>
        <v>42587.459074074075</v>
      </c>
      <c r="N331" s="33"/>
      <c r="P331" s="32"/>
    </row>
    <row r="332" spans="1:16" hidden="1" x14ac:dyDescent="0.15">
      <c r="A332">
        <v>331</v>
      </c>
      <c r="B332" t="s">
        <v>445</v>
      </c>
      <c r="C332" t="s">
        <v>495</v>
      </c>
      <c r="D332" s="72" t="s">
        <v>526</v>
      </c>
      <c r="E332" t="s">
        <v>1016</v>
      </c>
      <c r="F332" t="s">
        <v>527</v>
      </c>
      <c r="G332" s="92">
        <v>42568.610520833332</v>
      </c>
      <c r="H332" s="92">
        <v>42587.468206018515</v>
      </c>
      <c r="I332" s="92">
        <v>42587.468206018515</v>
      </c>
      <c r="J332" s="92">
        <v>42568.690324074072</v>
      </c>
      <c r="K332" s="92">
        <v>42587.482905092591</v>
      </c>
      <c r="L332" s="92">
        <f>IF(AND(单词表[[#This Row],[学英]]&lt;&gt;"",单词表[[#This Row],[学中]]&lt;&gt;"",单词表[[#This Row],[学词]]&lt;&gt;""),MAX(单词表[[#This Row],[学英]:[学词]]),"")</f>
        <v>42587.468206018515</v>
      </c>
      <c r="M332" s="2">
        <f>IF(AND(单词表[[#This Row],[考英]]&lt;&gt;"",单词表[[#This Row],[考中]]&lt;&gt;""),MAX(单词表[[#This Row],[考英]:[考中]]),"")</f>
        <v>42587.482905092591</v>
      </c>
      <c r="N332" s="33"/>
      <c r="P332" s="32"/>
    </row>
    <row r="333" spans="1:16" hidden="1" x14ac:dyDescent="0.15">
      <c r="A333">
        <v>332</v>
      </c>
      <c r="B333" t="s">
        <v>445</v>
      </c>
      <c r="C333" t="s">
        <v>495</v>
      </c>
      <c r="D333" s="72" t="s">
        <v>1253</v>
      </c>
      <c r="E333" t="s">
        <v>1016</v>
      </c>
      <c r="F333" t="s">
        <v>528</v>
      </c>
      <c r="G333" s="92">
        <v>42565.553298611114</v>
      </c>
      <c r="H333" s="92">
        <v>42565.553310185183</v>
      </c>
      <c r="I333" s="92">
        <v>42565.553310185183</v>
      </c>
      <c r="J333" s="92">
        <v>42565</v>
      </c>
      <c r="K333" s="92">
        <v>42587.459374999999</v>
      </c>
      <c r="L333" s="92">
        <f>IF(AND(单词表[[#This Row],[学英]]&lt;&gt;"",单词表[[#This Row],[学中]]&lt;&gt;"",单词表[[#This Row],[学词]]&lt;&gt;""),MAX(单词表[[#This Row],[学英]:[学词]]),"")</f>
        <v>42565.553310185183</v>
      </c>
      <c r="M333" s="2">
        <f>IF(AND(单词表[[#This Row],[考英]]&lt;&gt;"",单词表[[#This Row],[考中]]&lt;&gt;""),MAX(单词表[[#This Row],[考英]:[考中]]),"")</f>
        <v>42587.459374999999</v>
      </c>
      <c r="N333" s="33"/>
      <c r="P333" s="32"/>
    </row>
    <row r="334" spans="1:16" hidden="1" x14ac:dyDescent="0.15">
      <c r="A334">
        <v>333</v>
      </c>
      <c r="B334" t="s">
        <v>445</v>
      </c>
      <c r="C334" t="s">
        <v>495</v>
      </c>
      <c r="D334" s="72" t="s">
        <v>529</v>
      </c>
      <c r="E334" t="s">
        <v>1016</v>
      </c>
      <c r="F334" t="s">
        <v>530</v>
      </c>
      <c r="G334" s="92">
        <v>42568.610671296294</v>
      </c>
      <c r="H334" s="92">
        <v>42568.610671296294</v>
      </c>
      <c r="I334" s="92">
        <v>42568.610671296294</v>
      </c>
      <c r="J334" s="92">
        <v>42568.690416666665</v>
      </c>
      <c r="K334" s="92">
        <v>42587.459421296298</v>
      </c>
      <c r="L334" s="92">
        <f>IF(AND(单词表[[#This Row],[学英]]&lt;&gt;"",单词表[[#This Row],[学中]]&lt;&gt;"",单词表[[#This Row],[学词]]&lt;&gt;""),MAX(单词表[[#This Row],[学英]:[学词]]),"")</f>
        <v>42568.610671296294</v>
      </c>
      <c r="M334" s="2">
        <f>IF(AND(单词表[[#This Row],[考英]]&lt;&gt;"",单词表[[#This Row],[考中]]&lt;&gt;""),MAX(单词表[[#This Row],[考英]:[考中]]),"")</f>
        <v>42587.459421296298</v>
      </c>
      <c r="N334" s="33"/>
      <c r="P334" s="32"/>
    </row>
    <row r="335" spans="1:16" hidden="1" x14ac:dyDescent="0.15">
      <c r="A335">
        <v>334</v>
      </c>
      <c r="B335" t="s">
        <v>445</v>
      </c>
      <c r="C335" t="s">
        <v>495</v>
      </c>
      <c r="D335" s="72" t="s">
        <v>531</v>
      </c>
      <c r="E335" t="s">
        <v>1016</v>
      </c>
      <c r="F335" t="s">
        <v>532</v>
      </c>
      <c r="G335" s="92">
        <v>42565.553252314814</v>
      </c>
      <c r="H335" s="92">
        <v>42565.553263888891</v>
      </c>
      <c r="I335" s="92">
        <v>42565.553263888891</v>
      </c>
      <c r="J335" s="92">
        <v>42565.568240740744</v>
      </c>
      <c r="K335" s="92">
        <v>42587.459548611114</v>
      </c>
      <c r="L335" s="92">
        <f>IF(AND(单词表[[#This Row],[学英]]&lt;&gt;"",单词表[[#This Row],[学中]]&lt;&gt;"",单词表[[#This Row],[学词]]&lt;&gt;""),MAX(单词表[[#This Row],[学英]:[学词]]),"")</f>
        <v>42565.553263888891</v>
      </c>
      <c r="M335" s="2">
        <f>IF(AND(单词表[[#This Row],[考英]]&lt;&gt;"",单词表[[#This Row],[考中]]&lt;&gt;""),MAX(单词表[[#This Row],[考英]:[考中]]),"")</f>
        <v>42587.459548611114</v>
      </c>
      <c r="N335" s="33"/>
      <c r="P335" s="32"/>
    </row>
    <row r="336" spans="1:16" hidden="1" x14ac:dyDescent="0.15">
      <c r="A336">
        <v>335</v>
      </c>
      <c r="B336" t="s">
        <v>445</v>
      </c>
      <c r="C336" t="s">
        <v>495</v>
      </c>
      <c r="D336" s="72" t="s">
        <v>533</v>
      </c>
      <c r="E336" t="s">
        <v>1016</v>
      </c>
      <c r="F336" t="s">
        <v>534</v>
      </c>
      <c r="G336" s="92">
        <v>42565.554293981484</v>
      </c>
      <c r="H336" s="92">
        <v>42565.554305555554</v>
      </c>
      <c r="I336" s="92">
        <v>42565.554305555554</v>
      </c>
      <c r="J336" s="92">
        <v>42565</v>
      </c>
      <c r="K336" s="92">
        <v>42587.459629629629</v>
      </c>
      <c r="L336" s="92">
        <f>IF(AND(单词表[[#This Row],[学英]]&lt;&gt;"",单词表[[#This Row],[学中]]&lt;&gt;"",单词表[[#This Row],[学词]]&lt;&gt;""),MAX(单词表[[#This Row],[学英]:[学词]]),"")</f>
        <v>42565.554305555554</v>
      </c>
      <c r="M336" s="2">
        <f>IF(AND(单词表[[#This Row],[考英]]&lt;&gt;"",单词表[[#This Row],[考中]]&lt;&gt;""),MAX(单词表[[#This Row],[考英]:[考中]]),"")</f>
        <v>42587.459629629629</v>
      </c>
      <c r="N336" s="33"/>
      <c r="P336" s="32"/>
    </row>
    <row r="337" spans="1:16" hidden="1" x14ac:dyDescent="0.15">
      <c r="A337">
        <v>336</v>
      </c>
      <c r="B337" t="s">
        <v>445</v>
      </c>
      <c r="C337" t="s">
        <v>495</v>
      </c>
      <c r="D337" s="72" t="s">
        <v>535</v>
      </c>
      <c r="E337" t="s">
        <v>1016</v>
      </c>
      <c r="F337" t="s">
        <v>536</v>
      </c>
      <c r="G337" s="92">
        <v>42566.438958333332</v>
      </c>
      <c r="H337" s="92">
        <v>42566.438958333332</v>
      </c>
      <c r="I337" s="92">
        <v>42566.438958333332</v>
      </c>
      <c r="J337" s="92">
        <v>42565.568831018521</v>
      </c>
      <c r="K337" s="92">
        <v>42587.459675925929</v>
      </c>
      <c r="L337" s="92">
        <f>IF(AND(单词表[[#This Row],[学英]]&lt;&gt;"",单词表[[#This Row],[学中]]&lt;&gt;"",单词表[[#This Row],[学词]]&lt;&gt;""),MAX(单词表[[#This Row],[学英]:[学词]]),"")</f>
        <v>42566.438958333332</v>
      </c>
      <c r="M337" s="2">
        <f>IF(AND(单词表[[#This Row],[考英]]&lt;&gt;"",单词表[[#This Row],[考中]]&lt;&gt;""),MAX(单词表[[#This Row],[考英]:[考中]]),"")</f>
        <v>42587.459675925929</v>
      </c>
      <c r="N337" s="33"/>
      <c r="P337" s="32"/>
    </row>
    <row r="338" spans="1:16" hidden="1" x14ac:dyDescent="0.15">
      <c r="A338">
        <v>337</v>
      </c>
      <c r="B338" t="s">
        <v>445</v>
      </c>
      <c r="C338" t="s">
        <v>495</v>
      </c>
      <c r="D338" s="72" t="s">
        <v>537</v>
      </c>
      <c r="E338" t="s">
        <v>36</v>
      </c>
      <c r="F338" t="s">
        <v>538</v>
      </c>
      <c r="G338" s="92">
        <v>42568.680138888885</v>
      </c>
      <c r="H338" s="92">
        <v>42568.680162037039</v>
      </c>
      <c r="I338" s="92">
        <v>42568.680138888885</v>
      </c>
      <c r="J338" s="92">
        <v>42568.690659722219</v>
      </c>
      <c r="K338" s="92">
        <v>42587.459733796299</v>
      </c>
      <c r="L338" s="92">
        <f>IF(AND(单词表[[#This Row],[学英]]&lt;&gt;"",单词表[[#This Row],[学中]]&lt;&gt;"",单词表[[#This Row],[学词]]&lt;&gt;""),MAX(单词表[[#This Row],[学英]:[学词]]),"")</f>
        <v>42568.680162037039</v>
      </c>
      <c r="M338" s="2">
        <f>IF(AND(单词表[[#This Row],[考英]]&lt;&gt;"",单词表[[#This Row],[考中]]&lt;&gt;""),MAX(单词表[[#This Row],[考英]:[考中]]),"")</f>
        <v>42587.459733796299</v>
      </c>
      <c r="N338" s="33"/>
      <c r="P338" s="32"/>
    </row>
    <row r="339" spans="1:16" hidden="1" x14ac:dyDescent="0.15">
      <c r="A339">
        <v>338</v>
      </c>
      <c r="B339" t="s">
        <v>445</v>
      </c>
      <c r="C339" t="s">
        <v>495</v>
      </c>
      <c r="D339" s="72" t="s">
        <v>539</v>
      </c>
      <c r="E339" t="s">
        <v>61</v>
      </c>
      <c r="F339" t="s">
        <v>489</v>
      </c>
      <c r="G339" s="92">
        <v>42568.707627314812</v>
      </c>
      <c r="H339" s="92">
        <v>42568.680393518516</v>
      </c>
      <c r="I339" s="92">
        <v>42568.68037037037</v>
      </c>
      <c r="J339" s="92">
        <v>42568.709155092591</v>
      </c>
      <c r="K339" s="92">
        <v>42587.459837962961</v>
      </c>
      <c r="L339" s="92">
        <f>IF(AND(单词表[[#This Row],[学英]]&lt;&gt;"",单词表[[#This Row],[学中]]&lt;&gt;"",单词表[[#This Row],[学词]]&lt;&gt;""),MAX(单词表[[#This Row],[学英]:[学词]]),"")</f>
        <v>42568.707627314812</v>
      </c>
      <c r="M339" s="2">
        <f>IF(AND(单词表[[#This Row],[考英]]&lt;&gt;"",单词表[[#This Row],[考中]]&lt;&gt;""),MAX(单词表[[#This Row],[考英]:[考中]]),"")</f>
        <v>42587.459837962961</v>
      </c>
      <c r="N339" s="33"/>
      <c r="P339" s="32"/>
    </row>
    <row r="340" spans="1:16" hidden="1" x14ac:dyDescent="0.15">
      <c r="A340">
        <v>339</v>
      </c>
      <c r="B340" t="s">
        <v>445</v>
      </c>
      <c r="C340" t="s">
        <v>495</v>
      </c>
      <c r="D340" s="72" t="s">
        <v>540</v>
      </c>
      <c r="E340" t="s">
        <v>73</v>
      </c>
      <c r="F340" t="s">
        <v>541</v>
      </c>
      <c r="G340" s="92">
        <v>42568.680428240739</v>
      </c>
      <c r="H340" s="92">
        <v>42568.680439814816</v>
      </c>
      <c r="I340" s="92">
        <v>42568.68041666667</v>
      </c>
      <c r="J340" s="92">
        <v>42568.69091435185</v>
      </c>
      <c r="K340" s="92">
        <v>42587.459953703707</v>
      </c>
      <c r="L340" s="92">
        <f>IF(AND(单词表[[#This Row],[学英]]&lt;&gt;"",单词表[[#This Row],[学中]]&lt;&gt;"",单词表[[#This Row],[学词]]&lt;&gt;""),MAX(单词表[[#This Row],[学英]:[学词]]),"")</f>
        <v>42568.680439814816</v>
      </c>
      <c r="M340" s="2">
        <f>IF(AND(单词表[[#This Row],[考英]]&lt;&gt;"",单词表[[#This Row],[考中]]&lt;&gt;""),MAX(单词表[[#This Row],[考英]:[考中]]),"")</f>
        <v>42587.459953703707</v>
      </c>
      <c r="N340" s="33"/>
      <c r="P340" s="32"/>
    </row>
    <row r="341" spans="1:16" hidden="1" x14ac:dyDescent="0.15">
      <c r="A341">
        <v>340</v>
      </c>
      <c r="B341" t="s">
        <v>445</v>
      </c>
      <c r="C341" t="s">
        <v>495</v>
      </c>
      <c r="D341" s="72" t="s">
        <v>542</v>
      </c>
      <c r="E341" t="s">
        <v>36</v>
      </c>
      <c r="F341" t="s">
        <v>543</v>
      </c>
      <c r="G341" s="92">
        <v>42566.438773148147</v>
      </c>
      <c r="H341" s="92">
        <v>42566.438773148147</v>
      </c>
      <c r="I341" s="92">
        <v>42566.438773148147</v>
      </c>
      <c r="J341" s="92">
        <v>42565.569444444445</v>
      </c>
      <c r="K341" s="92">
        <v>42587.460011574076</v>
      </c>
      <c r="L341" s="92">
        <f>IF(AND(单词表[[#This Row],[学英]]&lt;&gt;"",单词表[[#This Row],[学中]]&lt;&gt;"",单词表[[#This Row],[学词]]&lt;&gt;""),MAX(单词表[[#This Row],[学英]:[学词]]),"")</f>
        <v>42566.438773148147</v>
      </c>
      <c r="M341" s="2">
        <f>IF(AND(单词表[[#This Row],[考英]]&lt;&gt;"",单词表[[#This Row],[考中]]&lt;&gt;""),MAX(单词表[[#This Row],[考英]:[考中]]),"")</f>
        <v>42587.460011574076</v>
      </c>
      <c r="N341" s="33"/>
      <c r="P341" s="32"/>
    </row>
    <row r="342" spans="1:16" hidden="1" x14ac:dyDescent="0.15">
      <c r="A342">
        <v>341</v>
      </c>
      <c r="B342" t="s">
        <v>445</v>
      </c>
      <c r="C342" t="s">
        <v>495</v>
      </c>
      <c r="D342" s="72" t="s">
        <v>544</v>
      </c>
      <c r="E342" t="s">
        <v>61</v>
      </c>
      <c r="F342" t="s">
        <v>545</v>
      </c>
      <c r="G342" s="92">
        <v>42568.680486111109</v>
      </c>
      <c r="H342" s="92">
        <v>42587.48170138889</v>
      </c>
      <c r="I342" s="92">
        <v>42587.481689814813</v>
      </c>
      <c r="J342" s="92">
        <v>42568.691238425927</v>
      </c>
      <c r="K342" s="92">
        <v>42587.48300925926</v>
      </c>
      <c r="L342" s="92">
        <f>IF(AND(单词表[[#This Row],[学英]]&lt;&gt;"",单词表[[#This Row],[学中]]&lt;&gt;"",单词表[[#This Row],[学词]]&lt;&gt;""),MAX(单词表[[#This Row],[学英]:[学词]]),"")</f>
        <v>42587.48170138889</v>
      </c>
      <c r="M342" s="2">
        <f>IF(AND(单词表[[#This Row],[考英]]&lt;&gt;"",单词表[[#This Row],[考中]]&lt;&gt;""),MAX(单词表[[#This Row],[考英]:[考中]]),"")</f>
        <v>42587.48300925926</v>
      </c>
      <c r="N342" s="33"/>
      <c r="P342" s="32"/>
    </row>
    <row r="343" spans="1:16" hidden="1" x14ac:dyDescent="0.15">
      <c r="A343">
        <v>342</v>
      </c>
      <c r="B343" t="s">
        <v>445</v>
      </c>
      <c r="C343" t="s">
        <v>495</v>
      </c>
      <c r="D343" s="72" t="s">
        <v>546</v>
      </c>
      <c r="E343" t="s">
        <v>36</v>
      </c>
      <c r="F343" t="s">
        <v>547</v>
      </c>
      <c r="G343" s="92">
        <v>42565.555902777778</v>
      </c>
      <c r="H343" s="92">
        <v>42565.555914351855</v>
      </c>
      <c r="I343" s="92">
        <v>42565.555902777778</v>
      </c>
      <c r="J343" s="92">
        <v>42565.574930555558</v>
      </c>
      <c r="K343" s="92">
        <v>42587.460138888891</v>
      </c>
      <c r="L343" s="92">
        <f>IF(AND(单词表[[#This Row],[学英]]&lt;&gt;"",单词表[[#This Row],[学中]]&lt;&gt;"",单词表[[#This Row],[学词]]&lt;&gt;""),MAX(单词表[[#This Row],[学英]:[学词]]),"")</f>
        <v>42565.555914351855</v>
      </c>
      <c r="M343" s="2">
        <f>IF(AND(单词表[[#This Row],[考英]]&lt;&gt;"",单词表[[#This Row],[考中]]&lt;&gt;""),MAX(单词表[[#This Row],[考英]:[考中]]),"")</f>
        <v>42587.460138888891</v>
      </c>
      <c r="N343" s="33"/>
      <c r="P343" s="32"/>
    </row>
    <row r="344" spans="1:16" hidden="1" x14ac:dyDescent="0.15">
      <c r="A344">
        <v>343</v>
      </c>
      <c r="B344" t="s">
        <v>445</v>
      </c>
      <c r="C344" t="s">
        <v>548</v>
      </c>
      <c r="D344" s="72" t="s">
        <v>549</v>
      </c>
      <c r="E344" t="s">
        <v>61</v>
      </c>
      <c r="F344" t="s">
        <v>550</v>
      </c>
      <c r="G344" s="92">
        <v>42568.902037037034</v>
      </c>
      <c r="H344" s="92">
        <v>42568.902037037034</v>
      </c>
      <c r="I344" s="92">
        <v>42568.902037037034</v>
      </c>
      <c r="J344" s="92">
        <v>42591.42328703704</v>
      </c>
      <c r="K344" s="92">
        <v>42568.902303240742</v>
      </c>
      <c r="L344" s="92">
        <f>IF(AND(单词表[[#This Row],[学英]]&lt;&gt;"",单词表[[#This Row],[学中]]&lt;&gt;"",单词表[[#This Row],[学词]]&lt;&gt;""),MAX(单词表[[#This Row],[学英]:[学词]]),"")</f>
        <v>42568.902037037034</v>
      </c>
      <c r="M344" s="2">
        <f>IF(AND(单词表[[#This Row],[考英]]&lt;&gt;"",单词表[[#This Row],[考中]]&lt;&gt;""),MAX(单词表[[#This Row],[考英]:[考中]]),"")</f>
        <v>42591.42328703704</v>
      </c>
      <c r="N344" s="33"/>
      <c r="P344" s="32"/>
    </row>
    <row r="345" spans="1:16" hidden="1" x14ac:dyDescent="0.15">
      <c r="A345">
        <v>344</v>
      </c>
      <c r="B345" t="s">
        <v>445</v>
      </c>
      <c r="C345" t="s">
        <v>548</v>
      </c>
      <c r="D345" s="72" t="s">
        <v>551</v>
      </c>
      <c r="E345" t="s">
        <v>36</v>
      </c>
      <c r="F345" t="s">
        <v>552</v>
      </c>
      <c r="G345" s="92">
        <v>42568.745682870373</v>
      </c>
      <c r="H345" s="92">
        <v>42568.745671296296</v>
      </c>
      <c r="I345" s="92">
        <v>42568.745671296296</v>
      </c>
      <c r="J345" s="92">
        <v>42591.423449074071</v>
      </c>
      <c r="K345" s="92">
        <v>42568.90253472222</v>
      </c>
      <c r="L345" s="92">
        <f>IF(AND(单词表[[#This Row],[学英]]&lt;&gt;"",单词表[[#This Row],[学中]]&lt;&gt;"",单词表[[#This Row],[学词]]&lt;&gt;""),MAX(单词表[[#This Row],[学英]:[学词]]),"")</f>
        <v>42568.745682870373</v>
      </c>
      <c r="M345" s="2">
        <f>IF(AND(单词表[[#This Row],[考英]]&lt;&gt;"",单词表[[#This Row],[考中]]&lt;&gt;""),MAX(单词表[[#This Row],[考英]:[考中]]),"")</f>
        <v>42591.423449074071</v>
      </c>
      <c r="N345" s="33"/>
      <c r="P345" s="32"/>
    </row>
    <row r="346" spans="1:16" hidden="1" x14ac:dyDescent="0.15">
      <c r="A346">
        <v>345</v>
      </c>
      <c r="B346" t="s">
        <v>445</v>
      </c>
      <c r="C346" t="s">
        <v>548</v>
      </c>
      <c r="D346" s="72" t="s">
        <v>553</v>
      </c>
      <c r="E346" t="s">
        <v>61</v>
      </c>
      <c r="F346" t="s">
        <v>554</v>
      </c>
      <c r="G346" s="92">
        <v>42568.896539351852</v>
      </c>
      <c r="H346" s="92">
        <v>42566.483553240738</v>
      </c>
      <c r="I346" s="92">
        <v>42566.483553240738</v>
      </c>
      <c r="J346" s="92">
        <v>42591.423622685186</v>
      </c>
      <c r="K346" s="92">
        <v>42568.902731481481</v>
      </c>
      <c r="L346" s="92">
        <f>IF(AND(单词表[[#This Row],[学英]]&lt;&gt;"",单词表[[#This Row],[学中]]&lt;&gt;"",单词表[[#This Row],[学词]]&lt;&gt;""),MAX(单词表[[#This Row],[学英]:[学词]]),"")</f>
        <v>42568.896539351852</v>
      </c>
      <c r="M346" s="2">
        <f>IF(AND(单词表[[#This Row],[考英]]&lt;&gt;"",单词表[[#This Row],[考中]]&lt;&gt;""),MAX(单词表[[#This Row],[考英]:[考中]]),"")</f>
        <v>42591.423622685186</v>
      </c>
      <c r="N346" s="33"/>
      <c r="P346" s="32"/>
    </row>
    <row r="347" spans="1:16" hidden="1" x14ac:dyDescent="0.15">
      <c r="A347">
        <v>346</v>
      </c>
      <c r="B347" t="s">
        <v>445</v>
      </c>
      <c r="C347" t="s">
        <v>548</v>
      </c>
      <c r="D347" s="72" t="s">
        <v>555</v>
      </c>
      <c r="E347" t="s">
        <v>73</v>
      </c>
      <c r="F347" t="s">
        <v>556</v>
      </c>
      <c r="G347" s="92">
        <v>42591.478356481479</v>
      </c>
      <c r="H347" s="92">
        <v>42566.483715277776</v>
      </c>
      <c r="I347" s="92">
        <v>42566.483703703707</v>
      </c>
      <c r="J347" s="92">
        <v>42591.479270833333</v>
      </c>
      <c r="K347" s="92">
        <v>42568.8987037037</v>
      </c>
      <c r="L347" s="92">
        <f>IF(AND(单词表[[#This Row],[学英]]&lt;&gt;"",单词表[[#This Row],[学中]]&lt;&gt;"",单词表[[#This Row],[学词]]&lt;&gt;""),MAX(单词表[[#This Row],[学英]:[学词]]),"")</f>
        <v>42591.478356481479</v>
      </c>
      <c r="M347" s="2">
        <f>IF(AND(单词表[[#This Row],[考英]]&lt;&gt;"",单词表[[#This Row],[考中]]&lt;&gt;""),MAX(单词表[[#This Row],[考英]:[考中]]),"")</f>
        <v>42591.479270833333</v>
      </c>
      <c r="N347" s="33"/>
      <c r="P347" s="32"/>
    </row>
    <row r="348" spans="1:16" hidden="1" x14ac:dyDescent="0.15">
      <c r="A348">
        <v>347</v>
      </c>
      <c r="B348" t="s">
        <v>445</v>
      </c>
      <c r="C348" t="s">
        <v>548</v>
      </c>
      <c r="D348" s="72" t="s">
        <v>557</v>
      </c>
      <c r="E348" t="s">
        <v>61</v>
      </c>
      <c r="F348" t="s">
        <v>558</v>
      </c>
      <c r="G348" s="92">
        <v>42568.742847222224</v>
      </c>
      <c r="H348" s="92">
        <v>42568.902083333334</v>
      </c>
      <c r="I348" s="92">
        <v>42568.902071759258</v>
      </c>
      <c r="J348" s="92">
        <v>42591.423819444448</v>
      </c>
      <c r="K348" s="92">
        <v>42568.903333333335</v>
      </c>
      <c r="L348" s="92">
        <f>IF(AND(单词表[[#This Row],[学英]]&lt;&gt;"",单词表[[#This Row],[学中]]&lt;&gt;"",单词表[[#This Row],[学词]]&lt;&gt;""),MAX(单词表[[#This Row],[学英]:[学词]]),"")</f>
        <v>42568.902083333334</v>
      </c>
      <c r="M348" s="2">
        <f>IF(AND(单词表[[#This Row],[考英]]&lt;&gt;"",单词表[[#This Row],[考中]]&lt;&gt;""),MAX(单词表[[#This Row],[考英]:[考中]]),"")</f>
        <v>42591.423819444448</v>
      </c>
      <c r="N348" s="33"/>
      <c r="P348" s="32"/>
    </row>
    <row r="349" spans="1:16" hidden="1" x14ac:dyDescent="0.15">
      <c r="A349">
        <v>348</v>
      </c>
      <c r="B349" t="s">
        <v>445</v>
      </c>
      <c r="C349" t="s">
        <v>548</v>
      </c>
      <c r="D349" s="72" t="s">
        <v>557</v>
      </c>
      <c r="E349" t="s">
        <v>36</v>
      </c>
      <c r="F349" t="s">
        <v>559</v>
      </c>
      <c r="G349" s="92">
        <v>42566.493611111109</v>
      </c>
      <c r="H349" s="92">
        <v>42566.493622685186</v>
      </c>
      <c r="I349" s="92">
        <v>42566.493611111109</v>
      </c>
      <c r="J349" s="92">
        <v>42591.423900462964</v>
      </c>
      <c r="K349" s="92">
        <v>42568.899016203701</v>
      </c>
      <c r="L349" s="92">
        <f>IF(AND(单词表[[#This Row],[学英]]&lt;&gt;"",单词表[[#This Row],[学中]]&lt;&gt;"",单词表[[#This Row],[学词]]&lt;&gt;""),MAX(单词表[[#This Row],[学英]:[学词]]),"")</f>
        <v>42566.493622685186</v>
      </c>
      <c r="M349" s="2">
        <f>IF(AND(单词表[[#This Row],[考英]]&lt;&gt;"",单词表[[#This Row],[考中]]&lt;&gt;""),MAX(单词表[[#This Row],[考英]:[考中]]),"")</f>
        <v>42591.423900462964</v>
      </c>
      <c r="N349" s="33"/>
      <c r="P349" s="32"/>
    </row>
    <row r="350" spans="1:16" hidden="1" x14ac:dyDescent="0.15">
      <c r="A350">
        <v>349</v>
      </c>
      <c r="B350" t="s">
        <v>445</v>
      </c>
      <c r="C350" t="s">
        <v>548</v>
      </c>
      <c r="D350" s="72" t="s">
        <v>560</v>
      </c>
      <c r="E350" t="s">
        <v>36</v>
      </c>
      <c r="F350" t="s">
        <v>554</v>
      </c>
      <c r="G350" s="92">
        <v>42591.478368055556</v>
      </c>
      <c r="H350" s="92">
        <v>42568.748935185184</v>
      </c>
      <c r="I350" s="92">
        <v>42568.748935185184</v>
      </c>
      <c r="J350" s="92">
        <v>42591.479351851849</v>
      </c>
      <c r="K350" s="92">
        <v>42568.899085648147</v>
      </c>
      <c r="L350" s="92">
        <f>IF(AND(单词表[[#This Row],[学英]]&lt;&gt;"",单词表[[#This Row],[学中]]&lt;&gt;"",单词表[[#This Row],[学词]]&lt;&gt;""),MAX(单词表[[#This Row],[学英]:[学词]]),"")</f>
        <v>42591.478368055556</v>
      </c>
      <c r="M350" s="2">
        <f>IF(AND(单词表[[#This Row],[考英]]&lt;&gt;"",单词表[[#This Row],[考中]]&lt;&gt;""),MAX(单词表[[#This Row],[考英]:[考中]]),"")</f>
        <v>42591.479351851849</v>
      </c>
      <c r="N350" s="33"/>
      <c r="P350" s="32"/>
    </row>
    <row r="351" spans="1:16" hidden="1" x14ac:dyDescent="0.15">
      <c r="A351">
        <v>350</v>
      </c>
      <c r="B351" t="s">
        <v>445</v>
      </c>
      <c r="C351" t="s">
        <v>548</v>
      </c>
      <c r="D351" s="72" t="s">
        <v>561</v>
      </c>
      <c r="E351" t="s">
        <v>73</v>
      </c>
      <c r="F351" t="s">
        <v>562</v>
      </c>
      <c r="G351" s="92">
        <v>42568.748993055553</v>
      </c>
      <c r="H351" s="92">
        <v>42566.479814814818</v>
      </c>
      <c r="I351" s="92">
        <v>42566.479814814818</v>
      </c>
      <c r="J351" s="92">
        <v>42591.424409722225</v>
      </c>
      <c r="K351" s="92">
        <v>42568.899143518516</v>
      </c>
      <c r="L351" s="92">
        <f>IF(AND(单词表[[#This Row],[学英]]&lt;&gt;"",单词表[[#This Row],[学中]]&lt;&gt;"",单词表[[#This Row],[学词]]&lt;&gt;""),MAX(单词表[[#This Row],[学英]:[学词]]),"")</f>
        <v>42568.748993055553</v>
      </c>
      <c r="M351" s="2">
        <f>IF(AND(单词表[[#This Row],[考英]]&lt;&gt;"",单词表[[#This Row],[考中]]&lt;&gt;""),MAX(单词表[[#This Row],[考英]:[考中]]),"")</f>
        <v>42591.424409722225</v>
      </c>
      <c r="N351" s="33"/>
      <c r="P351" s="32"/>
    </row>
    <row r="352" spans="1:16" hidden="1" x14ac:dyDescent="0.15">
      <c r="A352">
        <v>351</v>
      </c>
      <c r="B352" t="s">
        <v>445</v>
      </c>
      <c r="C352" t="s">
        <v>548</v>
      </c>
      <c r="D352" s="72" t="s">
        <v>563</v>
      </c>
      <c r="E352" t="s">
        <v>36</v>
      </c>
      <c r="F352" t="s">
        <v>564</v>
      </c>
      <c r="G352" s="92">
        <v>42591.478391203702</v>
      </c>
      <c r="H352" s="92">
        <v>42566.498113425929</v>
      </c>
      <c r="I352" s="92">
        <v>42566.498113425929</v>
      </c>
      <c r="J352" s="92">
        <v>42591.479432870372</v>
      </c>
      <c r="K352" s="92">
        <v>42568.899201388886</v>
      </c>
      <c r="L352" s="92">
        <f>IF(AND(单词表[[#This Row],[学英]]&lt;&gt;"",单词表[[#This Row],[学中]]&lt;&gt;"",单词表[[#This Row],[学词]]&lt;&gt;""),MAX(单词表[[#This Row],[学英]:[学词]]),"")</f>
        <v>42591.478391203702</v>
      </c>
      <c r="M352" s="2">
        <f>IF(AND(单词表[[#This Row],[考英]]&lt;&gt;"",单词表[[#This Row],[考中]]&lt;&gt;""),MAX(单词表[[#This Row],[考英]:[考中]]),"")</f>
        <v>42591.479432870372</v>
      </c>
      <c r="N352" s="33"/>
      <c r="P352" s="32"/>
    </row>
    <row r="353" spans="1:16" hidden="1" x14ac:dyDescent="0.15">
      <c r="A353">
        <v>352</v>
      </c>
      <c r="B353" t="s">
        <v>445</v>
      </c>
      <c r="C353" t="s">
        <v>548</v>
      </c>
      <c r="D353" s="72" t="s">
        <v>565</v>
      </c>
      <c r="E353" t="s">
        <v>36</v>
      </c>
      <c r="F353" t="s">
        <v>169</v>
      </c>
      <c r="G353" s="92">
        <v>42566.479849537034</v>
      </c>
      <c r="H353" s="92">
        <v>42566.479849537034</v>
      </c>
      <c r="I353" s="92">
        <v>42566.479849537034</v>
      </c>
      <c r="J353" s="92">
        <v>42591.425023148149</v>
      </c>
      <c r="K353" s="92">
        <v>42568.899236111109</v>
      </c>
      <c r="L353" s="92">
        <f>IF(AND(单词表[[#This Row],[学英]]&lt;&gt;"",单词表[[#This Row],[学中]]&lt;&gt;"",单词表[[#This Row],[学词]]&lt;&gt;""),MAX(单词表[[#This Row],[学英]:[学词]]),"")</f>
        <v>42566.479849537034</v>
      </c>
      <c r="M353" s="2">
        <f>IF(AND(单词表[[#This Row],[考英]]&lt;&gt;"",单词表[[#This Row],[考中]]&lt;&gt;""),MAX(单词表[[#This Row],[考英]:[考中]]),"")</f>
        <v>42591.425023148149</v>
      </c>
      <c r="N353" s="33"/>
      <c r="P353" s="32"/>
    </row>
    <row r="354" spans="1:16" hidden="1" x14ac:dyDescent="0.15">
      <c r="A354">
        <v>353</v>
      </c>
      <c r="B354" t="s">
        <v>445</v>
      </c>
      <c r="C354" t="s">
        <v>548</v>
      </c>
      <c r="D354" s="72" t="s">
        <v>566</v>
      </c>
      <c r="E354" t="s">
        <v>36</v>
      </c>
      <c r="F354" t="s">
        <v>567</v>
      </c>
      <c r="G354" s="92">
        <v>42568.743125000001</v>
      </c>
      <c r="H354" s="92">
        <v>42566.49795138889</v>
      </c>
      <c r="I354" s="92">
        <v>42566.497939814813</v>
      </c>
      <c r="J354" s="92">
        <v>42591.425196759257</v>
      </c>
      <c r="K354" s="92">
        <v>42568.899282407408</v>
      </c>
      <c r="L354" s="92">
        <f>IF(AND(单词表[[#This Row],[学英]]&lt;&gt;"",单词表[[#This Row],[学中]]&lt;&gt;"",单词表[[#This Row],[学词]]&lt;&gt;""),MAX(单词表[[#This Row],[学英]:[学词]]),"")</f>
        <v>42568.743125000001</v>
      </c>
      <c r="M354" s="2">
        <f>IF(AND(单词表[[#This Row],[考英]]&lt;&gt;"",单词表[[#This Row],[考中]]&lt;&gt;""),MAX(单词表[[#This Row],[考英]:[考中]]),"")</f>
        <v>42591.425196759257</v>
      </c>
      <c r="N354" s="33"/>
      <c r="P354" s="32"/>
    </row>
    <row r="355" spans="1:16" hidden="1" x14ac:dyDescent="0.15">
      <c r="A355">
        <v>354</v>
      </c>
      <c r="B355" t="s">
        <v>445</v>
      </c>
      <c r="C355" t="s">
        <v>548</v>
      </c>
      <c r="D355" s="72" t="s">
        <v>568</v>
      </c>
      <c r="E355" t="s">
        <v>36</v>
      </c>
      <c r="F355" t="s">
        <v>569</v>
      </c>
      <c r="G355" s="92">
        <v>42591.486111111109</v>
      </c>
      <c r="H355" s="92">
        <v>42566.493171296293</v>
      </c>
      <c r="I355" s="92">
        <v>42566.493159722224</v>
      </c>
      <c r="J355" s="92">
        <v>42591.507870370369</v>
      </c>
      <c r="K355" s="92">
        <v>42568.899317129632</v>
      </c>
      <c r="L355" s="92">
        <f>IF(AND(单词表[[#This Row],[学英]]&lt;&gt;"",单词表[[#This Row],[学中]]&lt;&gt;"",单词表[[#This Row],[学词]]&lt;&gt;""),MAX(单词表[[#This Row],[学英]:[学词]]),"")</f>
        <v>42591.486111111109</v>
      </c>
      <c r="M355" s="2">
        <f>IF(AND(单词表[[#This Row],[考英]]&lt;&gt;"",单词表[[#This Row],[考中]]&lt;&gt;""),MAX(单词表[[#This Row],[考英]:[考中]]),"")</f>
        <v>42591.507870370369</v>
      </c>
      <c r="N355" s="33"/>
      <c r="P355" s="32"/>
    </row>
    <row r="356" spans="1:16" hidden="1" x14ac:dyDescent="0.15">
      <c r="A356">
        <v>355</v>
      </c>
      <c r="B356" t="s">
        <v>445</v>
      </c>
      <c r="C356" t="s">
        <v>548</v>
      </c>
      <c r="D356" s="72" t="s">
        <v>570</v>
      </c>
      <c r="E356" t="s">
        <v>36</v>
      </c>
      <c r="F356" t="s">
        <v>1254</v>
      </c>
      <c r="G356" s="92">
        <v>42566.468564814815</v>
      </c>
      <c r="H356" s="92">
        <v>42566.468587962961</v>
      </c>
      <c r="I356" s="92">
        <v>42566.468576388892</v>
      </c>
      <c r="J356" s="92">
        <v>42591.425428240742</v>
      </c>
      <c r="K356" s="92">
        <v>42568.899375000001</v>
      </c>
      <c r="L356" s="92">
        <f>IF(AND(单词表[[#This Row],[学英]]&lt;&gt;"",单词表[[#This Row],[学中]]&lt;&gt;"",单词表[[#This Row],[学词]]&lt;&gt;""),MAX(单词表[[#This Row],[学英]:[学词]]),"")</f>
        <v>42566.468587962961</v>
      </c>
      <c r="M356" s="2">
        <f>IF(AND(单词表[[#This Row],[考英]]&lt;&gt;"",单词表[[#This Row],[考中]]&lt;&gt;""),MAX(单词表[[#This Row],[考英]:[考中]]),"")</f>
        <v>42591.425428240742</v>
      </c>
      <c r="N356" s="33"/>
      <c r="P356" s="32"/>
    </row>
    <row r="357" spans="1:16" hidden="1" x14ac:dyDescent="0.15">
      <c r="A357">
        <v>356</v>
      </c>
      <c r="B357" t="s">
        <v>445</v>
      </c>
      <c r="C357" t="s">
        <v>548</v>
      </c>
      <c r="D357" s="72" t="s">
        <v>571</v>
      </c>
      <c r="E357" t="s">
        <v>61</v>
      </c>
      <c r="F357" t="s">
        <v>1255</v>
      </c>
      <c r="G357" s="92">
        <v>42568.896585648145</v>
      </c>
      <c r="H357" s="92">
        <v>42568.902106481481</v>
      </c>
      <c r="I357" s="92">
        <v>42568.902094907404</v>
      </c>
      <c r="J357" s="92">
        <v>42591.425578703704</v>
      </c>
      <c r="K357" s="92">
        <v>42568.903391203705</v>
      </c>
      <c r="L357" s="92">
        <f>IF(AND(单词表[[#This Row],[学英]]&lt;&gt;"",单词表[[#This Row],[学中]]&lt;&gt;"",单词表[[#This Row],[学词]]&lt;&gt;""),MAX(单词表[[#This Row],[学英]:[学词]]),"")</f>
        <v>42568.902106481481</v>
      </c>
      <c r="M357" s="2">
        <f>IF(AND(单词表[[#This Row],[考英]]&lt;&gt;"",单词表[[#This Row],[考中]]&lt;&gt;""),MAX(单词表[[#This Row],[考英]:[考中]]),"")</f>
        <v>42591.425578703704</v>
      </c>
      <c r="N357" s="33"/>
      <c r="P357" s="32"/>
    </row>
    <row r="358" spans="1:16" hidden="1" x14ac:dyDescent="0.15">
      <c r="A358">
        <v>357</v>
      </c>
      <c r="B358" t="s">
        <v>445</v>
      </c>
      <c r="C358" t="s">
        <v>548</v>
      </c>
      <c r="D358" s="72" t="s">
        <v>572</v>
      </c>
      <c r="E358" t="s">
        <v>36</v>
      </c>
      <c r="F358" t="s">
        <v>573</v>
      </c>
      <c r="G358" s="92">
        <v>42568.743831018517</v>
      </c>
      <c r="H358" s="92">
        <v>42566.49759259259</v>
      </c>
      <c r="I358" s="92">
        <v>42566.497581018521</v>
      </c>
      <c r="J358" s="92">
        <v>42591.425810185188</v>
      </c>
      <c r="K358" s="92">
        <v>42568.900752314818</v>
      </c>
      <c r="L358" s="92">
        <f>IF(AND(单词表[[#This Row],[学英]]&lt;&gt;"",单词表[[#This Row],[学中]]&lt;&gt;"",单词表[[#This Row],[学词]]&lt;&gt;""),MAX(单词表[[#This Row],[学英]:[学词]]),"")</f>
        <v>42568.743831018517</v>
      </c>
      <c r="M358" s="2">
        <f>IF(AND(单词表[[#This Row],[考英]]&lt;&gt;"",单词表[[#This Row],[考中]]&lt;&gt;""),MAX(单词表[[#This Row],[考英]:[考中]]),"")</f>
        <v>42591.425810185188</v>
      </c>
      <c r="N358" s="33"/>
      <c r="P358" s="32"/>
    </row>
    <row r="359" spans="1:16" hidden="1" x14ac:dyDescent="0.15">
      <c r="A359">
        <v>358</v>
      </c>
      <c r="B359" t="s">
        <v>445</v>
      </c>
      <c r="C359" t="s">
        <v>548</v>
      </c>
      <c r="D359" s="72" t="s">
        <v>1256</v>
      </c>
      <c r="E359" t="s">
        <v>36</v>
      </c>
      <c r="F359" t="s">
        <v>5494</v>
      </c>
      <c r="G359" s="92">
        <v>42568.743935185186</v>
      </c>
      <c r="H359" s="92">
        <v>42566.498541666668</v>
      </c>
      <c r="I359" s="92">
        <v>42566.498530092591</v>
      </c>
      <c r="J359" s="92">
        <v>42591.42664351852</v>
      </c>
      <c r="K359" s="92">
        <v>42568.900902777779</v>
      </c>
      <c r="L359" s="92">
        <f>IF(AND(单词表[[#This Row],[学英]]&lt;&gt;"",单词表[[#This Row],[学中]]&lt;&gt;"",单词表[[#This Row],[学词]]&lt;&gt;""),MAX(单词表[[#This Row],[学英]:[学词]]),"")</f>
        <v>42568.743935185186</v>
      </c>
      <c r="M359" s="2">
        <f>IF(AND(单词表[[#This Row],[考英]]&lt;&gt;"",单词表[[#This Row],[考中]]&lt;&gt;""),MAX(单词表[[#This Row],[考英]:[考中]]),"")</f>
        <v>42591.42664351852</v>
      </c>
      <c r="N359" s="33"/>
      <c r="P359" s="32"/>
    </row>
    <row r="360" spans="1:16" hidden="1" x14ac:dyDescent="0.15">
      <c r="A360">
        <v>359</v>
      </c>
      <c r="B360" t="s">
        <v>445</v>
      </c>
      <c r="C360" t="s">
        <v>548</v>
      </c>
      <c r="D360" s="72" t="s">
        <v>574</v>
      </c>
      <c r="E360" t="s">
        <v>36</v>
      </c>
      <c r="F360" t="s">
        <v>575</v>
      </c>
      <c r="G360" s="92">
        <v>42566.498414351852</v>
      </c>
      <c r="H360" s="92">
        <v>42566.498425925929</v>
      </c>
      <c r="I360" s="92">
        <v>42566.498414351852</v>
      </c>
      <c r="J360" s="92">
        <v>42591.426782407405</v>
      </c>
      <c r="K360" s="92">
        <v>42568.900995370372</v>
      </c>
      <c r="L360" s="92">
        <f>IF(AND(单词表[[#This Row],[学英]]&lt;&gt;"",单词表[[#This Row],[学中]]&lt;&gt;"",单词表[[#This Row],[学词]]&lt;&gt;""),MAX(单词表[[#This Row],[学英]:[学词]]),"")</f>
        <v>42566.498425925929</v>
      </c>
      <c r="M360" s="2">
        <f>IF(AND(单词表[[#This Row],[考英]]&lt;&gt;"",单词表[[#This Row],[考中]]&lt;&gt;""),MAX(单词表[[#This Row],[考英]:[考中]]),"")</f>
        <v>42591.426782407405</v>
      </c>
      <c r="N360" s="33"/>
      <c r="P360" s="32"/>
    </row>
    <row r="361" spans="1:16" hidden="1" x14ac:dyDescent="0.15">
      <c r="A361">
        <v>360</v>
      </c>
      <c r="B361" t="s">
        <v>445</v>
      </c>
      <c r="C361" t="s">
        <v>548</v>
      </c>
      <c r="D361" s="72" t="s">
        <v>576</v>
      </c>
      <c r="E361" t="s">
        <v>73</v>
      </c>
      <c r="F361" t="s">
        <v>577</v>
      </c>
      <c r="G361" s="92">
        <v>42566.498657407406</v>
      </c>
      <c r="H361" s="92">
        <v>42566.498668981483</v>
      </c>
      <c r="I361" s="92">
        <v>42566.498657407406</v>
      </c>
      <c r="J361" s="92">
        <v>42591.426886574074</v>
      </c>
      <c r="K361" s="92">
        <v>42568.901041666664</v>
      </c>
      <c r="L361" s="92">
        <f>IF(AND(单词表[[#This Row],[学英]]&lt;&gt;"",单词表[[#This Row],[学中]]&lt;&gt;"",单词表[[#This Row],[学词]]&lt;&gt;""),MAX(单词表[[#This Row],[学英]:[学词]]),"")</f>
        <v>42566.498668981483</v>
      </c>
      <c r="M361" s="2">
        <f>IF(AND(单词表[[#This Row],[考英]]&lt;&gt;"",单词表[[#This Row],[考中]]&lt;&gt;""),MAX(单词表[[#This Row],[考英]:[考中]]),"")</f>
        <v>42591.426886574074</v>
      </c>
      <c r="N361" s="33"/>
      <c r="P361" s="32"/>
    </row>
    <row r="362" spans="1:16" hidden="1" x14ac:dyDescent="0.15">
      <c r="A362">
        <v>361</v>
      </c>
      <c r="B362" t="s">
        <v>445</v>
      </c>
      <c r="C362" t="s">
        <v>548</v>
      </c>
      <c r="D362" s="72" t="s">
        <v>578</v>
      </c>
      <c r="E362" t="s">
        <v>61</v>
      </c>
      <c r="F362" t="s">
        <v>579</v>
      </c>
      <c r="G362" s="92">
        <v>42591.478437500002</v>
      </c>
      <c r="H362" s="92">
        <v>42568.902129629627</v>
      </c>
      <c r="I362" s="92">
        <v>42568.902118055557</v>
      </c>
      <c r="J362" s="92">
        <v>42591.479594907411</v>
      </c>
      <c r="K362" s="92">
        <v>42568.903425925928</v>
      </c>
      <c r="L362" s="92">
        <f>IF(AND(单词表[[#This Row],[学英]]&lt;&gt;"",单词表[[#This Row],[学中]]&lt;&gt;"",单词表[[#This Row],[学词]]&lt;&gt;""),MAX(单词表[[#This Row],[学英]:[学词]]),"")</f>
        <v>42591.478437500002</v>
      </c>
      <c r="M362" s="2">
        <f>IF(AND(单词表[[#This Row],[考英]]&lt;&gt;"",单词表[[#This Row],[考中]]&lt;&gt;""),MAX(单词表[[#This Row],[考英]:[考中]]),"")</f>
        <v>42591.479594907411</v>
      </c>
      <c r="N362" s="33"/>
      <c r="P362" s="32"/>
    </row>
    <row r="363" spans="1:16" hidden="1" x14ac:dyDescent="0.15">
      <c r="A363">
        <v>362</v>
      </c>
      <c r="B363" t="s">
        <v>445</v>
      </c>
      <c r="C363" t="s">
        <v>548</v>
      </c>
      <c r="D363" s="72" t="s">
        <v>580</v>
      </c>
      <c r="E363" t="s">
        <v>702</v>
      </c>
      <c r="F363" t="s">
        <v>5495</v>
      </c>
      <c r="G363" s="92">
        <v>42566.480740740742</v>
      </c>
      <c r="H363" s="92">
        <v>42566.480752314812</v>
      </c>
      <c r="I363" s="92">
        <v>42566.480752314812</v>
      </c>
      <c r="J363" s="92">
        <v>42591.427199074074</v>
      </c>
      <c r="K363" s="92">
        <v>42568.901192129626</v>
      </c>
      <c r="L363" s="92">
        <f>IF(AND(单词表[[#This Row],[学英]]&lt;&gt;"",单词表[[#This Row],[学中]]&lt;&gt;"",单词表[[#This Row],[学词]]&lt;&gt;""),MAX(单词表[[#This Row],[学英]:[学词]]),"")</f>
        <v>42566.480752314812</v>
      </c>
      <c r="M363" s="2">
        <f>IF(AND(单词表[[#This Row],[考英]]&lt;&gt;"",单词表[[#This Row],[考中]]&lt;&gt;""),MAX(单词表[[#This Row],[考英]:[考中]]),"")</f>
        <v>42591.427199074074</v>
      </c>
      <c r="N363" s="33"/>
      <c r="P363" s="32"/>
    </row>
    <row r="364" spans="1:16" hidden="1" x14ac:dyDescent="0.15">
      <c r="A364">
        <v>363</v>
      </c>
      <c r="B364" t="s">
        <v>445</v>
      </c>
      <c r="C364" t="s">
        <v>548</v>
      </c>
      <c r="D364" s="72" t="s">
        <v>581</v>
      </c>
      <c r="E364" t="s">
        <v>73</v>
      </c>
      <c r="F364" t="s">
        <v>582</v>
      </c>
      <c r="G364" s="92">
        <v>42568.744143518517</v>
      </c>
      <c r="H364" s="92">
        <v>42566.498842592591</v>
      </c>
      <c r="I364" s="92">
        <v>42566.498831018522</v>
      </c>
      <c r="J364" s="92">
        <v>42591.427349537036</v>
      </c>
      <c r="K364" s="92">
        <v>42568.901250000003</v>
      </c>
      <c r="L364" s="92">
        <f>IF(AND(单词表[[#This Row],[学英]]&lt;&gt;"",单词表[[#This Row],[学中]]&lt;&gt;"",单词表[[#This Row],[学词]]&lt;&gt;""),MAX(单词表[[#This Row],[学英]:[学词]]),"")</f>
        <v>42568.744143518517</v>
      </c>
      <c r="M364" s="2">
        <f>IF(AND(单词表[[#This Row],[考英]]&lt;&gt;"",单词表[[#This Row],[考中]]&lt;&gt;""),MAX(单词表[[#This Row],[考英]:[考中]]),"")</f>
        <v>42591.427349537036</v>
      </c>
      <c r="N364" s="33"/>
      <c r="P364" s="32"/>
    </row>
    <row r="365" spans="1:16" hidden="1" x14ac:dyDescent="0.15">
      <c r="A365">
        <v>364</v>
      </c>
      <c r="B365" t="s">
        <v>445</v>
      </c>
      <c r="C365" t="s">
        <v>548</v>
      </c>
      <c r="D365" s="72" t="s">
        <v>583</v>
      </c>
      <c r="E365" t="s">
        <v>36</v>
      </c>
      <c r="F365" t="s">
        <v>584</v>
      </c>
      <c r="G365" s="92">
        <v>42591.478449074071</v>
      </c>
      <c r="H365" s="92">
        <v>42566.498877314814</v>
      </c>
      <c r="I365" s="92">
        <v>42566.498865740738</v>
      </c>
      <c r="J365" s="92">
        <v>42591.47965277778</v>
      </c>
      <c r="K365" s="92">
        <v>42568.901331018518</v>
      </c>
      <c r="L365" s="92">
        <f>IF(AND(单词表[[#This Row],[学英]]&lt;&gt;"",单词表[[#This Row],[学中]]&lt;&gt;"",单词表[[#This Row],[学词]]&lt;&gt;""),MAX(单词表[[#This Row],[学英]:[学词]]),"")</f>
        <v>42591.478449074071</v>
      </c>
      <c r="M365" s="2">
        <f>IF(AND(单词表[[#This Row],[考英]]&lt;&gt;"",单词表[[#This Row],[考中]]&lt;&gt;""),MAX(单词表[[#This Row],[考英]:[考中]]),"")</f>
        <v>42591.47965277778</v>
      </c>
      <c r="N365" s="33"/>
      <c r="P365" s="32"/>
    </row>
    <row r="366" spans="1:16" hidden="1" x14ac:dyDescent="0.15">
      <c r="A366">
        <v>365</v>
      </c>
      <c r="B366" t="s">
        <v>445</v>
      </c>
      <c r="C366" t="s">
        <v>548</v>
      </c>
      <c r="D366" s="72" t="s">
        <v>583</v>
      </c>
      <c r="E366" t="s">
        <v>61</v>
      </c>
      <c r="F366" t="s">
        <v>585</v>
      </c>
      <c r="G366" s="92">
        <v>42566.498888888891</v>
      </c>
      <c r="H366" s="92">
        <v>42566.498900462961</v>
      </c>
      <c r="I366" s="92">
        <v>42566.498888888891</v>
      </c>
      <c r="J366" s="92">
        <v>42591.427442129629</v>
      </c>
      <c r="K366" s="92">
        <v>42568.901354166665</v>
      </c>
      <c r="L366" s="92">
        <f>IF(AND(单词表[[#This Row],[学英]]&lt;&gt;"",单词表[[#This Row],[学中]]&lt;&gt;"",单词表[[#This Row],[学词]]&lt;&gt;""),MAX(单词表[[#This Row],[学英]:[学词]]),"")</f>
        <v>42566.498900462961</v>
      </c>
      <c r="M366" s="2">
        <f>IF(AND(单词表[[#This Row],[考英]]&lt;&gt;"",单词表[[#This Row],[考中]]&lt;&gt;""),MAX(单词表[[#This Row],[考英]:[考中]]),"")</f>
        <v>42591.427442129629</v>
      </c>
      <c r="N366" s="33"/>
      <c r="P366" s="32"/>
    </row>
    <row r="367" spans="1:16" hidden="1" x14ac:dyDescent="0.15">
      <c r="A367">
        <v>366</v>
      </c>
      <c r="B367" t="s">
        <v>445</v>
      </c>
      <c r="C367" t="s">
        <v>548</v>
      </c>
      <c r="D367" s="72" t="s">
        <v>586</v>
      </c>
      <c r="E367" t="s">
        <v>36</v>
      </c>
      <c r="F367" t="s">
        <v>587</v>
      </c>
      <c r="G367" s="92">
        <v>42566.498969907407</v>
      </c>
      <c r="H367" s="92">
        <v>42566.498981481483</v>
      </c>
      <c r="I367" s="92">
        <v>42566.498981481483</v>
      </c>
      <c r="J367" s="92">
        <v>42591.427719907406</v>
      </c>
      <c r="K367" s="92">
        <v>42568.901400462964</v>
      </c>
      <c r="L367" s="92">
        <f>IF(AND(单词表[[#This Row],[学英]]&lt;&gt;"",单词表[[#This Row],[学中]]&lt;&gt;"",单词表[[#This Row],[学词]]&lt;&gt;""),MAX(单词表[[#This Row],[学英]:[学词]]),"")</f>
        <v>42566.498981481483</v>
      </c>
      <c r="M367" s="2">
        <f>IF(AND(单词表[[#This Row],[考英]]&lt;&gt;"",单词表[[#This Row],[考中]]&lt;&gt;""),MAX(单词表[[#This Row],[考英]:[考中]]),"")</f>
        <v>42591.427719907406</v>
      </c>
      <c r="N367" s="33"/>
      <c r="P367" s="32"/>
    </row>
    <row r="368" spans="1:16" hidden="1" x14ac:dyDescent="0.15">
      <c r="A368">
        <v>367</v>
      </c>
      <c r="B368" t="s">
        <v>445</v>
      </c>
      <c r="C368" t="s">
        <v>548</v>
      </c>
      <c r="D368" s="72" t="s">
        <v>588</v>
      </c>
      <c r="E368" t="s">
        <v>73</v>
      </c>
      <c r="F368" t="s">
        <v>589</v>
      </c>
      <c r="G368" s="92">
        <v>42568.734513888892</v>
      </c>
      <c r="H368" s="92">
        <v>42566.480902777781</v>
      </c>
      <c r="I368" s="92">
        <v>42566.480902777781</v>
      </c>
      <c r="J368" s="92">
        <v>42591.427766203706</v>
      </c>
      <c r="K368" s="92">
        <v>42568.901446759257</v>
      </c>
      <c r="L368" s="92">
        <f>IF(AND(单词表[[#This Row],[学英]]&lt;&gt;"",单词表[[#This Row],[学中]]&lt;&gt;"",单词表[[#This Row],[学词]]&lt;&gt;""),MAX(单词表[[#This Row],[学英]:[学词]]),"")</f>
        <v>42568.734513888892</v>
      </c>
      <c r="M368" s="2">
        <f>IF(AND(单词表[[#This Row],[考英]]&lt;&gt;"",单词表[[#This Row],[考中]]&lt;&gt;""),MAX(单词表[[#This Row],[考英]:[考中]]),"")</f>
        <v>42591.427766203706</v>
      </c>
      <c r="N368" s="33"/>
      <c r="P368" s="32"/>
    </row>
    <row r="369" spans="1:16" hidden="1" x14ac:dyDescent="0.15">
      <c r="A369">
        <v>368</v>
      </c>
      <c r="B369" t="s">
        <v>445</v>
      </c>
      <c r="C369" t="s">
        <v>548</v>
      </c>
      <c r="D369" s="72" t="s">
        <v>590</v>
      </c>
      <c r="E369" t="s">
        <v>73</v>
      </c>
      <c r="F369" t="s">
        <v>591</v>
      </c>
      <c r="G369" s="92">
        <v>42566.494513888887</v>
      </c>
      <c r="H369" s="92">
        <v>42566.494525462964</v>
      </c>
      <c r="I369" s="92">
        <v>42566.494513888887</v>
      </c>
      <c r="J369" s="92">
        <v>42591.427881944444</v>
      </c>
      <c r="K369" s="92">
        <v>42568.901574074072</v>
      </c>
      <c r="L369" s="92">
        <f>IF(AND(单词表[[#This Row],[学英]]&lt;&gt;"",单词表[[#This Row],[学中]]&lt;&gt;"",单词表[[#This Row],[学词]]&lt;&gt;""),MAX(单词表[[#This Row],[学英]:[学词]]),"")</f>
        <v>42566.494525462964</v>
      </c>
      <c r="M369" s="2">
        <f>IF(AND(单词表[[#This Row],[考英]]&lt;&gt;"",单词表[[#This Row],[考中]]&lt;&gt;""),MAX(单词表[[#This Row],[考英]:[考中]]),"")</f>
        <v>42591.427881944444</v>
      </c>
      <c r="N369" s="33"/>
      <c r="P369" s="32"/>
    </row>
    <row r="370" spans="1:16" hidden="1" x14ac:dyDescent="0.15">
      <c r="A370">
        <v>369</v>
      </c>
      <c r="B370" t="s">
        <v>445</v>
      </c>
      <c r="C370" t="s">
        <v>592</v>
      </c>
      <c r="D370" s="72" t="s">
        <v>593</v>
      </c>
      <c r="E370" t="s">
        <v>36</v>
      </c>
      <c r="F370" t="s">
        <v>594</v>
      </c>
      <c r="G370" s="92">
        <v>42569.867372685185</v>
      </c>
      <c r="H370" s="92">
        <v>42569.786979166667</v>
      </c>
      <c r="I370" s="92">
        <v>42569.786979166667</v>
      </c>
      <c r="J370" s="92">
        <v>42591.429340277777</v>
      </c>
      <c r="K370" s="92">
        <v>42574.427210648151</v>
      </c>
      <c r="L370" s="92">
        <f>IF(AND(单词表[[#This Row],[学英]]&lt;&gt;"",单词表[[#This Row],[学中]]&lt;&gt;"",单词表[[#This Row],[学词]]&lt;&gt;""),MAX(单词表[[#This Row],[学英]:[学词]]),"")</f>
        <v>42569.867372685185</v>
      </c>
      <c r="M370" s="2">
        <f>IF(AND(单词表[[#This Row],[考英]]&lt;&gt;"",单词表[[#This Row],[考中]]&lt;&gt;""),MAX(单词表[[#This Row],[考英]:[考中]]),"")</f>
        <v>42591.429340277777</v>
      </c>
      <c r="N370" s="33"/>
      <c r="P370" s="32"/>
    </row>
    <row r="371" spans="1:16" hidden="1" x14ac:dyDescent="0.15">
      <c r="A371">
        <v>370</v>
      </c>
      <c r="B371" t="s">
        <v>445</v>
      </c>
      <c r="C371" t="s">
        <v>592</v>
      </c>
      <c r="D371" s="72" t="s">
        <v>312</v>
      </c>
      <c r="E371" t="s">
        <v>61</v>
      </c>
      <c r="F371" t="s">
        <v>1257</v>
      </c>
      <c r="G371" s="92">
        <v>42569.879965277774</v>
      </c>
      <c r="H371" s="92">
        <v>42569.650243055556</v>
      </c>
      <c r="I371" s="92">
        <v>42569.650243055556</v>
      </c>
      <c r="J371" s="92">
        <v>42591.429490740738</v>
      </c>
      <c r="K371" s="92">
        <v>42574.42728009259</v>
      </c>
      <c r="L371" s="92">
        <f>IF(AND(单词表[[#This Row],[学英]]&lt;&gt;"",单词表[[#This Row],[学中]]&lt;&gt;"",单词表[[#This Row],[学词]]&lt;&gt;""),MAX(单词表[[#This Row],[学英]:[学词]]),"")</f>
        <v>42569.879965277774</v>
      </c>
      <c r="M371" s="2">
        <f>IF(AND(单词表[[#This Row],[考英]]&lt;&gt;"",单词表[[#This Row],[考中]]&lt;&gt;""),MAX(单词表[[#This Row],[考英]:[考中]]),"")</f>
        <v>42591.429490740738</v>
      </c>
      <c r="N371" s="33"/>
      <c r="P371" s="32"/>
    </row>
    <row r="372" spans="1:16" hidden="1" x14ac:dyDescent="0.15">
      <c r="A372">
        <v>371</v>
      </c>
      <c r="B372" t="s">
        <v>445</v>
      </c>
      <c r="C372" t="s">
        <v>592</v>
      </c>
      <c r="D372" s="72" t="s">
        <v>595</v>
      </c>
      <c r="E372" t="s">
        <v>157</v>
      </c>
      <c r="F372" t="s">
        <v>596</v>
      </c>
      <c r="G372" s="92">
        <v>42569.867407407408</v>
      </c>
      <c r="H372" s="92">
        <v>42569.501574074071</v>
      </c>
      <c r="I372" s="92">
        <v>42569.501562500001</v>
      </c>
      <c r="J372" s="92">
        <v>42591.429594907408</v>
      </c>
      <c r="K372" s="92">
        <v>42574.427337962959</v>
      </c>
      <c r="L372" s="92">
        <f>IF(AND(单词表[[#This Row],[学英]]&lt;&gt;"",单词表[[#This Row],[学中]]&lt;&gt;"",单词表[[#This Row],[学词]]&lt;&gt;""),MAX(单词表[[#This Row],[学英]:[学词]]),"")</f>
        <v>42569.867407407408</v>
      </c>
      <c r="M372" s="2">
        <f>IF(AND(单词表[[#This Row],[考英]]&lt;&gt;"",单词表[[#This Row],[考中]]&lt;&gt;""),MAX(单词表[[#This Row],[考英]:[考中]]),"")</f>
        <v>42591.429594907408</v>
      </c>
      <c r="N372" s="33"/>
      <c r="P372" s="32"/>
    </row>
    <row r="373" spans="1:16" hidden="1" x14ac:dyDescent="0.15">
      <c r="A373">
        <v>372</v>
      </c>
      <c r="B373" t="s">
        <v>445</v>
      </c>
      <c r="C373" t="s">
        <v>592</v>
      </c>
      <c r="D373" s="72" t="s">
        <v>597</v>
      </c>
      <c r="E373" t="s">
        <v>73</v>
      </c>
      <c r="F373" t="s">
        <v>598</v>
      </c>
      <c r="G373" s="92">
        <v>42574.437118055554</v>
      </c>
      <c r="H373" s="92">
        <v>42569.649641203701</v>
      </c>
      <c r="I373" s="92">
        <v>42569.649641203701</v>
      </c>
      <c r="J373" s="92">
        <v>42591.429768518516</v>
      </c>
      <c r="K373" s="92">
        <v>42574.427395833336</v>
      </c>
      <c r="L373" s="92">
        <f>IF(AND(单词表[[#This Row],[学英]]&lt;&gt;"",单词表[[#This Row],[学中]]&lt;&gt;"",单词表[[#This Row],[学词]]&lt;&gt;""),MAX(单词表[[#This Row],[学英]:[学词]]),"")</f>
        <v>42574.437118055554</v>
      </c>
      <c r="M373" s="2">
        <f>IF(AND(单词表[[#This Row],[考英]]&lt;&gt;"",单词表[[#This Row],[考中]]&lt;&gt;""),MAX(单词表[[#This Row],[考英]:[考中]]),"")</f>
        <v>42591.429768518516</v>
      </c>
      <c r="N373" s="33"/>
      <c r="P373" s="32"/>
    </row>
    <row r="374" spans="1:16" hidden="1" x14ac:dyDescent="0.15">
      <c r="A374">
        <v>373</v>
      </c>
      <c r="B374" t="s">
        <v>445</v>
      </c>
      <c r="C374" t="s">
        <v>592</v>
      </c>
      <c r="D374" s="72" t="s">
        <v>3303</v>
      </c>
      <c r="E374" t="s">
        <v>61</v>
      </c>
      <c r="F374" t="s">
        <v>599</v>
      </c>
      <c r="G374" s="92">
        <v>42574.437141203707</v>
      </c>
      <c r="H374" s="92">
        <v>42569.623553240737</v>
      </c>
      <c r="I374" s="92">
        <v>42569.623553240737</v>
      </c>
      <c r="J374" s="92">
        <v>42591.430011574077</v>
      </c>
      <c r="K374" s="92">
        <v>42574.427476851852</v>
      </c>
      <c r="L374" s="92">
        <f>IF(AND(单词表[[#This Row],[学英]]&lt;&gt;"",单词表[[#This Row],[学中]]&lt;&gt;"",单词表[[#This Row],[学词]]&lt;&gt;""),MAX(单词表[[#This Row],[学英]:[学词]]),"")</f>
        <v>42574.437141203707</v>
      </c>
      <c r="M374" s="2">
        <f>IF(AND(单词表[[#This Row],[考英]]&lt;&gt;"",单词表[[#This Row],[考中]]&lt;&gt;""),MAX(单词表[[#This Row],[考英]:[考中]]),"")</f>
        <v>42591.430011574077</v>
      </c>
      <c r="N374" s="33"/>
      <c r="P374" s="32"/>
    </row>
    <row r="375" spans="1:16" hidden="1" x14ac:dyDescent="0.15">
      <c r="A375">
        <v>374</v>
      </c>
      <c r="B375" t="s">
        <v>445</v>
      </c>
      <c r="C375" t="s">
        <v>592</v>
      </c>
      <c r="D375" s="72" t="s">
        <v>3302</v>
      </c>
      <c r="E375" t="s">
        <v>61</v>
      </c>
      <c r="F375" t="s">
        <v>601</v>
      </c>
      <c r="G375" s="92">
        <v>42574.490312499998</v>
      </c>
      <c r="H375" s="92">
        <v>42569.501736111109</v>
      </c>
      <c r="I375" s="92">
        <v>42569.501736111109</v>
      </c>
      <c r="J375" s="92">
        <v>42591.430196759262</v>
      </c>
      <c r="K375" s="92">
        <v>42574.427627314813</v>
      </c>
      <c r="L375" s="92">
        <f>IF(AND(单词表[[#This Row],[学英]]&lt;&gt;"",单词表[[#This Row],[学中]]&lt;&gt;"",单词表[[#This Row],[学词]]&lt;&gt;""),MAX(单词表[[#This Row],[学英]:[学词]]),"")</f>
        <v>42574.490312499998</v>
      </c>
      <c r="M375" s="2">
        <f>IF(AND(单词表[[#This Row],[考英]]&lt;&gt;"",单词表[[#This Row],[考中]]&lt;&gt;""),MAX(单词表[[#This Row],[考英]:[考中]]),"")</f>
        <v>42591.430196759262</v>
      </c>
      <c r="N375" s="33"/>
      <c r="P375" s="32"/>
    </row>
    <row r="376" spans="1:16" hidden="1" x14ac:dyDescent="0.15">
      <c r="A376">
        <v>375</v>
      </c>
      <c r="B376" t="s">
        <v>445</v>
      </c>
      <c r="C376" t="s">
        <v>592</v>
      </c>
      <c r="D376" s="72" t="s">
        <v>3301</v>
      </c>
      <c r="E376" t="s">
        <v>61</v>
      </c>
      <c r="F376" t="s">
        <v>602</v>
      </c>
      <c r="G376" s="92">
        <v>42574.490532407406</v>
      </c>
      <c r="H376" s="92">
        <v>42569.651064814818</v>
      </c>
      <c r="I376" s="92">
        <v>42569.651053240741</v>
      </c>
      <c r="J376" s="92">
        <v>42591.43041666667</v>
      </c>
      <c r="K376" s="92">
        <v>42574.427858796298</v>
      </c>
      <c r="L376" s="92">
        <f>IF(AND(单词表[[#This Row],[学英]]&lt;&gt;"",单词表[[#This Row],[学中]]&lt;&gt;"",单词表[[#This Row],[学词]]&lt;&gt;""),MAX(单词表[[#This Row],[学英]:[学词]]),"")</f>
        <v>42574.490532407406</v>
      </c>
      <c r="M376" s="2">
        <f>IF(AND(单词表[[#This Row],[考英]]&lt;&gt;"",单词表[[#This Row],[考中]]&lt;&gt;""),MAX(单词表[[#This Row],[考英]:[考中]]),"")</f>
        <v>42591.43041666667</v>
      </c>
      <c r="N376" s="33"/>
      <c r="P376" s="32"/>
    </row>
    <row r="377" spans="1:16" hidden="1" x14ac:dyDescent="0.15">
      <c r="A377">
        <v>376</v>
      </c>
      <c r="B377" t="s">
        <v>445</v>
      </c>
      <c r="C377" t="s">
        <v>592</v>
      </c>
      <c r="D377" s="72" t="s">
        <v>3300</v>
      </c>
      <c r="E377" t="s">
        <v>36</v>
      </c>
      <c r="F377" t="s">
        <v>604</v>
      </c>
      <c r="G377" s="92">
        <v>42591.486134259256</v>
      </c>
      <c r="H377" s="92">
        <v>42569.50136574074</v>
      </c>
      <c r="I377" s="92">
        <v>42569.50136574074</v>
      </c>
      <c r="J377" s="92">
        <v>42591.507951388892</v>
      </c>
      <c r="K377" s="92">
        <v>42574.427916666667</v>
      </c>
      <c r="L377" s="92">
        <f>IF(AND(单词表[[#This Row],[学英]]&lt;&gt;"",单词表[[#This Row],[学中]]&lt;&gt;"",单词表[[#This Row],[学词]]&lt;&gt;""),MAX(单词表[[#This Row],[学英]:[学词]]),"")</f>
        <v>42591.486134259256</v>
      </c>
      <c r="M377" s="2">
        <f>IF(AND(单词表[[#This Row],[考英]]&lt;&gt;"",单词表[[#This Row],[考中]]&lt;&gt;""),MAX(单词表[[#This Row],[考英]:[考中]]),"")</f>
        <v>42591.507951388892</v>
      </c>
      <c r="N377" s="33"/>
      <c r="P377" s="32"/>
    </row>
    <row r="378" spans="1:16" hidden="1" x14ac:dyDescent="0.15">
      <c r="A378">
        <v>377</v>
      </c>
      <c r="B378" t="s">
        <v>445</v>
      </c>
      <c r="C378" t="s">
        <v>592</v>
      </c>
      <c r="D378" s="72" t="s">
        <v>605</v>
      </c>
      <c r="E378" t="s">
        <v>36</v>
      </c>
      <c r="F378" t="s">
        <v>606</v>
      </c>
      <c r="G378" s="92">
        <v>42569.867511574077</v>
      </c>
      <c r="H378" s="92">
        <v>42569.501805555556</v>
      </c>
      <c r="I378" s="92">
        <v>42569.501793981479</v>
      </c>
      <c r="J378" s="92">
        <v>42591.430613425924</v>
      </c>
      <c r="K378" s="92">
        <v>42574.427986111114</v>
      </c>
      <c r="L378" s="92">
        <f>IF(AND(单词表[[#This Row],[学英]]&lt;&gt;"",单词表[[#This Row],[学中]]&lt;&gt;"",单词表[[#This Row],[学词]]&lt;&gt;""),MAX(单词表[[#This Row],[学英]:[学词]]),"")</f>
        <v>42569.867511574077</v>
      </c>
      <c r="M378" s="2">
        <f>IF(AND(单词表[[#This Row],[考英]]&lt;&gt;"",单词表[[#This Row],[考中]]&lt;&gt;""),MAX(单词表[[#This Row],[考英]:[考中]]),"")</f>
        <v>42591.430613425924</v>
      </c>
      <c r="N378" s="33"/>
      <c r="P378" s="32"/>
    </row>
    <row r="379" spans="1:16" hidden="1" x14ac:dyDescent="0.15">
      <c r="A379">
        <v>378</v>
      </c>
      <c r="B379" t="s">
        <v>445</v>
      </c>
      <c r="C379" t="s">
        <v>592</v>
      </c>
      <c r="D379" s="72" t="s">
        <v>607</v>
      </c>
      <c r="E379" t="s">
        <v>36</v>
      </c>
      <c r="F379" t="s">
        <v>608</v>
      </c>
      <c r="G379" s="92">
        <v>42569.788032407407</v>
      </c>
      <c r="H379" s="92">
        <v>42569.501840277779</v>
      </c>
      <c r="I379" s="92">
        <v>42569.501840277779</v>
      </c>
      <c r="J379" s="92">
        <v>42591.43068287037</v>
      </c>
      <c r="K379" s="92">
        <v>42574.428055555552</v>
      </c>
      <c r="L379" s="92">
        <f>IF(AND(单词表[[#This Row],[学英]]&lt;&gt;"",单词表[[#This Row],[学中]]&lt;&gt;"",单词表[[#This Row],[学词]]&lt;&gt;""),MAX(单词表[[#This Row],[学英]:[学词]]),"")</f>
        <v>42569.788032407407</v>
      </c>
      <c r="M379" s="2">
        <f>IF(AND(单词表[[#This Row],[考英]]&lt;&gt;"",单词表[[#This Row],[考中]]&lt;&gt;""),MAX(单词表[[#This Row],[考英]:[考中]]),"")</f>
        <v>42591.43068287037</v>
      </c>
      <c r="N379" s="33"/>
      <c r="P379" s="32"/>
    </row>
    <row r="380" spans="1:16" hidden="1" x14ac:dyDescent="0.15">
      <c r="A380">
        <v>379</v>
      </c>
      <c r="B380" t="s">
        <v>445</v>
      </c>
      <c r="C380" t="s">
        <v>592</v>
      </c>
      <c r="D380" s="72" t="s">
        <v>609</v>
      </c>
      <c r="E380" t="s">
        <v>36</v>
      </c>
      <c r="F380" t="s">
        <v>610</v>
      </c>
      <c r="G380" s="92">
        <v>42591.486157407409</v>
      </c>
      <c r="H380" s="92">
        <v>42569.652256944442</v>
      </c>
      <c r="I380" s="92">
        <v>42569.652256944442</v>
      </c>
      <c r="J380" s="92">
        <v>42591.508032407408</v>
      </c>
      <c r="K380" s="92">
        <v>42574.428113425929</v>
      </c>
      <c r="L380" s="92">
        <f>IF(AND(单词表[[#This Row],[学英]]&lt;&gt;"",单词表[[#This Row],[学中]]&lt;&gt;"",单词表[[#This Row],[学词]]&lt;&gt;""),MAX(单词表[[#This Row],[学英]:[学词]]),"")</f>
        <v>42591.486157407409</v>
      </c>
      <c r="M380" s="2">
        <f>IF(AND(单词表[[#This Row],[考英]]&lt;&gt;"",单词表[[#This Row],[考中]]&lt;&gt;""),MAX(单词表[[#This Row],[考英]:[考中]]),"")</f>
        <v>42591.508032407408</v>
      </c>
      <c r="N380" s="33"/>
      <c r="P380" s="32"/>
    </row>
    <row r="381" spans="1:16" hidden="1" x14ac:dyDescent="0.15">
      <c r="A381">
        <v>380</v>
      </c>
      <c r="B381" t="s">
        <v>445</v>
      </c>
      <c r="C381" t="s">
        <v>592</v>
      </c>
      <c r="D381" s="72" t="s">
        <v>611</v>
      </c>
      <c r="E381" t="s">
        <v>36</v>
      </c>
      <c r="F381" t="s">
        <v>612</v>
      </c>
      <c r="G381" s="92">
        <v>42574.445231481484</v>
      </c>
      <c r="H381" s="92">
        <v>42569.652673611112</v>
      </c>
      <c r="I381" s="92">
        <v>42569.652662037035</v>
      </c>
      <c r="J381" s="92">
        <v>42591.430925925924</v>
      </c>
      <c r="K381" s="92">
        <v>42574.428217592591</v>
      </c>
      <c r="L381" s="92">
        <f>IF(AND(单词表[[#This Row],[学英]]&lt;&gt;"",单词表[[#This Row],[学中]]&lt;&gt;"",单词表[[#This Row],[学词]]&lt;&gt;""),MAX(单词表[[#This Row],[学英]:[学词]]),"")</f>
        <v>42574.445231481484</v>
      </c>
      <c r="M381" s="2">
        <f>IF(AND(单词表[[#This Row],[考英]]&lt;&gt;"",单词表[[#This Row],[考中]]&lt;&gt;""),MAX(单词表[[#This Row],[考英]:[考中]]),"")</f>
        <v>42591.430925925924</v>
      </c>
      <c r="N381" s="33"/>
      <c r="P381" s="32"/>
    </row>
    <row r="382" spans="1:16" hidden="1" x14ac:dyDescent="0.15">
      <c r="A382">
        <v>381</v>
      </c>
      <c r="B382" t="s">
        <v>445</v>
      </c>
      <c r="C382" t="s">
        <v>592</v>
      </c>
      <c r="D382" s="72" t="s">
        <v>613</v>
      </c>
      <c r="E382" t="s">
        <v>36</v>
      </c>
      <c r="F382" t="s">
        <v>614</v>
      </c>
      <c r="G382" s="92">
        <v>42591.478506944448</v>
      </c>
      <c r="H382" s="92">
        <v>42574.437291666669</v>
      </c>
      <c r="I382" s="92">
        <v>42574.437256944446</v>
      </c>
      <c r="J382" s="92">
        <v>42591.480069444442</v>
      </c>
      <c r="K382" s="92">
        <v>42574.492546296293</v>
      </c>
      <c r="L382" s="92">
        <f>IF(AND(单词表[[#This Row],[学英]]&lt;&gt;"",单词表[[#This Row],[学中]]&lt;&gt;"",单词表[[#This Row],[学词]]&lt;&gt;""),MAX(单词表[[#This Row],[学英]:[学词]]),"")</f>
        <v>42591.478506944448</v>
      </c>
      <c r="M382" s="2">
        <f>IF(AND(单词表[[#This Row],[考英]]&lt;&gt;"",单词表[[#This Row],[考中]]&lt;&gt;""),MAX(单词表[[#This Row],[考英]:[考中]]),"")</f>
        <v>42591.480069444442</v>
      </c>
      <c r="N382" s="33"/>
      <c r="P382" s="32"/>
    </row>
    <row r="383" spans="1:16" hidden="1" x14ac:dyDescent="0.15">
      <c r="A383">
        <v>382</v>
      </c>
      <c r="B383" t="s">
        <v>445</v>
      </c>
      <c r="C383" t="s">
        <v>592</v>
      </c>
      <c r="D383" s="72" t="s">
        <v>615</v>
      </c>
      <c r="E383" t="s">
        <v>36</v>
      </c>
      <c r="F383" t="s">
        <v>1265</v>
      </c>
      <c r="G383" s="92">
        <v>42569.867534722223</v>
      </c>
      <c r="H383" s="92">
        <v>42569.652326388888</v>
      </c>
      <c r="I383" s="92">
        <v>42569.652326388888</v>
      </c>
      <c r="J383" s="92">
        <v>42591.434166666666</v>
      </c>
      <c r="K383" s="92">
        <v>42574.428437499999</v>
      </c>
      <c r="L383" s="92">
        <f>IF(AND(单词表[[#This Row],[学英]]&lt;&gt;"",单词表[[#This Row],[学中]]&lt;&gt;"",单词表[[#This Row],[学词]]&lt;&gt;""),MAX(单词表[[#This Row],[学英]:[学词]]),"")</f>
        <v>42569.867534722223</v>
      </c>
      <c r="M383" s="2">
        <f>IF(AND(单词表[[#This Row],[考英]]&lt;&gt;"",单词表[[#This Row],[考中]]&lt;&gt;""),MAX(单词表[[#This Row],[考英]:[考中]]),"")</f>
        <v>42591.434166666666</v>
      </c>
      <c r="N383" s="33"/>
      <c r="P383" s="32"/>
    </row>
    <row r="384" spans="1:16" hidden="1" x14ac:dyDescent="0.15">
      <c r="A384">
        <v>383</v>
      </c>
      <c r="B384" t="s">
        <v>445</v>
      </c>
      <c r="C384" t="s">
        <v>592</v>
      </c>
      <c r="D384" s="72" t="s">
        <v>616</v>
      </c>
      <c r="E384" t="s">
        <v>73</v>
      </c>
      <c r="F384" t="s">
        <v>617</v>
      </c>
      <c r="G384" s="92">
        <v>42574.445914351854</v>
      </c>
      <c r="H384" s="92">
        <v>42569.756423611114</v>
      </c>
      <c r="I384" s="92">
        <v>42569.756412037037</v>
      </c>
      <c r="J384" s="92">
        <v>42591.434513888889</v>
      </c>
      <c r="K384" s="92">
        <v>42574.428703703707</v>
      </c>
      <c r="L384" s="92">
        <f>IF(AND(单词表[[#This Row],[学英]]&lt;&gt;"",单词表[[#This Row],[学中]]&lt;&gt;"",单词表[[#This Row],[学词]]&lt;&gt;""),MAX(单词表[[#This Row],[学英]:[学词]]),"")</f>
        <v>42574.445914351854</v>
      </c>
      <c r="M384" s="2">
        <f>IF(AND(单词表[[#This Row],[考英]]&lt;&gt;"",单词表[[#This Row],[考中]]&lt;&gt;""),MAX(单词表[[#This Row],[考英]:[考中]]),"")</f>
        <v>42591.434513888889</v>
      </c>
      <c r="N384" s="33"/>
      <c r="P384" s="32"/>
    </row>
    <row r="385" spans="1:16" hidden="1" x14ac:dyDescent="0.15">
      <c r="A385">
        <v>384</v>
      </c>
      <c r="B385" t="s">
        <v>445</v>
      </c>
      <c r="C385" t="s">
        <v>592</v>
      </c>
      <c r="D385" s="72" t="s">
        <v>618</v>
      </c>
      <c r="E385" t="s">
        <v>36</v>
      </c>
      <c r="F385" t="s">
        <v>619</v>
      </c>
      <c r="G385" s="92">
        <v>42591.478530092594</v>
      </c>
      <c r="H385" s="92">
        <v>42569.756365740737</v>
      </c>
      <c r="I385" s="92">
        <v>42569.797037037039</v>
      </c>
      <c r="J385" s="92">
        <v>42591.480231481481</v>
      </c>
      <c r="K385" s="92">
        <v>42574.428865740738</v>
      </c>
      <c r="L385" s="92">
        <f>IF(AND(单词表[[#This Row],[学英]]&lt;&gt;"",单词表[[#This Row],[学中]]&lt;&gt;"",单词表[[#This Row],[学词]]&lt;&gt;""),MAX(单词表[[#This Row],[学英]:[学词]]),"")</f>
        <v>42591.478530092594</v>
      </c>
      <c r="M385" s="2">
        <f>IF(AND(单词表[[#This Row],[考英]]&lt;&gt;"",单词表[[#This Row],[考中]]&lt;&gt;""),MAX(单词表[[#This Row],[考英]:[考中]]),"")</f>
        <v>42591.480231481481</v>
      </c>
      <c r="N385" s="33"/>
      <c r="P385" s="32"/>
    </row>
    <row r="386" spans="1:16" hidden="1" x14ac:dyDescent="0.15">
      <c r="A386">
        <v>385</v>
      </c>
      <c r="B386" t="s">
        <v>445</v>
      </c>
      <c r="C386" t="s">
        <v>592</v>
      </c>
      <c r="D386" s="72" t="s">
        <v>620</v>
      </c>
      <c r="E386" t="s">
        <v>36</v>
      </c>
      <c r="F386" t="s">
        <v>621</v>
      </c>
      <c r="G386" s="92">
        <v>42591.486168981479</v>
      </c>
      <c r="H386" s="92">
        <v>42569.756307870368</v>
      </c>
      <c r="I386" s="92">
        <v>42569.756296296298</v>
      </c>
      <c r="J386" s="92">
        <v>42591.508287037039</v>
      </c>
      <c r="K386" s="92">
        <v>42574.429016203707</v>
      </c>
      <c r="L386" s="92">
        <f>IF(AND(单词表[[#This Row],[学英]]&lt;&gt;"",单词表[[#This Row],[学中]]&lt;&gt;"",单词表[[#This Row],[学词]]&lt;&gt;""),MAX(单词表[[#This Row],[学英]:[学词]]),"")</f>
        <v>42591.486168981479</v>
      </c>
      <c r="M386" s="2">
        <f>IF(AND(单词表[[#This Row],[考英]]&lt;&gt;"",单词表[[#This Row],[考中]]&lt;&gt;""),MAX(单词表[[#This Row],[考英]:[考中]]),"")</f>
        <v>42591.508287037039</v>
      </c>
      <c r="N386" s="33"/>
      <c r="P386" s="32"/>
    </row>
    <row r="387" spans="1:16" hidden="1" x14ac:dyDescent="0.15">
      <c r="A387">
        <v>386</v>
      </c>
      <c r="B387" t="s">
        <v>445</v>
      </c>
      <c r="C387" t="s">
        <v>592</v>
      </c>
      <c r="D387" s="72" t="s">
        <v>622</v>
      </c>
      <c r="E387" t="s">
        <v>61</v>
      </c>
      <c r="F387" t="s">
        <v>623</v>
      </c>
      <c r="G387" s="92">
        <v>42574.445555555554</v>
      </c>
      <c r="H387" s="92">
        <v>42574.437384259261</v>
      </c>
      <c r="I387" s="92">
        <v>42574.437384259261</v>
      </c>
      <c r="J387" s="92">
        <v>42591.434861111113</v>
      </c>
      <c r="K387" s="92">
        <v>42574.492592592593</v>
      </c>
      <c r="L387" s="92">
        <f>IF(AND(单词表[[#This Row],[学英]]&lt;&gt;"",单词表[[#This Row],[学中]]&lt;&gt;"",单词表[[#This Row],[学词]]&lt;&gt;""),MAX(单词表[[#This Row],[学英]:[学词]]),"")</f>
        <v>42574.445555555554</v>
      </c>
      <c r="M387" s="2">
        <f>IF(AND(单词表[[#This Row],[考英]]&lt;&gt;"",单词表[[#This Row],[考中]]&lt;&gt;""),MAX(单词表[[#This Row],[考英]:[考中]]),"")</f>
        <v>42591.434861111113</v>
      </c>
      <c r="N387" s="33"/>
      <c r="P387" s="32"/>
    </row>
    <row r="388" spans="1:16" hidden="1" x14ac:dyDescent="0.15">
      <c r="A388">
        <v>387</v>
      </c>
      <c r="B388" t="s">
        <v>445</v>
      </c>
      <c r="C388" t="s">
        <v>592</v>
      </c>
      <c r="D388" s="72" t="s">
        <v>624</v>
      </c>
      <c r="E388" t="s">
        <v>61</v>
      </c>
      <c r="F388" t="s">
        <v>625</v>
      </c>
      <c r="G388" s="92">
        <v>42569.867731481485</v>
      </c>
      <c r="H388" s="92">
        <v>42569.502245370371</v>
      </c>
      <c r="I388" s="92">
        <v>42569.502222222225</v>
      </c>
      <c r="J388" s="92">
        <v>42591.434999999998</v>
      </c>
      <c r="K388" s="92">
        <v>42574.429224537038</v>
      </c>
      <c r="L388" s="92">
        <f>IF(AND(单词表[[#This Row],[学英]]&lt;&gt;"",单词表[[#This Row],[学中]]&lt;&gt;"",单词表[[#This Row],[学词]]&lt;&gt;""),MAX(单词表[[#This Row],[学英]:[学词]]),"")</f>
        <v>42569.867731481485</v>
      </c>
      <c r="M388" s="2">
        <f>IF(AND(单词表[[#This Row],[考英]]&lt;&gt;"",单词表[[#This Row],[考中]]&lt;&gt;""),MAX(单词表[[#This Row],[考英]:[考中]]),"")</f>
        <v>42591.434999999998</v>
      </c>
      <c r="N388" s="33"/>
      <c r="P388" s="32"/>
    </row>
    <row r="389" spans="1:16" hidden="1" x14ac:dyDescent="0.15">
      <c r="A389">
        <v>388</v>
      </c>
      <c r="B389" t="s">
        <v>445</v>
      </c>
      <c r="C389" t="s">
        <v>592</v>
      </c>
      <c r="D389" s="72" t="s">
        <v>626</v>
      </c>
      <c r="E389" t="s">
        <v>61</v>
      </c>
      <c r="F389" t="s">
        <v>627</v>
      </c>
      <c r="G389" s="92">
        <v>42574.442939814813</v>
      </c>
      <c r="H389" s="92">
        <v>42569.75613425926</v>
      </c>
      <c r="I389" s="92">
        <v>42569.75613425926</v>
      </c>
      <c r="J389" s="92">
        <v>42591.435127314813</v>
      </c>
      <c r="K389" s="92">
        <v>42574.430706018517</v>
      </c>
      <c r="L389" s="92">
        <f>IF(AND(单词表[[#This Row],[学英]]&lt;&gt;"",单词表[[#This Row],[学中]]&lt;&gt;"",单词表[[#This Row],[学词]]&lt;&gt;""),MAX(单词表[[#This Row],[学英]:[学词]]),"")</f>
        <v>42574.442939814813</v>
      </c>
      <c r="M389" s="2">
        <f>IF(AND(单词表[[#This Row],[考英]]&lt;&gt;"",单词表[[#This Row],[考中]]&lt;&gt;""),MAX(单词表[[#This Row],[考英]:[考中]]),"")</f>
        <v>42591.435127314813</v>
      </c>
      <c r="N389" s="33"/>
      <c r="P389" s="32"/>
    </row>
    <row r="390" spans="1:16" hidden="1" x14ac:dyDescent="0.15">
      <c r="A390">
        <v>389</v>
      </c>
      <c r="B390" t="s">
        <v>445</v>
      </c>
      <c r="C390" t="s">
        <v>592</v>
      </c>
      <c r="D390" s="72" t="s">
        <v>628</v>
      </c>
      <c r="E390" t="s">
        <v>61</v>
      </c>
      <c r="F390" t="s">
        <v>629</v>
      </c>
      <c r="G390" s="92">
        <v>42574.490729166668</v>
      </c>
      <c r="H390" s="92">
        <v>42569.803032407406</v>
      </c>
      <c r="I390" s="92">
        <v>42569.803032407406</v>
      </c>
      <c r="J390" s="92">
        <v>42591.435266203705</v>
      </c>
      <c r="K390" s="92">
        <v>42574.431273148148</v>
      </c>
      <c r="L390" s="92">
        <f>IF(AND(单词表[[#This Row],[学英]]&lt;&gt;"",单词表[[#This Row],[学中]]&lt;&gt;"",单词表[[#This Row],[学词]]&lt;&gt;""),MAX(单词表[[#This Row],[学英]:[学词]]),"")</f>
        <v>42574.490729166668</v>
      </c>
      <c r="M390" s="2">
        <f>IF(AND(单词表[[#This Row],[考英]]&lt;&gt;"",单词表[[#This Row],[考中]]&lt;&gt;""),MAX(单词表[[#This Row],[考英]:[考中]]),"")</f>
        <v>42591.435266203705</v>
      </c>
      <c r="N390" s="33"/>
      <c r="P390" s="32"/>
    </row>
    <row r="391" spans="1:16" hidden="1" x14ac:dyDescent="0.15">
      <c r="A391">
        <v>390</v>
      </c>
      <c r="B391" t="s">
        <v>445</v>
      </c>
      <c r="C391" t="s">
        <v>592</v>
      </c>
      <c r="D391" s="72" t="s">
        <v>628</v>
      </c>
      <c r="E391" t="s">
        <v>36</v>
      </c>
      <c r="F391" t="s">
        <v>630</v>
      </c>
      <c r="G391" s="92">
        <v>42569.868298611109</v>
      </c>
      <c r="H391" s="92">
        <v>42569.755960648145</v>
      </c>
      <c r="I391" s="92">
        <v>42569.755960648145</v>
      </c>
      <c r="J391" s="92">
        <v>42591.435393518521</v>
      </c>
      <c r="K391" s="92">
        <v>42574.431319444448</v>
      </c>
      <c r="L391" s="92">
        <f>IF(AND(单词表[[#This Row],[学英]]&lt;&gt;"",单词表[[#This Row],[学中]]&lt;&gt;"",单词表[[#This Row],[学词]]&lt;&gt;""),MAX(单词表[[#This Row],[学英]:[学词]]),"")</f>
        <v>42569.868298611109</v>
      </c>
      <c r="M391" s="2">
        <f>IF(AND(单词表[[#This Row],[考英]]&lt;&gt;"",单词表[[#This Row],[考中]]&lt;&gt;""),MAX(单词表[[#This Row],[考英]:[考中]]),"")</f>
        <v>42591.435393518521</v>
      </c>
      <c r="N391" s="33"/>
      <c r="P391" s="32"/>
    </row>
    <row r="392" spans="1:16" hidden="1" x14ac:dyDescent="0.15">
      <c r="A392">
        <v>391</v>
      </c>
      <c r="B392" t="s">
        <v>445</v>
      </c>
      <c r="C392" t="s">
        <v>592</v>
      </c>
      <c r="D392" s="72" t="s">
        <v>631</v>
      </c>
      <c r="E392" t="s">
        <v>61</v>
      </c>
      <c r="F392" t="s">
        <v>632</v>
      </c>
      <c r="G392" s="92">
        <v>42569.88003472222</v>
      </c>
      <c r="H392" s="92">
        <v>42569.653900462959</v>
      </c>
      <c r="I392" s="92">
        <v>42569.653900462959</v>
      </c>
      <c r="J392" s="92">
        <v>42591.435486111113</v>
      </c>
      <c r="K392" s="92">
        <v>42574.431377314817</v>
      </c>
      <c r="L392" s="92">
        <f>IF(AND(单词表[[#This Row],[学英]]&lt;&gt;"",单词表[[#This Row],[学中]]&lt;&gt;"",单词表[[#This Row],[学词]]&lt;&gt;""),MAX(单词表[[#This Row],[学英]:[学词]]),"")</f>
        <v>42569.88003472222</v>
      </c>
      <c r="M392" s="2">
        <f>IF(AND(单词表[[#This Row],[考英]]&lt;&gt;"",单词表[[#This Row],[考中]]&lt;&gt;""),MAX(单词表[[#This Row],[考英]:[考中]]),"")</f>
        <v>42591.435486111113</v>
      </c>
      <c r="N392" s="33"/>
      <c r="P392" s="32"/>
    </row>
    <row r="393" spans="1:16" hidden="1" x14ac:dyDescent="0.15">
      <c r="A393">
        <v>392</v>
      </c>
      <c r="B393" t="s">
        <v>445</v>
      </c>
      <c r="C393" t="s">
        <v>592</v>
      </c>
      <c r="D393" s="72" t="s">
        <v>631</v>
      </c>
      <c r="E393" t="s">
        <v>36</v>
      </c>
      <c r="F393" t="s">
        <v>633</v>
      </c>
      <c r="G393" s="92">
        <v>42569.75577546296</v>
      </c>
      <c r="H393" s="92">
        <v>42569.502465277779</v>
      </c>
      <c r="I393" s="92">
        <v>42569.502453703702</v>
      </c>
      <c r="J393" s="92">
        <v>42591.435555555552</v>
      </c>
      <c r="K393" s="92">
        <v>42574.431446759256</v>
      </c>
      <c r="L393" s="92">
        <f>IF(AND(单词表[[#This Row],[学英]]&lt;&gt;"",单词表[[#This Row],[学中]]&lt;&gt;"",单词表[[#This Row],[学词]]&lt;&gt;""),MAX(单词表[[#This Row],[学英]:[学词]]),"")</f>
        <v>42569.75577546296</v>
      </c>
      <c r="M393" s="2">
        <f>IF(AND(单词表[[#This Row],[考英]]&lt;&gt;"",单词表[[#This Row],[考中]]&lt;&gt;""),MAX(单词表[[#This Row],[考英]:[考中]]),"")</f>
        <v>42591.435555555552</v>
      </c>
      <c r="N393" s="33"/>
      <c r="P393" s="32"/>
    </row>
    <row r="394" spans="1:16" hidden="1" x14ac:dyDescent="0.15">
      <c r="A394">
        <v>393</v>
      </c>
      <c r="B394" t="s">
        <v>445</v>
      </c>
      <c r="C394" t="s">
        <v>592</v>
      </c>
      <c r="D394" s="72" t="s">
        <v>634</v>
      </c>
      <c r="E394" t="s">
        <v>73</v>
      </c>
      <c r="F394" t="s">
        <v>635</v>
      </c>
      <c r="G394" s="92">
        <v>42569.798437500001</v>
      </c>
      <c r="H394" s="92">
        <v>42569.656747685185</v>
      </c>
      <c r="I394" s="92">
        <v>42569.656747685185</v>
      </c>
      <c r="J394" s="92">
        <v>42591.435717592591</v>
      </c>
      <c r="K394" s="92">
        <v>42574.431504629632</v>
      </c>
      <c r="L394" s="92">
        <f>IF(AND(单词表[[#This Row],[学英]]&lt;&gt;"",单词表[[#This Row],[学中]]&lt;&gt;"",单词表[[#This Row],[学词]]&lt;&gt;""),MAX(单词表[[#This Row],[学英]:[学词]]),"")</f>
        <v>42569.798437500001</v>
      </c>
      <c r="M394" s="2">
        <f>IF(AND(单词表[[#This Row],[考英]]&lt;&gt;"",单词表[[#This Row],[考中]]&lt;&gt;""),MAX(单词表[[#This Row],[考英]:[考中]]),"")</f>
        <v>42591.435717592591</v>
      </c>
      <c r="N394" s="33"/>
      <c r="P394" s="32"/>
    </row>
    <row r="395" spans="1:16" hidden="1" x14ac:dyDescent="0.15">
      <c r="A395">
        <v>394</v>
      </c>
      <c r="B395" t="s">
        <v>445</v>
      </c>
      <c r="C395" t="s">
        <v>592</v>
      </c>
      <c r="D395" s="72" t="s">
        <v>636</v>
      </c>
      <c r="E395" t="s">
        <v>61</v>
      </c>
      <c r="F395" t="s">
        <v>637</v>
      </c>
      <c r="G395" s="92">
        <v>42574.437418981484</v>
      </c>
      <c r="H395" s="92">
        <v>42569.755648148152</v>
      </c>
      <c r="I395" s="92">
        <v>42569.755648148152</v>
      </c>
      <c r="J395" s="92">
        <v>42591.435891203706</v>
      </c>
      <c r="K395" s="92">
        <v>42574.432071759256</v>
      </c>
      <c r="L395" s="92">
        <f>IF(AND(单词表[[#This Row],[学英]]&lt;&gt;"",单词表[[#This Row],[学中]]&lt;&gt;"",单词表[[#This Row],[学词]]&lt;&gt;""),MAX(单词表[[#This Row],[学英]:[学词]]),"")</f>
        <v>42574.437418981484</v>
      </c>
      <c r="M395" s="2">
        <f>IF(AND(单词表[[#This Row],[考英]]&lt;&gt;"",单词表[[#This Row],[考中]]&lt;&gt;""),MAX(单词表[[#This Row],[考英]:[考中]]),"")</f>
        <v>42591.435891203706</v>
      </c>
      <c r="N395" s="33"/>
      <c r="P395" s="32"/>
    </row>
    <row r="396" spans="1:16" hidden="1" x14ac:dyDescent="0.15">
      <c r="A396">
        <v>395</v>
      </c>
      <c r="B396" t="s">
        <v>445</v>
      </c>
      <c r="C396" t="s">
        <v>592</v>
      </c>
      <c r="D396" s="72" t="s">
        <v>638</v>
      </c>
      <c r="E396" t="s">
        <v>73</v>
      </c>
      <c r="F396" t="s">
        <v>639</v>
      </c>
      <c r="G396" s="92">
        <v>42591.478576388887</v>
      </c>
      <c r="H396" s="92">
        <v>42569.755694444444</v>
      </c>
      <c r="I396" s="92">
        <v>42569.755682870367</v>
      </c>
      <c r="J396" s="92">
        <v>42591.480949074074</v>
      </c>
      <c r="K396" s="92">
        <v>42574.432384259257</v>
      </c>
      <c r="L396" s="92">
        <f>IF(AND(单词表[[#This Row],[学英]]&lt;&gt;"",单词表[[#This Row],[学中]]&lt;&gt;"",单词表[[#This Row],[学词]]&lt;&gt;""),MAX(单词表[[#This Row],[学英]:[学词]]),"")</f>
        <v>42591.478576388887</v>
      </c>
      <c r="M396" s="2">
        <f>IF(AND(单词表[[#This Row],[考英]]&lt;&gt;"",单词表[[#This Row],[考中]]&lt;&gt;""),MAX(单词表[[#This Row],[考英]:[考中]]),"")</f>
        <v>42591.480949074074</v>
      </c>
      <c r="N396" s="33"/>
      <c r="P396" s="32"/>
    </row>
    <row r="397" spans="1:16" hidden="1" x14ac:dyDescent="0.15">
      <c r="A397">
        <v>396</v>
      </c>
      <c r="B397" t="s">
        <v>445</v>
      </c>
      <c r="C397" t="s">
        <v>640</v>
      </c>
      <c r="D397" s="72" t="s">
        <v>641</v>
      </c>
      <c r="E397" t="s">
        <v>36</v>
      </c>
      <c r="F397" t="s">
        <v>253</v>
      </c>
      <c r="G397" s="92">
        <v>42570.40284722222</v>
      </c>
      <c r="H397" s="92">
        <v>42570.402881944443</v>
      </c>
      <c r="I397" s="92">
        <v>42570.402858796297</v>
      </c>
      <c r="J397" s="92">
        <v>42591.436226851853</v>
      </c>
      <c r="K397" s="92">
        <v>42574.468842592592</v>
      </c>
      <c r="L397" s="92">
        <f>IF(AND(单词表[[#This Row],[学英]]&lt;&gt;"",单词表[[#This Row],[学中]]&lt;&gt;"",单词表[[#This Row],[学词]]&lt;&gt;""),MAX(单词表[[#This Row],[学英]:[学词]]),"")</f>
        <v>42570.402881944443</v>
      </c>
      <c r="M397" s="2">
        <f>IF(AND(单词表[[#This Row],[考英]]&lt;&gt;"",单词表[[#This Row],[考中]]&lt;&gt;""),MAX(单词表[[#This Row],[考英]:[考中]]),"")</f>
        <v>42591.436226851853</v>
      </c>
      <c r="N397" s="33"/>
      <c r="P397" s="32"/>
    </row>
    <row r="398" spans="1:16" hidden="1" x14ac:dyDescent="0.15">
      <c r="A398">
        <v>397</v>
      </c>
      <c r="B398" t="s">
        <v>445</v>
      </c>
      <c r="C398" t="s">
        <v>640</v>
      </c>
      <c r="D398" s="72" t="s">
        <v>642</v>
      </c>
      <c r="E398" t="s">
        <v>36</v>
      </c>
      <c r="F398" t="s">
        <v>643</v>
      </c>
      <c r="G398" s="92">
        <v>42570.409398148149</v>
      </c>
      <c r="H398" s="92">
        <v>42570.409409722219</v>
      </c>
      <c r="I398" s="92">
        <v>42570.409398148149</v>
      </c>
      <c r="J398" s="92">
        <v>42591.436284722222</v>
      </c>
      <c r="K398" s="92">
        <v>42574.468888888892</v>
      </c>
      <c r="L398" s="92">
        <f>IF(AND(单词表[[#This Row],[学英]]&lt;&gt;"",单词表[[#This Row],[学中]]&lt;&gt;"",单词表[[#This Row],[学词]]&lt;&gt;""),MAX(单词表[[#This Row],[学英]:[学词]]),"")</f>
        <v>42570.409409722219</v>
      </c>
      <c r="M398" s="2">
        <f>IF(AND(单词表[[#This Row],[考英]]&lt;&gt;"",单词表[[#This Row],[考中]]&lt;&gt;""),MAX(单词表[[#This Row],[考英]:[考中]]),"")</f>
        <v>42591.436284722222</v>
      </c>
      <c r="N398" s="33"/>
      <c r="P398" s="32"/>
    </row>
    <row r="399" spans="1:16" hidden="1" x14ac:dyDescent="0.15">
      <c r="A399">
        <v>398</v>
      </c>
      <c r="B399" t="s">
        <v>445</v>
      </c>
      <c r="C399" t="s">
        <v>640</v>
      </c>
      <c r="D399" s="72" t="s">
        <v>644</v>
      </c>
      <c r="E399" t="s">
        <v>36</v>
      </c>
      <c r="F399" t="s">
        <v>645</v>
      </c>
      <c r="G399" s="92">
        <v>42571.458310185182</v>
      </c>
      <c r="H399" s="92">
        <v>42574.475590277776</v>
      </c>
      <c r="I399" s="92">
        <v>42574.475578703707</v>
      </c>
      <c r="J399" s="92">
        <v>42591.436412037037</v>
      </c>
      <c r="K399" s="92">
        <v>42574.492083333331</v>
      </c>
      <c r="L399" s="92">
        <f>IF(AND(单词表[[#This Row],[学英]]&lt;&gt;"",单词表[[#This Row],[学中]]&lt;&gt;"",单词表[[#This Row],[学词]]&lt;&gt;""),MAX(单词表[[#This Row],[学英]:[学词]]),"")</f>
        <v>42574.475590277776</v>
      </c>
      <c r="M399" s="2">
        <f>IF(AND(单词表[[#This Row],[考英]]&lt;&gt;"",单词表[[#This Row],[考中]]&lt;&gt;""),MAX(单词表[[#This Row],[考英]:[考中]]),"")</f>
        <v>42591.436412037037</v>
      </c>
      <c r="N399" s="33"/>
      <c r="P399" s="32"/>
    </row>
    <row r="400" spans="1:16" hidden="1" x14ac:dyDescent="0.15">
      <c r="A400">
        <v>399</v>
      </c>
      <c r="B400" t="s">
        <v>445</v>
      </c>
      <c r="C400" t="s">
        <v>640</v>
      </c>
      <c r="D400" s="72" t="s">
        <v>646</v>
      </c>
      <c r="E400" t="s">
        <v>61</v>
      </c>
      <c r="F400" t="s">
        <v>647</v>
      </c>
      <c r="G400" s="92">
        <v>42571.485208333332</v>
      </c>
      <c r="H400" s="92">
        <v>42571.465856481482</v>
      </c>
      <c r="I400" s="92">
        <v>42571.465844907405</v>
      </c>
      <c r="J400" s="92">
        <v>42591.436562499999</v>
      </c>
      <c r="K400" s="92">
        <v>42574.469236111108</v>
      </c>
      <c r="L400" s="92">
        <f>IF(AND(单词表[[#This Row],[学英]]&lt;&gt;"",单词表[[#This Row],[学中]]&lt;&gt;"",单词表[[#This Row],[学词]]&lt;&gt;""),MAX(单词表[[#This Row],[学英]:[学词]]),"")</f>
        <v>42571.485208333332</v>
      </c>
      <c r="M400" s="2">
        <f>IF(AND(单词表[[#This Row],[考英]]&lt;&gt;"",单词表[[#This Row],[考中]]&lt;&gt;""),MAX(单词表[[#This Row],[考英]:[考中]]),"")</f>
        <v>42591.436562499999</v>
      </c>
      <c r="N400" s="33"/>
      <c r="P400" s="32"/>
    </row>
    <row r="401" spans="1:16" hidden="1" x14ac:dyDescent="0.15">
      <c r="A401">
        <v>400</v>
      </c>
      <c r="B401" t="s">
        <v>445</v>
      </c>
      <c r="C401" t="s">
        <v>640</v>
      </c>
      <c r="D401" s="72" t="s">
        <v>648</v>
      </c>
      <c r="E401" t="s">
        <v>157</v>
      </c>
      <c r="F401" t="s">
        <v>649</v>
      </c>
      <c r="G401" s="92">
        <v>42591.478622685187</v>
      </c>
      <c r="H401" s="92">
        <v>42570.446863425925</v>
      </c>
      <c r="I401" s="92">
        <v>42570.446851851855</v>
      </c>
      <c r="J401" s="92">
        <v>42591.481087962966</v>
      </c>
      <c r="K401" s="92">
        <v>42574.469282407408</v>
      </c>
      <c r="L401" s="92">
        <f>IF(AND(单词表[[#This Row],[学英]]&lt;&gt;"",单词表[[#This Row],[学中]]&lt;&gt;"",单词表[[#This Row],[学词]]&lt;&gt;""),MAX(单词表[[#This Row],[学英]:[学词]]),"")</f>
        <v>42591.478622685187</v>
      </c>
      <c r="M401" s="2">
        <f>IF(AND(单词表[[#This Row],[考英]]&lt;&gt;"",单词表[[#This Row],[考中]]&lt;&gt;""),MAX(单词表[[#This Row],[考英]:[考中]]),"")</f>
        <v>42591.481087962966</v>
      </c>
      <c r="N401" s="33"/>
      <c r="P401" s="32"/>
    </row>
    <row r="402" spans="1:16" hidden="1" x14ac:dyDescent="0.15">
      <c r="A402">
        <v>401</v>
      </c>
      <c r="B402" t="s">
        <v>445</v>
      </c>
      <c r="C402" t="s">
        <v>640</v>
      </c>
      <c r="D402" s="72" t="s">
        <v>650</v>
      </c>
      <c r="E402" t="s">
        <v>36</v>
      </c>
      <c r="F402" t="s">
        <v>651</v>
      </c>
      <c r="G402" s="92">
        <v>42574.477962962963</v>
      </c>
      <c r="H402" s="92">
        <v>42571.451192129629</v>
      </c>
      <c r="I402" s="92">
        <v>42571.451180555552</v>
      </c>
      <c r="J402" s="92">
        <v>42591.436979166669</v>
      </c>
      <c r="K402" s="92">
        <v>42574.469363425924</v>
      </c>
      <c r="L402" s="92">
        <f>IF(AND(单词表[[#This Row],[学英]]&lt;&gt;"",单词表[[#This Row],[学中]]&lt;&gt;"",单词表[[#This Row],[学词]]&lt;&gt;""),MAX(单词表[[#This Row],[学英]:[学词]]),"")</f>
        <v>42574.477962962963</v>
      </c>
      <c r="M402" s="2">
        <f>IF(AND(单词表[[#This Row],[考英]]&lt;&gt;"",单词表[[#This Row],[考中]]&lt;&gt;""),MAX(单词表[[#This Row],[考英]:[考中]]),"")</f>
        <v>42591.436979166669</v>
      </c>
      <c r="N402" s="33"/>
      <c r="P402" s="32"/>
    </row>
    <row r="403" spans="1:16" hidden="1" x14ac:dyDescent="0.15">
      <c r="A403">
        <v>402</v>
      </c>
      <c r="B403" t="s">
        <v>445</v>
      </c>
      <c r="C403" t="s">
        <v>640</v>
      </c>
      <c r="D403" s="72" t="s">
        <v>652</v>
      </c>
      <c r="E403" t="s">
        <v>61</v>
      </c>
      <c r="F403" t="s">
        <v>653</v>
      </c>
      <c r="G403" s="92">
        <v>42591.478645833333</v>
      </c>
      <c r="H403" s="92">
        <v>42571.451238425929</v>
      </c>
      <c r="I403" s="92">
        <v>42571.451226851852</v>
      </c>
      <c r="J403" s="92">
        <v>42591.481215277781</v>
      </c>
      <c r="K403" s="92">
        <v>42574.469409722224</v>
      </c>
      <c r="L403" s="92">
        <f>IF(AND(单词表[[#This Row],[学英]]&lt;&gt;"",单词表[[#This Row],[学中]]&lt;&gt;"",单词表[[#This Row],[学词]]&lt;&gt;""),MAX(单词表[[#This Row],[学英]:[学词]]),"")</f>
        <v>42591.478645833333</v>
      </c>
      <c r="M403" s="2">
        <f>IF(AND(单词表[[#This Row],[考英]]&lt;&gt;"",单词表[[#This Row],[考中]]&lt;&gt;""),MAX(单词表[[#This Row],[考英]:[考中]]),"")</f>
        <v>42591.481215277781</v>
      </c>
      <c r="N403" s="33"/>
      <c r="P403" s="32"/>
    </row>
    <row r="404" spans="1:16" hidden="1" x14ac:dyDescent="0.15">
      <c r="A404">
        <v>403</v>
      </c>
      <c r="B404" t="s">
        <v>445</v>
      </c>
      <c r="C404" t="s">
        <v>640</v>
      </c>
      <c r="D404" s="72" t="s">
        <v>654</v>
      </c>
      <c r="E404" t="s">
        <v>73</v>
      </c>
      <c r="F404" t="s">
        <v>655</v>
      </c>
      <c r="G404" s="92">
        <v>42571.458668981482</v>
      </c>
      <c r="H404" s="92">
        <v>42570.415925925925</v>
      </c>
      <c r="I404" s="92">
        <v>42570.415914351855</v>
      </c>
      <c r="J404" s="92">
        <v>42591.437280092592</v>
      </c>
      <c r="K404" s="92">
        <v>42574.46947916667</v>
      </c>
      <c r="L404" s="92">
        <f>IF(AND(单词表[[#This Row],[学英]]&lt;&gt;"",单词表[[#This Row],[学中]]&lt;&gt;"",单词表[[#This Row],[学词]]&lt;&gt;""),MAX(单词表[[#This Row],[学英]:[学词]]),"")</f>
        <v>42571.458668981482</v>
      </c>
      <c r="M404" s="2">
        <f>IF(AND(单词表[[#This Row],[考英]]&lt;&gt;"",单词表[[#This Row],[考中]]&lt;&gt;""),MAX(单词表[[#This Row],[考英]:[考中]]),"")</f>
        <v>42591.437280092592</v>
      </c>
      <c r="N404" s="33"/>
      <c r="P404" s="32"/>
    </row>
    <row r="405" spans="1:16" hidden="1" x14ac:dyDescent="0.15">
      <c r="A405">
        <v>404</v>
      </c>
      <c r="B405" t="s">
        <v>445</v>
      </c>
      <c r="C405" t="s">
        <v>640</v>
      </c>
      <c r="D405" s="72" t="s">
        <v>656</v>
      </c>
      <c r="E405" t="s">
        <v>73</v>
      </c>
      <c r="F405" t="s">
        <v>657</v>
      </c>
      <c r="G405" s="92">
        <v>42591.478668981479</v>
      </c>
      <c r="H405" s="92">
        <v>42570.445659722223</v>
      </c>
      <c r="I405" s="92">
        <v>42570.445648148147</v>
      </c>
      <c r="J405" s="92">
        <v>42591.481400462966</v>
      </c>
      <c r="K405" s="92">
        <v>42574.469571759262</v>
      </c>
      <c r="L405" s="92">
        <f>IF(AND(单词表[[#This Row],[学英]]&lt;&gt;"",单词表[[#This Row],[学中]]&lt;&gt;"",单词表[[#This Row],[学词]]&lt;&gt;""),MAX(单词表[[#This Row],[学英]:[学词]]),"")</f>
        <v>42591.478668981479</v>
      </c>
      <c r="M405" s="2">
        <f>IF(AND(单词表[[#This Row],[考英]]&lt;&gt;"",单词表[[#This Row],[考中]]&lt;&gt;""),MAX(单词表[[#This Row],[考英]:[考中]]),"")</f>
        <v>42591.481400462966</v>
      </c>
      <c r="N405" s="33"/>
      <c r="P405" s="32"/>
    </row>
    <row r="406" spans="1:16" hidden="1" x14ac:dyDescent="0.15">
      <c r="A406">
        <v>405</v>
      </c>
      <c r="B406" t="s">
        <v>445</v>
      </c>
      <c r="C406" t="s">
        <v>640</v>
      </c>
      <c r="D406" s="72" t="s">
        <v>658</v>
      </c>
      <c r="E406" t="s">
        <v>36</v>
      </c>
      <c r="F406" t="s">
        <v>659</v>
      </c>
      <c r="G406" s="92">
        <v>42570.413703703707</v>
      </c>
      <c r="H406" s="92">
        <v>42570.413738425923</v>
      </c>
      <c r="I406" s="92">
        <v>42570.413715277777</v>
      </c>
      <c r="J406" s="92">
        <v>42591.437719907408</v>
      </c>
      <c r="K406" s="92">
        <v>42574.469606481478</v>
      </c>
      <c r="L406" s="92">
        <f>IF(AND(单词表[[#This Row],[学英]]&lt;&gt;"",单词表[[#This Row],[学中]]&lt;&gt;"",单词表[[#This Row],[学词]]&lt;&gt;""),MAX(单词表[[#This Row],[学英]:[学词]]),"")</f>
        <v>42570.413738425923</v>
      </c>
      <c r="M406" s="2">
        <f>IF(AND(单词表[[#This Row],[考英]]&lt;&gt;"",单词表[[#This Row],[考中]]&lt;&gt;""),MAX(单词表[[#This Row],[考英]:[考中]]),"")</f>
        <v>42591.437719907408</v>
      </c>
      <c r="N406" s="33"/>
      <c r="P406" s="32"/>
    </row>
    <row r="407" spans="1:16" hidden="1" x14ac:dyDescent="0.15">
      <c r="A407">
        <v>406</v>
      </c>
      <c r="B407" t="s">
        <v>445</v>
      </c>
      <c r="C407" t="s">
        <v>640</v>
      </c>
      <c r="D407" s="72" t="s">
        <v>660</v>
      </c>
      <c r="E407" t="s">
        <v>157</v>
      </c>
      <c r="F407" t="s">
        <v>661</v>
      </c>
      <c r="G407" s="92">
        <v>42574.47965277778</v>
      </c>
      <c r="H407" s="92">
        <v>42570.443854166668</v>
      </c>
      <c r="I407" s="92">
        <v>42570.443831018521</v>
      </c>
      <c r="J407" s="92">
        <v>42591.438136574077</v>
      </c>
      <c r="K407" s="92">
        <v>42574.469675925924</v>
      </c>
      <c r="L407" s="92">
        <f>IF(AND(单词表[[#This Row],[学英]]&lt;&gt;"",单词表[[#This Row],[学中]]&lt;&gt;"",单词表[[#This Row],[学词]]&lt;&gt;""),MAX(单词表[[#This Row],[学英]:[学词]]),"")</f>
        <v>42574.47965277778</v>
      </c>
      <c r="M407" s="2">
        <f>IF(AND(单词表[[#This Row],[考英]]&lt;&gt;"",单词表[[#This Row],[考中]]&lt;&gt;""),MAX(单词表[[#This Row],[考英]:[考中]]),"")</f>
        <v>42591.438136574077</v>
      </c>
      <c r="N407" s="33"/>
      <c r="P407" s="32"/>
    </row>
    <row r="408" spans="1:16" hidden="1" x14ac:dyDescent="0.15">
      <c r="A408">
        <v>407</v>
      </c>
      <c r="B408" t="s">
        <v>445</v>
      </c>
      <c r="C408" t="s">
        <v>640</v>
      </c>
      <c r="D408" s="72" t="s">
        <v>662</v>
      </c>
      <c r="E408" t="s">
        <v>73</v>
      </c>
      <c r="F408" t="s">
        <v>663</v>
      </c>
      <c r="G408" s="92">
        <v>42574.483171296299</v>
      </c>
      <c r="H408" s="92">
        <v>42570.411631944444</v>
      </c>
      <c r="I408" s="92">
        <v>42570.411620370367</v>
      </c>
      <c r="J408" s="92">
        <v>42591.438263888886</v>
      </c>
      <c r="K408" s="92">
        <v>42574.469733796293</v>
      </c>
      <c r="L408" s="92">
        <f>IF(AND(单词表[[#This Row],[学英]]&lt;&gt;"",单词表[[#This Row],[学中]]&lt;&gt;"",单词表[[#This Row],[学词]]&lt;&gt;""),MAX(单词表[[#This Row],[学英]:[学词]]),"")</f>
        <v>42574.483171296299</v>
      </c>
      <c r="M408" s="2">
        <f>IF(AND(单词表[[#This Row],[考英]]&lt;&gt;"",单词表[[#This Row],[考中]]&lt;&gt;""),MAX(单词表[[#This Row],[考英]:[考中]]),"")</f>
        <v>42591.438263888886</v>
      </c>
      <c r="N408" s="33"/>
      <c r="P408" s="32"/>
    </row>
    <row r="409" spans="1:16" hidden="1" x14ac:dyDescent="0.15">
      <c r="A409">
        <v>408</v>
      </c>
      <c r="B409" t="s">
        <v>445</v>
      </c>
      <c r="C409" t="s">
        <v>640</v>
      </c>
      <c r="D409" s="72" t="s">
        <v>664</v>
      </c>
      <c r="E409" t="s">
        <v>61</v>
      </c>
      <c r="F409" t="s">
        <v>665</v>
      </c>
      <c r="G409" s="92">
        <v>42571.473645833335</v>
      </c>
      <c r="H409" s="92">
        <v>42571.45884259259</v>
      </c>
      <c r="I409" s="92">
        <v>42571.45884259259</v>
      </c>
      <c r="J409" s="92">
        <v>42591.438402777778</v>
      </c>
      <c r="K409" s="92">
        <v>42574.470821759256</v>
      </c>
      <c r="L409" s="92">
        <f>IF(AND(单词表[[#This Row],[学英]]&lt;&gt;"",单词表[[#This Row],[学中]]&lt;&gt;"",单词表[[#This Row],[学词]]&lt;&gt;""),MAX(单词表[[#This Row],[学英]:[学词]]),"")</f>
        <v>42571.473645833335</v>
      </c>
      <c r="M409" s="2">
        <f>IF(AND(单词表[[#This Row],[考英]]&lt;&gt;"",单词表[[#This Row],[考中]]&lt;&gt;""),MAX(单词表[[#This Row],[考英]:[考中]]),"")</f>
        <v>42591.438402777778</v>
      </c>
      <c r="N409" s="33"/>
      <c r="P409" s="32"/>
    </row>
    <row r="410" spans="1:16" hidden="1" x14ac:dyDescent="0.15">
      <c r="A410">
        <v>409</v>
      </c>
      <c r="B410" t="s">
        <v>445</v>
      </c>
      <c r="C410" t="s">
        <v>640</v>
      </c>
      <c r="D410" s="72" t="s">
        <v>666</v>
      </c>
      <c r="E410" t="s">
        <v>73</v>
      </c>
      <c r="F410" t="s">
        <v>667</v>
      </c>
      <c r="G410" s="92">
        <v>42571.481296296297</v>
      </c>
      <c r="H410" s="92">
        <v>42570.442372685182</v>
      </c>
      <c r="I410" s="92">
        <v>42570.442361111112</v>
      </c>
      <c r="J410" s="92">
        <v>42591.438460648147</v>
      </c>
      <c r="K410" s="92">
        <v>42574.470891203702</v>
      </c>
      <c r="L410" s="92">
        <f>IF(AND(单词表[[#This Row],[学英]]&lt;&gt;"",单词表[[#This Row],[学中]]&lt;&gt;"",单词表[[#This Row],[学词]]&lt;&gt;""),MAX(单词表[[#This Row],[学英]:[学词]]),"")</f>
        <v>42571.481296296297</v>
      </c>
      <c r="M410" s="2">
        <f>IF(AND(单词表[[#This Row],[考英]]&lt;&gt;"",单词表[[#This Row],[考中]]&lt;&gt;""),MAX(单词表[[#This Row],[考英]:[考中]]),"")</f>
        <v>42591.438460648147</v>
      </c>
      <c r="N410" s="33"/>
      <c r="P410" s="32"/>
    </row>
    <row r="411" spans="1:16" hidden="1" x14ac:dyDescent="0.15">
      <c r="A411">
        <v>410</v>
      </c>
      <c r="B411" t="s">
        <v>445</v>
      </c>
      <c r="C411" t="s">
        <v>640</v>
      </c>
      <c r="D411" s="72" t="s">
        <v>668</v>
      </c>
      <c r="E411" t="s">
        <v>36</v>
      </c>
      <c r="F411" t="s">
        <v>669</v>
      </c>
      <c r="G411" s="92">
        <v>42571.48133101852</v>
      </c>
      <c r="H411" s="92">
        <v>42570.448263888888</v>
      </c>
      <c r="I411" s="92">
        <v>42570.448263888888</v>
      </c>
      <c r="J411" s="92">
        <v>42591.438599537039</v>
      </c>
      <c r="K411" s="92">
        <v>42574.470960648148</v>
      </c>
      <c r="L411" s="92">
        <f>IF(AND(单词表[[#This Row],[学英]]&lt;&gt;"",单词表[[#This Row],[学中]]&lt;&gt;"",单词表[[#This Row],[学词]]&lt;&gt;""),MAX(单词表[[#This Row],[学英]:[学词]]),"")</f>
        <v>42571.48133101852</v>
      </c>
      <c r="M411" s="2">
        <f>IF(AND(单词表[[#This Row],[考英]]&lt;&gt;"",单词表[[#This Row],[考中]]&lt;&gt;""),MAX(单词表[[#This Row],[考英]:[考中]]),"")</f>
        <v>42591.438599537039</v>
      </c>
      <c r="N411" s="33"/>
      <c r="P411" s="32"/>
    </row>
    <row r="412" spans="1:16" hidden="1" x14ac:dyDescent="0.15">
      <c r="A412">
        <v>411</v>
      </c>
      <c r="B412" t="s">
        <v>445</v>
      </c>
      <c r="C412" t="s">
        <v>640</v>
      </c>
      <c r="D412" s="72" t="s">
        <v>670</v>
      </c>
      <c r="E412" t="s">
        <v>73</v>
      </c>
      <c r="F412" t="s">
        <v>671</v>
      </c>
      <c r="G412" s="92">
        <v>42591.486192129632</v>
      </c>
      <c r="H412" s="92">
        <v>42570.445555555554</v>
      </c>
      <c r="I412" s="92">
        <v>42570.445543981485</v>
      </c>
      <c r="J412" s="92">
        <v>42591.508402777778</v>
      </c>
      <c r="K412" s="92">
        <v>42574.471041666664</v>
      </c>
      <c r="L412" s="92">
        <f>IF(AND(单词表[[#This Row],[学英]]&lt;&gt;"",单词表[[#This Row],[学中]]&lt;&gt;"",单词表[[#This Row],[学词]]&lt;&gt;""),MAX(单词表[[#This Row],[学英]:[学词]]),"")</f>
        <v>42591.486192129632</v>
      </c>
      <c r="M412" s="2">
        <f>IF(AND(单词表[[#This Row],[考英]]&lt;&gt;"",单词表[[#This Row],[考中]]&lt;&gt;""),MAX(单词表[[#This Row],[考英]:[考中]]),"")</f>
        <v>42591.508402777778</v>
      </c>
      <c r="N412" s="33"/>
      <c r="P412" s="32"/>
    </row>
    <row r="413" spans="1:16" hidden="1" x14ac:dyDescent="0.15">
      <c r="A413">
        <v>412</v>
      </c>
      <c r="B413" t="s">
        <v>445</v>
      </c>
      <c r="C413" t="s">
        <v>640</v>
      </c>
      <c r="D413" s="72" t="s">
        <v>672</v>
      </c>
      <c r="E413" t="s">
        <v>36</v>
      </c>
      <c r="F413" t="s">
        <v>673</v>
      </c>
      <c r="G413" s="92">
        <v>42574.478472222225</v>
      </c>
      <c r="H413" s="92">
        <v>42570.449363425927</v>
      </c>
      <c r="I413" s="92">
        <v>42570.44935185185</v>
      </c>
      <c r="J413" s="92">
        <v>42591.438969907409</v>
      </c>
      <c r="K413" s="92">
        <v>42574.471122685187</v>
      </c>
      <c r="L413" s="92">
        <f>IF(AND(单词表[[#This Row],[学英]]&lt;&gt;"",单词表[[#This Row],[学中]]&lt;&gt;"",单词表[[#This Row],[学词]]&lt;&gt;""),MAX(单词表[[#This Row],[学英]:[学词]]),"")</f>
        <v>42574.478472222225</v>
      </c>
      <c r="M413" s="2">
        <f>IF(AND(单词表[[#This Row],[考英]]&lt;&gt;"",单词表[[#This Row],[考中]]&lt;&gt;""),MAX(单词表[[#This Row],[考英]:[考中]]),"")</f>
        <v>42591.438969907409</v>
      </c>
      <c r="N413" s="33"/>
      <c r="P413" s="32"/>
    </row>
    <row r="414" spans="1:16" hidden="1" x14ac:dyDescent="0.15">
      <c r="A414">
        <v>413</v>
      </c>
      <c r="B414" t="s">
        <v>445</v>
      </c>
      <c r="C414" t="s">
        <v>640</v>
      </c>
      <c r="D414" s="72" t="s">
        <v>385</v>
      </c>
      <c r="E414" t="s">
        <v>61</v>
      </c>
      <c r="F414" t="s">
        <v>386</v>
      </c>
      <c r="G414" s="92">
        <v>42571.464722222219</v>
      </c>
      <c r="H414" s="92">
        <v>42570.441377314812</v>
      </c>
      <c r="I414" s="92">
        <v>42570.441365740742</v>
      </c>
      <c r="J414" s="92">
        <v>42591.439282407409</v>
      </c>
      <c r="K414" s="92">
        <v>42574.471180555556</v>
      </c>
      <c r="L414" s="92">
        <f>IF(AND(单词表[[#This Row],[学英]]&lt;&gt;"",单词表[[#This Row],[学中]]&lt;&gt;"",单词表[[#This Row],[学词]]&lt;&gt;""),MAX(单词表[[#This Row],[学英]:[学词]]),"")</f>
        <v>42571.464722222219</v>
      </c>
      <c r="M414" s="2">
        <f>IF(AND(单词表[[#This Row],[考英]]&lt;&gt;"",单词表[[#This Row],[考中]]&lt;&gt;""),MAX(单词表[[#This Row],[考英]:[考中]]),"")</f>
        <v>42591.439282407409</v>
      </c>
      <c r="N414" s="33"/>
      <c r="P414" s="32"/>
    </row>
    <row r="415" spans="1:16" hidden="1" x14ac:dyDescent="0.15">
      <c r="A415">
        <v>414</v>
      </c>
      <c r="B415" t="s">
        <v>445</v>
      </c>
      <c r="C415" t="s">
        <v>640</v>
      </c>
      <c r="D415" s="72" t="s">
        <v>674</v>
      </c>
      <c r="E415" t="s">
        <v>36</v>
      </c>
      <c r="F415" t="s">
        <v>675</v>
      </c>
      <c r="G415" s="92">
        <v>42571.451504629629</v>
      </c>
      <c r="H415" s="92">
        <v>42570.441516203704</v>
      </c>
      <c r="I415" s="92">
        <v>42570.441504629627</v>
      </c>
      <c r="J415" s="92">
        <v>42591.439351851855</v>
      </c>
      <c r="K415" s="92">
        <v>42574.471435185187</v>
      </c>
      <c r="L415" s="92">
        <f>IF(AND(单词表[[#This Row],[学英]]&lt;&gt;"",单词表[[#This Row],[学中]]&lt;&gt;"",单词表[[#This Row],[学词]]&lt;&gt;""),MAX(单词表[[#This Row],[学英]:[学词]]),"")</f>
        <v>42571.451504629629</v>
      </c>
      <c r="M415" s="2">
        <f>IF(AND(单词表[[#This Row],[考英]]&lt;&gt;"",单词表[[#This Row],[考中]]&lt;&gt;""),MAX(单词表[[#This Row],[考英]:[考中]]),"")</f>
        <v>42591.439351851855</v>
      </c>
      <c r="N415" s="33"/>
      <c r="P415" s="32"/>
    </row>
    <row r="416" spans="1:16" hidden="1" x14ac:dyDescent="0.15">
      <c r="A416">
        <v>415</v>
      </c>
      <c r="B416" t="s">
        <v>445</v>
      </c>
      <c r="C416" t="s">
        <v>640</v>
      </c>
      <c r="D416" s="72" t="s">
        <v>676</v>
      </c>
      <c r="E416" t="s">
        <v>73</v>
      </c>
      <c r="F416" t="s">
        <v>677</v>
      </c>
      <c r="G416" s="92">
        <v>42571.451527777775</v>
      </c>
      <c r="H416" s="92">
        <v>42570.441469907404</v>
      </c>
      <c r="I416" s="92">
        <v>42570.441458333335</v>
      </c>
      <c r="J416" s="92">
        <v>42591.43949074074</v>
      </c>
      <c r="K416" s="92">
        <v>42574.471539351849</v>
      </c>
      <c r="L416" s="92">
        <f>IF(AND(单词表[[#This Row],[学英]]&lt;&gt;"",单词表[[#This Row],[学中]]&lt;&gt;"",单词表[[#This Row],[学词]]&lt;&gt;""),MAX(单词表[[#This Row],[学英]:[学词]]),"")</f>
        <v>42571.451527777775</v>
      </c>
      <c r="M416" s="2">
        <f>IF(AND(单词表[[#This Row],[考英]]&lt;&gt;"",单词表[[#This Row],[考中]]&lt;&gt;""),MAX(单词表[[#This Row],[考英]:[考中]]),"")</f>
        <v>42591.43949074074</v>
      </c>
      <c r="N416" s="33"/>
      <c r="P416" s="32"/>
    </row>
    <row r="417" spans="1:16" hidden="1" x14ac:dyDescent="0.15">
      <c r="A417">
        <v>416</v>
      </c>
      <c r="B417" t="s">
        <v>445</v>
      </c>
      <c r="C417" t="s">
        <v>640</v>
      </c>
      <c r="D417" s="72" t="s">
        <v>678</v>
      </c>
      <c r="E417" t="s">
        <v>36</v>
      </c>
      <c r="F417" t="s">
        <v>679</v>
      </c>
      <c r="G417" s="92">
        <v>42571.451562499999</v>
      </c>
      <c r="H417" s="92">
        <v>42570.445474537039</v>
      </c>
      <c r="I417" s="92">
        <v>42570.445474537039</v>
      </c>
      <c r="J417" s="92">
        <v>42591.439560185187</v>
      </c>
      <c r="K417" s="92">
        <v>42574.471678240741</v>
      </c>
      <c r="L417" s="92">
        <f>IF(AND(单词表[[#This Row],[学英]]&lt;&gt;"",单词表[[#This Row],[学中]]&lt;&gt;"",单词表[[#This Row],[学词]]&lt;&gt;""),MAX(单词表[[#This Row],[学英]:[学词]]),"")</f>
        <v>42571.451562499999</v>
      </c>
      <c r="M417" s="2">
        <f>IF(AND(单词表[[#This Row],[考英]]&lt;&gt;"",单词表[[#This Row],[考中]]&lt;&gt;""),MAX(单词表[[#This Row],[考英]:[考中]]),"")</f>
        <v>42591.439560185187</v>
      </c>
      <c r="N417" s="33"/>
      <c r="P417" s="32"/>
    </row>
    <row r="418" spans="1:16" hidden="1" x14ac:dyDescent="0.15">
      <c r="A418">
        <v>417</v>
      </c>
      <c r="B418" t="s">
        <v>445</v>
      </c>
      <c r="C418" t="s">
        <v>640</v>
      </c>
      <c r="D418" s="72" t="s">
        <v>680</v>
      </c>
      <c r="E418" t="s">
        <v>36</v>
      </c>
      <c r="F418" t="s">
        <v>681</v>
      </c>
      <c r="G418" s="92">
        <v>42574.478564814817</v>
      </c>
      <c r="H418" s="92">
        <v>42570.413587962961</v>
      </c>
      <c r="I418" s="92">
        <v>42570.413587962961</v>
      </c>
      <c r="J418" s="92">
        <v>42591.439699074072</v>
      </c>
      <c r="K418" s="92">
        <v>42574.471747685187</v>
      </c>
      <c r="L418" s="92">
        <f>IF(AND(单词表[[#This Row],[学英]]&lt;&gt;"",单词表[[#This Row],[学中]]&lt;&gt;"",单词表[[#This Row],[学词]]&lt;&gt;""),MAX(单词表[[#This Row],[学英]:[学词]]),"")</f>
        <v>42574.478564814817</v>
      </c>
      <c r="M418" s="2">
        <f>IF(AND(单词表[[#This Row],[考英]]&lt;&gt;"",单词表[[#This Row],[考中]]&lt;&gt;""),MAX(单词表[[#This Row],[考英]:[考中]]),"")</f>
        <v>42591.439699074072</v>
      </c>
      <c r="N418" s="33"/>
      <c r="P418" s="32"/>
    </row>
    <row r="419" spans="1:16" hidden="1" x14ac:dyDescent="0.15">
      <c r="A419">
        <v>418</v>
      </c>
      <c r="B419" t="s">
        <v>445</v>
      </c>
      <c r="C419" t="s">
        <v>640</v>
      </c>
      <c r="D419" s="72" t="s">
        <v>682</v>
      </c>
      <c r="E419" t="s">
        <v>36</v>
      </c>
      <c r="F419" t="s">
        <v>683</v>
      </c>
      <c r="G419" s="92">
        <v>42570.465879629628</v>
      </c>
      <c r="H419" s="92">
        <v>42570.442314814813</v>
      </c>
      <c r="I419" s="92">
        <v>42570.442303240743</v>
      </c>
      <c r="J419" s="92">
        <v>42591.439756944441</v>
      </c>
      <c r="K419" s="92">
        <v>42574.471782407411</v>
      </c>
      <c r="L419" s="92">
        <f>IF(AND(单词表[[#This Row],[学英]]&lt;&gt;"",单词表[[#This Row],[学中]]&lt;&gt;"",单词表[[#This Row],[学词]]&lt;&gt;""),MAX(单词表[[#This Row],[学英]:[学词]]),"")</f>
        <v>42570.465879629628</v>
      </c>
      <c r="M419" s="2">
        <f>IF(AND(单词表[[#This Row],[考英]]&lt;&gt;"",单词表[[#This Row],[考中]]&lt;&gt;""),MAX(单词表[[#This Row],[考英]:[考中]]),"")</f>
        <v>42591.439756944441</v>
      </c>
      <c r="N419" s="33"/>
      <c r="P419" s="32"/>
    </row>
    <row r="420" spans="1:16" hidden="1" x14ac:dyDescent="0.15">
      <c r="A420">
        <v>419</v>
      </c>
      <c r="B420" t="s">
        <v>445</v>
      </c>
      <c r="C420" t="s">
        <v>640</v>
      </c>
      <c r="D420" s="72" t="s">
        <v>684</v>
      </c>
      <c r="E420" t="s">
        <v>36</v>
      </c>
      <c r="F420" t="s">
        <v>685</v>
      </c>
      <c r="G420" s="92">
        <v>42591.486203703702</v>
      </c>
      <c r="H420" s="92">
        <v>42570.411747685182</v>
      </c>
      <c r="I420" s="92">
        <v>42570.411736111113</v>
      </c>
      <c r="J420" s="92">
        <v>42591.508564814816</v>
      </c>
      <c r="K420" s="92">
        <v>42574.471909722219</v>
      </c>
      <c r="L420" s="92">
        <f>IF(AND(单词表[[#This Row],[学英]]&lt;&gt;"",单词表[[#This Row],[学中]]&lt;&gt;"",单词表[[#This Row],[学词]]&lt;&gt;""),MAX(单词表[[#This Row],[学英]:[学词]]),"")</f>
        <v>42591.486203703702</v>
      </c>
      <c r="M420" s="2">
        <f>IF(AND(单词表[[#This Row],[考英]]&lt;&gt;"",单词表[[#This Row],[考中]]&lt;&gt;""),MAX(单词表[[#This Row],[考英]:[考中]]),"")</f>
        <v>42591.508564814816</v>
      </c>
      <c r="N420" s="33"/>
      <c r="P420" s="32"/>
    </row>
    <row r="421" spans="1:16" hidden="1" x14ac:dyDescent="0.15">
      <c r="A421">
        <v>420</v>
      </c>
      <c r="B421" t="s">
        <v>445</v>
      </c>
      <c r="C421" t="s">
        <v>640</v>
      </c>
      <c r="D421" s="72" t="s">
        <v>686</v>
      </c>
      <c r="E421" t="s">
        <v>36</v>
      </c>
      <c r="F421" t="s">
        <v>687</v>
      </c>
      <c r="G421" s="92">
        <v>42574.478784722225</v>
      </c>
      <c r="H421" s="92">
        <v>42570.44903935185</v>
      </c>
      <c r="I421" s="92">
        <v>42570.44902777778</v>
      </c>
      <c r="J421" s="92">
        <v>42591.440034722225</v>
      </c>
      <c r="K421" s="92">
        <v>42574.471944444442</v>
      </c>
      <c r="L421" s="92">
        <f>IF(AND(单词表[[#This Row],[学英]]&lt;&gt;"",单词表[[#This Row],[学中]]&lt;&gt;"",单词表[[#This Row],[学词]]&lt;&gt;""),MAX(单词表[[#This Row],[学英]:[学词]]),"")</f>
        <v>42574.478784722225</v>
      </c>
      <c r="M421" s="2">
        <f>IF(AND(单词表[[#This Row],[考英]]&lt;&gt;"",单词表[[#This Row],[考中]]&lt;&gt;""),MAX(单词表[[#This Row],[考英]:[考中]]),"")</f>
        <v>42591.440034722225</v>
      </c>
      <c r="N421" s="33"/>
      <c r="P421" s="32"/>
    </row>
    <row r="422" spans="1:16" hidden="1" x14ac:dyDescent="0.15">
      <c r="A422">
        <v>421</v>
      </c>
      <c r="B422" t="s">
        <v>445</v>
      </c>
      <c r="C422" t="s">
        <v>640</v>
      </c>
      <c r="D422" s="72" t="s">
        <v>688</v>
      </c>
      <c r="E422" t="s">
        <v>61</v>
      </c>
      <c r="F422" t="s">
        <v>689</v>
      </c>
      <c r="G422" s="92">
        <v>42574.478912037041</v>
      </c>
      <c r="H422" s="92">
        <v>42574.478946759256</v>
      </c>
      <c r="I422" s="92">
        <v>42574.47892361111</v>
      </c>
      <c r="J422" s="92">
        <v>42591.440324074072</v>
      </c>
      <c r="K422" s="92">
        <v>42574.492152777777</v>
      </c>
      <c r="L422" s="92">
        <f>IF(AND(单词表[[#This Row],[学英]]&lt;&gt;"",单词表[[#This Row],[学中]]&lt;&gt;"",单词表[[#This Row],[学词]]&lt;&gt;""),MAX(单词表[[#This Row],[学英]:[学词]]),"")</f>
        <v>42574.478946759256</v>
      </c>
      <c r="M422" s="2">
        <f>IF(AND(单词表[[#This Row],[考英]]&lt;&gt;"",单词表[[#This Row],[考中]]&lt;&gt;""),MAX(单词表[[#This Row],[考英]:[考中]]),"")</f>
        <v>42591.440324074072</v>
      </c>
      <c r="N422" s="33"/>
      <c r="P422" s="32"/>
    </row>
    <row r="423" spans="1:16" hidden="1" x14ac:dyDescent="0.15">
      <c r="A423">
        <v>422</v>
      </c>
      <c r="B423" t="s">
        <v>445</v>
      </c>
      <c r="C423" t="s">
        <v>640</v>
      </c>
      <c r="D423" s="72" t="s">
        <v>690</v>
      </c>
      <c r="E423" t="s">
        <v>73</v>
      </c>
      <c r="F423" t="s">
        <v>691</v>
      </c>
      <c r="G423" s="92">
        <v>42591.478726851848</v>
      </c>
      <c r="H423" s="92">
        <v>42570.446446759262</v>
      </c>
      <c r="I423" s="92">
        <v>42570.446446759262</v>
      </c>
      <c r="J423" s="92">
        <v>42591.481898148151</v>
      </c>
      <c r="K423" s="92">
        <v>42574.472453703704</v>
      </c>
      <c r="L423" s="92">
        <f>IF(AND(单词表[[#This Row],[学英]]&lt;&gt;"",单词表[[#This Row],[学中]]&lt;&gt;"",单词表[[#This Row],[学词]]&lt;&gt;""),MAX(单词表[[#This Row],[学英]:[学词]]),"")</f>
        <v>42591.478726851848</v>
      </c>
      <c r="M423" s="2">
        <f>IF(AND(单词表[[#This Row],[考英]]&lt;&gt;"",单词表[[#This Row],[考中]]&lt;&gt;""),MAX(单词表[[#This Row],[考英]:[考中]]),"")</f>
        <v>42591.481898148151</v>
      </c>
      <c r="N423" s="33"/>
      <c r="P423" s="32"/>
    </row>
    <row r="424" spans="1:16" hidden="1" x14ac:dyDescent="0.15">
      <c r="A424">
        <v>423</v>
      </c>
      <c r="B424" t="s">
        <v>445</v>
      </c>
      <c r="C424" t="s">
        <v>692</v>
      </c>
      <c r="D424" s="72" t="s">
        <v>693</v>
      </c>
      <c r="E424" t="s">
        <v>36</v>
      </c>
      <c r="F424" t="s">
        <v>694</v>
      </c>
      <c r="G424" s="92">
        <v>42572.81212962963</v>
      </c>
      <c r="H424" s="92">
        <v>42572.81212962963</v>
      </c>
      <c r="I424" s="92">
        <v>42572.81212962963</v>
      </c>
      <c r="J424" s="92">
        <v>42572.81212962963</v>
      </c>
      <c r="K424" s="92">
        <v>42575.449675925927</v>
      </c>
      <c r="L424" s="92">
        <f>IF(AND(单词表[[#This Row],[学英]]&lt;&gt;"",单词表[[#This Row],[学中]]&lt;&gt;"",单词表[[#This Row],[学词]]&lt;&gt;""),MAX(单词表[[#This Row],[学英]:[学词]]),"")</f>
        <v>42572.81212962963</v>
      </c>
      <c r="M424" s="2">
        <f>IF(AND(单词表[[#This Row],[考英]]&lt;&gt;"",单词表[[#This Row],[考中]]&lt;&gt;""),MAX(单词表[[#This Row],[考英]:[考中]]),"")</f>
        <v>42575.449675925927</v>
      </c>
      <c r="N424" s="33"/>
      <c r="P424" s="32"/>
    </row>
    <row r="425" spans="1:16" hidden="1" x14ac:dyDescent="0.15">
      <c r="A425">
        <v>424</v>
      </c>
      <c r="B425" t="s">
        <v>445</v>
      </c>
      <c r="C425" t="s">
        <v>692</v>
      </c>
      <c r="D425" s="72" t="s">
        <v>238</v>
      </c>
      <c r="E425" t="s">
        <v>61</v>
      </c>
      <c r="F425" t="s">
        <v>239</v>
      </c>
      <c r="G425" s="92">
        <v>42575.458645833336</v>
      </c>
      <c r="H425" s="92">
        <v>42575.458668981482</v>
      </c>
      <c r="I425" s="92">
        <v>42575.458657407406</v>
      </c>
      <c r="J425" s="92">
        <v>42575.463194444441</v>
      </c>
      <c r="K425" s="92">
        <v>42575.464606481481</v>
      </c>
      <c r="L425" s="92">
        <f>IF(AND(单词表[[#This Row],[学英]]&lt;&gt;"",单词表[[#This Row],[学中]]&lt;&gt;"",单词表[[#This Row],[学词]]&lt;&gt;""),MAX(单词表[[#This Row],[学英]:[学词]]),"")</f>
        <v>42575.458668981482</v>
      </c>
      <c r="M425" s="2">
        <f>IF(AND(单词表[[#This Row],[考英]]&lt;&gt;"",单词表[[#This Row],[考中]]&lt;&gt;""),MAX(单词表[[#This Row],[考英]:[考中]]),"")</f>
        <v>42575.464606481481</v>
      </c>
      <c r="N425" s="33"/>
      <c r="P425" s="32"/>
    </row>
    <row r="426" spans="1:16" hidden="1" x14ac:dyDescent="0.15">
      <c r="A426">
        <v>425</v>
      </c>
      <c r="B426" t="s">
        <v>445</v>
      </c>
      <c r="C426" t="s">
        <v>692</v>
      </c>
      <c r="D426" s="72" t="s">
        <v>695</v>
      </c>
      <c r="E426" t="s">
        <v>61</v>
      </c>
      <c r="F426" t="s">
        <v>696</v>
      </c>
      <c r="G426" s="92">
        <v>42575.458761574075</v>
      </c>
      <c r="H426" s="92">
        <v>42572.81212962963</v>
      </c>
      <c r="I426" s="92">
        <v>42572.81212962963</v>
      </c>
      <c r="J426" s="92">
        <v>42575.463310185187</v>
      </c>
      <c r="K426" s="92">
        <v>42575.452534722222</v>
      </c>
      <c r="L426" s="92">
        <f>IF(AND(单词表[[#This Row],[学英]]&lt;&gt;"",单词表[[#This Row],[学中]]&lt;&gt;"",单词表[[#This Row],[学词]]&lt;&gt;""),MAX(单词表[[#This Row],[学英]:[学词]]),"")</f>
        <v>42575.458761574075</v>
      </c>
      <c r="M426" s="2">
        <f>IF(AND(单词表[[#This Row],[考英]]&lt;&gt;"",单词表[[#This Row],[考中]]&lt;&gt;""),MAX(单词表[[#This Row],[考英]:[考中]]),"")</f>
        <v>42575.463310185187</v>
      </c>
      <c r="N426" s="33" t="s">
        <v>1029</v>
      </c>
      <c r="P426" s="32"/>
    </row>
    <row r="427" spans="1:16" hidden="1" x14ac:dyDescent="0.15">
      <c r="A427">
        <v>426</v>
      </c>
      <c r="B427" t="s">
        <v>445</v>
      </c>
      <c r="C427" t="s">
        <v>692</v>
      </c>
      <c r="D427" s="72" t="s">
        <v>697</v>
      </c>
      <c r="E427" t="s">
        <v>61</v>
      </c>
      <c r="F427" t="s">
        <v>698</v>
      </c>
      <c r="G427" s="92">
        <v>42572.81212962963</v>
      </c>
      <c r="H427" s="92">
        <v>42572.81212962963</v>
      </c>
      <c r="I427" s="92">
        <v>42572.81212962963</v>
      </c>
      <c r="J427" s="92">
        <v>42572.813252314816</v>
      </c>
      <c r="K427" s="92">
        <v>42575.449618055558</v>
      </c>
      <c r="L427" s="92">
        <f>IF(AND(单词表[[#This Row],[学英]]&lt;&gt;"",单词表[[#This Row],[学中]]&lt;&gt;"",单词表[[#This Row],[学词]]&lt;&gt;""),MAX(单词表[[#This Row],[学英]:[学词]]),"")</f>
        <v>42572.81212962963</v>
      </c>
      <c r="M427" s="2">
        <f>IF(AND(单词表[[#This Row],[考英]]&lt;&gt;"",单词表[[#This Row],[考中]]&lt;&gt;""),MAX(单词表[[#This Row],[考英]:[考中]]),"")</f>
        <v>42575.449618055558</v>
      </c>
      <c r="N427" s="33" t="s">
        <v>1268</v>
      </c>
      <c r="P427" s="32"/>
    </row>
    <row r="428" spans="1:16" hidden="1" x14ac:dyDescent="0.15">
      <c r="A428">
        <v>427</v>
      </c>
      <c r="B428" t="s">
        <v>445</v>
      </c>
      <c r="C428" t="s">
        <v>692</v>
      </c>
      <c r="D428" s="72" t="s">
        <v>699</v>
      </c>
      <c r="E428" t="s">
        <v>61</v>
      </c>
      <c r="F428" t="s">
        <v>700</v>
      </c>
      <c r="G428" s="92">
        <v>42575.458877314813</v>
      </c>
      <c r="H428" s="92">
        <v>42572.81212962963</v>
      </c>
      <c r="I428" s="92">
        <v>42572.81212962963</v>
      </c>
      <c r="J428" s="92">
        <v>42575.463402777779</v>
      </c>
      <c r="K428" s="92">
        <v>42575.452650462961</v>
      </c>
      <c r="L428" s="92">
        <f>IF(AND(单词表[[#This Row],[学英]]&lt;&gt;"",单词表[[#This Row],[学中]]&lt;&gt;"",单词表[[#This Row],[学词]]&lt;&gt;""),MAX(单词表[[#This Row],[学英]:[学词]]),"")</f>
        <v>42575.458877314813</v>
      </c>
      <c r="M428" s="2">
        <f>IF(AND(单词表[[#This Row],[考英]]&lt;&gt;"",单词表[[#This Row],[考中]]&lt;&gt;""),MAX(单词表[[#This Row],[考英]:[考中]]),"")</f>
        <v>42575.463402777779</v>
      </c>
      <c r="N428" s="33" t="s">
        <v>1029</v>
      </c>
      <c r="P428" s="32"/>
    </row>
    <row r="429" spans="1:16" hidden="1" x14ac:dyDescent="0.15">
      <c r="A429">
        <v>428</v>
      </c>
      <c r="B429" t="s">
        <v>445</v>
      </c>
      <c r="C429" t="s">
        <v>692</v>
      </c>
      <c r="D429" s="72" t="s">
        <v>701</v>
      </c>
      <c r="E429" t="s">
        <v>702</v>
      </c>
      <c r="F429" t="s">
        <v>5496</v>
      </c>
      <c r="G429" s="92">
        <v>42572.81212962963</v>
      </c>
      <c r="H429" s="92">
        <v>42572.81212962963</v>
      </c>
      <c r="I429" s="92">
        <v>42572.81212962963</v>
      </c>
      <c r="J429" s="92">
        <v>42572.81422453704</v>
      </c>
      <c r="K429" s="92">
        <v>42575.451828703706</v>
      </c>
      <c r="L429" s="92">
        <f>IF(AND(单词表[[#This Row],[学英]]&lt;&gt;"",单词表[[#This Row],[学中]]&lt;&gt;"",单词表[[#This Row],[学词]]&lt;&gt;""),MAX(单词表[[#This Row],[学英]:[学词]]),"")</f>
        <v>42572.81212962963</v>
      </c>
      <c r="M429" s="2">
        <f>IF(AND(单词表[[#This Row],[考英]]&lt;&gt;"",单词表[[#This Row],[考中]]&lt;&gt;""),MAX(单词表[[#This Row],[考英]:[考中]]),"")</f>
        <v>42575.451828703706</v>
      </c>
      <c r="N429" s="33"/>
      <c r="P429" s="32"/>
    </row>
    <row r="430" spans="1:16" hidden="1" x14ac:dyDescent="0.15">
      <c r="A430">
        <v>429</v>
      </c>
      <c r="B430" t="s">
        <v>445</v>
      </c>
      <c r="C430" t="s">
        <v>692</v>
      </c>
      <c r="D430" s="72" t="s">
        <v>703</v>
      </c>
      <c r="E430" t="s">
        <v>73</v>
      </c>
      <c r="F430" t="s">
        <v>704</v>
      </c>
      <c r="G430" s="92">
        <v>42575.459085648145</v>
      </c>
      <c r="H430" s="92">
        <v>42572.81212962963</v>
      </c>
      <c r="I430" s="92">
        <v>42572.81212962963</v>
      </c>
      <c r="J430" s="92">
        <v>42575.463599537034</v>
      </c>
      <c r="K430" s="92">
        <v>42575.451585648145</v>
      </c>
      <c r="L430" s="92">
        <f>IF(AND(单词表[[#This Row],[学英]]&lt;&gt;"",单词表[[#This Row],[学中]]&lt;&gt;"",单词表[[#This Row],[学词]]&lt;&gt;""),MAX(单词表[[#This Row],[学英]:[学词]]),"")</f>
        <v>42575.459085648145</v>
      </c>
      <c r="M430" s="2">
        <f>IF(AND(单词表[[#This Row],[考英]]&lt;&gt;"",单词表[[#This Row],[考中]]&lt;&gt;""),MAX(单词表[[#This Row],[考英]:[考中]]),"")</f>
        <v>42575.463599537034</v>
      </c>
      <c r="N430" s="33"/>
      <c r="P430" s="32"/>
    </row>
    <row r="431" spans="1:16" hidden="1" x14ac:dyDescent="0.15">
      <c r="A431">
        <v>430</v>
      </c>
      <c r="B431" t="s">
        <v>445</v>
      </c>
      <c r="C431" t="s">
        <v>692</v>
      </c>
      <c r="D431" s="72" t="s">
        <v>705</v>
      </c>
      <c r="E431" t="s">
        <v>36</v>
      </c>
      <c r="F431" t="s">
        <v>706</v>
      </c>
      <c r="G431" s="92">
        <v>42572.81212962963</v>
      </c>
      <c r="H431" s="92">
        <v>42572.81212962963</v>
      </c>
      <c r="I431" s="92">
        <v>42572.81212962963</v>
      </c>
      <c r="J431" s="92">
        <v>42572.81490740741</v>
      </c>
      <c r="K431" s="92">
        <v>42575.449513888889</v>
      </c>
      <c r="L431" s="92">
        <f>IF(AND(单词表[[#This Row],[学英]]&lt;&gt;"",单词表[[#This Row],[学中]]&lt;&gt;"",单词表[[#This Row],[学词]]&lt;&gt;""),MAX(单词表[[#This Row],[学英]:[学词]]),"")</f>
        <v>42572.81212962963</v>
      </c>
      <c r="M431" s="2">
        <f>IF(AND(单词表[[#This Row],[考英]]&lt;&gt;"",单词表[[#This Row],[考中]]&lt;&gt;""),MAX(单词表[[#This Row],[考英]:[考中]]),"")</f>
        <v>42575.449513888889</v>
      </c>
      <c r="N431" s="33"/>
      <c r="P431" s="32"/>
    </row>
    <row r="432" spans="1:16" hidden="1" x14ac:dyDescent="0.15">
      <c r="A432">
        <v>431</v>
      </c>
      <c r="B432" t="s">
        <v>445</v>
      </c>
      <c r="C432" t="s">
        <v>692</v>
      </c>
      <c r="D432" s="72" t="s">
        <v>707</v>
      </c>
      <c r="E432" t="s">
        <v>36</v>
      </c>
      <c r="F432" t="s">
        <v>708</v>
      </c>
      <c r="G432" s="92">
        <v>42575.459189814814</v>
      </c>
      <c r="H432" s="92">
        <v>42572.81212962963</v>
      </c>
      <c r="I432" s="92">
        <v>42572.81212962963</v>
      </c>
      <c r="J432" s="92">
        <v>42575.46371527778</v>
      </c>
      <c r="K432" s="92">
        <v>42575.452696759261</v>
      </c>
      <c r="L432" s="92">
        <f>IF(AND(单词表[[#This Row],[学英]]&lt;&gt;"",单词表[[#This Row],[学中]]&lt;&gt;"",单词表[[#This Row],[学词]]&lt;&gt;""),MAX(单词表[[#This Row],[学英]:[学词]]),"")</f>
        <v>42575.459189814814</v>
      </c>
      <c r="M432" s="2">
        <f>IF(AND(单词表[[#This Row],[考英]]&lt;&gt;"",单词表[[#This Row],[考中]]&lt;&gt;""),MAX(单词表[[#This Row],[考英]:[考中]]),"")</f>
        <v>42575.46371527778</v>
      </c>
      <c r="N432" s="33" t="s">
        <v>1029</v>
      </c>
      <c r="P432" s="32"/>
    </row>
    <row r="433" spans="1:16" hidden="1" x14ac:dyDescent="0.15">
      <c r="A433">
        <v>432</v>
      </c>
      <c r="B433" t="s">
        <v>445</v>
      </c>
      <c r="C433" t="s">
        <v>692</v>
      </c>
      <c r="D433" s="72" t="s">
        <v>709</v>
      </c>
      <c r="E433" t="s">
        <v>157</v>
      </c>
      <c r="F433" t="s">
        <v>710</v>
      </c>
      <c r="G433" s="92">
        <v>42575.459328703706</v>
      </c>
      <c r="H433" s="92">
        <v>42572.81212962963</v>
      </c>
      <c r="I433" s="92">
        <v>42572.81212962963</v>
      </c>
      <c r="J433" s="92">
        <v>42575.463819444441</v>
      </c>
      <c r="K433" s="92">
        <v>42575.449560185189</v>
      </c>
      <c r="L433" s="92">
        <f>IF(AND(单词表[[#This Row],[学英]]&lt;&gt;"",单词表[[#This Row],[学中]]&lt;&gt;"",单词表[[#This Row],[学词]]&lt;&gt;""),MAX(单词表[[#This Row],[学英]:[学词]]),"")</f>
        <v>42575.459328703706</v>
      </c>
      <c r="M433" s="2">
        <f>IF(AND(单词表[[#This Row],[考英]]&lt;&gt;"",单词表[[#This Row],[考中]]&lt;&gt;""),MAX(单词表[[#This Row],[考英]:[考中]]),"")</f>
        <v>42575.463819444441</v>
      </c>
      <c r="N433" s="33"/>
      <c r="P433" s="32"/>
    </row>
    <row r="434" spans="1:16" hidden="1" x14ac:dyDescent="0.15">
      <c r="A434">
        <v>433</v>
      </c>
      <c r="B434" t="s">
        <v>445</v>
      </c>
      <c r="C434" t="s">
        <v>692</v>
      </c>
      <c r="D434" s="72" t="s">
        <v>711</v>
      </c>
      <c r="E434" t="s">
        <v>36</v>
      </c>
      <c r="F434" t="s">
        <v>712</v>
      </c>
      <c r="G434" s="92">
        <v>42572.81212962963</v>
      </c>
      <c r="H434" s="92">
        <v>42575.459421296298</v>
      </c>
      <c r="I434" s="92">
        <v>42575.459421296298</v>
      </c>
      <c r="J434" s="92">
        <v>42572.815601851849</v>
      </c>
      <c r="K434" s="92">
        <v>42575.46465277778</v>
      </c>
      <c r="L434" s="92">
        <f>IF(AND(单词表[[#This Row],[学英]]&lt;&gt;"",单词表[[#This Row],[学中]]&lt;&gt;"",单词表[[#This Row],[学词]]&lt;&gt;""),MAX(单词表[[#This Row],[学英]:[学词]]),"")</f>
        <v>42575.459421296298</v>
      </c>
      <c r="M434" s="2">
        <f>IF(AND(单词表[[#This Row],[考英]]&lt;&gt;"",单词表[[#This Row],[考中]]&lt;&gt;""),MAX(单词表[[#This Row],[考英]:[考中]]),"")</f>
        <v>42575.46465277778</v>
      </c>
      <c r="N434" s="33"/>
      <c r="P434" s="32"/>
    </row>
    <row r="435" spans="1:16" hidden="1" x14ac:dyDescent="0.15">
      <c r="A435">
        <v>434</v>
      </c>
      <c r="B435" t="s">
        <v>445</v>
      </c>
      <c r="C435" t="s">
        <v>692</v>
      </c>
      <c r="D435" s="72" t="s">
        <v>713</v>
      </c>
      <c r="E435" t="s">
        <v>61</v>
      </c>
      <c r="F435" t="s">
        <v>714</v>
      </c>
      <c r="G435" s="92">
        <v>42575.461527777778</v>
      </c>
      <c r="H435" s="92">
        <v>42575.461550925924</v>
      </c>
      <c r="I435" s="92">
        <v>42575.461550925924</v>
      </c>
      <c r="J435" s="92">
        <v>42575.464074074072</v>
      </c>
      <c r="K435" s="92">
        <v>42575.464687500003</v>
      </c>
      <c r="L435" s="92">
        <f>IF(AND(单词表[[#This Row],[学英]]&lt;&gt;"",单词表[[#This Row],[学中]]&lt;&gt;"",单词表[[#This Row],[学词]]&lt;&gt;""),MAX(单词表[[#This Row],[学英]:[学词]]),"")</f>
        <v>42575.461550925924</v>
      </c>
      <c r="M435" s="2">
        <f>IF(AND(单词表[[#This Row],[考英]]&lt;&gt;"",单词表[[#This Row],[考中]]&lt;&gt;""),MAX(单词表[[#This Row],[考英]:[考中]]),"")</f>
        <v>42575.464687500003</v>
      </c>
      <c r="N435" s="33"/>
      <c r="P435" s="32"/>
    </row>
    <row r="436" spans="1:16" hidden="1" x14ac:dyDescent="0.15">
      <c r="A436">
        <v>435</v>
      </c>
      <c r="B436" t="s">
        <v>445</v>
      </c>
      <c r="C436" t="s">
        <v>692</v>
      </c>
      <c r="D436" s="72" t="s">
        <v>715</v>
      </c>
      <c r="E436" t="s">
        <v>36</v>
      </c>
      <c r="F436" t="s">
        <v>716</v>
      </c>
      <c r="G436" s="92">
        <v>42572.81212962963</v>
      </c>
      <c r="H436" s="92">
        <v>42575.462384259263</v>
      </c>
      <c r="I436" s="92">
        <v>42575.462361111109</v>
      </c>
      <c r="J436" s="92">
        <v>42572.816180555557</v>
      </c>
      <c r="K436" s="92">
        <v>42575.464803240742</v>
      </c>
      <c r="L436" s="92">
        <f>IF(AND(单词表[[#This Row],[学英]]&lt;&gt;"",单词表[[#This Row],[学中]]&lt;&gt;"",单词表[[#This Row],[学词]]&lt;&gt;""),MAX(单词表[[#This Row],[学英]:[学词]]),"")</f>
        <v>42575.462384259263</v>
      </c>
      <c r="M436" s="2">
        <f>IF(AND(单词表[[#This Row],[考英]]&lt;&gt;"",单词表[[#This Row],[考中]]&lt;&gt;""),MAX(单词表[[#This Row],[考英]:[考中]]),"")</f>
        <v>42575.464803240742</v>
      </c>
      <c r="N436" s="33"/>
      <c r="P436" s="32"/>
    </row>
    <row r="437" spans="1:16" hidden="1" x14ac:dyDescent="0.15">
      <c r="A437">
        <v>436</v>
      </c>
      <c r="B437" t="s">
        <v>445</v>
      </c>
      <c r="C437" t="s">
        <v>692</v>
      </c>
      <c r="D437" s="72" t="s">
        <v>717</v>
      </c>
      <c r="E437" t="s">
        <v>61</v>
      </c>
      <c r="F437" t="s">
        <v>718</v>
      </c>
      <c r="G437" s="92">
        <v>42575.462025462963</v>
      </c>
      <c r="H437" s="92">
        <v>42572.81212962963</v>
      </c>
      <c r="I437" s="92">
        <v>42572.81212962963</v>
      </c>
      <c r="J437" s="92">
        <v>42575.46429398148</v>
      </c>
      <c r="K437" s="92">
        <v>42575.451064814813</v>
      </c>
      <c r="L437" s="92">
        <f>IF(AND(单词表[[#This Row],[学英]]&lt;&gt;"",单词表[[#This Row],[学中]]&lt;&gt;"",单词表[[#This Row],[学词]]&lt;&gt;""),MAX(单词表[[#This Row],[学英]:[学词]]),"")</f>
        <v>42575.462025462963</v>
      </c>
      <c r="M437" s="2">
        <f>IF(AND(单词表[[#This Row],[考英]]&lt;&gt;"",单词表[[#This Row],[考中]]&lt;&gt;""),MAX(单词表[[#This Row],[考英]:[考中]]),"")</f>
        <v>42575.46429398148</v>
      </c>
      <c r="N437" s="33"/>
      <c r="P437" s="32"/>
    </row>
    <row r="438" spans="1:16" hidden="1" x14ac:dyDescent="0.15">
      <c r="A438">
        <v>437</v>
      </c>
      <c r="B438" t="s">
        <v>445</v>
      </c>
      <c r="C438" t="s">
        <v>692</v>
      </c>
      <c r="D438" s="72" t="s">
        <v>719</v>
      </c>
      <c r="E438" t="s">
        <v>73</v>
      </c>
      <c r="F438" t="s">
        <v>720</v>
      </c>
      <c r="G438" s="92">
        <v>42572.81212962963</v>
      </c>
      <c r="H438" s="92">
        <v>42572.81212962963</v>
      </c>
      <c r="I438" s="92">
        <v>42572.81212962963</v>
      </c>
      <c r="J438" s="92">
        <v>42572.821828703702</v>
      </c>
      <c r="K438" s="92">
        <v>42575.450891203705</v>
      </c>
      <c r="L438" s="92">
        <f>IF(AND(单词表[[#This Row],[学英]]&lt;&gt;"",单词表[[#This Row],[学中]]&lt;&gt;"",单词表[[#This Row],[学词]]&lt;&gt;""),MAX(单词表[[#This Row],[学英]:[学词]]),"")</f>
        <v>42572.81212962963</v>
      </c>
      <c r="M438" s="2">
        <f>IF(AND(单词表[[#This Row],[考英]]&lt;&gt;"",单词表[[#This Row],[考中]]&lt;&gt;""),MAX(单词表[[#This Row],[考英]:[考中]]),"")</f>
        <v>42575.450891203705</v>
      </c>
      <c r="N438" s="33"/>
      <c r="P438" s="32"/>
    </row>
    <row r="439" spans="1:16" hidden="1" x14ac:dyDescent="0.15">
      <c r="A439">
        <v>438</v>
      </c>
      <c r="B439" t="s">
        <v>445</v>
      </c>
      <c r="C439" t="s">
        <v>692</v>
      </c>
      <c r="D439" s="72" t="s">
        <v>721</v>
      </c>
      <c r="E439" t="s">
        <v>36</v>
      </c>
      <c r="F439" t="s">
        <v>722</v>
      </c>
      <c r="G439" s="92">
        <v>42575.462534722225</v>
      </c>
      <c r="H439" s="92">
        <v>42572.81212962963</v>
      </c>
      <c r="I439" s="92">
        <v>42572.81212962963</v>
      </c>
      <c r="J439" s="92">
        <v>42575.464375000003</v>
      </c>
      <c r="K439" s="92">
        <v>42575.451527777775</v>
      </c>
      <c r="L439" s="92">
        <f>IF(AND(单词表[[#This Row],[学英]]&lt;&gt;"",单词表[[#This Row],[学中]]&lt;&gt;"",单词表[[#This Row],[学词]]&lt;&gt;""),MAX(单词表[[#This Row],[学英]:[学词]]),"")</f>
        <v>42575.462534722225</v>
      </c>
      <c r="M439" s="2">
        <f>IF(AND(单词表[[#This Row],[考英]]&lt;&gt;"",单词表[[#This Row],[考中]]&lt;&gt;""),MAX(单词表[[#This Row],[考英]:[考中]]),"")</f>
        <v>42575.464375000003</v>
      </c>
      <c r="N439" s="33"/>
      <c r="P439" s="32"/>
    </row>
    <row r="440" spans="1:16" hidden="1" x14ac:dyDescent="0.15">
      <c r="A440">
        <v>439</v>
      </c>
      <c r="B440" t="s">
        <v>445</v>
      </c>
      <c r="C440" t="s">
        <v>692</v>
      </c>
      <c r="D440" s="72" t="s">
        <v>723</v>
      </c>
      <c r="E440" t="s">
        <v>36</v>
      </c>
      <c r="F440" t="s">
        <v>722</v>
      </c>
      <c r="G440" s="92">
        <v>42572.81212962963</v>
      </c>
      <c r="H440" s="92">
        <v>42572.81212962963</v>
      </c>
      <c r="I440" s="92">
        <v>42572.81212962963</v>
      </c>
      <c r="J440" s="92">
        <v>42572.817187499997</v>
      </c>
      <c r="K440" s="92">
        <v>42575.44940972222</v>
      </c>
      <c r="L440" s="92">
        <f>IF(AND(单词表[[#This Row],[学英]]&lt;&gt;"",单词表[[#This Row],[学中]]&lt;&gt;"",单词表[[#This Row],[学词]]&lt;&gt;""),MAX(单词表[[#This Row],[学英]:[学词]]),"")</f>
        <v>42572.81212962963</v>
      </c>
      <c r="M440" s="2">
        <f>IF(AND(单词表[[#This Row],[考英]]&lt;&gt;"",单词表[[#This Row],[考中]]&lt;&gt;""),MAX(单词表[[#This Row],[考英]:[考中]]),"")</f>
        <v>42575.44940972222</v>
      </c>
      <c r="N440" s="33"/>
      <c r="P440" s="32"/>
    </row>
    <row r="441" spans="1:16" hidden="1" x14ac:dyDescent="0.15">
      <c r="A441">
        <v>440</v>
      </c>
      <c r="B441" t="s">
        <v>445</v>
      </c>
      <c r="C441" t="s">
        <v>692</v>
      </c>
      <c r="D441" s="72" t="s">
        <v>724</v>
      </c>
      <c r="E441" t="s">
        <v>73</v>
      </c>
      <c r="F441" t="s">
        <v>725</v>
      </c>
      <c r="G441" s="92">
        <v>42572.81212962963</v>
      </c>
      <c r="H441" s="92">
        <v>42572.81212962963</v>
      </c>
      <c r="I441" s="92">
        <v>42572.81212962963</v>
      </c>
      <c r="J441" s="92">
        <v>42572.817465277774</v>
      </c>
      <c r="K441" s="92">
        <v>42575.449907407405</v>
      </c>
      <c r="L441" s="92">
        <f>IF(AND(单词表[[#This Row],[学英]]&lt;&gt;"",单词表[[#This Row],[学中]]&lt;&gt;"",单词表[[#This Row],[学词]]&lt;&gt;""),MAX(单词表[[#This Row],[学英]:[学词]]),"")</f>
        <v>42572.81212962963</v>
      </c>
      <c r="M441" s="2">
        <f>IF(AND(单词表[[#This Row],[考英]]&lt;&gt;"",单词表[[#This Row],[考中]]&lt;&gt;""),MAX(单词表[[#This Row],[考英]:[考中]]),"")</f>
        <v>42575.449907407405</v>
      </c>
      <c r="N441" s="33"/>
      <c r="P441" s="32"/>
    </row>
    <row r="442" spans="1:16" hidden="1" x14ac:dyDescent="0.15">
      <c r="A442">
        <v>441</v>
      </c>
      <c r="B442" t="s">
        <v>445</v>
      </c>
      <c r="C442" t="s">
        <v>692</v>
      </c>
      <c r="D442" s="72" t="s">
        <v>726</v>
      </c>
      <c r="E442" t="s">
        <v>61</v>
      </c>
      <c r="F442" t="s">
        <v>727</v>
      </c>
      <c r="G442" s="92">
        <v>42572.81212962963</v>
      </c>
      <c r="H442" s="92">
        <v>42575.462569444448</v>
      </c>
      <c r="I442" s="92">
        <v>42575.462557870371</v>
      </c>
      <c r="J442" s="92">
        <v>42572.817766203705</v>
      </c>
      <c r="K442" s="92">
        <v>42575.46502314815</v>
      </c>
      <c r="L442" s="92">
        <f>IF(AND(单词表[[#This Row],[学英]]&lt;&gt;"",单词表[[#This Row],[学中]]&lt;&gt;"",单词表[[#This Row],[学词]]&lt;&gt;""),MAX(单词表[[#This Row],[学英]:[学词]]),"")</f>
        <v>42575.462569444448</v>
      </c>
      <c r="M442" s="2">
        <f>IF(AND(单词表[[#This Row],[考英]]&lt;&gt;"",单词表[[#This Row],[考中]]&lt;&gt;""),MAX(单词表[[#This Row],[考英]:[考中]]),"")</f>
        <v>42575.46502314815</v>
      </c>
      <c r="N442" s="33"/>
      <c r="P442" s="32"/>
    </row>
    <row r="443" spans="1:16" hidden="1" x14ac:dyDescent="0.15">
      <c r="A443">
        <v>442</v>
      </c>
      <c r="B443" t="s">
        <v>445</v>
      </c>
      <c r="C443" t="s">
        <v>692</v>
      </c>
      <c r="D443" s="72" t="s">
        <v>728</v>
      </c>
      <c r="E443" t="s">
        <v>36</v>
      </c>
      <c r="F443" t="s">
        <v>729</v>
      </c>
      <c r="G443" s="92">
        <v>42572.81212962963</v>
      </c>
      <c r="H443" s="92">
        <v>42572.81212962963</v>
      </c>
      <c r="I443" s="92">
        <v>42572.81212962963</v>
      </c>
      <c r="J443" s="92">
        <v>42572.817916666667</v>
      </c>
      <c r="K443" s="92">
        <v>42575.450046296297</v>
      </c>
      <c r="L443" s="92">
        <f>IF(AND(单词表[[#This Row],[学英]]&lt;&gt;"",单词表[[#This Row],[学中]]&lt;&gt;"",单词表[[#This Row],[学词]]&lt;&gt;""),MAX(单词表[[#This Row],[学英]:[学词]]),"")</f>
        <v>42572.81212962963</v>
      </c>
      <c r="M443" s="2">
        <f>IF(AND(单词表[[#This Row],[考英]]&lt;&gt;"",单词表[[#This Row],[考中]]&lt;&gt;""),MAX(单词表[[#This Row],[考英]:[考中]]),"")</f>
        <v>42575.450046296297</v>
      </c>
      <c r="N443" s="33"/>
      <c r="P443" s="32"/>
    </row>
    <row r="444" spans="1:16" hidden="1" x14ac:dyDescent="0.15">
      <c r="A444">
        <v>443</v>
      </c>
      <c r="B444" t="s">
        <v>445</v>
      </c>
      <c r="C444" t="s">
        <v>692</v>
      </c>
      <c r="D444" s="72" t="s">
        <v>730</v>
      </c>
      <c r="E444" t="s">
        <v>73</v>
      </c>
      <c r="F444" t="s">
        <v>731</v>
      </c>
      <c r="G444" s="92">
        <v>42572.81212962963</v>
      </c>
      <c r="H444" s="92">
        <v>42572.81212962963</v>
      </c>
      <c r="I444" s="92">
        <v>42572.81212962963</v>
      </c>
      <c r="J444" s="92">
        <v>42572.818090277775</v>
      </c>
      <c r="K444" s="92">
        <v>42575.450497685182</v>
      </c>
      <c r="L444" s="92">
        <f>IF(AND(单词表[[#This Row],[学英]]&lt;&gt;"",单词表[[#This Row],[学中]]&lt;&gt;"",单词表[[#This Row],[学词]]&lt;&gt;""),MAX(单词表[[#This Row],[学英]:[学词]]),"")</f>
        <v>42572.81212962963</v>
      </c>
      <c r="M444" s="2">
        <f>IF(AND(单词表[[#This Row],[考英]]&lt;&gt;"",单词表[[#This Row],[考中]]&lt;&gt;""),MAX(单词表[[#This Row],[考英]:[考中]]),"")</f>
        <v>42575.450497685182</v>
      </c>
      <c r="N444" s="33"/>
      <c r="P444" s="32"/>
    </row>
    <row r="445" spans="1:16" hidden="1" x14ac:dyDescent="0.15">
      <c r="A445">
        <v>444</v>
      </c>
      <c r="B445" t="s">
        <v>445</v>
      </c>
      <c r="C445" t="s">
        <v>692</v>
      </c>
      <c r="D445" s="72" t="s">
        <v>732</v>
      </c>
      <c r="E445" t="s">
        <v>157</v>
      </c>
      <c r="F445" t="s">
        <v>733</v>
      </c>
      <c r="G445" s="92">
        <v>42572.81212962963</v>
      </c>
      <c r="H445" s="92">
        <v>42572.81212962963</v>
      </c>
      <c r="I445" s="92">
        <v>42572.81212962963</v>
      </c>
      <c r="J445" s="92">
        <v>42572.818206018521</v>
      </c>
      <c r="K445" s="92">
        <v>42575.450601851851</v>
      </c>
      <c r="L445" s="92">
        <f>IF(AND(单词表[[#This Row],[学英]]&lt;&gt;"",单词表[[#This Row],[学中]]&lt;&gt;"",单词表[[#This Row],[学词]]&lt;&gt;""),MAX(单词表[[#This Row],[学英]:[学词]]),"")</f>
        <v>42572.81212962963</v>
      </c>
      <c r="M445" s="2">
        <f>IF(AND(单词表[[#This Row],[考英]]&lt;&gt;"",单词表[[#This Row],[考中]]&lt;&gt;""),MAX(单词表[[#This Row],[考英]:[考中]]),"")</f>
        <v>42575.450601851851</v>
      </c>
      <c r="N445" s="33"/>
      <c r="P445" s="32"/>
    </row>
    <row r="446" spans="1:16" hidden="1" x14ac:dyDescent="0.15">
      <c r="A446">
        <v>445</v>
      </c>
      <c r="B446" t="s">
        <v>445</v>
      </c>
      <c r="C446" t="s">
        <v>692</v>
      </c>
      <c r="D446" s="72" t="s">
        <v>734</v>
      </c>
      <c r="E446" t="s">
        <v>36</v>
      </c>
      <c r="F446" t="s">
        <v>735</v>
      </c>
      <c r="G446" s="92">
        <v>42572.81212962963</v>
      </c>
      <c r="H446" s="92">
        <v>42572.81212962963</v>
      </c>
      <c r="I446" s="92">
        <v>42572.81212962963</v>
      </c>
      <c r="J446" s="92">
        <v>42572.818310185183</v>
      </c>
      <c r="K446" s="92">
        <v>42575.450636574074</v>
      </c>
      <c r="L446" s="92">
        <f>IF(AND(单词表[[#This Row],[学英]]&lt;&gt;"",单词表[[#This Row],[学中]]&lt;&gt;"",单词表[[#This Row],[学词]]&lt;&gt;""),MAX(单词表[[#This Row],[学英]:[学词]]),"")</f>
        <v>42572.81212962963</v>
      </c>
      <c r="M446" s="2">
        <f>IF(AND(单词表[[#This Row],[考英]]&lt;&gt;"",单词表[[#This Row],[考中]]&lt;&gt;""),MAX(单词表[[#This Row],[考英]:[考中]]),"")</f>
        <v>42575.450636574074</v>
      </c>
      <c r="N446" s="33"/>
      <c r="P446" s="32"/>
    </row>
    <row r="447" spans="1:16" hidden="1" x14ac:dyDescent="0.15">
      <c r="A447">
        <v>446</v>
      </c>
      <c r="B447" t="s">
        <v>445</v>
      </c>
      <c r="C447" t="s">
        <v>692</v>
      </c>
      <c r="D447" s="72" t="s">
        <v>737</v>
      </c>
      <c r="E447" t="s">
        <v>736</v>
      </c>
      <c r="F447" t="s">
        <v>1258</v>
      </c>
      <c r="G447" s="92">
        <v>42572.81212962963</v>
      </c>
      <c r="H447" s="92">
        <v>42572.81212962963</v>
      </c>
      <c r="I447" s="92">
        <v>42572.81212962963</v>
      </c>
      <c r="J447" s="92">
        <v>42572.818379629629</v>
      </c>
      <c r="K447" s="92">
        <v>42575.45071759259</v>
      </c>
      <c r="L447" s="92">
        <f>IF(AND(单词表[[#This Row],[学英]]&lt;&gt;"",单词表[[#This Row],[学中]]&lt;&gt;"",单词表[[#This Row],[学词]]&lt;&gt;""),MAX(单词表[[#This Row],[学英]:[学词]]),"")</f>
        <v>42572.81212962963</v>
      </c>
      <c r="M447" s="2">
        <f>IF(AND(单词表[[#This Row],[考英]]&lt;&gt;"",单词表[[#This Row],[考中]]&lt;&gt;""),MAX(单词表[[#This Row],[考英]:[考中]]),"")</f>
        <v>42575.45071759259</v>
      </c>
      <c r="N447" s="33"/>
      <c r="P447" s="32"/>
    </row>
    <row r="448" spans="1:16" hidden="1" x14ac:dyDescent="0.15">
      <c r="A448">
        <v>447</v>
      </c>
      <c r="B448" t="s">
        <v>445</v>
      </c>
      <c r="C448" t="s">
        <v>692</v>
      </c>
      <c r="D448" s="72" t="s">
        <v>738</v>
      </c>
      <c r="E448" t="s">
        <v>36</v>
      </c>
      <c r="F448" t="s">
        <v>2225</v>
      </c>
      <c r="G448" s="92">
        <v>42572.81212962963</v>
      </c>
      <c r="H448" s="92">
        <v>42575.575752314813</v>
      </c>
      <c r="I448" s="92">
        <v>42573.472638888888</v>
      </c>
      <c r="J448" s="92">
        <v>42572.818437499998</v>
      </c>
      <c r="K448" s="92">
        <v>42575.575960648152</v>
      </c>
      <c r="L448" s="92">
        <f>IF(AND(单词表[[#This Row],[学英]]&lt;&gt;"",单词表[[#This Row],[学中]]&lt;&gt;"",单词表[[#This Row],[学词]]&lt;&gt;""),MAX(单词表[[#This Row],[学英]:[学词]]),"")</f>
        <v>42575.575752314813</v>
      </c>
      <c r="M448" s="2">
        <f>IF(AND(单词表[[#This Row],[考英]]&lt;&gt;"",单词表[[#This Row],[考中]]&lt;&gt;""),MAX(单词表[[#This Row],[考英]:[考中]]),"")</f>
        <v>42575.575960648152</v>
      </c>
      <c r="N448" s="33"/>
      <c r="P448" s="32"/>
    </row>
    <row r="449" spans="1:16" hidden="1" x14ac:dyDescent="0.15">
      <c r="A449">
        <v>448</v>
      </c>
      <c r="B449" t="s">
        <v>445</v>
      </c>
      <c r="C449" t="s">
        <v>692</v>
      </c>
      <c r="D449" s="72" t="s">
        <v>740</v>
      </c>
      <c r="E449" t="s">
        <v>36</v>
      </c>
      <c r="F449" t="s">
        <v>741</v>
      </c>
      <c r="G449" s="92">
        <v>42575.460069444445</v>
      </c>
      <c r="H449" s="92">
        <v>42572.81212962963</v>
      </c>
      <c r="I449" s="92">
        <v>42572.81212962963</v>
      </c>
      <c r="J449" s="92">
        <v>42575.464456018519</v>
      </c>
      <c r="K449" s="92">
        <v>42575.450833333336</v>
      </c>
      <c r="L449" s="92">
        <f>IF(AND(单词表[[#This Row],[学英]]&lt;&gt;"",单词表[[#This Row],[学中]]&lt;&gt;"",单词表[[#This Row],[学词]]&lt;&gt;""),MAX(单词表[[#This Row],[学英]:[学词]]),"")</f>
        <v>42575.460069444445</v>
      </c>
      <c r="M449" s="2">
        <f>IF(AND(单词表[[#This Row],[考英]]&lt;&gt;"",单词表[[#This Row],[考中]]&lt;&gt;""),MAX(单词表[[#This Row],[考英]:[考中]]),"")</f>
        <v>42575.464456018519</v>
      </c>
      <c r="N449" s="33"/>
      <c r="P449" s="32"/>
    </row>
    <row r="450" spans="1:16" hidden="1" x14ac:dyDescent="0.15">
      <c r="A450">
        <v>449</v>
      </c>
      <c r="B450" t="s">
        <v>445</v>
      </c>
      <c r="C450" t="s">
        <v>742</v>
      </c>
      <c r="D450" s="72" t="s">
        <v>740</v>
      </c>
      <c r="E450" t="s">
        <v>61</v>
      </c>
      <c r="F450" t="s">
        <v>743</v>
      </c>
      <c r="G450" s="92">
        <v>42573.493506944447</v>
      </c>
      <c r="H450" s="92">
        <v>42573.493518518517</v>
      </c>
      <c r="I450" s="92">
        <v>42573.493506944447</v>
      </c>
      <c r="J450" s="92">
        <v>42573.50072916667</v>
      </c>
      <c r="K450" s="92">
        <v>42573.513009259259</v>
      </c>
      <c r="L450" s="92">
        <f>IF(AND(单词表[[#This Row],[学英]]&lt;&gt;"",单词表[[#This Row],[学中]]&lt;&gt;"",单词表[[#This Row],[学词]]&lt;&gt;""),MAX(单词表[[#This Row],[学英]:[学词]]),"")</f>
        <v>42573.493518518517</v>
      </c>
      <c r="M450" s="2">
        <f>IF(AND(单词表[[#This Row],[考英]]&lt;&gt;"",单词表[[#This Row],[考中]]&lt;&gt;""),MAX(单词表[[#This Row],[考英]:[考中]]),"")</f>
        <v>42573.513009259259</v>
      </c>
      <c r="N450" s="33"/>
      <c r="P450" s="32"/>
    </row>
    <row r="451" spans="1:16" hidden="1" x14ac:dyDescent="0.15">
      <c r="A451">
        <v>450</v>
      </c>
      <c r="B451" t="s">
        <v>445</v>
      </c>
      <c r="C451" t="s">
        <v>742</v>
      </c>
      <c r="D451" s="72" t="s">
        <v>744</v>
      </c>
      <c r="E451" t="s">
        <v>61</v>
      </c>
      <c r="F451" t="s">
        <v>745</v>
      </c>
      <c r="G451" s="92">
        <v>42573.493541666663</v>
      </c>
      <c r="H451" s="92">
        <v>42573.49355324074</v>
      </c>
      <c r="I451" s="92">
        <v>42573.49355324074</v>
      </c>
      <c r="J451" s="92">
        <v>42573.500925925924</v>
      </c>
      <c r="K451" s="92">
        <v>42573.513101851851</v>
      </c>
      <c r="L451" s="92">
        <f>IF(AND(单词表[[#This Row],[学英]]&lt;&gt;"",单词表[[#This Row],[学中]]&lt;&gt;"",单词表[[#This Row],[学词]]&lt;&gt;""),MAX(单词表[[#This Row],[学英]:[学词]]),"")</f>
        <v>42573.49355324074</v>
      </c>
      <c r="M451" s="2">
        <f>IF(AND(单词表[[#This Row],[考英]]&lt;&gt;"",单词表[[#This Row],[考中]]&lt;&gt;""),MAX(单词表[[#This Row],[考英]:[考中]]),"")</f>
        <v>42573.513101851851</v>
      </c>
      <c r="N451" s="33"/>
      <c r="P451" s="32"/>
    </row>
    <row r="452" spans="1:16" hidden="1" x14ac:dyDescent="0.15">
      <c r="A452">
        <v>451</v>
      </c>
      <c r="B452" t="s">
        <v>445</v>
      </c>
      <c r="C452" t="s">
        <v>742</v>
      </c>
      <c r="D452" s="72" t="s">
        <v>746</v>
      </c>
      <c r="E452" t="s">
        <v>73</v>
      </c>
      <c r="F452" t="s">
        <v>747</v>
      </c>
      <c r="G452" s="92">
        <v>42573.493576388886</v>
      </c>
      <c r="H452" s="92">
        <v>42573.493587962963</v>
      </c>
      <c r="I452" s="92">
        <v>42573.493587962963</v>
      </c>
      <c r="J452" s="92">
        <v>42573.501134259262</v>
      </c>
      <c r="K452" s="92">
        <v>42573.513159722221</v>
      </c>
      <c r="L452" s="92">
        <f>IF(AND(单词表[[#This Row],[学英]]&lt;&gt;"",单词表[[#This Row],[学中]]&lt;&gt;"",单词表[[#This Row],[学词]]&lt;&gt;""),MAX(单词表[[#This Row],[学英]:[学词]]),"")</f>
        <v>42573.493587962963</v>
      </c>
      <c r="M452" s="2">
        <f>IF(AND(单词表[[#This Row],[考英]]&lt;&gt;"",单词表[[#This Row],[考中]]&lt;&gt;""),MAX(单词表[[#This Row],[考英]:[考中]]),"")</f>
        <v>42573.513159722221</v>
      </c>
      <c r="N452" s="33"/>
      <c r="P452" s="32"/>
    </row>
    <row r="453" spans="1:16" hidden="1" x14ac:dyDescent="0.15">
      <c r="A453">
        <v>452</v>
      </c>
      <c r="B453" t="s">
        <v>445</v>
      </c>
      <c r="C453" t="s">
        <v>742</v>
      </c>
      <c r="D453" s="72" t="s">
        <v>748</v>
      </c>
      <c r="E453" t="s">
        <v>36</v>
      </c>
      <c r="F453" t="s">
        <v>749</v>
      </c>
      <c r="G453" s="92">
        <v>42573.629293981481</v>
      </c>
      <c r="H453" s="92">
        <v>42573.493622685186</v>
      </c>
      <c r="I453" s="92">
        <v>42573.493622685186</v>
      </c>
      <c r="J453" s="92">
        <v>42573.63008101852</v>
      </c>
      <c r="K453" s="92">
        <v>42573.513194444444</v>
      </c>
      <c r="L453" s="92">
        <f>IF(AND(单词表[[#This Row],[学英]]&lt;&gt;"",单词表[[#This Row],[学中]]&lt;&gt;"",单词表[[#This Row],[学词]]&lt;&gt;""),MAX(单词表[[#This Row],[学英]:[学词]]),"")</f>
        <v>42573.629293981481</v>
      </c>
      <c r="M453" s="2">
        <f>IF(AND(单词表[[#This Row],[考英]]&lt;&gt;"",单词表[[#This Row],[考中]]&lt;&gt;""),MAX(单词表[[#This Row],[考英]:[考中]]),"")</f>
        <v>42573.63008101852</v>
      </c>
      <c r="N453" s="33"/>
      <c r="P453" s="32"/>
    </row>
    <row r="454" spans="1:16" hidden="1" x14ac:dyDescent="0.15">
      <c r="A454">
        <v>453</v>
      </c>
      <c r="B454" t="s">
        <v>445</v>
      </c>
      <c r="C454" t="s">
        <v>742</v>
      </c>
      <c r="D454" s="72" t="s">
        <v>750</v>
      </c>
      <c r="E454" t="s">
        <v>61</v>
      </c>
      <c r="F454" t="s">
        <v>5497</v>
      </c>
      <c r="G454" s="92">
        <v>42573.493645833332</v>
      </c>
      <c r="H454" s="92">
        <v>42577.443159722221</v>
      </c>
      <c r="I454" s="92">
        <v>42577.443136574075</v>
      </c>
      <c r="J454" s="92">
        <v>42573.501423611109</v>
      </c>
      <c r="K454" s="92">
        <v>42577.443391203706</v>
      </c>
      <c r="L454" s="92">
        <f>IF(AND(单词表[[#This Row],[学英]]&lt;&gt;"",单词表[[#This Row],[学中]]&lt;&gt;"",单词表[[#This Row],[学词]]&lt;&gt;""),MAX(单词表[[#This Row],[学英]:[学词]]),"")</f>
        <v>42577.443159722221</v>
      </c>
      <c r="M454" s="2">
        <f>IF(AND(单词表[[#This Row],[考英]]&lt;&gt;"",单词表[[#This Row],[考中]]&lt;&gt;""),MAX(单词表[[#This Row],[考英]:[考中]]),"")</f>
        <v>42577.443391203706</v>
      </c>
      <c r="N454" s="33"/>
      <c r="P454" s="32"/>
    </row>
    <row r="455" spans="1:16" hidden="1" x14ac:dyDescent="0.15">
      <c r="A455">
        <v>454</v>
      </c>
      <c r="B455" t="s">
        <v>445</v>
      </c>
      <c r="C455" t="s">
        <v>742</v>
      </c>
      <c r="D455" s="72" t="s">
        <v>750</v>
      </c>
      <c r="E455" t="s">
        <v>36</v>
      </c>
      <c r="F455" t="s">
        <v>751</v>
      </c>
      <c r="G455" s="92">
        <v>42573.493692129632</v>
      </c>
      <c r="H455" s="92">
        <v>42577.443194444444</v>
      </c>
      <c r="I455" s="92">
        <v>42577.443182870367</v>
      </c>
      <c r="J455" s="92">
        <v>42573.501562500001</v>
      </c>
      <c r="K455" s="92">
        <v>42577.443425925929</v>
      </c>
      <c r="L455" s="92">
        <f>IF(AND(单词表[[#This Row],[学英]]&lt;&gt;"",单词表[[#This Row],[学中]]&lt;&gt;"",单词表[[#This Row],[学词]]&lt;&gt;""),MAX(单词表[[#This Row],[学英]:[学词]]),"")</f>
        <v>42577.443194444444</v>
      </c>
      <c r="M455" s="2">
        <f>IF(AND(单词表[[#This Row],[考英]]&lt;&gt;"",单词表[[#This Row],[考中]]&lt;&gt;""),MAX(单词表[[#This Row],[考英]:[考中]]),"")</f>
        <v>42577.443425925929</v>
      </c>
      <c r="N455" s="33"/>
      <c r="P455" s="32"/>
    </row>
    <row r="456" spans="1:16" hidden="1" x14ac:dyDescent="0.15">
      <c r="A456">
        <v>455</v>
      </c>
      <c r="B456" t="s">
        <v>445</v>
      </c>
      <c r="C456" t="s">
        <v>742</v>
      </c>
      <c r="D456" s="72" t="s">
        <v>752</v>
      </c>
      <c r="E456" t="s">
        <v>36</v>
      </c>
      <c r="F456" t="s">
        <v>753</v>
      </c>
      <c r="G456" s="92">
        <v>42573.629421296297</v>
      </c>
      <c r="H456" s="92">
        <v>42573.493750000001</v>
      </c>
      <c r="I456" s="92">
        <v>42573.493738425925</v>
      </c>
      <c r="J456" s="92">
        <v>42573.630254629628</v>
      </c>
      <c r="K456" s="92">
        <v>42573.513506944444</v>
      </c>
      <c r="L456" s="92">
        <f>IF(AND(单词表[[#This Row],[学英]]&lt;&gt;"",单词表[[#This Row],[学中]]&lt;&gt;"",单词表[[#This Row],[学词]]&lt;&gt;""),MAX(单词表[[#This Row],[学英]:[学词]]),"")</f>
        <v>42573.629421296297</v>
      </c>
      <c r="M456" s="2">
        <f>IF(AND(单词表[[#This Row],[考英]]&lt;&gt;"",单词表[[#This Row],[考中]]&lt;&gt;""),MAX(单词表[[#This Row],[考英]:[考中]]),"")</f>
        <v>42573.630254629628</v>
      </c>
      <c r="N456" s="33"/>
      <c r="P456" s="32"/>
    </row>
    <row r="457" spans="1:16" hidden="1" x14ac:dyDescent="0.15">
      <c r="A457">
        <v>456</v>
      </c>
      <c r="B457" t="s">
        <v>445</v>
      </c>
      <c r="C457" t="s">
        <v>742</v>
      </c>
      <c r="D457" s="72" t="s">
        <v>252</v>
      </c>
      <c r="E457" t="s">
        <v>36</v>
      </c>
      <c r="F457" t="s">
        <v>754</v>
      </c>
      <c r="G457" s="92">
        <v>42573.62945601852</v>
      </c>
      <c r="H457" s="92">
        <v>42573.493784722225</v>
      </c>
      <c r="I457" s="92">
        <v>42573.493784722225</v>
      </c>
      <c r="J457" s="92">
        <v>42573.630729166667</v>
      </c>
      <c r="K457" s="92">
        <v>42573.51357638889</v>
      </c>
      <c r="L457" s="92">
        <f>IF(AND(单词表[[#This Row],[学英]]&lt;&gt;"",单词表[[#This Row],[学中]]&lt;&gt;"",单词表[[#This Row],[学词]]&lt;&gt;""),MAX(单词表[[#This Row],[学英]:[学词]]),"")</f>
        <v>42573.62945601852</v>
      </c>
      <c r="M457" s="2">
        <f>IF(AND(单词表[[#This Row],[考英]]&lt;&gt;"",单词表[[#This Row],[考中]]&lt;&gt;""),MAX(单词表[[#This Row],[考英]:[考中]]),"")</f>
        <v>42573.630729166667</v>
      </c>
      <c r="N457" s="33"/>
      <c r="P457" s="32"/>
    </row>
    <row r="458" spans="1:16" hidden="1" x14ac:dyDescent="0.15">
      <c r="A458">
        <v>457</v>
      </c>
      <c r="B458" t="s">
        <v>445</v>
      </c>
      <c r="C458" t="s">
        <v>742</v>
      </c>
      <c r="D458" s="72" t="s">
        <v>755</v>
      </c>
      <c r="E458" t="s">
        <v>157</v>
      </c>
      <c r="F458" t="s">
        <v>756</v>
      </c>
      <c r="G458" s="92">
        <v>42573.493807870371</v>
      </c>
      <c r="H458" s="92">
        <v>42573.493842592594</v>
      </c>
      <c r="I458" s="92">
        <v>42573.493819444448</v>
      </c>
      <c r="J458" s="92">
        <v>42573.502430555556</v>
      </c>
      <c r="K458" s="92">
        <v>42573.513715277775</v>
      </c>
      <c r="L458" s="92">
        <f>IF(AND(单词表[[#This Row],[学英]]&lt;&gt;"",单词表[[#This Row],[学中]]&lt;&gt;"",单词表[[#This Row],[学词]]&lt;&gt;""),MAX(单词表[[#This Row],[学英]:[学词]]),"")</f>
        <v>42573.493842592594</v>
      </c>
      <c r="M458" s="2">
        <f>IF(AND(单词表[[#This Row],[考英]]&lt;&gt;"",单词表[[#This Row],[考中]]&lt;&gt;""),MAX(单词表[[#This Row],[考英]:[考中]]),"")</f>
        <v>42573.513715277775</v>
      </c>
      <c r="N458" s="33"/>
      <c r="P458" s="32"/>
    </row>
    <row r="459" spans="1:16" hidden="1" x14ac:dyDescent="0.15">
      <c r="A459">
        <v>458</v>
      </c>
      <c r="B459" t="s">
        <v>445</v>
      </c>
      <c r="C459" t="s">
        <v>742</v>
      </c>
      <c r="D459" s="72" t="s">
        <v>757</v>
      </c>
      <c r="E459" t="s">
        <v>36</v>
      </c>
      <c r="F459" t="s">
        <v>758</v>
      </c>
      <c r="G459" s="92">
        <v>42573.629479166666</v>
      </c>
      <c r="H459" s="92">
        <v>42573.493900462963</v>
      </c>
      <c r="I459" s="92">
        <v>42573.493888888886</v>
      </c>
      <c r="J459" s="92">
        <v>42573.631018518521</v>
      </c>
      <c r="K459" s="92">
        <v>42573.513784722221</v>
      </c>
      <c r="L459" s="92">
        <f>IF(AND(单词表[[#This Row],[学英]]&lt;&gt;"",单词表[[#This Row],[学中]]&lt;&gt;"",单词表[[#This Row],[学词]]&lt;&gt;""),MAX(单词表[[#This Row],[学英]:[学词]]),"")</f>
        <v>42573.629479166666</v>
      </c>
      <c r="M459" s="2">
        <f>IF(AND(单词表[[#This Row],[考英]]&lt;&gt;"",单词表[[#This Row],[考中]]&lt;&gt;""),MAX(单词表[[#This Row],[考英]:[考中]]),"")</f>
        <v>42573.631018518521</v>
      </c>
      <c r="N459" s="33"/>
      <c r="P459" s="32"/>
    </row>
    <row r="460" spans="1:16" hidden="1" x14ac:dyDescent="0.15">
      <c r="A460">
        <v>459</v>
      </c>
      <c r="B460" t="s">
        <v>445</v>
      </c>
      <c r="C460" t="s">
        <v>742</v>
      </c>
      <c r="D460" s="72" t="s">
        <v>759</v>
      </c>
      <c r="E460" t="s">
        <v>736</v>
      </c>
      <c r="F460" t="s">
        <v>760</v>
      </c>
      <c r="G460" s="92">
        <v>42573.493923611109</v>
      </c>
      <c r="H460" s="92">
        <v>42573.493946759256</v>
      </c>
      <c r="I460" s="92">
        <v>42573.493935185186</v>
      </c>
      <c r="J460" s="92">
        <v>42573.503125000003</v>
      </c>
      <c r="K460" s="92">
        <v>42573.513842592591</v>
      </c>
      <c r="L460" s="92">
        <f>IF(AND(单词表[[#This Row],[学英]]&lt;&gt;"",单词表[[#This Row],[学中]]&lt;&gt;"",单词表[[#This Row],[学词]]&lt;&gt;""),MAX(单词表[[#This Row],[学英]:[学词]]),"")</f>
        <v>42573.493946759256</v>
      </c>
      <c r="M460" s="2">
        <f>IF(AND(单词表[[#This Row],[考英]]&lt;&gt;"",单词表[[#This Row],[考中]]&lt;&gt;""),MAX(单词表[[#This Row],[考英]:[考中]]),"")</f>
        <v>42573.513842592591</v>
      </c>
      <c r="N460" s="33"/>
      <c r="P460" s="32"/>
    </row>
    <row r="461" spans="1:16" hidden="1" x14ac:dyDescent="0.15">
      <c r="A461">
        <v>460</v>
      </c>
      <c r="B461" t="s">
        <v>445</v>
      </c>
      <c r="C461" t="s">
        <v>742</v>
      </c>
      <c r="D461" s="72" t="s">
        <v>761</v>
      </c>
      <c r="E461" t="s">
        <v>36</v>
      </c>
      <c r="F461" t="s">
        <v>762</v>
      </c>
      <c r="G461" s="92">
        <v>42573.493969907409</v>
      </c>
      <c r="H461" s="92">
        <v>42573.493981481479</v>
      </c>
      <c r="I461" s="92">
        <v>42573.493981481479</v>
      </c>
      <c r="J461" s="92">
        <v>42573.503229166665</v>
      </c>
      <c r="K461" s="92">
        <v>42573.513888888891</v>
      </c>
      <c r="L461" s="92">
        <f>IF(AND(单词表[[#This Row],[学英]]&lt;&gt;"",单词表[[#This Row],[学中]]&lt;&gt;"",单词表[[#This Row],[学词]]&lt;&gt;""),MAX(单词表[[#This Row],[学英]:[学词]]),"")</f>
        <v>42573.493981481479</v>
      </c>
      <c r="M461" s="2">
        <f>IF(AND(单词表[[#This Row],[考英]]&lt;&gt;"",单词表[[#This Row],[考中]]&lt;&gt;""),MAX(单词表[[#This Row],[考英]:[考中]]),"")</f>
        <v>42573.513888888891</v>
      </c>
      <c r="N461" s="33"/>
      <c r="P461" s="32"/>
    </row>
    <row r="462" spans="1:16" hidden="1" x14ac:dyDescent="0.15">
      <c r="A462">
        <v>461</v>
      </c>
      <c r="B462" t="s">
        <v>445</v>
      </c>
      <c r="C462" t="s">
        <v>742</v>
      </c>
      <c r="D462" s="72" t="s">
        <v>763</v>
      </c>
      <c r="E462" t="s">
        <v>73</v>
      </c>
      <c r="F462" t="s">
        <v>764</v>
      </c>
      <c r="G462" s="92">
        <v>42573.494004629632</v>
      </c>
      <c r="H462" s="92">
        <v>42573.494016203702</v>
      </c>
      <c r="I462" s="92">
        <v>42573.494016203702</v>
      </c>
      <c r="J462" s="92">
        <v>42573.503287037034</v>
      </c>
      <c r="K462" s="92">
        <v>42573.513923611114</v>
      </c>
      <c r="L462" s="92">
        <f>IF(AND(单词表[[#This Row],[学英]]&lt;&gt;"",单词表[[#This Row],[学中]]&lt;&gt;"",单词表[[#This Row],[学词]]&lt;&gt;""),MAX(单词表[[#This Row],[学英]:[学词]]),"")</f>
        <v>42573.494016203702</v>
      </c>
      <c r="M462" s="2">
        <f>IF(AND(单词表[[#This Row],[考英]]&lt;&gt;"",单词表[[#This Row],[考中]]&lt;&gt;""),MAX(单词表[[#This Row],[考英]:[考中]]),"")</f>
        <v>42573.513923611114</v>
      </c>
      <c r="N462" s="33"/>
      <c r="P462" s="32"/>
    </row>
    <row r="463" spans="1:16" hidden="1" x14ac:dyDescent="0.15">
      <c r="A463">
        <v>463</v>
      </c>
      <c r="B463" t="s">
        <v>445</v>
      </c>
      <c r="C463" t="s">
        <v>742</v>
      </c>
      <c r="D463" s="72" t="s">
        <v>765</v>
      </c>
      <c r="E463" t="s">
        <v>61</v>
      </c>
      <c r="F463" t="s">
        <v>766</v>
      </c>
      <c r="G463" s="92">
        <v>42573.494108796294</v>
      </c>
      <c r="H463" s="92">
        <v>42573.494120370371</v>
      </c>
      <c r="I463" s="92">
        <v>42573.494120370371</v>
      </c>
      <c r="J463" s="92">
        <v>42573.503518518519</v>
      </c>
      <c r="K463" s="92">
        <v>42573.51457175926</v>
      </c>
      <c r="L463" s="92">
        <f>IF(AND(单词表[[#This Row],[学英]]&lt;&gt;"",单词表[[#This Row],[学中]]&lt;&gt;"",单词表[[#This Row],[学词]]&lt;&gt;""),MAX(单词表[[#This Row],[学英]:[学词]]),"")</f>
        <v>42573.494120370371</v>
      </c>
      <c r="M463" s="2">
        <f>IF(AND(单词表[[#This Row],[考英]]&lt;&gt;"",单词表[[#This Row],[考中]]&lt;&gt;""),MAX(单词表[[#This Row],[考英]:[考中]]),"")</f>
        <v>42573.51457175926</v>
      </c>
      <c r="N463" s="33"/>
      <c r="P463" s="32"/>
    </row>
    <row r="464" spans="1:16" hidden="1" x14ac:dyDescent="0.15">
      <c r="A464">
        <v>464</v>
      </c>
      <c r="B464" t="s">
        <v>445</v>
      </c>
      <c r="C464" t="s">
        <v>742</v>
      </c>
      <c r="D464" s="72" t="s">
        <v>767</v>
      </c>
      <c r="E464" t="s">
        <v>36</v>
      </c>
      <c r="F464" t="s">
        <v>768</v>
      </c>
      <c r="G464" s="92">
        <v>42573.494155092594</v>
      </c>
      <c r="H464" s="92">
        <v>42573.494166666664</v>
      </c>
      <c r="I464" s="92">
        <v>42573.494155092594</v>
      </c>
      <c r="J464" s="92">
        <v>42573.503587962965</v>
      </c>
      <c r="K464" s="92">
        <v>42573.514618055553</v>
      </c>
      <c r="L464" s="92">
        <f>IF(AND(单词表[[#This Row],[学英]]&lt;&gt;"",单词表[[#This Row],[学中]]&lt;&gt;"",单词表[[#This Row],[学词]]&lt;&gt;""),MAX(单词表[[#This Row],[学英]:[学词]]),"")</f>
        <v>42573.494166666664</v>
      </c>
      <c r="M464" s="2">
        <f>IF(AND(单词表[[#This Row],[考英]]&lt;&gt;"",单词表[[#This Row],[考中]]&lt;&gt;""),MAX(单词表[[#This Row],[考英]:[考中]]),"")</f>
        <v>42573.514618055553</v>
      </c>
      <c r="N464" s="33"/>
      <c r="P464" s="32"/>
    </row>
    <row r="465" spans="1:16" hidden="1" x14ac:dyDescent="0.15">
      <c r="A465">
        <v>465</v>
      </c>
      <c r="B465" t="s">
        <v>445</v>
      </c>
      <c r="C465" t="s">
        <v>742</v>
      </c>
      <c r="D465" s="72" t="s">
        <v>769</v>
      </c>
      <c r="E465" t="s">
        <v>36</v>
      </c>
      <c r="F465" t="s">
        <v>770</v>
      </c>
      <c r="G465" s="92">
        <v>42573.629525462966</v>
      </c>
      <c r="H465" s="92">
        <v>42573.494259259256</v>
      </c>
      <c r="I465" s="92">
        <v>42573.494247685187</v>
      </c>
      <c r="J465" s="92">
        <v>42573.631122685183</v>
      </c>
      <c r="K465" s="92">
        <v>42573.514675925922</v>
      </c>
      <c r="L465" s="92">
        <f>IF(AND(单词表[[#This Row],[学英]]&lt;&gt;"",单词表[[#This Row],[学中]]&lt;&gt;"",单词表[[#This Row],[学词]]&lt;&gt;""),MAX(单词表[[#This Row],[学英]:[学词]]),"")</f>
        <v>42573.629525462966</v>
      </c>
      <c r="M465" s="2">
        <f>IF(AND(单词表[[#This Row],[考英]]&lt;&gt;"",单词表[[#This Row],[考中]]&lt;&gt;""),MAX(单词表[[#This Row],[考英]:[考中]]),"")</f>
        <v>42573.631122685183</v>
      </c>
      <c r="N465" s="33"/>
      <c r="P465" s="32"/>
    </row>
    <row r="466" spans="1:16" hidden="1" x14ac:dyDescent="0.15">
      <c r="A466">
        <v>466</v>
      </c>
      <c r="B466" t="s">
        <v>445</v>
      </c>
      <c r="C466" t="s">
        <v>742</v>
      </c>
      <c r="D466" s="72" t="s">
        <v>771</v>
      </c>
      <c r="E466" t="s">
        <v>61</v>
      </c>
      <c r="F466" t="s">
        <v>772</v>
      </c>
      <c r="G466" s="92">
        <v>42573.496562499997</v>
      </c>
      <c r="H466" s="92">
        <v>42573.496574074074</v>
      </c>
      <c r="I466" s="92">
        <v>42573.496562499997</v>
      </c>
      <c r="J466" s="92">
        <v>42573.503969907404</v>
      </c>
      <c r="K466" s="92">
        <v>42573.514861111114</v>
      </c>
      <c r="L466" s="92">
        <f>IF(AND(单词表[[#This Row],[学英]]&lt;&gt;"",单词表[[#This Row],[学中]]&lt;&gt;"",单词表[[#This Row],[学词]]&lt;&gt;""),MAX(单词表[[#This Row],[学英]:[学词]]),"")</f>
        <v>42573.496574074074</v>
      </c>
      <c r="M466" s="2">
        <f>IF(AND(单词表[[#This Row],[考英]]&lt;&gt;"",单词表[[#This Row],[考中]]&lt;&gt;""),MAX(单词表[[#This Row],[考英]:[考中]]),"")</f>
        <v>42573.514861111114</v>
      </c>
      <c r="N466" s="33"/>
      <c r="P466" s="32"/>
    </row>
    <row r="467" spans="1:16" hidden="1" x14ac:dyDescent="0.15">
      <c r="A467">
        <v>467</v>
      </c>
      <c r="B467" t="s">
        <v>445</v>
      </c>
      <c r="C467" t="s">
        <v>742</v>
      </c>
      <c r="D467" s="72" t="s">
        <v>773</v>
      </c>
      <c r="E467" t="s">
        <v>61</v>
      </c>
      <c r="F467" t="s">
        <v>1270</v>
      </c>
      <c r="G467" s="92">
        <v>42573.629548611112</v>
      </c>
      <c r="H467" s="92">
        <v>42577.443229166667</v>
      </c>
      <c r="I467" s="92">
        <v>42577.44321759259</v>
      </c>
      <c r="J467" s="92">
        <v>42573.631412037037</v>
      </c>
      <c r="K467" s="92">
        <v>42577.443483796298</v>
      </c>
      <c r="L467" s="92">
        <f>IF(AND(单词表[[#This Row],[学英]]&lt;&gt;"",单词表[[#This Row],[学中]]&lt;&gt;"",单词表[[#This Row],[学词]]&lt;&gt;""),MAX(单词表[[#This Row],[学英]:[学词]]),"")</f>
        <v>42577.443229166667</v>
      </c>
      <c r="M467" s="2">
        <f>IF(AND(单词表[[#This Row],[考英]]&lt;&gt;"",单词表[[#This Row],[考中]]&lt;&gt;""),MAX(单词表[[#This Row],[考英]:[考中]]),"")</f>
        <v>42577.443483796298</v>
      </c>
      <c r="N467" s="33"/>
      <c r="P467" s="32"/>
    </row>
    <row r="468" spans="1:16" hidden="1" x14ac:dyDescent="0.15">
      <c r="A468">
        <v>468</v>
      </c>
      <c r="B468" t="s">
        <v>445</v>
      </c>
      <c r="C468" t="s">
        <v>742</v>
      </c>
      <c r="D468" s="72" t="s">
        <v>774</v>
      </c>
      <c r="E468" t="s">
        <v>61</v>
      </c>
      <c r="F468" t="s">
        <v>775</v>
      </c>
      <c r="G468" s="92">
        <v>42573.629571759258</v>
      </c>
      <c r="H468" s="92">
        <v>42573.629594907405</v>
      </c>
      <c r="I468" s="92">
        <v>42573.629583333335</v>
      </c>
      <c r="J468" s="92">
        <v>42573.631504629629</v>
      </c>
      <c r="K468" s="92">
        <v>42573.631898148145</v>
      </c>
      <c r="L468" s="92">
        <f>IF(AND(单词表[[#This Row],[学英]]&lt;&gt;"",单词表[[#This Row],[学中]]&lt;&gt;"",单词表[[#This Row],[学词]]&lt;&gt;""),MAX(单词表[[#This Row],[学英]:[学词]]),"")</f>
        <v>42573.629594907405</v>
      </c>
      <c r="M468" s="2">
        <f>IF(AND(单词表[[#This Row],[考英]]&lt;&gt;"",单词表[[#This Row],[考中]]&lt;&gt;""),MAX(单词表[[#This Row],[考英]:[考中]]),"")</f>
        <v>42573.631898148145</v>
      </c>
      <c r="N468" s="33"/>
      <c r="P468" s="32"/>
    </row>
    <row r="469" spans="1:16" hidden="1" x14ac:dyDescent="0.15">
      <c r="A469">
        <v>469</v>
      </c>
      <c r="B469" t="s">
        <v>445</v>
      </c>
      <c r="C469" t="s">
        <v>742</v>
      </c>
      <c r="D469" s="72" t="s">
        <v>776</v>
      </c>
      <c r="E469" t="s">
        <v>61</v>
      </c>
      <c r="F469" t="s">
        <v>777</v>
      </c>
      <c r="G469" s="92">
        <v>42573.496435185189</v>
      </c>
      <c r="H469" s="92">
        <v>42573.496446759258</v>
      </c>
      <c r="I469" s="92">
        <v>42573.496446759258</v>
      </c>
      <c r="J469" s="92">
        <v>42573.504513888889</v>
      </c>
      <c r="K469" s="92">
        <v>42573.515104166669</v>
      </c>
      <c r="L469" s="92">
        <f>IF(AND(单词表[[#This Row],[学英]]&lt;&gt;"",单词表[[#This Row],[学中]]&lt;&gt;"",单词表[[#This Row],[学词]]&lt;&gt;""),MAX(单词表[[#This Row],[学英]:[学词]]),"")</f>
        <v>42573.496446759258</v>
      </c>
      <c r="M469" s="2">
        <f>IF(AND(单词表[[#This Row],[考英]]&lt;&gt;"",单词表[[#This Row],[考中]]&lt;&gt;""),MAX(单词表[[#This Row],[考英]:[考中]]),"")</f>
        <v>42573.515104166669</v>
      </c>
      <c r="N469" s="33"/>
      <c r="P469" s="32"/>
    </row>
    <row r="470" spans="1:16" hidden="1" x14ac:dyDescent="0.15">
      <c r="A470">
        <v>470</v>
      </c>
      <c r="B470" t="s">
        <v>445</v>
      </c>
      <c r="C470" t="s">
        <v>742</v>
      </c>
      <c r="D470" s="72" t="s">
        <v>778</v>
      </c>
      <c r="E470" t="s">
        <v>61</v>
      </c>
      <c r="F470" t="s">
        <v>779</v>
      </c>
      <c r="G470" s="92">
        <v>42573.496388888889</v>
      </c>
      <c r="H470" s="92">
        <v>42573.496412037035</v>
      </c>
      <c r="I470" s="92">
        <v>42573.496400462966</v>
      </c>
      <c r="J470" s="92">
        <v>42573.504583333335</v>
      </c>
      <c r="K470" s="92">
        <v>42573.515162037038</v>
      </c>
      <c r="L470" s="92">
        <f>IF(AND(单词表[[#This Row],[学英]]&lt;&gt;"",单词表[[#This Row],[学中]]&lt;&gt;"",单词表[[#This Row],[学词]]&lt;&gt;""),MAX(单词表[[#This Row],[学英]:[学词]]),"")</f>
        <v>42573.496412037035</v>
      </c>
      <c r="M470" s="2">
        <f>IF(AND(单词表[[#This Row],[考英]]&lt;&gt;"",单词表[[#This Row],[考中]]&lt;&gt;""),MAX(单词表[[#This Row],[考英]:[考中]]),"")</f>
        <v>42573.515162037038</v>
      </c>
      <c r="N470" s="33"/>
      <c r="P470" s="32"/>
    </row>
    <row r="471" spans="1:16" hidden="1" x14ac:dyDescent="0.15">
      <c r="A471">
        <v>471</v>
      </c>
      <c r="B471" t="s">
        <v>445</v>
      </c>
      <c r="C471" t="s">
        <v>742</v>
      </c>
      <c r="D471" s="72" t="s">
        <v>780</v>
      </c>
      <c r="E471" t="s">
        <v>73</v>
      </c>
      <c r="F471" t="s">
        <v>5498</v>
      </c>
      <c r="G471" s="92">
        <v>42573.496354166666</v>
      </c>
      <c r="H471" s="92">
        <v>42573.496354166666</v>
      </c>
      <c r="I471" s="92">
        <v>42573.496342592596</v>
      </c>
      <c r="J471" s="92">
        <v>42573.504675925928</v>
      </c>
      <c r="K471" s="92">
        <v>42573.515208333331</v>
      </c>
      <c r="L471" s="92">
        <f>IF(AND(单词表[[#This Row],[学英]]&lt;&gt;"",单词表[[#This Row],[学中]]&lt;&gt;"",单词表[[#This Row],[学词]]&lt;&gt;""),MAX(单词表[[#This Row],[学英]:[学词]]),"")</f>
        <v>42573.496354166666</v>
      </c>
      <c r="M471" s="2">
        <f>IF(AND(单词表[[#This Row],[考英]]&lt;&gt;"",单词表[[#This Row],[考中]]&lt;&gt;""),MAX(单词表[[#This Row],[考英]:[考中]]),"")</f>
        <v>42573.515208333331</v>
      </c>
      <c r="N471" s="33"/>
      <c r="P471" s="32"/>
    </row>
    <row r="472" spans="1:16" hidden="1" x14ac:dyDescent="0.15">
      <c r="A472">
        <v>472</v>
      </c>
      <c r="B472" t="s">
        <v>445</v>
      </c>
      <c r="C472" t="s">
        <v>742</v>
      </c>
      <c r="D472" s="72" t="s">
        <v>781</v>
      </c>
      <c r="E472" t="s">
        <v>36</v>
      </c>
      <c r="F472" t="s">
        <v>782</v>
      </c>
      <c r="G472" s="92">
        <v>42573.49627314815</v>
      </c>
      <c r="H472" s="92">
        <v>42573.49628472222</v>
      </c>
      <c r="I472" s="92">
        <v>42573.49628472222</v>
      </c>
      <c r="J472" s="92">
        <v>42573.504745370374</v>
      </c>
      <c r="K472" s="92">
        <v>42573.51525462963</v>
      </c>
      <c r="L472" s="92">
        <f>IF(AND(单词表[[#This Row],[学英]]&lt;&gt;"",单词表[[#This Row],[学中]]&lt;&gt;"",单词表[[#This Row],[学词]]&lt;&gt;""),MAX(单词表[[#This Row],[学英]:[学词]]),"")</f>
        <v>42573.49628472222</v>
      </c>
      <c r="M472" s="2">
        <f>IF(AND(单词表[[#This Row],[考英]]&lt;&gt;"",单词表[[#This Row],[考中]]&lt;&gt;""),MAX(单词表[[#This Row],[考英]:[考中]]),"")</f>
        <v>42573.51525462963</v>
      </c>
      <c r="N472" s="33"/>
      <c r="P472" s="32"/>
    </row>
    <row r="473" spans="1:16" hidden="1" x14ac:dyDescent="0.15">
      <c r="A473">
        <v>473</v>
      </c>
      <c r="B473" t="s">
        <v>445</v>
      </c>
      <c r="C473" t="s">
        <v>783</v>
      </c>
      <c r="D473" s="72" t="s">
        <v>784</v>
      </c>
      <c r="E473" t="s">
        <v>61</v>
      </c>
      <c r="F473" t="s">
        <v>785</v>
      </c>
      <c r="G473" s="92">
        <v>42576.636099537034</v>
      </c>
      <c r="H473" s="92">
        <v>42576.629710648151</v>
      </c>
      <c r="I473" s="92">
        <v>42576.629710648151</v>
      </c>
      <c r="J473" s="92">
        <v>42576.636377314811</v>
      </c>
      <c r="K473" s="92">
        <v>42576.636666666665</v>
      </c>
      <c r="L473" s="92">
        <f>IF(AND(单词表[[#This Row],[学英]]&lt;&gt;"",单词表[[#This Row],[学中]]&lt;&gt;"",单词表[[#This Row],[学词]]&lt;&gt;""),MAX(单词表[[#This Row],[学英]:[学词]]),"")</f>
        <v>42576.636099537034</v>
      </c>
      <c r="M473" s="2">
        <f>IF(AND(单词表[[#This Row],[考英]]&lt;&gt;"",单词表[[#This Row],[考中]]&lt;&gt;""),MAX(单词表[[#This Row],[考英]:[考中]]),"")</f>
        <v>42576.636666666665</v>
      </c>
      <c r="N473" s="33"/>
      <c r="P473" s="32"/>
    </row>
    <row r="474" spans="1:16" hidden="1" x14ac:dyDescent="0.15">
      <c r="A474">
        <v>474</v>
      </c>
      <c r="B474" t="s">
        <v>445</v>
      </c>
      <c r="C474" t="s">
        <v>783</v>
      </c>
      <c r="D474" s="72" t="s">
        <v>786</v>
      </c>
      <c r="E474" t="s">
        <v>36</v>
      </c>
      <c r="F474" t="s">
        <v>787</v>
      </c>
      <c r="G474" s="92">
        <v>42576.629733796297</v>
      </c>
      <c r="H474" s="92">
        <v>42576.629745370374</v>
      </c>
      <c r="I474" s="92">
        <v>42576.629745370374</v>
      </c>
      <c r="J474" s="92">
        <v>42576.632164351853</v>
      </c>
      <c r="K474" s="92">
        <v>42576.636701388888</v>
      </c>
      <c r="L474" s="92">
        <f>IF(AND(单词表[[#This Row],[学英]]&lt;&gt;"",单词表[[#This Row],[学中]]&lt;&gt;"",单词表[[#This Row],[学词]]&lt;&gt;""),MAX(单词表[[#This Row],[学英]:[学词]]),"")</f>
        <v>42576.629745370374</v>
      </c>
      <c r="M474" s="2">
        <f>IF(AND(单词表[[#This Row],[考英]]&lt;&gt;"",单词表[[#This Row],[考中]]&lt;&gt;""),MAX(单词表[[#This Row],[考英]:[考中]]),"")</f>
        <v>42576.636701388888</v>
      </c>
      <c r="N474" s="33"/>
      <c r="P474" s="32"/>
    </row>
    <row r="475" spans="1:16" hidden="1" x14ac:dyDescent="0.15">
      <c r="A475">
        <v>475</v>
      </c>
      <c r="B475" t="s">
        <v>445</v>
      </c>
      <c r="C475" t="s">
        <v>783</v>
      </c>
      <c r="D475" s="72" t="s">
        <v>788</v>
      </c>
      <c r="E475" t="s">
        <v>61</v>
      </c>
      <c r="F475" t="s">
        <v>789</v>
      </c>
      <c r="G475" s="92">
        <v>42576.629780092589</v>
      </c>
      <c r="H475" s="92">
        <v>42576.629791666666</v>
      </c>
      <c r="I475" s="92">
        <v>42576.629791666666</v>
      </c>
      <c r="J475" s="92">
        <v>42576.632256944446</v>
      </c>
      <c r="K475" s="92">
        <v>42576.636736111112</v>
      </c>
      <c r="L475" s="92">
        <f>IF(AND(单词表[[#This Row],[学英]]&lt;&gt;"",单词表[[#This Row],[学中]]&lt;&gt;"",单词表[[#This Row],[学词]]&lt;&gt;""),MAX(单词表[[#This Row],[学英]:[学词]]),"")</f>
        <v>42576.629791666666</v>
      </c>
      <c r="M475" s="2">
        <f>IF(AND(单词表[[#This Row],[考英]]&lt;&gt;"",单词表[[#This Row],[考中]]&lt;&gt;""),MAX(单词表[[#This Row],[考英]:[考中]]),"")</f>
        <v>42576.636736111112</v>
      </c>
      <c r="N475" s="33"/>
      <c r="P475" s="32"/>
    </row>
    <row r="476" spans="1:16" hidden="1" x14ac:dyDescent="0.15">
      <c r="A476">
        <v>476</v>
      </c>
      <c r="B476" t="s">
        <v>445</v>
      </c>
      <c r="C476" t="s">
        <v>783</v>
      </c>
      <c r="D476" s="72" t="s">
        <v>788</v>
      </c>
      <c r="E476" t="s">
        <v>73</v>
      </c>
      <c r="F476" t="s">
        <v>790</v>
      </c>
      <c r="G476" s="92">
        <v>42576.629826388889</v>
      </c>
      <c r="H476" s="92">
        <v>42576.629826388889</v>
      </c>
      <c r="I476" s="92">
        <v>42576.629826388889</v>
      </c>
      <c r="J476" s="92">
        <v>42576.632303240738</v>
      </c>
      <c r="K476" s="92">
        <v>42576.636770833335</v>
      </c>
      <c r="L476" s="92">
        <f>IF(AND(单词表[[#This Row],[学英]]&lt;&gt;"",单词表[[#This Row],[学中]]&lt;&gt;"",单词表[[#This Row],[学词]]&lt;&gt;""),MAX(单词表[[#This Row],[学英]:[学词]]),"")</f>
        <v>42576.629826388889</v>
      </c>
      <c r="M476" s="2">
        <f>IF(AND(单词表[[#This Row],[考英]]&lt;&gt;"",单词表[[#This Row],[考中]]&lt;&gt;""),MAX(单词表[[#This Row],[考英]:[考中]]),"")</f>
        <v>42576.636770833335</v>
      </c>
      <c r="N476" s="33"/>
      <c r="P476" s="32"/>
    </row>
    <row r="477" spans="1:16" hidden="1" x14ac:dyDescent="0.15">
      <c r="A477">
        <v>477</v>
      </c>
      <c r="B477" t="s">
        <v>445</v>
      </c>
      <c r="C477" t="s">
        <v>783</v>
      </c>
      <c r="D477" s="72" t="s">
        <v>791</v>
      </c>
      <c r="E477" t="s">
        <v>73</v>
      </c>
      <c r="F477" t="s">
        <v>792</v>
      </c>
      <c r="G477" s="92">
        <v>42576.629849537036</v>
      </c>
      <c r="H477" s="92">
        <v>42576.629861111112</v>
      </c>
      <c r="I477" s="92">
        <v>42576.629861111112</v>
      </c>
      <c r="J477" s="92">
        <v>42576.6325</v>
      </c>
      <c r="K477" s="92">
        <v>42576.636828703704</v>
      </c>
      <c r="L477" s="92">
        <f>IF(AND(单词表[[#This Row],[学英]]&lt;&gt;"",单词表[[#This Row],[学中]]&lt;&gt;"",单词表[[#This Row],[学词]]&lt;&gt;""),MAX(单词表[[#This Row],[学英]:[学词]]),"")</f>
        <v>42576.629861111112</v>
      </c>
      <c r="M477" s="2">
        <f>IF(AND(单词表[[#This Row],[考英]]&lt;&gt;"",单词表[[#This Row],[考中]]&lt;&gt;""),MAX(单词表[[#This Row],[考英]:[考中]]),"")</f>
        <v>42576.636828703704</v>
      </c>
      <c r="N477" s="33"/>
      <c r="P477" s="32"/>
    </row>
    <row r="478" spans="1:16" hidden="1" x14ac:dyDescent="0.15">
      <c r="A478">
        <v>478</v>
      </c>
      <c r="B478" t="s">
        <v>445</v>
      </c>
      <c r="C478" t="s">
        <v>783</v>
      </c>
      <c r="D478" s="72" t="s">
        <v>793</v>
      </c>
      <c r="E478" t="s">
        <v>73</v>
      </c>
      <c r="F478" t="s">
        <v>794</v>
      </c>
      <c r="G478" s="92">
        <v>42576.629884259259</v>
      </c>
      <c r="H478" s="92">
        <v>42576.629895833335</v>
      </c>
      <c r="I478" s="92">
        <v>42576.629895833335</v>
      </c>
      <c r="J478" s="92">
        <v>42576.632557870369</v>
      </c>
      <c r="K478" s="92">
        <v>42576.636863425927</v>
      </c>
      <c r="L478" s="92">
        <f>IF(AND(单词表[[#This Row],[学英]]&lt;&gt;"",单词表[[#This Row],[学中]]&lt;&gt;"",单词表[[#This Row],[学词]]&lt;&gt;""),MAX(单词表[[#This Row],[学英]:[学词]]),"")</f>
        <v>42576.629895833335</v>
      </c>
      <c r="M478" s="2">
        <f>IF(AND(单词表[[#This Row],[考英]]&lt;&gt;"",单词表[[#This Row],[考中]]&lt;&gt;""),MAX(单词表[[#This Row],[考英]:[考中]]),"")</f>
        <v>42576.636863425927</v>
      </c>
      <c r="N478" s="33"/>
      <c r="P478" s="32"/>
    </row>
    <row r="479" spans="1:16" hidden="1" x14ac:dyDescent="0.15">
      <c r="A479">
        <v>479</v>
      </c>
      <c r="B479" t="s">
        <v>445</v>
      </c>
      <c r="C479" t="s">
        <v>783</v>
      </c>
      <c r="D479" s="72" t="s">
        <v>793</v>
      </c>
      <c r="E479" t="s">
        <v>157</v>
      </c>
      <c r="F479" t="s">
        <v>795</v>
      </c>
      <c r="G479" s="92">
        <v>42576.629918981482</v>
      </c>
      <c r="H479" s="92">
        <v>42576.629930555559</v>
      </c>
      <c r="I479" s="92">
        <v>42576.629918981482</v>
      </c>
      <c r="J479" s="92">
        <v>42576.632627314815</v>
      </c>
      <c r="K479" s="92">
        <v>42576.63689814815</v>
      </c>
      <c r="L479" s="92">
        <f>IF(AND(单词表[[#This Row],[学英]]&lt;&gt;"",单词表[[#This Row],[学中]]&lt;&gt;"",单词表[[#This Row],[学词]]&lt;&gt;""),MAX(单词表[[#This Row],[学英]:[学词]]),"")</f>
        <v>42576.629930555559</v>
      </c>
      <c r="M479" s="2">
        <f>IF(AND(单词表[[#This Row],[考英]]&lt;&gt;"",单词表[[#This Row],[考中]]&lt;&gt;""),MAX(单词表[[#This Row],[考英]:[考中]]),"")</f>
        <v>42576.63689814815</v>
      </c>
      <c r="N479" s="33"/>
      <c r="P479" s="32"/>
    </row>
    <row r="480" spans="1:16" hidden="1" x14ac:dyDescent="0.15">
      <c r="A480">
        <v>480</v>
      </c>
      <c r="B480" t="s">
        <v>445</v>
      </c>
      <c r="C480" t="s">
        <v>783</v>
      </c>
      <c r="D480" s="72" t="s">
        <v>796</v>
      </c>
      <c r="E480" t="s">
        <v>36</v>
      </c>
      <c r="F480" t="s">
        <v>797</v>
      </c>
      <c r="G480" s="92">
        <v>42576.636180555557</v>
      </c>
      <c r="H480" s="92">
        <v>42576.629953703705</v>
      </c>
      <c r="I480" s="92">
        <v>42576.629953703705</v>
      </c>
      <c r="J480" s="92">
        <v>42576.636435185188</v>
      </c>
      <c r="K480" s="92">
        <v>42576.636932870373</v>
      </c>
      <c r="L480" s="92">
        <f>IF(AND(单词表[[#This Row],[学英]]&lt;&gt;"",单词表[[#This Row],[学中]]&lt;&gt;"",单词表[[#This Row],[学词]]&lt;&gt;""),MAX(单词表[[#This Row],[学英]:[学词]]),"")</f>
        <v>42576.636180555557</v>
      </c>
      <c r="M480" s="2">
        <f>IF(AND(单词表[[#This Row],[考英]]&lt;&gt;"",单词表[[#This Row],[考中]]&lt;&gt;""),MAX(单词表[[#This Row],[考英]:[考中]]),"")</f>
        <v>42576.636932870373</v>
      </c>
      <c r="N480" s="33"/>
      <c r="P480" s="32"/>
    </row>
    <row r="481" spans="1:16" hidden="1" x14ac:dyDescent="0.15">
      <c r="A481">
        <v>481</v>
      </c>
      <c r="B481" t="s">
        <v>445</v>
      </c>
      <c r="C481" t="s">
        <v>783</v>
      </c>
      <c r="D481" s="72" t="s">
        <v>798</v>
      </c>
      <c r="E481" t="s">
        <v>736</v>
      </c>
      <c r="F481" t="s">
        <v>799</v>
      </c>
      <c r="G481" s="92">
        <v>42576.629976851851</v>
      </c>
      <c r="H481" s="92">
        <v>42576.629988425928</v>
      </c>
      <c r="I481" s="92">
        <v>42576.629988425928</v>
      </c>
      <c r="J481" s="92">
        <v>42576.633020833331</v>
      </c>
      <c r="K481" s="92">
        <v>42576.637048611112</v>
      </c>
      <c r="L481" s="92">
        <f>IF(AND(单词表[[#This Row],[学英]]&lt;&gt;"",单词表[[#This Row],[学中]]&lt;&gt;"",单词表[[#This Row],[学词]]&lt;&gt;""),MAX(单词表[[#This Row],[学英]:[学词]]),"")</f>
        <v>42576.629988425928</v>
      </c>
      <c r="M481" s="2">
        <f>IF(AND(单词表[[#This Row],[考英]]&lt;&gt;"",单词表[[#This Row],[考中]]&lt;&gt;""),MAX(单词表[[#This Row],[考英]:[考中]]),"")</f>
        <v>42576.637048611112</v>
      </c>
      <c r="N481" s="33"/>
      <c r="P481" s="32"/>
    </row>
    <row r="482" spans="1:16" hidden="1" x14ac:dyDescent="0.15">
      <c r="A482">
        <v>482</v>
      </c>
      <c r="B482" t="s">
        <v>445</v>
      </c>
      <c r="C482" t="s">
        <v>783</v>
      </c>
      <c r="D482" s="72" t="s">
        <v>800</v>
      </c>
      <c r="E482" t="s">
        <v>736</v>
      </c>
      <c r="F482" t="s">
        <v>801</v>
      </c>
      <c r="G482" s="92">
        <v>42576.630023148151</v>
      </c>
      <c r="H482" s="92">
        <v>42576.63003472222</v>
      </c>
      <c r="I482" s="92">
        <v>42576.630023148151</v>
      </c>
      <c r="J482" s="92">
        <v>42576.633113425924</v>
      </c>
      <c r="K482" s="92">
        <v>42576.637106481481</v>
      </c>
      <c r="L482" s="92">
        <f>IF(AND(单词表[[#This Row],[学英]]&lt;&gt;"",单词表[[#This Row],[学中]]&lt;&gt;"",单词表[[#This Row],[学词]]&lt;&gt;""),MAX(单词表[[#This Row],[学英]:[学词]]),"")</f>
        <v>42576.63003472222</v>
      </c>
      <c r="M482" s="2">
        <f>IF(AND(单词表[[#This Row],[考英]]&lt;&gt;"",单词表[[#This Row],[考中]]&lt;&gt;""),MAX(单词表[[#This Row],[考英]:[考中]]),"")</f>
        <v>42576.637106481481</v>
      </c>
      <c r="N482" s="33"/>
      <c r="P482" s="32"/>
    </row>
    <row r="483" spans="1:16" hidden="1" x14ac:dyDescent="0.15">
      <c r="A483">
        <v>483</v>
      </c>
      <c r="B483" t="s">
        <v>445</v>
      </c>
      <c r="C483" t="s">
        <v>783</v>
      </c>
      <c r="D483" s="72" t="s">
        <v>802</v>
      </c>
      <c r="E483" t="s">
        <v>736</v>
      </c>
      <c r="F483" t="s">
        <v>803</v>
      </c>
      <c r="G483" s="92">
        <v>42576.630057870374</v>
      </c>
      <c r="H483" s="92">
        <v>42576.630069444444</v>
      </c>
      <c r="I483" s="92">
        <v>42576.630057870374</v>
      </c>
      <c r="J483" s="92">
        <v>42576.633252314816</v>
      </c>
      <c r="K483" s="92">
        <v>42576.637175925927</v>
      </c>
      <c r="L483" s="92">
        <f>IF(AND(单词表[[#This Row],[学英]]&lt;&gt;"",单词表[[#This Row],[学中]]&lt;&gt;"",单词表[[#This Row],[学词]]&lt;&gt;""),MAX(单词表[[#This Row],[学英]:[学词]]),"")</f>
        <v>42576.630069444444</v>
      </c>
      <c r="M483" s="2">
        <f>IF(AND(单词表[[#This Row],[考英]]&lt;&gt;"",单词表[[#This Row],[考中]]&lt;&gt;""),MAX(单词表[[#This Row],[考英]:[考中]]),"")</f>
        <v>42576.637175925927</v>
      </c>
      <c r="N483" s="33"/>
      <c r="P483" s="32"/>
    </row>
    <row r="484" spans="1:16" hidden="1" x14ac:dyDescent="0.15">
      <c r="A484">
        <v>484</v>
      </c>
      <c r="B484" t="s">
        <v>445</v>
      </c>
      <c r="C484" t="s">
        <v>783</v>
      </c>
      <c r="D484" s="72" t="s">
        <v>804</v>
      </c>
      <c r="E484" t="s">
        <v>736</v>
      </c>
      <c r="F484" t="s">
        <v>805</v>
      </c>
      <c r="G484" s="92">
        <v>42576.63008101852</v>
      </c>
      <c r="H484" s="92">
        <v>42576.63009259259</v>
      </c>
      <c r="I484" s="92">
        <v>42576.63009259259</v>
      </c>
      <c r="J484" s="92">
        <v>42576.633310185185</v>
      </c>
      <c r="K484" s="92">
        <v>42576.637233796297</v>
      </c>
      <c r="L484" s="92">
        <f>IF(AND(单词表[[#This Row],[学英]]&lt;&gt;"",单词表[[#This Row],[学中]]&lt;&gt;"",单词表[[#This Row],[学词]]&lt;&gt;""),MAX(单词表[[#This Row],[学英]:[学词]]),"")</f>
        <v>42576.63009259259</v>
      </c>
      <c r="M484" s="2">
        <f>IF(AND(单词表[[#This Row],[考英]]&lt;&gt;"",单词表[[#This Row],[考中]]&lt;&gt;""),MAX(单词表[[#This Row],[考英]:[考中]]),"")</f>
        <v>42576.637233796297</v>
      </c>
      <c r="N484" s="33"/>
      <c r="P484" s="32"/>
    </row>
    <row r="485" spans="1:16" hidden="1" x14ac:dyDescent="0.15">
      <c r="A485">
        <v>485</v>
      </c>
      <c r="B485" t="s">
        <v>445</v>
      </c>
      <c r="C485" t="s">
        <v>783</v>
      </c>
      <c r="D485" s="72" t="s">
        <v>806</v>
      </c>
      <c r="E485" t="s">
        <v>736</v>
      </c>
      <c r="F485" t="s">
        <v>807</v>
      </c>
      <c r="G485" s="92">
        <v>42576.630115740743</v>
      </c>
      <c r="H485" s="92">
        <v>42576.63013888889</v>
      </c>
      <c r="I485" s="92">
        <v>42576.630127314813</v>
      </c>
      <c r="J485" s="92">
        <v>42576.633402777778</v>
      </c>
      <c r="K485" s="92">
        <v>42576.637314814812</v>
      </c>
      <c r="L485" s="92">
        <f>IF(AND(单词表[[#This Row],[学英]]&lt;&gt;"",单词表[[#This Row],[学中]]&lt;&gt;"",单词表[[#This Row],[学词]]&lt;&gt;""),MAX(单词表[[#This Row],[学英]:[学词]]),"")</f>
        <v>42576.63013888889</v>
      </c>
      <c r="M485" s="2">
        <f>IF(AND(单词表[[#This Row],[考英]]&lt;&gt;"",单词表[[#This Row],[考中]]&lt;&gt;""),MAX(单词表[[#This Row],[考英]:[考中]]),"")</f>
        <v>42576.637314814812</v>
      </c>
      <c r="N485" s="33"/>
      <c r="P485" s="32"/>
    </row>
    <row r="486" spans="1:16" hidden="1" x14ac:dyDescent="0.15">
      <c r="A486">
        <v>486</v>
      </c>
      <c r="B486" t="s">
        <v>445</v>
      </c>
      <c r="C486" t="s">
        <v>783</v>
      </c>
      <c r="D486" s="72" t="s">
        <v>808</v>
      </c>
      <c r="E486" t="s">
        <v>736</v>
      </c>
      <c r="F486" t="s">
        <v>809</v>
      </c>
      <c r="G486" s="92">
        <v>42576.630162037036</v>
      </c>
      <c r="H486" s="92">
        <v>42576.630185185182</v>
      </c>
      <c r="I486" s="92">
        <v>42576.630162037036</v>
      </c>
      <c r="J486" s="92">
        <v>42576.633460648147</v>
      </c>
      <c r="K486" s="92">
        <v>42576.637361111112</v>
      </c>
      <c r="L486" s="92">
        <f>IF(AND(单词表[[#This Row],[学英]]&lt;&gt;"",单词表[[#This Row],[学中]]&lt;&gt;"",单词表[[#This Row],[学词]]&lt;&gt;""),MAX(单词表[[#This Row],[学英]:[学词]]),"")</f>
        <v>42576.630185185182</v>
      </c>
      <c r="M486" s="2">
        <f>IF(AND(单词表[[#This Row],[考英]]&lt;&gt;"",单词表[[#This Row],[考中]]&lt;&gt;""),MAX(单词表[[#This Row],[考英]:[考中]]),"")</f>
        <v>42576.637361111112</v>
      </c>
      <c r="N486" s="33"/>
      <c r="P486" s="32"/>
    </row>
    <row r="487" spans="1:16" hidden="1" x14ac:dyDescent="0.15">
      <c r="A487">
        <v>487</v>
      </c>
      <c r="B487" t="s">
        <v>445</v>
      </c>
      <c r="C487" t="s">
        <v>783</v>
      </c>
      <c r="D487" s="72" t="s">
        <v>3288</v>
      </c>
      <c r="E487" t="s">
        <v>736</v>
      </c>
      <c r="F487" t="s">
        <v>623</v>
      </c>
      <c r="G487" s="92">
        <v>42578.473587962966</v>
      </c>
      <c r="H487" s="92">
        <v>42577.637499999997</v>
      </c>
      <c r="I487" s="92">
        <v>42577.637499999997</v>
      </c>
      <c r="J487" s="92">
        <v>42578.489062499997</v>
      </c>
      <c r="K487" s="92">
        <v>42577.637696759259</v>
      </c>
      <c r="L487" s="92">
        <f>IF(AND(单词表[[#This Row],[学英]]&lt;&gt;"",单词表[[#This Row],[学中]]&lt;&gt;"",单词表[[#This Row],[学词]]&lt;&gt;""),MAX(单词表[[#This Row],[学英]:[学词]]),"")</f>
        <v>42578.473587962966</v>
      </c>
      <c r="M487" s="2">
        <f>IF(AND(单词表[[#This Row],[考英]]&lt;&gt;"",单词表[[#This Row],[考中]]&lt;&gt;""),MAX(单词表[[#This Row],[考英]:[考中]]),"")</f>
        <v>42578.489062499997</v>
      </c>
      <c r="N487" s="33"/>
      <c r="P487" s="32"/>
    </row>
    <row r="488" spans="1:16" hidden="1" x14ac:dyDescent="0.15">
      <c r="A488">
        <v>488</v>
      </c>
      <c r="B488" t="s">
        <v>445</v>
      </c>
      <c r="C488" t="s">
        <v>783</v>
      </c>
      <c r="D488" s="72" t="s">
        <v>810</v>
      </c>
      <c r="E488" t="s">
        <v>736</v>
      </c>
      <c r="F488" t="s">
        <v>811</v>
      </c>
      <c r="G488" s="92">
        <v>42576.630231481482</v>
      </c>
      <c r="H488" s="92">
        <v>42576.630254629628</v>
      </c>
      <c r="I488" s="92">
        <v>42576.630254629628</v>
      </c>
      <c r="J488" s="92">
        <v>42576.633784722224</v>
      </c>
      <c r="K488" s="92">
        <v>42576.63753472222</v>
      </c>
      <c r="L488" s="92">
        <f>IF(AND(单词表[[#This Row],[学英]]&lt;&gt;"",单词表[[#This Row],[学中]]&lt;&gt;"",单词表[[#This Row],[学词]]&lt;&gt;""),MAX(单词表[[#This Row],[学英]:[学词]]),"")</f>
        <v>42576.630254629628</v>
      </c>
      <c r="M488" s="2">
        <f>IF(AND(单词表[[#This Row],[考英]]&lt;&gt;"",单词表[[#This Row],[考中]]&lt;&gt;""),MAX(单词表[[#This Row],[考英]:[考中]]),"")</f>
        <v>42576.63753472222</v>
      </c>
      <c r="N488" s="33"/>
      <c r="P488" s="32"/>
    </row>
    <row r="489" spans="1:16" hidden="1" x14ac:dyDescent="0.15">
      <c r="A489">
        <v>489</v>
      </c>
      <c r="B489" t="s">
        <v>445</v>
      </c>
      <c r="C489" t="s">
        <v>783</v>
      </c>
      <c r="D489" s="72" t="s">
        <v>812</v>
      </c>
      <c r="E489" t="s">
        <v>36</v>
      </c>
      <c r="F489" t="s">
        <v>813</v>
      </c>
      <c r="G489" s="92">
        <v>42576.630277777775</v>
      </c>
      <c r="H489" s="92">
        <v>42576.630289351851</v>
      </c>
      <c r="I489" s="92">
        <v>42576.630289351851</v>
      </c>
      <c r="J489" s="92">
        <v>42576.633888888886</v>
      </c>
      <c r="K489" s="92">
        <v>42576.63758101852</v>
      </c>
      <c r="L489" s="92">
        <f>IF(AND(单词表[[#This Row],[学英]]&lt;&gt;"",单词表[[#This Row],[学中]]&lt;&gt;"",单词表[[#This Row],[学词]]&lt;&gt;""),MAX(单词表[[#This Row],[学英]:[学词]]),"")</f>
        <v>42576.630289351851</v>
      </c>
      <c r="M489" s="2">
        <f>IF(AND(单词表[[#This Row],[考英]]&lt;&gt;"",单词表[[#This Row],[考中]]&lt;&gt;""),MAX(单词表[[#This Row],[考英]:[考中]]),"")</f>
        <v>42576.63758101852</v>
      </c>
      <c r="N489" s="33"/>
      <c r="P489" s="32"/>
    </row>
    <row r="490" spans="1:16" hidden="1" x14ac:dyDescent="0.15">
      <c r="A490">
        <v>490</v>
      </c>
      <c r="B490" t="s">
        <v>445</v>
      </c>
      <c r="C490" t="s">
        <v>783</v>
      </c>
      <c r="D490" s="72" t="s">
        <v>814</v>
      </c>
      <c r="E490" t="s">
        <v>36</v>
      </c>
      <c r="F490" t="s">
        <v>815</v>
      </c>
      <c r="G490" s="92">
        <v>42576.630324074074</v>
      </c>
      <c r="H490" s="92">
        <v>42576.630347222221</v>
      </c>
      <c r="I490" s="92">
        <v>42576.630335648151</v>
      </c>
      <c r="J490" s="92">
        <v>42576.634027777778</v>
      </c>
      <c r="K490" s="92">
        <v>42576.637627314813</v>
      </c>
      <c r="L490" s="92">
        <f>IF(AND(单词表[[#This Row],[学英]]&lt;&gt;"",单词表[[#This Row],[学中]]&lt;&gt;"",单词表[[#This Row],[学词]]&lt;&gt;""),MAX(单词表[[#This Row],[学英]:[学词]]),"")</f>
        <v>42576.630347222221</v>
      </c>
      <c r="M490" s="2">
        <f>IF(AND(单词表[[#This Row],[考英]]&lt;&gt;"",单词表[[#This Row],[考中]]&lt;&gt;""),MAX(单词表[[#This Row],[考英]:[考中]]),"")</f>
        <v>42576.637627314813</v>
      </c>
      <c r="N490" s="33"/>
      <c r="P490" s="32"/>
    </row>
    <row r="491" spans="1:16" hidden="1" x14ac:dyDescent="0.15">
      <c r="A491">
        <v>491</v>
      </c>
      <c r="B491" t="s">
        <v>445</v>
      </c>
      <c r="C491" t="s">
        <v>783</v>
      </c>
      <c r="D491" s="72" t="s">
        <v>814</v>
      </c>
      <c r="E491" t="s">
        <v>61</v>
      </c>
      <c r="F491" t="s">
        <v>1259</v>
      </c>
      <c r="G491" s="92">
        <v>42576.630370370367</v>
      </c>
      <c r="H491" s="92">
        <v>42576.630393518521</v>
      </c>
      <c r="I491" s="92">
        <v>42576.630381944444</v>
      </c>
      <c r="J491" s="92">
        <v>42576.634074074071</v>
      </c>
      <c r="K491" s="92">
        <v>42576.637662037036</v>
      </c>
      <c r="L491" s="92">
        <f>IF(AND(单词表[[#This Row],[学英]]&lt;&gt;"",单词表[[#This Row],[学中]]&lt;&gt;"",单词表[[#This Row],[学词]]&lt;&gt;""),MAX(单词表[[#This Row],[学英]:[学词]]),"")</f>
        <v>42576.630393518521</v>
      </c>
      <c r="M491" s="2">
        <f>IF(AND(单词表[[#This Row],[考英]]&lt;&gt;"",单词表[[#This Row],[考中]]&lt;&gt;""),MAX(单词表[[#This Row],[考英]:[考中]]),"")</f>
        <v>42576.637662037036</v>
      </c>
      <c r="N491" s="33"/>
      <c r="P491" s="32"/>
    </row>
    <row r="492" spans="1:16" hidden="1" x14ac:dyDescent="0.15">
      <c r="A492">
        <v>492</v>
      </c>
      <c r="B492" t="s">
        <v>445</v>
      </c>
      <c r="C492" t="s">
        <v>783</v>
      </c>
      <c r="D492" s="72" t="s">
        <v>816</v>
      </c>
      <c r="E492" t="s">
        <v>36</v>
      </c>
      <c r="F492" t="s">
        <v>817</v>
      </c>
      <c r="G492" s="92">
        <v>42576.630416666667</v>
      </c>
      <c r="H492" s="92">
        <v>42576.630439814813</v>
      </c>
      <c r="I492" s="92">
        <v>42576.630428240744</v>
      </c>
      <c r="J492" s="92">
        <v>42576.634328703702</v>
      </c>
      <c r="K492" s="92">
        <v>42576.637777777774</v>
      </c>
      <c r="L492" s="92">
        <f>IF(AND(单词表[[#This Row],[学英]]&lt;&gt;"",单词表[[#This Row],[学中]]&lt;&gt;"",单词表[[#This Row],[学词]]&lt;&gt;""),MAX(单词表[[#This Row],[学英]:[学词]]),"")</f>
        <v>42576.630439814813</v>
      </c>
      <c r="M492" s="2">
        <f>IF(AND(单词表[[#This Row],[考英]]&lt;&gt;"",单词表[[#This Row],[考中]]&lt;&gt;""),MAX(单词表[[#This Row],[考英]:[考中]]),"")</f>
        <v>42576.637777777774</v>
      </c>
      <c r="N492" s="33"/>
      <c r="P492" s="32"/>
    </row>
    <row r="493" spans="1:16" hidden="1" x14ac:dyDescent="0.15">
      <c r="A493">
        <v>493</v>
      </c>
      <c r="B493" t="s">
        <v>445</v>
      </c>
      <c r="C493" t="s">
        <v>783</v>
      </c>
      <c r="D493" s="72" t="s">
        <v>818</v>
      </c>
      <c r="E493" t="s">
        <v>36</v>
      </c>
      <c r="F493" t="s">
        <v>819</v>
      </c>
      <c r="G493" s="92">
        <v>42576.63045138889</v>
      </c>
      <c r="H493" s="92">
        <v>42576.630462962959</v>
      </c>
      <c r="I493" s="92">
        <v>42576.630462962959</v>
      </c>
      <c r="J493" s="92">
        <v>42576.634421296294</v>
      </c>
      <c r="K493" s="92">
        <v>42576.637835648151</v>
      </c>
      <c r="L493" s="92">
        <f>IF(AND(单词表[[#This Row],[学英]]&lt;&gt;"",单词表[[#This Row],[学中]]&lt;&gt;"",单词表[[#This Row],[学词]]&lt;&gt;""),MAX(单词表[[#This Row],[学英]:[学词]]),"")</f>
        <v>42576.630462962959</v>
      </c>
      <c r="M493" s="2">
        <f>IF(AND(单词表[[#This Row],[考英]]&lt;&gt;"",单词表[[#This Row],[考中]]&lt;&gt;""),MAX(单词表[[#This Row],[考英]:[考中]]),"")</f>
        <v>42576.637835648151</v>
      </c>
      <c r="N493" s="33"/>
      <c r="P493" s="32"/>
    </row>
    <row r="494" spans="1:16" hidden="1" x14ac:dyDescent="0.15">
      <c r="A494">
        <v>494</v>
      </c>
      <c r="B494" t="s">
        <v>445</v>
      </c>
      <c r="C494" t="s">
        <v>783</v>
      </c>
      <c r="D494" s="72" t="s">
        <v>820</v>
      </c>
      <c r="E494" t="s">
        <v>61</v>
      </c>
      <c r="F494" t="s">
        <v>821</v>
      </c>
      <c r="G494" s="92">
        <v>42576.630486111113</v>
      </c>
      <c r="H494" s="92">
        <v>42576.630497685182</v>
      </c>
      <c r="I494" s="92">
        <v>42576.630497685182</v>
      </c>
      <c r="J494" s="92">
        <v>42576.634525462963</v>
      </c>
      <c r="K494" s="92">
        <v>42576.63795138889</v>
      </c>
      <c r="L494" s="92">
        <f>IF(AND(单词表[[#This Row],[学英]]&lt;&gt;"",单词表[[#This Row],[学中]]&lt;&gt;"",单词表[[#This Row],[学词]]&lt;&gt;""),MAX(单词表[[#This Row],[学英]:[学词]]),"")</f>
        <v>42576.630497685182</v>
      </c>
      <c r="M494" s="2">
        <f>IF(AND(单词表[[#This Row],[考英]]&lt;&gt;"",单词表[[#This Row],[考中]]&lt;&gt;""),MAX(单词表[[#This Row],[考英]:[考中]]),"")</f>
        <v>42576.63795138889</v>
      </c>
      <c r="N494" s="33"/>
      <c r="P494" s="32"/>
    </row>
    <row r="495" spans="1:16" hidden="1" x14ac:dyDescent="0.15">
      <c r="A495">
        <v>495</v>
      </c>
      <c r="B495" t="s">
        <v>445</v>
      </c>
      <c r="C495" t="s">
        <v>783</v>
      </c>
      <c r="D495" s="72" t="s">
        <v>822</v>
      </c>
      <c r="E495" t="s">
        <v>36</v>
      </c>
      <c r="F495" t="s">
        <v>823</v>
      </c>
      <c r="G495" s="92">
        <v>42576.630520833336</v>
      </c>
      <c r="H495" s="92">
        <v>42576.630555555559</v>
      </c>
      <c r="I495" s="92">
        <v>42576.630532407406</v>
      </c>
      <c r="J495" s="92">
        <v>42576.634687500002</v>
      </c>
      <c r="K495" s="92">
        <v>42576.637986111113</v>
      </c>
      <c r="L495" s="92">
        <f>IF(AND(单词表[[#This Row],[学英]]&lt;&gt;"",单词表[[#This Row],[学中]]&lt;&gt;"",单词表[[#This Row],[学词]]&lt;&gt;""),MAX(单词表[[#This Row],[学英]:[学词]]),"")</f>
        <v>42576.630555555559</v>
      </c>
      <c r="M495" s="2">
        <f>IF(AND(单词表[[#This Row],[考英]]&lt;&gt;"",单词表[[#This Row],[考中]]&lt;&gt;""),MAX(单词表[[#This Row],[考英]:[考中]]),"")</f>
        <v>42576.637986111113</v>
      </c>
      <c r="N495" s="33"/>
      <c r="P495" s="32"/>
    </row>
    <row r="496" spans="1:16" hidden="1" x14ac:dyDescent="0.15">
      <c r="A496">
        <v>496</v>
      </c>
      <c r="B496" t="s">
        <v>445</v>
      </c>
      <c r="C496" t="s">
        <v>783</v>
      </c>
      <c r="D496" s="72" t="s">
        <v>824</v>
      </c>
      <c r="E496" t="s">
        <v>36</v>
      </c>
      <c r="F496" t="s">
        <v>825</v>
      </c>
      <c r="G496" s="92">
        <v>42576.630590277775</v>
      </c>
      <c r="H496" s="92">
        <v>42576.630601851852</v>
      </c>
      <c r="I496" s="92">
        <v>42576.630601851852</v>
      </c>
      <c r="J496" s="92">
        <v>42576.634953703702</v>
      </c>
      <c r="K496" s="92">
        <v>42576.638067129628</v>
      </c>
      <c r="L496" s="92">
        <f>IF(AND(单词表[[#This Row],[学英]]&lt;&gt;"",单词表[[#This Row],[学中]]&lt;&gt;"",单词表[[#This Row],[学词]]&lt;&gt;""),MAX(单词表[[#This Row],[学英]:[学词]]),"")</f>
        <v>42576.630601851852</v>
      </c>
      <c r="M496" s="2">
        <f>IF(AND(单词表[[#This Row],[考英]]&lt;&gt;"",单词表[[#This Row],[考中]]&lt;&gt;""),MAX(单词表[[#This Row],[考英]:[考中]]),"")</f>
        <v>42576.638067129628</v>
      </c>
      <c r="N496" s="33"/>
      <c r="P496" s="32"/>
    </row>
    <row r="497" spans="1:16" hidden="1" x14ac:dyDescent="0.15">
      <c r="A497">
        <v>497</v>
      </c>
      <c r="B497" t="s">
        <v>445</v>
      </c>
      <c r="C497" t="s">
        <v>783</v>
      </c>
      <c r="D497" s="72" t="s">
        <v>826</v>
      </c>
      <c r="E497" t="s">
        <v>36</v>
      </c>
      <c r="F497" t="s">
        <v>827</v>
      </c>
      <c r="G497" s="92">
        <v>42576.630624999998</v>
      </c>
      <c r="H497" s="92">
        <v>42576.630624999998</v>
      </c>
      <c r="I497" s="92">
        <v>42576.630624999998</v>
      </c>
      <c r="J497" s="92">
        <v>42576.635150462964</v>
      </c>
      <c r="K497" s="92">
        <v>42576.638124999998</v>
      </c>
      <c r="L497" s="92">
        <f>IF(AND(单词表[[#This Row],[学英]]&lt;&gt;"",单词表[[#This Row],[学中]]&lt;&gt;"",单词表[[#This Row],[学词]]&lt;&gt;""),MAX(单词表[[#This Row],[学英]:[学词]]),"")</f>
        <v>42576.630624999998</v>
      </c>
      <c r="M497" s="2">
        <f>IF(AND(单词表[[#This Row],[考英]]&lt;&gt;"",单词表[[#This Row],[考中]]&lt;&gt;""),MAX(单词表[[#This Row],[考英]:[考中]]),"")</f>
        <v>42576.638124999998</v>
      </c>
      <c r="N497" s="33"/>
      <c r="P497" s="32"/>
    </row>
    <row r="498" spans="1:16" hidden="1" x14ac:dyDescent="0.15">
      <c r="A498">
        <v>498</v>
      </c>
      <c r="B498" t="s">
        <v>445</v>
      </c>
      <c r="C498" t="s">
        <v>783</v>
      </c>
      <c r="D498" s="72" t="s">
        <v>828</v>
      </c>
      <c r="E498" t="s">
        <v>61</v>
      </c>
      <c r="F498" t="s">
        <v>829</v>
      </c>
      <c r="G498" s="92">
        <v>42576.630659722221</v>
      </c>
      <c r="H498" s="92">
        <v>42576.630671296298</v>
      </c>
      <c r="I498" s="92">
        <v>42576.630671296298</v>
      </c>
      <c r="J498" s="92">
        <v>42576.635254629633</v>
      </c>
      <c r="K498" s="92">
        <v>42576.638229166667</v>
      </c>
      <c r="L498" s="92">
        <f>IF(AND(单词表[[#This Row],[学英]]&lt;&gt;"",单词表[[#This Row],[学中]]&lt;&gt;"",单词表[[#This Row],[学词]]&lt;&gt;""),MAX(单词表[[#This Row],[学英]:[学词]]),"")</f>
        <v>42576.630671296298</v>
      </c>
      <c r="M498" s="2">
        <f>IF(AND(单词表[[#This Row],[考英]]&lt;&gt;"",单词表[[#This Row],[考中]]&lt;&gt;""),MAX(单词表[[#This Row],[考英]:[考中]]),"")</f>
        <v>42576.638229166667</v>
      </c>
      <c r="N498" s="33"/>
      <c r="P498" s="32"/>
    </row>
    <row r="499" spans="1:16" hidden="1" x14ac:dyDescent="0.15">
      <c r="A499">
        <v>499</v>
      </c>
      <c r="B499" t="s">
        <v>445</v>
      </c>
      <c r="C499" t="s">
        <v>783</v>
      </c>
      <c r="D499" s="72" t="s">
        <v>830</v>
      </c>
      <c r="E499" t="s">
        <v>1016</v>
      </c>
      <c r="F499" t="s">
        <v>831</v>
      </c>
      <c r="G499" s="92">
        <v>42576.636157407411</v>
      </c>
      <c r="H499" s="92">
        <v>42576.630729166667</v>
      </c>
      <c r="I499" s="92">
        <v>42576.63071759259</v>
      </c>
      <c r="J499" s="92">
        <v>42576.63653935185</v>
      </c>
      <c r="K499" s="92">
        <v>42576.638449074075</v>
      </c>
      <c r="L499" s="92">
        <f>IF(AND(单词表[[#This Row],[学英]]&lt;&gt;"",单词表[[#This Row],[学中]]&lt;&gt;"",单词表[[#This Row],[学词]]&lt;&gt;""),MAX(单词表[[#This Row],[学英]:[学词]]),"")</f>
        <v>42576.636157407411</v>
      </c>
      <c r="M499" s="2">
        <f>IF(AND(单词表[[#This Row],[考英]]&lt;&gt;"",单词表[[#This Row],[考中]]&lt;&gt;""),MAX(单词表[[#This Row],[考英]:[考中]]),"")</f>
        <v>42576.638449074075</v>
      </c>
      <c r="N499" s="33"/>
      <c r="P499" s="32"/>
    </row>
    <row r="500" spans="1:16" hidden="1" x14ac:dyDescent="0.15">
      <c r="A500">
        <v>500</v>
      </c>
      <c r="B500" t="s">
        <v>445</v>
      </c>
      <c r="C500" t="s">
        <v>832</v>
      </c>
      <c r="D500" s="72" t="s">
        <v>833</v>
      </c>
      <c r="E500" t="s">
        <v>1016</v>
      </c>
      <c r="F500" t="s">
        <v>3285</v>
      </c>
      <c r="G500" s="92">
        <v>42577.467986111114</v>
      </c>
      <c r="H500" s="92">
        <v>42577.467997685184</v>
      </c>
      <c r="I500" s="92">
        <v>42577.467997685184</v>
      </c>
      <c r="J500" s="92">
        <v>42577.497534722221</v>
      </c>
      <c r="K500" s="92">
        <v>42577.504004629627</v>
      </c>
      <c r="L500" s="92">
        <f>IF(AND(单词表[[#This Row],[学英]]&lt;&gt;"",单词表[[#This Row],[学中]]&lt;&gt;"",单词表[[#This Row],[学词]]&lt;&gt;""),MAX(单词表[[#This Row],[学英]:[学词]]),"")</f>
        <v>42577.467997685184</v>
      </c>
      <c r="M500" s="2">
        <f>IF(AND(单词表[[#This Row],[考英]]&lt;&gt;"",单词表[[#This Row],[考中]]&lt;&gt;""),MAX(单词表[[#This Row],[考英]:[考中]]),"")</f>
        <v>42577.504004629627</v>
      </c>
      <c r="N500" s="33"/>
      <c r="P500" s="32"/>
    </row>
    <row r="501" spans="1:16" hidden="1" x14ac:dyDescent="0.15">
      <c r="A501">
        <v>501</v>
      </c>
      <c r="B501" t="s">
        <v>445</v>
      </c>
      <c r="C501" t="s">
        <v>832</v>
      </c>
      <c r="D501" s="72" t="s">
        <v>3289</v>
      </c>
      <c r="E501" t="s">
        <v>1021</v>
      </c>
      <c r="F501" t="s">
        <v>3286</v>
      </c>
      <c r="G501" s="92">
        <v>42578.488252314812</v>
      </c>
      <c r="H501" s="92">
        <v>42577.468043981484</v>
      </c>
      <c r="I501" s="92">
        <v>42577.468032407407</v>
      </c>
      <c r="J501" s="92">
        <v>42578.488553240742</v>
      </c>
      <c r="K501" s="92">
        <v>42577.504155092596</v>
      </c>
      <c r="L501" s="92">
        <f>IF(AND(单词表[[#This Row],[学英]]&lt;&gt;"",单词表[[#This Row],[学中]]&lt;&gt;"",单词表[[#This Row],[学词]]&lt;&gt;""),MAX(单词表[[#This Row],[学英]:[学词]]),"")</f>
        <v>42578.488252314812</v>
      </c>
      <c r="M501" s="2">
        <f>IF(AND(单词表[[#This Row],[考英]]&lt;&gt;"",单词表[[#This Row],[考中]]&lt;&gt;""),MAX(单词表[[#This Row],[考英]:[考中]]),"")</f>
        <v>42578.488553240742</v>
      </c>
      <c r="N501" s="33"/>
      <c r="P501" s="32"/>
    </row>
    <row r="502" spans="1:16" hidden="1" x14ac:dyDescent="0.15">
      <c r="A502">
        <v>502</v>
      </c>
      <c r="B502" t="s">
        <v>445</v>
      </c>
      <c r="C502" t="s">
        <v>832</v>
      </c>
      <c r="D502" s="72" t="s">
        <v>3290</v>
      </c>
      <c r="E502" t="s">
        <v>1016</v>
      </c>
      <c r="F502" t="s">
        <v>834</v>
      </c>
      <c r="G502" s="92">
        <v>42578.473645833335</v>
      </c>
      <c r="H502" s="92">
        <v>42577.63795138889</v>
      </c>
      <c r="I502" s="92">
        <v>42577.63795138889</v>
      </c>
      <c r="J502" s="92">
        <v>42578.487916666665</v>
      </c>
      <c r="K502" s="92">
        <v>42577.638136574074</v>
      </c>
      <c r="L502" s="92">
        <f>IF(AND(单词表[[#This Row],[学英]]&lt;&gt;"",单词表[[#This Row],[学中]]&lt;&gt;"",单词表[[#This Row],[学词]]&lt;&gt;""),MAX(单词表[[#This Row],[学英]:[学词]]),"")</f>
        <v>42578.473645833335</v>
      </c>
      <c r="M502" s="2">
        <f>IF(AND(单词表[[#This Row],[考英]]&lt;&gt;"",单词表[[#This Row],[考中]]&lt;&gt;""),MAX(单词表[[#This Row],[考英]:[考中]]),"")</f>
        <v>42578.487916666665</v>
      </c>
      <c r="N502" s="33"/>
      <c r="P502" s="32"/>
    </row>
    <row r="503" spans="1:16" hidden="1" x14ac:dyDescent="0.15">
      <c r="A503">
        <v>503</v>
      </c>
      <c r="B503" t="s">
        <v>445</v>
      </c>
      <c r="C503" t="s">
        <v>832</v>
      </c>
      <c r="D503" s="72" t="s">
        <v>3291</v>
      </c>
      <c r="E503" t="s">
        <v>1016</v>
      </c>
      <c r="F503" t="s">
        <v>836</v>
      </c>
      <c r="G503" s="92">
        <v>42577.642465277779</v>
      </c>
      <c r="H503" s="92">
        <v>42577.468148148146</v>
      </c>
      <c r="I503" s="92">
        <v>42577.468148148146</v>
      </c>
      <c r="J503" s="92">
        <v>42577.643113425926</v>
      </c>
      <c r="K503" s="92">
        <v>42577.504444444443</v>
      </c>
      <c r="L503" s="92">
        <f>IF(AND(单词表[[#This Row],[学英]]&lt;&gt;"",单词表[[#This Row],[学中]]&lt;&gt;"",单词表[[#This Row],[学词]]&lt;&gt;""),MAX(单词表[[#This Row],[学英]:[学词]]),"")</f>
        <v>42577.642465277779</v>
      </c>
      <c r="M503" s="2">
        <f>IF(AND(单词表[[#This Row],[考英]]&lt;&gt;"",单词表[[#This Row],[考中]]&lt;&gt;""),MAX(单词表[[#This Row],[考英]:[考中]]),"")</f>
        <v>42577.643113425926</v>
      </c>
      <c r="N503" s="33"/>
      <c r="P503" s="32"/>
    </row>
    <row r="504" spans="1:16" hidden="1" x14ac:dyDescent="0.15">
      <c r="A504">
        <v>504</v>
      </c>
      <c r="B504" t="s">
        <v>445</v>
      </c>
      <c r="C504" t="s">
        <v>832</v>
      </c>
      <c r="D504" s="72" t="s">
        <v>837</v>
      </c>
      <c r="E504" t="s">
        <v>157</v>
      </c>
      <c r="F504" t="s">
        <v>838</v>
      </c>
      <c r="G504" s="92">
        <v>42579.55740740741</v>
      </c>
      <c r="H504" s="92">
        <v>42577.468206018515</v>
      </c>
      <c r="I504" s="92">
        <v>42577.468194444446</v>
      </c>
      <c r="J504" s="92">
        <v>42579.557905092595</v>
      </c>
      <c r="K504" s="92">
        <v>42577.504537037035</v>
      </c>
      <c r="L504" s="92">
        <f>IF(AND(单词表[[#This Row],[学英]]&lt;&gt;"",单词表[[#This Row],[学中]]&lt;&gt;"",单词表[[#This Row],[学词]]&lt;&gt;""),MAX(单词表[[#This Row],[学英]:[学词]]),"")</f>
        <v>42579.55740740741</v>
      </c>
      <c r="M504" s="2">
        <f>IF(AND(单词表[[#This Row],[考英]]&lt;&gt;"",单词表[[#This Row],[考中]]&lt;&gt;""),MAX(单词表[[#This Row],[考英]:[考中]]),"")</f>
        <v>42579.557905092595</v>
      </c>
      <c r="N504" s="33"/>
      <c r="P504" s="32"/>
    </row>
    <row r="505" spans="1:16" hidden="1" x14ac:dyDescent="0.15">
      <c r="A505">
        <v>505</v>
      </c>
      <c r="B505" t="s">
        <v>445</v>
      </c>
      <c r="C505" t="s">
        <v>832</v>
      </c>
      <c r="D505" s="72" t="s">
        <v>839</v>
      </c>
      <c r="E505" t="s">
        <v>36</v>
      </c>
      <c r="F505" t="s">
        <v>840</v>
      </c>
      <c r="G505" s="92">
        <v>42577.468240740738</v>
      </c>
      <c r="H505" s="92">
        <v>42577.636504629627</v>
      </c>
      <c r="I505" s="92">
        <v>42577.636493055557</v>
      </c>
      <c r="J505" s="92">
        <v>42577.498287037037</v>
      </c>
      <c r="K505" s="92">
        <v>42577.637199074074</v>
      </c>
      <c r="L505" s="92">
        <f>IF(AND(单词表[[#This Row],[学英]]&lt;&gt;"",单词表[[#This Row],[学中]]&lt;&gt;"",单词表[[#This Row],[学词]]&lt;&gt;""),MAX(单词表[[#This Row],[学英]:[学词]]),"")</f>
        <v>42577.636504629627</v>
      </c>
      <c r="M505" s="2">
        <f>IF(AND(单词表[[#This Row],[考英]]&lt;&gt;"",单词表[[#This Row],[考中]]&lt;&gt;""),MAX(单词表[[#This Row],[考英]:[考中]]),"")</f>
        <v>42577.637199074074</v>
      </c>
      <c r="N505" s="33"/>
      <c r="P505" s="32"/>
    </row>
    <row r="506" spans="1:16" hidden="1" x14ac:dyDescent="0.15">
      <c r="A506">
        <v>506</v>
      </c>
      <c r="B506" t="s">
        <v>445</v>
      </c>
      <c r="C506" t="s">
        <v>832</v>
      </c>
      <c r="D506" s="72" t="s">
        <v>841</v>
      </c>
      <c r="E506" t="s">
        <v>61</v>
      </c>
      <c r="F506" t="s">
        <v>842</v>
      </c>
      <c r="G506" s="92">
        <v>42577.502824074072</v>
      </c>
      <c r="H506" s="92">
        <v>42577.502847222226</v>
      </c>
      <c r="I506" s="92">
        <v>42577.502835648149</v>
      </c>
      <c r="J506" s="92">
        <v>42577.639050925929</v>
      </c>
      <c r="K506" s="92">
        <v>42577.504780092589</v>
      </c>
      <c r="L506" s="92">
        <f>IF(AND(单词表[[#This Row],[学英]]&lt;&gt;"",单词表[[#This Row],[学中]]&lt;&gt;"",单词表[[#This Row],[学词]]&lt;&gt;""),MAX(单词表[[#This Row],[学英]:[学词]]),"")</f>
        <v>42577.502847222226</v>
      </c>
      <c r="M506" s="2">
        <f>IF(AND(单词表[[#This Row],[考英]]&lt;&gt;"",单词表[[#This Row],[考中]]&lt;&gt;""),MAX(单词表[[#This Row],[考英]:[考中]]),"")</f>
        <v>42577.639050925929</v>
      </c>
      <c r="N506" s="33"/>
      <c r="P506" s="32"/>
    </row>
    <row r="507" spans="1:16" hidden="1" x14ac:dyDescent="0.15">
      <c r="A507">
        <v>507</v>
      </c>
      <c r="B507" t="s">
        <v>445</v>
      </c>
      <c r="C507" t="s">
        <v>832</v>
      </c>
      <c r="D507" s="72" t="s">
        <v>357</v>
      </c>
      <c r="E507" t="s">
        <v>61</v>
      </c>
      <c r="F507" t="s">
        <v>1049</v>
      </c>
      <c r="G507" s="92">
        <v>42577.502858796295</v>
      </c>
      <c r="H507" s="92">
        <v>42577.502881944441</v>
      </c>
      <c r="I507" s="92">
        <v>42577.502870370372</v>
      </c>
      <c r="J507" s="92">
        <v>42577.639201388891</v>
      </c>
      <c r="K507" s="92">
        <v>42577.504895833335</v>
      </c>
      <c r="L507" s="92">
        <f>IF(AND(单词表[[#This Row],[学英]]&lt;&gt;"",单词表[[#This Row],[学中]]&lt;&gt;"",单词表[[#This Row],[学词]]&lt;&gt;""),MAX(单词表[[#This Row],[学英]:[学词]]),"")</f>
        <v>42577.502881944441</v>
      </c>
      <c r="M507" s="2">
        <f>IF(AND(单词表[[#This Row],[考英]]&lt;&gt;"",单词表[[#This Row],[考中]]&lt;&gt;""),MAX(单词表[[#This Row],[考英]:[考中]]),"")</f>
        <v>42577.639201388891</v>
      </c>
      <c r="N507" s="33"/>
      <c r="P507" s="32"/>
    </row>
    <row r="508" spans="1:16" hidden="1" x14ac:dyDescent="0.15">
      <c r="A508">
        <v>508</v>
      </c>
      <c r="B508" t="s">
        <v>445</v>
      </c>
      <c r="C508" t="s">
        <v>832</v>
      </c>
      <c r="D508" s="72" t="s">
        <v>843</v>
      </c>
      <c r="E508" t="s">
        <v>36</v>
      </c>
      <c r="F508" t="s">
        <v>844</v>
      </c>
      <c r="G508" s="92">
        <v>42577.502893518518</v>
      </c>
      <c r="H508" s="92">
        <v>42577.502916666665</v>
      </c>
      <c r="I508" s="92">
        <v>42577.502905092595</v>
      </c>
      <c r="J508" s="92">
        <v>42577.639340277776</v>
      </c>
      <c r="K508" s="92">
        <v>42577.504976851851</v>
      </c>
      <c r="L508" s="92">
        <f>IF(AND(单词表[[#This Row],[学英]]&lt;&gt;"",单词表[[#This Row],[学中]]&lt;&gt;"",单词表[[#This Row],[学词]]&lt;&gt;""),MAX(单词表[[#This Row],[学英]:[学词]]),"")</f>
        <v>42577.502916666665</v>
      </c>
      <c r="M508" s="2">
        <f>IF(AND(单词表[[#This Row],[考英]]&lt;&gt;"",单词表[[#This Row],[考中]]&lt;&gt;""),MAX(单词表[[#This Row],[考英]:[考中]]),"")</f>
        <v>42577.639340277776</v>
      </c>
      <c r="N508" s="33"/>
      <c r="P508" s="32"/>
    </row>
    <row r="509" spans="1:16" hidden="1" x14ac:dyDescent="0.15">
      <c r="A509">
        <v>509</v>
      </c>
      <c r="B509" t="s">
        <v>445</v>
      </c>
      <c r="C509" t="s">
        <v>832</v>
      </c>
      <c r="D509" s="72" t="s">
        <v>845</v>
      </c>
      <c r="E509" t="s">
        <v>157</v>
      </c>
      <c r="F509" t="s">
        <v>846</v>
      </c>
      <c r="G509" s="92">
        <v>42577.502928240741</v>
      </c>
      <c r="H509" s="92">
        <v>42577.502939814818</v>
      </c>
      <c r="I509" s="92">
        <v>42577.502939814818</v>
      </c>
      <c r="J509" s="92">
        <v>42577.639421296299</v>
      </c>
      <c r="K509" s="92">
        <v>42577.505023148151</v>
      </c>
      <c r="L509" s="92">
        <f>IF(AND(单词表[[#This Row],[学英]]&lt;&gt;"",单词表[[#This Row],[学中]]&lt;&gt;"",单词表[[#This Row],[学词]]&lt;&gt;""),MAX(单词表[[#This Row],[学英]:[学词]]),"")</f>
        <v>42577.502939814818</v>
      </c>
      <c r="M509" s="2">
        <f>IF(AND(单词表[[#This Row],[考英]]&lt;&gt;"",单词表[[#This Row],[考中]]&lt;&gt;""),MAX(单词表[[#This Row],[考英]:[考中]]),"")</f>
        <v>42577.639421296299</v>
      </c>
      <c r="N509" s="33"/>
      <c r="P509" s="32"/>
    </row>
    <row r="510" spans="1:16" hidden="1" x14ac:dyDescent="0.15">
      <c r="A510">
        <v>510</v>
      </c>
      <c r="B510" t="s">
        <v>445</v>
      </c>
      <c r="C510" t="s">
        <v>832</v>
      </c>
      <c r="D510" s="72" t="s">
        <v>847</v>
      </c>
      <c r="E510" t="s">
        <v>36</v>
      </c>
      <c r="F510" t="s">
        <v>1078</v>
      </c>
      <c r="G510" s="92">
        <v>42577.502962962964</v>
      </c>
      <c r="H510" s="92">
        <v>42577.502974537034</v>
      </c>
      <c r="I510" s="92">
        <v>42577.502974537034</v>
      </c>
      <c r="J510" s="92">
        <v>42577.639560185184</v>
      </c>
      <c r="K510" s="92">
        <v>42577.50508101852</v>
      </c>
      <c r="L510" s="92">
        <f>IF(AND(单词表[[#This Row],[学英]]&lt;&gt;"",单词表[[#This Row],[学中]]&lt;&gt;"",单词表[[#This Row],[学词]]&lt;&gt;""),MAX(单词表[[#This Row],[学英]:[学词]]),"")</f>
        <v>42577.502974537034</v>
      </c>
      <c r="M510" s="2">
        <f>IF(AND(单词表[[#This Row],[考英]]&lt;&gt;"",单词表[[#This Row],[考中]]&lt;&gt;""),MAX(单词表[[#This Row],[考英]:[考中]]),"")</f>
        <v>42577.639560185184</v>
      </c>
      <c r="N510" s="33"/>
      <c r="P510" s="32"/>
    </row>
    <row r="511" spans="1:16" hidden="1" x14ac:dyDescent="0.15">
      <c r="A511">
        <v>511</v>
      </c>
      <c r="B511" t="s">
        <v>445</v>
      </c>
      <c r="C511" t="s">
        <v>832</v>
      </c>
      <c r="D511" s="72" t="s">
        <v>3287</v>
      </c>
      <c r="E511" t="s">
        <v>36</v>
      </c>
      <c r="F511" t="s">
        <v>848</v>
      </c>
      <c r="G511" s="92">
        <v>42577.502997685187</v>
      </c>
      <c r="H511" s="92">
        <v>42577.503009259257</v>
      </c>
      <c r="I511" s="92">
        <v>42577.502997685187</v>
      </c>
      <c r="J511" s="92">
        <v>42577.639687499999</v>
      </c>
      <c r="K511" s="92">
        <v>42577.505277777775</v>
      </c>
      <c r="L511" s="92">
        <f>IF(AND(单词表[[#This Row],[学英]]&lt;&gt;"",单词表[[#This Row],[学中]]&lt;&gt;"",单词表[[#This Row],[学词]]&lt;&gt;""),MAX(单词表[[#This Row],[学英]:[学词]]),"")</f>
        <v>42577.503009259257</v>
      </c>
      <c r="M511" s="2">
        <f>IF(AND(单词表[[#This Row],[考英]]&lt;&gt;"",单词表[[#This Row],[考中]]&lt;&gt;""),MAX(单词表[[#This Row],[考英]:[考中]]),"")</f>
        <v>42577.639687499999</v>
      </c>
      <c r="N511" s="33"/>
      <c r="P511" s="32"/>
    </row>
    <row r="512" spans="1:16" hidden="1" x14ac:dyDescent="0.15">
      <c r="A512">
        <v>512</v>
      </c>
      <c r="B512" t="s">
        <v>445</v>
      </c>
      <c r="C512" t="s">
        <v>832</v>
      </c>
      <c r="D512" s="72" t="s">
        <v>849</v>
      </c>
      <c r="E512" t="s">
        <v>73</v>
      </c>
      <c r="F512" t="s">
        <v>850</v>
      </c>
      <c r="G512" s="92">
        <v>42577.642511574071</v>
      </c>
      <c r="H512" s="92">
        <v>42577.503067129626</v>
      </c>
      <c r="I512" s="92">
        <v>42577.503055555557</v>
      </c>
      <c r="J512" s="92">
        <v>42577.643275462964</v>
      </c>
      <c r="K512" s="92">
        <v>42577.505324074074</v>
      </c>
      <c r="L512" s="92">
        <f>IF(AND(单词表[[#This Row],[学英]]&lt;&gt;"",单词表[[#This Row],[学中]]&lt;&gt;"",单词表[[#This Row],[学词]]&lt;&gt;""),MAX(单词表[[#This Row],[学英]:[学词]]),"")</f>
        <v>42577.642511574071</v>
      </c>
      <c r="M512" s="2">
        <f>IF(AND(单词表[[#This Row],[考英]]&lt;&gt;"",单词表[[#This Row],[考中]]&lt;&gt;""),MAX(单词表[[#This Row],[考英]:[考中]]),"")</f>
        <v>42577.643275462964</v>
      </c>
      <c r="N512" s="33"/>
      <c r="P512" s="32"/>
    </row>
    <row r="513" spans="1:16" hidden="1" x14ac:dyDescent="0.15">
      <c r="A513">
        <v>513</v>
      </c>
      <c r="B513" t="s">
        <v>445</v>
      </c>
      <c r="C513" t="s">
        <v>832</v>
      </c>
      <c r="D513" s="72" t="s">
        <v>851</v>
      </c>
      <c r="E513" t="s">
        <v>36</v>
      </c>
      <c r="F513" t="s">
        <v>852</v>
      </c>
      <c r="G513" s="92">
        <v>42577.642534722225</v>
      </c>
      <c r="H513" s="92">
        <v>42577.503101851849</v>
      </c>
      <c r="I513" s="92">
        <v>42577.50309027778</v>
      </c>
      <c r="J513" s="92">
        <v>42577.643425925926</v>
      </c>
      <c r="K513" s="92">
        <v>42577.505439814813</v>
      </c>
      <c r="L513" s="92">
        <f>IF(AND(单词表[[#This Row],[学英]]&lt;&gt;"",单词表[[#This Row],[学中]]&lt;&gt;"",单词表[[#This Row],[学词]]&lt;&gt;""),MAX(单词表[[#This Row],[学英]:[学词]]),"")</f>
        <v>42577.642534722225</v>
      </c>
      <c r="M513" s="2">
        <f>IF(AND(单词表[[#This Row],[考英]]&lt;&gt;"",单词表[[#This Row],[考中]]&lt;&gt;""),MAX(单词表[[#This Row],[考英]:[考中]]),"")</f>
        <v>42577.643425925926</v>
      </c>
      <c r="N513" s="33"/>
      <c r="P513" s="32"/>
    </row>
    <row r="514" spans="1:16" hidden="1" x14ac:dyDescent="0.15">
      <c r="A514">
        <v>514</v>
      </c>
      <c r="B514" t="s">
        <v>445</v>
      </c>
      <c r="C514" t="s">
        <v>832</v>
      </c>
      <c r="D514" s="72" t="s">
        <v>853</v>
      </c>
      <c r="E514" t="s">
        <v>36</v>
      </c>
      <c r="F514" t="s">
        <v>854</v>
      </c>
      <c r="G514" s="92">
        <v>42577.503125000003</v>
      </c>
      <c r="H514" s="92">
        <v>42577.503148148149</v>
      </c>
      <c r="I514" s="92">
        <v>42577.503136574072</v>
      </c>
      <c r="J514" s="92">
        <v>42577.640243055554</v>
      </c>
      <c r="K514" s="92">
        <v>42577.505497685182</v>
      </c>
      <c r="L514" s="92">
        <f>IF(AND(单词表[[#This Row],[学英]]&lt;&gt;"",单词表[[#This Row],[学中]]&lt;&gt;"",单词表[[#This Row],[学词]]&lt;&gt;""),MAX(单词表[[#This Row],[学英]:[学词]]),"")</f>
        <v>42577.503148148149</v>
      </c>
      <c r="M514" s="2">
        <f>IF(AND(单词表[[#This Row],[考英]]&lt;&gt;"",单词表[[#This Row],[考中]]&lt;&gt;""),MAX(单词表[[#This Row],[考英]:[考中]]),"")</f>
        <v>42577.640243055554</v>
      </c>
      <c r="N514" s="33"/>
      <c r="P514" s="32"/>
    </row>
    <row r="515" spans="1:16" hidden="1" x14ac:dyDescent="0.15">
      <c r="A515">
        <v>515</v>
      </c>
      <c r="B515" t="s">
        <v>445</v>
      </c>
      <c r="C515" t="s">
        <v>832</v>
      </c>
      <c r="D515" s="72" t="s">
        <v>853</v>
      </c>
      <c r="E515" t="s">
        <v>61</v>
      </c>
      <c r="F515" t="s">
        <v>855</v>
      </c>
      <c r="G515" s="92">
        <v>42577.503171296295</v>
      </c>
      <c r="H515" s="92">
        <v>42577.503182870372</v>
      </c>
      <c r="I515" s="92">
        <v>42577.503171296295</v>
      </c>
      <c r="J515" s="92">
        <v>42577.640347222223</v>
      </c>
      <c r="K515" s="92">
        <v>42577.505532407406</v>
      </c>
      <c r="L515" s="92">
        <f>IF(AND(单词表[[#This Row],[学英]]&lt;&gt;"",单词表[[#This Row],[学中]]&lt;&gt;"",单词表[[#This Row],[学词]]&lt;&gt;""),MAX(单词表[[#This Row],[学英]:[学词]]),"")</f>
        <v>42577.503182870372</v>
      </c>
      <c r="M515" s="2">
        <f>IF(AND(单词表[[#This Row],[考英]]&lt;&gt;"",单词表[[#This Row],[考中]]&lt;&gt;""),MAX(单词表[[#This Row],[考英]:[考中]]),"")</f>
        <v>42577.640347222223</v>
      </c>
      <c r="N515" s="33"/>
      <c r="P515" s="32"/>
    </row>
    <row r="516" spans="1:16" hidden="1" x14ac:dyDescent="0.15">
      <c r="A516">
        <v>516</v>
      </c>
      <c r="B516" t="s">
        <v>445</v>
      </c>
      <c r="C516" t="s">
        <v>832</v>
      </c>
      <c r="D516" s="72" t="s">
        <v>856</v>
      </c>
      <c r="E516" t="s">
        <v>73</v>
      </c>
      <c r="F516" t="s">
        <v>857</v>
      </c>
      <c r="G516" s="92">
        <v>42577.503217592595</v>
      </c>
      <c r="H516" s="92">
        <v>42577.503217592595</v>
      </c>
      <c r="I516" s="92">
        <v>42577.503217592595</v>
      </c>
      <c r="J516" s="92">
        <v>42577.640486111108</v>
      </c>
      <c r="K516" s="92">
        <v>42577.505636574075</v>
      </c>
      <c r="L516" s="92">
        <f>IF(AND(单词表[[#This Row],[学英]]&lt;&gt;"",单词表[[#This Row],[学中]]&lt;&gt;"",单词表[[#This Row],[学词]]&lt;&gt;""),MAX(单词表[[#This Row],[学英]:[学词]]),"")</f>
        <v>42577.503217592595</v>
      </c>
      <c r="M516" s="2">
        <f>IF(AND(单词表[[#This Row],[考英]]&lt;&gt;"",单词表[[#This Row],[考中]]&lt;&gt;""),MAX(单词表[[#This Row],[考英]:[考中]]),"")</f>
        <v>42577.640486111108</v>
      </c>
      <c r="N516" s="33"/>
      <c r="P516" s="32"/>
    </row>
    <row r="517" spans="1:16" hidden="1" x14ac:dyDescent="0.15">
      <c r="A517">
        <v>517</v>
      </c>
      <c r="B517" t="s">
        <v>445</v>
      </c>
      <c r="C517" t="s">
        <v>832</v>
      </c>
      <c r="D517" s="72" t="s">
        <v>858</v>
      </c>
      <c r="E517" t="s">
        <v>36</v>
      </c>
      <c r="F517" t="s">
        <v>859</v>
      </c>
      <c r="G517" s="92">
        <v>42577.503240740742</v>
      </c>
      <c r="H517" s="92">
        <v>42577.503252314818</v>
      </c>
      <c r="I517" s="92">
        <v>42577.503252314818</v>
      </c>
      <c r="J517" s="92">
        <v>42577.640555555554</v>
      </c>
      <c r="K517" s="92">
        <v>42577.505682870367</v>
      </c>
      <c r="L517" s="92">
        <f>IF(AND(单词表[[#This Row],[学英]]&lt;&gt;"",单词表[[#This Row],[学中]]&lt;&gt;"",单词表[[#This Row],[学词]]&lt;&gt;""),MAX(单词表[[#This Row],[学英]:[学词]]),"")</f>
        <v>42577.503252314818</v>
      </c>
      <c r="M517" s="2">
        <f>IF(AND(单词表[[#This Row],[考英]]&lt;&gt;"",单词表[[#This Row],[考中]]&lt;&gt;""),MAX(单词表[[#This Row],[考英]:[考中]]),"")</f>
        <v>42577.640555555554</v>
      </c>
      <c r="N517" s="33"/>
      <c r="P517" s="32"/>
    </row>
    <row r="518" spans="1:16" hidden="1" x14ac:dyDescent="0.15">
      <c r="A518">
        <v>518</v>
      </c>
      <c r="B518" t="s">
        <v>445</v>
      </c>
      <c r="C518" t="s">
        <v>832</v>
      </c>
      <c r="D518" s="72" t="s">
        <v>860</v>
      </c>
      <c r="E518" t="s">
        <v>36</v>
      </c>
      <c r="F518" t="s">
        <v>5499</v>
      </c>
      <c r="G518" s="92">
        <v>42577.503287037034</v>
      </c>
      <c r="H518" s="92">
        <v>42577.503298611111</v>
      </c>
      <c r="I518" s="92">
        <v>42577.503287037034</v>
      </c>
      <c r="J518" s="92">
        <v>42577.640659722223</v>
      </c>
      <c r="K518" s="92">
        <v>42577.50571759259</v>
      </c>
      <c r="L518" s="92">
        <f>IF(AND(单词表[[#This Row],[学英]]&lt;&gt;"",单词表[[#This Row],[学中]]&lt;&gt;"",单词表[[#This Row],[学词]]&lt;&gt;""),MAX(单词表[[#This Row],[学英]:[学词]]),"")</f>
        <v>42577.503298611111</v>
      </c>
      <c r="M518" s="2">
        <f>IF(AND(单词表[[#This Row],[考英]]&lt;&gt;"",单词表[[#This Row],[考中]]&lt;&gt;""),MAX(单词表[[#This Row],[考英]:[考中]]),"")</f>
        <v>42577.640659722223</v>
      </c>
      <c r="N518" s="33"/>
      <c r="P518" s="32"/>
    </row>
    <row r="519" spans="1:16" hidden="1" x14ac:dyDescent="0.15">
      <c r="A519">
        <v>519</v>
      </c>
      <c r="B519" t="s">
        <v>445</v>
      </c>
      <c r="C519" t="s">
        <v>832</v>
      </c>
      <c r="D519" s="72" t="s">
        <v>861</v>
      </c>
      <c r="E519" t="s">
        <v>61</v>
      </c>
      <c r="F519" t="s">
        <v>862</v>
      </c>
      <c r="G519" s="92">
        <v>42577.503310185188</v>
      </c>
      <c r="H519" s="92">
        <v>42577.503321759257</v>
      </c>
      <c r="I519" s="92">
        <v>42577.503321759257</v>
      </c>
      <c r="J519" s="92">
        <v>42577.640740740739</v>
      </c>
      <c r="K519" s="92">
        <v>42577.50576388889</v>
      </c>
      <c r="L519" s="92">
        <f>IF(AND(单词表[[#This Row],[学英]]&lt;&gt;"",单词表[[#This Row],[学中]]&lt;&gt;"",单词表[[#This Row],[学词]]&lt;&gt;""),MAX(单词表[[#This Row],[学英]:[学词]]),"")</f>
        <v>42577.503321759257</v>
      </c>
      <c r="M519" s="2">
        <f>IF(AND(单词表[[#This Row],[考英]]&lt;&gt;"",单词表[[#This Row],[考中]]&lt;&gt;""),MAX(单词表[[#This Row],[考英]:[考中]]),"")</f>
        <v>42577.640740740739</v>
      </c>
      <c r="N519" s="33"/>
      <c r="P519" s="32"/>
    </row>
    <row r="520" spans="1:16" hidden="1" x14ac:dyDescent="0.15">
      <c r="A520">
        <v>520</v>
      </c>
      <c r="B520" t="s">
        <v>445</v>
      </c>
      <c r="C520" t="s">
        <v>832</v>
      </c>
      <c r="D520" s="72" t="s">
        <v>863</v>
      </c>
      <c r="E520" t="s">
        <v>36</v>
      </c>
      <c r="F520" t="s">
        <v>864</v>
      </c>
      <c r="G520" s="92">
        <v>42577.503344907411</v>
      </c>
      <c r="H520" s="92">
        <v>42577.50335648148</v>
      </c>
      <c r="I520" s="92">
        <v>42577.503344907411</v>
      </c>
      <c r="J520" s="92">
        <v>42577.640844907408</v>
      </c>
      <c r="K520" s="92">
        <v>42577.505798611113</v>
      </c>
      <c r="L520" s="92">
        <f>IF(AND(单词表[[#This Row],[学英]]&lt;&gt;"",单词表[[#This Row],[学中]]&lt;&gt;"",单词表[[#This Row],[学词]]&lt;&gt;""),MAX(单词表[[#This Row],[学英]:[学词]]),"")</f>
        <v>42577.50335648148</v>
      </c>
      <c r="M520" s="2">
        <f>IF(AND(单词表[[#This Row],[考英]]&lt;&gt;"",单词表[[#This Row],[考中]]&lt;&gt;""),MAX(单词表[[#This Row],[考英]:[考中]]),"")</f>
        <v>42577.640844907408</v>
      </c>
      <c r="N520" s="33"/>
      <c r="P520" s="32"/>
    </row>
    <row r="521" spans="1:16" hidden="1" x14ac:dyDescent="0.15">
      <c r="A521">
        <v>521</v>
      </c>
      <c r="B521" t="s">
        <v>445</v>
      </c>
      <c r="C521" t="s">
        <v>832</v>
      </c>
      <c r="D521" s="72" t="s">
        <v>865</v>
      </c>
      <c r="E521" t="s">
        <v>61</v>
      </c>
      <c r="F521" t="s">
        <v>866</v>
      </c>
      <c r="G521" s="92">
        <v>42577.503379629627</v>
      </c>
      <c r="H521" s="92">
        <v>42577.50340277778</v>
      </c>
      <c r="I521" s="92">
        <v>42577.503391203703</v>
      </c>
      <c r="J521" s="92">
        <v>42577.64099537037</v>
      </c>
      <c r="K521" s="92">
        <v>42577.505891203706</v>
      </c>
      <c r="L521" s="92">
        <f>IF(AND(单词表[[#This Row],[学英]]&lt;&gt;"",单词表[[#This Row],[学中]]&lt;&gt;"",单词表[[#This Row],[学词]]&lt;&gt;""),MAX(单词表[[#This Row],[学英]:[学词]]),"")</f>
        <v>42577.50340277778</v>
      </c>
      <c r="M521" s="2">
        <f>IF(AND(单词表[[#This Row],[考英]]&lt;&gt;"",单词表[[#This Row],[考中]]&lt;&gt;""),MAX(单词表[[#This Row],[考英]:[考中]]),"")</f>
        <v>42577.64099537037</v>
      </c>
      <c r="N521" s="33"/>
      <c r="P521" s="32"/>
    </row>
    <row r="522" spans="1:16" hidden="1" x14ac:dyDescent="0.15">
      <c r="A522">
        <v>522</v>
      </c>
      <c r="B522" t="s">
        <v>445</v>
      </c>
      <c r="C522" t="s">
        <v>832</v>
      </c>
      <c r="D522" s="72" t="s">
        <v>867</v>
      </c>
      <c r="E522" t="s">
        <v>61</v>
      </c>
      <c r="F522" t="s">
        <v>868</v>
      </c>
      <c r="G522" s="92">
        <v>42577.503437500003</v>
      </c>
      <c r="H522" s="92">
        <v>42577.503449074073</v>
      </c>
      <c r="I522" s="92">
        <v>42577.503449074073</v>
      </c>
      <c r="J522" s="92">
        <v>42577.641053240739</v>
      </c>
      <c r="K522" s="92">
        <v>42577.505914351852</v>
      </c>
      <c r="L522" s="92">
        <f>IF(AND(单词表[[#This Row],[学英]]&lt;&gt;"",单词表[[#This Row],[学中]]&lt;&gt;"",单词表[[#This Row],[学词]]&lt;&gt;""),MAX(单词表[[#This Row],[学英]:[学词]]),"")</f>
        <v>42577.503449074073</v>
      </c>
      <c r="M522" s="2">
        <f>IF(AND(单词表[[#This Row],[考英]]&lt;&gt;"",单词表[[#This Row],[考中]]&lt;&gt;""),MAX(单词表[[#This Row],[考英]:[考中]]),"")</f>
        <v>42577.641053240739</v>
      </c>
      <c r="N522" s="33"/>
      <c r="P522" s="32"/>
    </row>
    <row r="523" spans="1:16" hidden="1" x14ac:dyDescent="0.15">
      <c r="A523">
        <v>523</v>
      </c>
      <c r="B523" t="s">
        <v>445</v>
      </c>
      <c r="C523" t="s">
        <v>832</v>
      </c>
      <c r="D523" s="72" t="s">
        <v>869</v>
      </c>
      <c r="E523" t="s">
        <v>36</v>
      </c>
      <c r="F523" t="s">
        <v>870</v>
      </c>
      <c r="G523" s="92">
        <v>42577.503483796296</v>
      </c>
      <c r="H523" s="92">
        <v>42577.503495370373</v>
      </c>
      <c r="I523" s="92">
        <v>42577.503483796296</v>
      </c>
      <c r="J523" s="92">
        <v>42577.641157407408</v>
      </c>
      <c r="K523" s="92">
        <v>42577.506018518521</v>
      </c>
      <c r="L523" s="92">
        <f>IF(AND(单词表[[#This Row],[学英]]&lt;&gt;"",单词表[[#This Row],[学中]]&lt;&gt;"",单词表[[#This Row],[学词]]&lt;&gt;""),MAX(单词表[[#This Row],[学英]:[学词]]),"")</f>
        <v>42577.503495370373</v>
      </c>
      <c r="M523" s="2">
        <f>IF(AND(单词表[[#This Row],[考英]]&lt;&gt;"",单词表[[#This Row],[考中]]&lt;&gt;""),MAX(单词表[[#This Row],[考英]:[考中]]),"")</f>
        <v>42577.641157407408</v>
      </c>
      <c r="N523" s="33"/>
      <c r="P523" s="32"/>
    </row>
    <row r="524" spans="1:16" hidden="1" x14ac:dyDescent="0.15">
      <c r="A524">
        <v>524</v>
      </c>
      <c r="B524" t="s">
        <v>445</v>
      </c>
      <c r="C524" t="s">
        <v>832</v>
      </c>
      <c r="D524" s="72" t="s">
        <v>871</v>
      </c>
      <c r="E524" t="s">
        <v>61</v>
      </c>
      <c r="F524" t="s">
        <v>872</v>
      </c>
      <c r="G524" s="92">
        <v>42577.503518518519</v>
      </c>
      <c r="H524" s="92">
        <v>42577.63653935185</v>
      </c>
      <c r="I524" s="92">
        <v>42577.63652777778</v>
      </c>
      <c r="J524" s="92">
        <v>42577.641388888886</v>
      </c>
      <c r="K524" s="92">
        <v>42577.637233796297</v>
      </c>
      <c r="L524" s="92">
        <f>IF(AND(单词表[[#This Row],[学英]]&lt;&gt;"",单词表[[#This Row],[学中]]&lt;&gt;"",单词表[[#This Row],[学词]]&lt;&gt;""),MAX(单词表[[#This Row],[学英]:[学词]]),"")</f>
        <v>42577.63653935185</v>
      </c>
      <c r="M524" s="2">
        <f>IF(AND(单词表[[#This Row],[考英]]&lt;&gt;"",单词表[[#This Row],[考中]]&lt;&gt;""),MAX(单词表[[#This Row],[考英]:[考中]]),"")</f>
        <v>42577.641388888886</v>
      </c>
      <c r="N524" s="33"/>
      <c r="P524" s="32"/>
    </row>
    <row r="525" spans="1:16" hidden="1" x14ac:dyDescent="0.15">
      <c r="A525">
        <v>525</v>
      </c>
      <c r="B525" t="s">
        <v>445</v>
      </c>
      <c r="C525" t="s">
        <v>873</v>
      </c>
      <c r="D525" s="72" t="s">
        <v>874</v>
      </c>
      <c r="E525" t="s">
        <v>702</v>
      </c>
      <c r="F525" t="s">
        <v>875</v>
      </c>
      <c r="G525" s="92">
        <v>42592.479039351849</v>
      </c>
      <c r="H525" s="92">
        <v>42578.478530092594</v>
      </c>
      <c r="I525" s="92">
        <v>42578.478530092594</v>
      </c>
      <c r="J525" s="92">
        <v>42592.488877314812</v>
      </c>
      <c r="K525" s="92">
        <v>42578.496377314812</v>
      </c>
      <c r="L525" s="92">
        <f>IF(AND(单词表[[#This Row],[学英]]&lt;&gt;"",单词表[[#This Row],[学中]]&lt;&gt;"",单词表[[#This Row],[学词]]&lt;&gt;""),MAX(单词表[[#This Row],[学英]:[学词]]),"")</f>
        <v>42592.479039351849</v>
      </c>
      <c r="M525" s="2">
        <f>IF(AND(单词表[[#This Row],[考英]]&lt;&gt;"",单词表[[#This Row],[考中]]&lt;&gt;""),MAX(单词表[[#This Row],[考英]:[考中]]),"")</f>
        <v>42592.488877314812</v>
      </c>
      <c r="N525" s="33"/>
      <c r="P525" s="32"/>
    </row>
    <row r="526" spans="1:16" hidden="1" x14ac:dyDescent="0.15">
      <c r="A526">
        <v>526</v>
      </c>
      <c r="B526" t="s">
        <v>445</v>
      </c>
      <c r="C526" t="s">
        <v>873</v>
      </c>
      <c r="D526" s="72" t="s">
        <v>876</v>
      </c>
      <c r="E526" t="s">
        <v>36</v>
      </c>
      <c r="F526" t="s">
        <v>877</v>
      </c>
      <c r="G526" s="92">
        <v>42578.47861111111</v>
      </c>
      <c r="H526" s="92">
        <v>42578.47865740741</v>
      </c>
      <c r="I526" s="92">
        <v>42578.47865740741</v>
      </c>
      <c r="J526" s="92">
        <v>42592.463240740741</v>
      </c>
      <c r="K526" s="92">
        <v>42578.496412037035</v>
      </c>
      <c r="L526" s="92">
        <f>IF(AND(单词表[[#This Row],[学英]]&lt;&gt;"",单词表[[#This Row],[学中]]&lt;&gt;"",单词表[[#This Row],[学词]]&lt;&gt;""),MAX(单词表[[#This Row],[学英]:[学词]]),"")</f>
        <v>42578.47865740741</v>
      </c>
      <c r="M526" s="2">
        <f>IF(AND(单词表[[#This Row],[考英]]&lt;&gt;"",单词表[[#This Row],[考中]]&lt;&gt;""),MAX(单词表[[#This Row],[考英]:[考中]]),"")</f>
        <v>42592.463240740741</v>
      </c>
      <c r="N526" s="33"/>
      <c r="P526" s="32"/>
    </row>
    <row r="527" spans="1:16" hidden="1" x14ac:dyDescent="0.15">
      <c r="A527">
        <v>527</v>
      </c>
      <c r="B527" t="s">
        <v>445</v>
      </c>
      <c r="C527" t="s">
        <v>873</v>
      </c>
      <c r="D527" s="72" t="s">
        <v>878</v>
      </c>
      <c r="E527" t="s">
        <v>36</v>
      </c>
      <c r="F527" t="s">
        <v>879</v>
      </c>
      <c r="G527" s="92">
        <v>42579.86414351852</v>
      </c>
      <c r="H527" s="92">
        <v>42578.478784722225</v>
      </c>
      <c r="I527" s="92">
        <v>42578.478761574072</v>
      </c>
      <c r="J527" s="92">
        <v>42592.463402777779</v>
      </c>
      <c r="K527" s="92">
        <v>42578.49658564815</v>
      </c>
      <c r="L527" s="92">
        <f>IF(AND(单词表[[#This Row],[学英]]&lt;&gt;"",单词表[[#This Row],[学中]]&lt;&gt;"",单词表[[#This Row],[学词]]&lt;&gt;""),MAX(单词表[[#This Row],[学英]:[学词]]),"")</f>
        <v>42579.86414351852</v>
      </c>
      <c r="M527" s="2">
        <f>IF(AND(单词表[[#This Row],[考英]]&lt;&gt;"",单词表[[#This Row],[考中]]&lt;&gt;""),MAX(单词表[[#This Row],[考英]:[考中]]),"")</f>
        <v>42592.463402777779</v>
      </c>
      <c r="N527" s="33"/>
      <c r="P527" s="32"/>
    </row>
    <row r="528" spans="1:16" hidden="1" x14ac:dyDescent="0.15">
      <c r="A528">
        <v>528</v>
      </c>
      <c r="B528" t="s">
        <v>445</v>
      </c>
      <c r="C528" t="s">
        <v>873</v>
      </c>
      <c r="D528" s="72" t="s">
        <v>880</v>
      </c>
      <c r="E528" t="s">
        <v>36</v>
      </c>
      <c r="F528" t="s">
        <v>881</v>
      </c>
      <c r="G528" s="92">
        <v>42578.587395833332</v>
      </c>
      <c r="H528" s="92">
        <v>42578.588287037041</v>
      </c>
      <c r="I528" s="92">
        <v>42578.588275462964</v>
      </c>
      <c r="J528" s="92">
        <v>42592.463703703703</v>
      </c>
      <c r="K528" s="92">
        <v>42578.588402777779</v>
      </c>
      <c r="L528" s="92">
        <f>IF(AND(单词表[[#This Row],[学英]]&lt;&gt;"",单词表[[#This Row],[学中]]&lt;&gt;"",单词表[[#This Row],[学词]]&lt;&gt;""),MAX(单词表[[#This Row],[学英]:[学词]]),"")</f>
        <v>42578.588287037041</v>
      </c>
      <c r="M528" s="2">
        <f>IF(AND(单词表[[#This Row],[考英]]&lt;&gt;"",单词表[[#This Row],[考中]]&lt;&gt;""),MAX(单词表[[#This Row],[考英]:[考中]]),"")</f>
        <v>42592.463703703703</v>
      </c>
      <c r="N528" s="33"/>
      <c r="P528" s="32"/>
    </row>
    <row r="529" spans="1:16" hidden="1" x14ac:dyDescent="0.15">
      <c r="A529">
        <v>529</v>
      </c>
      <c r="B529" t="s">
        <v>445</v>
      </c>
      <c r="C529" t="s">
        <v>873</v>
      </c>
      <c r="D529" s="72" t="s">
        <v>882</v>
      </c>
      <c r="E529" t="s">
        <v>73</v>
      </c>
      <c r="F529" t="s">
        <v>883</v>
      </c>
      <c r="G529" s="92">
        <v>42578.479699074072</v>
      </c>
      <c r="H529" s="92">
        <v>42578.479710648149</v>
      </c>
      <c r="I529" s="92">
        <v>42578.479699074072</v>
      </c>
      <c r="J529" s="92">
        <v>42592.465196759258</v>
      </c>
      <c r="K529" s="92">
        <v>42578.496631944443</v>
      </c>
      <c r="L529" s="92">
        <f>IF(AND(单词表[[#This Row],[学英]]&lt;&gt;"",单词表[[#This Row],[学中]]&lt;&gt;"",单词表[[#This Row],[学词]]&lt;&gt;""),MAX(单词表[[#This Row],[学英]:[学词]]),"")</f>
        <v>42578.479710648149</v>
      </c>
      <c r="M529" s="2">
        <f>IF(AND(单词表[[#This Row],[考英]]&lt;&gt;"",单词表[[#This Row],[考中]]&lt;&gt;""),MAX(单词表[[#This Row],[考英]:[考中]]),"")</f>
        <v>42592.465196759258</v>
      </c>
      <c r="N529" s="33"/>
      <c r="P529" s="32"/>
    </row>
    <row r="530" spans="1:16" hidden="1" x14ac:dyDescent="0.15">
      <c r="A530">
        <v>530</v>
      </c>
      <c r="B530" t="s">
        <v>445</v>
      </c>
      <c r="C530" t="s">
        <v>873</v>
      </c>
      <c r="D530" s="72" t="s">
        <v>884</v>
      </c>
      <c r="E530" t="s">
        <v>36</v>
      </c>
      <c r="F530" t="s">
        <v>885</v>
      </c>
      <c r="G530" s="92">
        <v>42578.47965277778</v>
      </c>
      <c r="H530" s="92">
        <v>42578.479664351849</v>
      </c>
      <c r="I530" s="92">
        <v>42578.47965277778</v>
      </c>
      <c r="J530" s="92">
        <v>42592.465277777781</v>
      </c>
      <c r="K530" s="92">
        <v>42578.496655092589</v>
      </c>
      <c r="L530" s="92">
        <f>IF(AND(单词表[[#This Row],[学英]]&lt;&gt;"",单词表[[#This Row],[学中]]&lt;&gt;"",单词表[[#This Row],[学词]]&lt;&gt;""),MAX(单词表[[#This Row],[学英]:[学词]]),"")</f>
        <v>42578.479664351849</v>
      </c>
      <c r="M530" s="2">
        <f>IF(AND(单词表[[#This Row],[考英]]&lt;&gt;"",单词表[[#This Row],[考中]]&lt;&gt;""),MAX(单词表[[#This Row],[考英]:[考中]]),"")</f>
        <v>42592.465277777781</v>
      </c>
      <c r="N530" s="33"/>
      <c r="P530" s="32"/>
    </row>
    <row r="531" spans="1:16" hidden="1" x14ac:dyDescent="0.15">
      <c r="A531">
        <v>531</v>
      </c>
      <c r="B531" t="s">
        <v>445</v>
      </c>
      <c r="C531" t="s">
        <v>873</v>
      </c>
      <c r="D531" s="72" t="s">
        <v>544</v>
      </c>
      <c r="E531" t="s">
        <v>73</v>
      </c>
      <c r="F531" t="s">
        <v>886</v>
      </c>
      <c r="G531" s="92">
        <v>42578.47960648148</v>
      </c>
      <c r="H531" s="92">
        <v>42578.479618055557</v>
      </c>
      <c r="I531" s="92">
        <v>42578.479618055557</v>
      </c>
      <c r="J531" s="92">
        <v>42592.465381944443</v>
      </c>
      <c r="K531" s="92">
        <v>42578.496712962966</v>
      </c>
      <c r="L531" s="92">
        <f>IF(AND(单词表[[#This Row],[学英]]&lt;&gt;"",单词表[[#This Row],[学中]]&lt;&gt;"",单词表[[#This Row],[学词]]&lt;&gt;""),MAX(单词表[[#This Row],[学英]:[学词]]),"")</f>
        <v>42578.479618055557</v>
      </c>
      <c r="M531" s="2">
        <f>IF(AND(单词表[[#This Row],[考英]]&lt;&gt;"",单词表[[#This Row],[考中]]&lt;&gt;""),MAX(单词表[[#This Row],[考英]:[考中]]),"")</f>
        <v>42592.465381944443</v>
      </c>
      <c r="N531" s="33"/>
      <c r="P531" s="32"/>
    </row>
    <row r="532" spans="1:16" hidden="1" x14ac:dyDescent="0.15">
      <c r="A532">
        <v>532</v>
      </c>
      <c r="B532" t="s">
        <v>445</v>
      </c>
      <c r="C532" t="s">
        <v>873</v>
      </c>
      <c r="D532" s="72" t="s">
        <v>887</v>
      </c>
      <c r="E532" t="s">
        <v>73</v>
      </c>
      <c r="F532" t="s">
        <v>3295</v>
      </c>
      <c r="G532" s="92">
        <v>42592.479062500002</v>
      </c>
      <c r="H532" s="92">
        <v>42578.481249999997</v>
      </c>
      <c r="I532" s="92">
        <v>42578.481238425928</v>
      </c>
      <c r="J532" s="92">
        <v>42592.489328703705</v>
      </c>
      <c r="K532" s="92">
        <v>42578.496759259258</v>
      </c>
      <c r="L532" s="92">
        <f>IF(AND(单词表[[#This Row],[学英]]&lt;&gt;"",单词表[[#This Row],[学中]]&lt;&gt;"",单词表[[#This Row],[学词]]&lt;&gt;""),MAX(单词表[[#This Row],[学英]:[学词]]),"")</f>
        <v>42592.479062500002</v>
      </c>
      <c r="M532" s="2">
        <f>IF(AND(单词表[[#This Row],[考英]]&lt;&gt;"",单词表[[#This Row],[考中]]&lt;&gt;""),MAX(单词表[[#This Row],[考英]:[考中]]),"")</f>
        <v>42592.489328703705</v>
      </c>
      <c r="N532" s="33"/>
      <c r="P532" s="32"/>
    </row>
    <row r="533" spans="1:16" hidden="1" x14ac:dyDescent="0.15">
      <c r="A533">
        <v>533</v>
      </c>
      <c r="B533" t="s">
        <v>445</v>
      </c>
      <c r="C533" t="s">
        <v>873</v>
      </c>
      <c r="D533" s="72" t="s">
        <v>888</v>
      </c>
      <c r="E533" t="s">
        <v>36</v>
      </c>
      <c r="F533" t="s">
        <v>889</v>
      </c>
      <c r="G533" s="92">
        <v>42579.864212962966</v>
      </c>
      <c r="H533" s="92">
        <v>42578.482106481482</v>
      </c>
      <c r="I533" s="92">
        <v>42578.482094907406</v>
      </c>
      <c r="J533" s="92">
        <v>42592.465752314813</v>
      </c>
      <c r="K533" s="92">
        <v>42578.58803240741</v>
      </c>
      <c r="L533" s="92">
        <f>IF(AND(单词表[[#This Row],[学英]]&lt;&gt;"",单词表[[#This Row],[学中]]&lt;&gt;"",单词表[[#This Row],[学词]]&lt;&gt;""),MAX(单词表[[#This Row],[学英]:[学词]]),"")</f>
        <v>42579.864212962966</v>
      </c>
      <c r="M533" s="2">
        <f>IF(AND(单词表[[#This Row],[考英]]&lt;&gt;"",单词表[[#This Row],[考中]]&lt;&gt;""),MAX(单词表[[#This Row],[考英]:[考中]]),"")</f>
        <v>42592.465752314813</v>
      </c>
      <c r="N533" s="33"/>
      <c r="P533" s="32"/>
    </row>
    <row r="534" spans="1:16" hidden="1" x14ac:dyDescent="0.15">
      <c r="A534">
        <v>534</v>
      </c>
      <c r="B534" t="s">
        <v>445</v>
      </c>
      <c r="C534" t="s">
        <v>873</v>
      </c>
      <c r="D534" s="72" t="s">
        <v>890</v>
      </c>
      <c r="E534" t="s">
        <v>36</v>
      </c>
      <c r="F534" t="s">
        <v>891</v>
      </c>
      <c r="G534" s="92">
        <v>42578.482314814813</v>
      </c>
      <c r="H534" s="92">
        <v>42578.48232638889</v>
      </c>
      <c r="I534" s="92">
        <v>42578.482314814813</v>
      </c>
      <c r="J534" s="92">
        <v>42592.465925925928</v>
      </c>
      <c r="K534" s="92">
        <v>42578.496805555558</v>
      </c>
      <c r="L534" s="92">
        <f>IF(AND(单词表[[#This Row],[学英]]&lt;&gt;"",单词表[[#This Row],[学中]]&lt;&gt;"",单词表[[#This Row],[学词]]&lt;&gt;""),MAX(单词表[[#This Row],[学英]:[学词]]),"")</f>
        <v>42578.48232638889</v>
      </c>
      <c r="M534" s="2">
        <f>IF(AND(单词表[[#This Row],[考英]]&lt;&gt;"",单词表[[#This Row],[考中]]&lt;&gt;""),MAX(单词表[[#This Row],[考英]:[考中]]),"")</f>
        <v>42592.465925925928</v>
      </c>
      <c r="N534" s="33"/>
      <c r="P534" s="32"/>
    </row>
    <row r="535" spans="1:16" hidden="1" x14ac:dyDescent="0.15">
      <c r="A535">
        <v>535</v>
      </c>
      <c r="B535" t="s">
        <v>445</v>
      </c>
      <c r="C535" t="s">
        <v>873</v>
      </c>
      <c r="D535" s="72" t="s">
        <v>892</v>
      </c>
      <c r="E535" t="s">
        <v>61</v>
      </c>
      <c r="F535" t="s">
        <v>893</v>
      </c>
      <c r="G535" s="92">
        <v>42592.479085648149</v>
      </c>
      <c r="H535" s="92">
        <v>42578.482430555552</v>
      </c>
      <c r="I535" s="92">
        <v>42578.482418981483</v>
      </c>
      <c r="J535" s="92">
        <v>42592.489502314813</v>
      </c>
      <c r="K535" s="92">
        <v>42578.49695601852</v>
      </c>
      <c r="L535" s="92">
        <f>IF(AND(单词表[[#This Row],[学英]]&lt;&gt;"",单词表[[#This Row],[学中]]&lt;&gt;"",单词表[[#This Row],[学词]]&lt;&gt;""),MAX(单词表[[#This Row],[学英]:[学词]]),"")</f>
        <v>42592.479085648149</v>
      </c>
      <c r="M535" s="2">
        <f>IF(AND(单词表[[#This Row],[考英]]&lt;&gt;"",单词表[[#This Row],[考中]]&lt;&gt;""),MAX(单词表[[#This Row],[考英]:[考中]]),"")</f>
        <v>42592.489502314813</v>
      </c>
      <c r="N535" s="33"/>
      <c r="P535" s="32"/>
    </row>
    <row r="536" spans="1:16" hidden="1" x14ac:dyDescent="0.15">
      <c r="A536">
        <v>536</v>
      </c>
      <c r="B536" t="s">
        <v>445</v>
      </c>
      <c r="C536" t="s">
        <v>873</v>
      </c>
      <c r="D536" s="72" t="s">
        <v>894</v>
      </c>
      <c r="E536" t="s">
        <v>36</v>
      </c>
      <c r="F536" t="s">
        <v>895</v>
      </c>
      <c r="G536" s="92">
        <v>42579.864259259259</v>
      </c>
      <c r="H536" s="92">
        <v>42578.482557870368</v>
      </c>
      <c r="I536" s="92">
        <v>42578.482546296298</v>
      </c>
      <c r="J536" s="92">
        <v>42592.466215277775</v>
      </c>
      <c r="K536" s="92">
        <v>42578.497048611112</v>
      </c>
      <c r="L536" s="92">
        <f>IF(AND(单词表[[#This Row],[学英]]&lt;&gt;"",单词表[[#This Row],[学中]]&lt;&gt;"",单词表[[#This Row],[学词]]&lt;&gt;""),MAX(单词表[[#This Row],[学英]:[学词]]),"")</f>
        <v>42579.864259259259</v>
      </c>
      <c r="M536" s="2">
        <f>IF(AND(单词表[[#This Row],[考英]]&lt;&gt;"",单词表[[#This Row],[考中]]&lt;&gt;""),MAX(单词表[[#This Row],[考英]:[考中]]),"")</f>
        <v>42592.466215277775</v>
      </c>
      <c r="N536" s="33"/>
      <c r="P536" s="32"/>
    </row>
    <row r="537" spans="1:16" hidden="1" x14ac:dyDescent="0.15">
      <c r="A537">
        <v>537</v>
      </c>
      <c r="B537" t="s">
        <v>445</v>
      </c>
      <c r="C537" t="s">
        <v>873</v>
      </c>
      <c r="D537" s="72" t="s">
        <v>896</v>
      </c>
      <c r="E537" t="s">
        <v>73</v>
      </c>
      <c r="F537" t="s">
        <v>897</v>
      </c>
      <c r="G537" s="92">
        <v>42578.484722222223</v>
      </c>
      <c r="H537" s="92">
        <v>42578.484733796293</v>
      </c>
      <c r="I537" s="92">
        <v>42578.484722222223</v>
      </c>
      <c r="J537" s="92">
        <v>42592.466469907406</v>
      </c>
      <c r="K537" s="92">
        <v>42578.497094907405</v>
      </c>
      <c r="L537" s="92">
        <f>IF(AND(单词表[[#This Row],[学英]]&lt;&gt;"",单词表[[#This Row],[学中]]&lt;&gt;"",单词表[[#This Row],[学词]]&lt;&gt;""),MAX(单词表[[#This Row],[学英]:[学词]]),"")</f>
        <v>42578.484733796293</v>
      </c>
      <c r="M537" s="2">
        <f>IF(AND(单词表[[#This Row],[考英]]&lt;&gt;"",单词表[[#This Row],[考中]]&lt;&gt;""),MAX(单词表[[#This Row],[考英]:[考中]]),"")</f>
        <v>42592.466469907406</v>
      </c>
      <c r="N537" s="33"/>
      <c r="P537" s="32"/>
    </row>
    <row r="538" spans="1:16" hidden="1" x14ac:dyDescent="0.15">
      <c r="A538">
        <v>538</v>
      </c>
      <c r="B538" t="s">
        <v>445</v>
      </c>
      <c r="C538" t="s">
        <v>873</v>
      </c>
      <c r="D538" s="72" t="s">
        <v>898</v>
      </c>
      <c r="E538" t="s">
        <v>36</v>
      </c>
      <c r="F538" t="s">
        <v>899</v>
      </c>
      <c r="G538" s="92">
        <v>42592.488043981481</v>
      </c>
      <c r="H538" s="92">
        <v>42578.484791666669</v>
      </c>
      <c r="I538" s="92">
        <v>42578.484780092593</v>
      </c>
      <c r="J538" s="92">
        <v>42592.489594907405</v>
      </c>
      <c r="K538" s="92">
        <v>42578.497152777774</v>
      </c>
      <c r="L538" s="92">
        <f>IF(AND(单词表[[#This Row],[学英]]&lt;&gt;"",单词表[[#This Row],[学中]]&lt;&gt;"",单词表[[#This Row],[学词]]&lt;&gt;""),MAX(单词表[[#This Row],[学英]:[学词]]),"")</f>
        <v>42592.488043981481</v>
      </c>
      <c r="M538" s="2">
        <f>IF(AND(单词表[[#This Row],[考英]]&lt;&gt;"",单词表[[#This Row],[考中]]&lt;&gt;""),MAX(单词表[[#This Row],[考英]:[考中]]),"")</f>
        <v>42592.489594907405</v>
      </c>
      <c r="N538" s="33"/>
      <c r="P538" s="32"/>
    </row>
    <row r="539" spans="1:16" hidden="1" x14ac:dyDescent="0.15">
      <c r="A539">
        <v>539</v>
      </c>
      <c r="B539" t="s">
        <v>445</v>
      </c>
      <c r="C539" t="s">
        <v>873</v>
      </c>
      <c r="D539" s="72" t="s">
        <v>900</v>
      </c>
      <c r="E539" t="s">
        <v>73</v>
      </c>
      <c r="F539" t="s">
        <v>901</v>
      </c>
      <c r="G539" s="92">
        <v>42578.484826388885</v>
      </c>
      <c r="H539" s="92">
        <v>42578.484837962962</v>
      </c>
      <c r="I539" s="92">
        <v>42578.484826388885</v>
      </c>
      <c r="J539" s="92">
        <v>42592.467326388891</v>
      </c>
      <c r="K539" s="92">
        <v>42578.497199074074</v>
      </c>
      <c r="L539" s="92">
        <f>IF(AND(单词表[[#This Row],[学英]]&lt;&gt;"",单词表[[#This Row],[学中]]&lt;&gt;"",单词表[[#This Row],[学词]]&lt;&gt;""),MAX(单词表[[#This Row],[学英]:[学词]]),"")</f>
        <v>42578.484837962962</v>
      </c>
      <c r="M539" s="2">
        <f>IF(AND(单词表[[#This Row],[考英]]&lt;&gt;"",单词表[[#This Row],[考中]]&lt;&gt;""),MAX(单词表[[#This Row],[考英]:[考中]]),"")</f>
        <v>42592.467326388891</v>
      </c>
      <c r="N539" s="33"/>
      <c r="P539" s="32"/>
    </row>
    <row r="540" spans="1:16" hidden="1" x14ac:dyDescent="0.15">
      <c r="A540">
        <v>540</v>
      </c>
      <c r="B540" t="s">
        <v>445</v>
      </c>
      <c r="C540" t="s">
        <v>873</v>
      </c>
      <c r="D540" s="72" t="s">
        <v>902</v>
      </c>
      <c r="E540" t="s">
        <v>36</v>
      </c>
      <c r="F540" t="s">
        <v>903</v>
      </c>
      <c r="G540" s="92">
        <v>42579.864282407405</v>
      </c>
      <c r="H540" s="92">
        <v>42578.484965277778</v>
      </c>
      <c r="I540" s="92">
        <v>42578.484953703701</v>
      </c>
      <c r="J540" s="92">
        <v>42592.467453703706</v>
      </c>
      <c r="K540" s="92">
        <v>42578.49732638889</v>
      </c>
      <c r="L540" s="92">
        <f>IF(AND(单词表[[#This Row],[学英]]&lt;&gt;"",单词表[[#This Row],[学中]]&lt;&gt;"",单词表[[#This Row],[学词]]&lt;&gt;""),MAX(单词表[[#This Row],[学英]:[学词]]),"")</f>
        <v>42579.864282407405</v>
      </c>
      <c r="M540" s="2">
        <f>IF(AND(单词表[[#This Row],[考英]]&lt;&gt;"",单词表[[#This Row],[考中]]&lt;&gt;""),MAX(单词表[[#This Row],[考英]:[考中]]),"")</f>
        <v>42592.467453703706</v>
      </c>
      <c r="N540" s="33"/>
      <c r="P540" s="32"/>
    </row>
    <row r="541" spans="1:16" hidden="1" x14ac:dyDescent="0.15">
      <c r="A541">
        <v>541</v>
      </c>
      <c r="B541" t="s">
        <v>445</v>
      </c>
      <c r="C541" t="s">
        <v>873</v>
      </c>
      <c r="D541" s="72" t="s">
        <v>3292</v>
      </c>
      <c r="E541" t="s">
        <v>736</v>
      </c>
      <c r="F541" t="s">
        <v>904</v>
      </c>
      <c r="G541" s="92">
        <v>42578.585162037038</v>
      </c>
      <c r="H541" s="92">
        <v>42578.485011574077</v>
      </c>
      <c r="I541" s="92">
        <v>42578.485000000001</v>
      </c>
      <c r="J541" s="92">
        <v>42592.467615740738</v>
      </c>
      <c r="K541" s="92">
        <v>42578.586597222224</v>
      </c>
      <c r="L541" s="92">
        <f>IF(AND(单词表[[#This Row],[学英]]&lt;&gt;"",单词表[[#This Row],[学中]]&lt;&gt;"",单词表[[#This Row],[学词]]&lt;&gt;""),MAX(单词表[[#This Row],[学英]:[学词]]),"")</f>
        <v>42578.585162037038</v>
      </c>
      <c r="M541" s="2">
        <f>IF(AND(单词表[[#This Row],[考英]]&lt;&gt;"",单词表[[#This Row],[考中]]&lt;&gt;""),MAX(单词表[[#This Row],[考英]:[考中]]),"")</f>
        <v>42592.467615740738</v>
      </c>
      <c r="N541" s="33"/>
      <c r="P541" s="32"/>
    </row>
    <row r="542" spans="1:16" hidden="1" x14ac:dyDescent="0.15">
      <c r="A542">
        <v>542</v>
      </c>
      <c r="B542" t="s">
        <v>445</v>
      </c>
      <c r="C542" t="s">
        <v>873</v>
      </c>
      <c r="D542" s="72" t="s">
        <v>905</v>
      </c>
      <c r="E542" t="s">
        <v>36</v>
      </c>
      <c r="F542" t="s">
        <v>906</v>
      </c>
      <c r="G542" s="92">
        <v>42592.488159722219</v>
      </c>
      <c r="H542" s="92">
        <v>42578.489699074074</v>
      </c>
      <c r="I542" s="92">
        <v>42578.489687499998</v>
      </c>
      <c r="J542" s="92">
        <v>42592.489791666667</v>
      </c>
      <c r="K542" s="92">
        <v>42578.497372685182</v>
      </c>
      <c r="L542" s="92">
        <f>IF(AND(单词表[[#This Row],[学英]]&lt;&gt;"",单词表[[#This Row],[学中]]&lt;&gt;"",单词表[[#This Row],[学词]]&lt;&gt;""),MAX(单词表[[#This Row],[学英]:[学词]]),"")</f>
        <v>42592.488159722219</v>
      </c>
      <c r="M542" s="2">
        <f>IF(AND(单词表[[#This Row],[考英]]&lt;&gt;"",单词表[[#This Row],[考中]]&lt;&gt;""),MAX(单词表[[#This Row],[考英]:[考中]]),"")</f>
        <v>42592.489791666667</v>
      </c>
      <c r="N542" s="33"/>
      <c r="P542" s="32"/>
    </row>
    <row r="543" spans="1:16" hidden="1" x14ac:dyDescent="0.15">
      <c r="A543">
        <v>543</v>
      </c>
      <c r="B543" t="s">
        <v>445</v>
      </c>
      <c r="C543" t="s">
        <v>873</v>
      </c>
      <c r="D543" s="72" t="s">
        <v>907</v>
      </c>
      <c r="E543" t="s">
        <v>73</v>
      </c>
      <c r="F543" t="s">
        <v>908</v>
      </c>
      <c r="G543" s="92">
        <v>42578.587430555555</v>
      </c>
      <c r="H543" s="92">
        <v>42578.486817129633</v>
      </c>
      <c r="I543" s="92">
        <v>42578.486817129633</v>
      </c>
      <c r="J543" s="92">
        <v>42592.46775462963</v>
      </c>
      <c r="K543" s="92">
        <v>42578.588090277779</v>
      </c>
      <c r="L543" s="92">
        <f>IF(AND(单词表[[#This Row],[学英]]&lt;&gt;"",单词表[[#This Row],[学中]]&lt;&gt;"",单词表[[#This Row],[学词]]&lt;&gt;""),MAX(单词表[[#This Row],[学英]:[学词]]),"")</f>
        <v>42578.587430555555</v>
      </c>
      <c r="M543" s="2">
        <f>IF(AND(单词表[[#This Row],[考英]]&lt;&gt;"",单词表[[#This Row],[考中]]&lt;&gt;""),MAX(单词表[[#This Row],[考英]:[考中]]),"")</f>
        <v>42592.46775462963</v>
      </c>
      <c r="N543" s="33"/>
      <c r="P543" s="32"/>
    </row>
    <row r="544" spans="1:16" hidden="1" x14ac:dyDescent="0.15">
      <c r="A544">
        <v>544</v>
      </c>
      <c r="B544" t="s">
        <v>445</v>
      </c>
      <c r="C544" t="s">
        <v>873</v>
      </c>
      <c r="D544" s="72" t="s">
        <v>907</v>
      </c>
      <c r="E544" t="s">
        <v>36</v>
      </c>
      <c r="F544" t="s">
        <v>909</v>
      </c>
      <c r="G544" s="92">
        <v>42578.486724537041</v>
      </c>
      <c r="H544" s="92">
        <v>42578.585219907407</v>
      </c>
      <c r="I544" s="92">
        <v>42578.58520833333</v>
      </c>
      <c r="J544" s="92">
        <v>42592.467881944445</v>
      </c>
      <c r="K544" s="92">
        <v>42578.586643518516</v>
      </c>
      <c r="L544" s="92">
        <f>IF(AND(单词表[[#This Row],[学英]]&lt;&gt;"",单词表[[#This Row],[学中]]&lt;&gt;"",单词表[[#This Row],[学词]]&lt;&gt;""),MAX(单词表[[#This Row],[学英]:[学词]]),"")</f>
        <v>42578.585219907407</v>
      </c>
      <c r="M544" s="2">
        <f>IF(AND(单词表[[#This Row],[考英]]&lt;&gt;"",单词表[[#This Row],[考中]]&lt;&gt;""),MAX(单词表[[#This Row],[考英]:[考中]]),"")</f>
        <v>42592.467881944445</v>
      </c>
      <c r="N544" s="33"/>
      <c r="P544" s="32"/>
    </row>
    <row r="545" spans="1:16" hidden="1" x14ac:dyDescent="0.15">
      <c r="A545">
        <v>545</v>
      </c>
      <c r="B545" t="s">
        <v>445</v>
      </c>
      <c r="C545" t="s">
        <v>873</v>
      </c>
      <c r="D545" s="72" t="s">
        <v>910</v>
      </c>
      <c r="E545" t="s">
        <v>73</v>
      </c>
      <c r="F545" t="s">
        <v>911</v>
      </c>
      <c r="G545" s="92">
        <v>42592.488229166665</v>
      </c>
      <c r="H545" s="92">
        <v>42578.585324074076</v>
      </c>
      <c r="I545" s="92">
        <v>42578.585312499999</v>
      </c>
      <c r="J545" s="92">
        <v>42592.489976851852</v>
      </c>
      <c r="K545" s="92">
        <v>42578.586770833332</v>
      </c>
      <c r="L545" s="92">
        <f>IF(AND(单词表[[#This Row],[学英]]&lt;&gt;"",单词表[[#This Row],[学中]]&lt;&gt;"",单词表[[#This Row],[学词]]&lt;&gt;""),MAX(单词表[[#This Row],[学英]:[学词]]),"")</f>
        <v>42592.488229166665</v>
      </c>
      <c r="M545" s="2">
        <f>IF(AND(单词表[[#This Row],[考英]]&lt;&gt;"",单词表[[#This Row],[考中]]&lt;&gt;""),MAX(单词表[[#This Row],[考英]:[考中]]),"")</f>
        <v>42592.489976851852</v>
      </c>
      <c r="N545" s="33"/>
      <c r="P545" s="32"/>
    </row>
    <row r="546" spans="1:16" hidden="1" x14ac:dyDescent="0.15">
      <c r="A546">
        <v>546</v>
      </c>
      <c r="B546" t="s">
        <v>445</v>
      </c>
      <c r="C546" t="s">
        <v>873</v>
      </c>
      <c r="D546" s="72" t="s">
        <v>912</v>
      </c>
      <c r="E546" t="s">
        <v>36</v>
      </c>
      <c r="F546" t="s">
        <v>913</v>
      </c>
      <c r="G546" s="92">
        <v>42592.488275462965</v>
      </c>
      <c r="H546" s="92">
        <v>42578.490474537037</v>
      </c>
      <c r="I546" s="92">
        <v>42578.49046296296</v>
      </c>
      <c r="J546" s="92">
        <v>42592.490057870367</v>
      </c>
      <c r="K546" s="92">
        <v>42578.497743055559</v>
      </c>
      <c r="L546" s="92">
        <f>IF(AND(单词表[[#This Row],[学英]]&lt;&gt;"",单词表[[#This Row],[学中]]&lt;&gt;"",单词表[[#This Row],[学词]]&lt;&gt;""),MAX(单词表[[#This Row],[学英]:[学词]]),"")</f>
        <v>42592.488275462965</v>
      </c>
      <c r="M546" s="2">
        <f>IF(AND(单词表[[#This Row],[考英]]&lt;&gt;"",单词表[[#This Row],[考中]]&lt;&gt;""),MAX(单词表[[#This Row],[考英]:[考中]]),"")</f>
        <v>42592.490057870367</v>
      </c>
      <c r="N546" s="33"/>
      <c r="P546" s="32"/>
    </row>
    <row r="547" spans="1:16" hidden="1" x14ac:dyDescent="0.15">
      <c r="A547">
        <v>547</v>
      </c>
      <c r="B547" t="s">
        <v>445</v>
      </c>
      <c r="C547" t="s">
        <v>873</v>
      </c>
      <c r="D547" s="72" t="s">
        <v>914</v>
      </c>
      <c r="E547" t="s">
        <v>73</v>
      </c>
      <c r="F547" t="s">
        <v>915</v>
      </c>
      <c r="G547" s="92">
        <v>42578.490486111114</v>
      </c>
      <c r="H547" s="92">
        <v>42578.490497685183</v>
      </c>
      <c r="I547" s="92">
        <v>42578.490497685183</v>
      </c>
      <c r="J547" s="92">
        <v>42592.468194444446</v>
      </c>
      <c r="K547" s="92">
        <v>42578.497800925928</v>
      </c>
      <c r="L547" s="92">
        <f>IF(AND(单词表[[#This Row],[学英]]&lt;&gt;"",单词表[[#This Row],[学中]]&lt;&gt;"",单词表[[#This Row],[学词]]&lt;&gt;""),MAX(单词表[[#This Row],[学英]:[学词]]),"")</f>
        <v>42578.490497685183</v>
      </c>
      <c r="M547" s="2">
        <f>IF(AND(单词表[[#This Row],[考英]]&lt;&gt;"",单词表[[#This Row],[考中]]&lt;&gt;""),MAX(单词表[[#This Row],[考英]:[考中]]),"")</f>
        <v>42592.468194444446</v>
      </c>
      <c r="N547" s="33"/>
      <c r="P547" s="32"/>
    </row>
    <row r="548" spans="1:16" hidden="1" x14ac:dyDescent="0.15">
      <c r="A548">
        <v>548</v>
      </c>
      <c r="B548" t="s">
        <v>445</v>
      </c>
      <c r="C548" t="s">
        <v>873</v>
      </c>
      <c r="D548" s="72" t="s">
        <v>916</v>
      </c>
      <c r="E548" t="s">
        <v>36</v>
      </c>
      <c r="F548" t="s">
        <v>917</v>
      </c>
      <c r="G548" s="92">
        <v>42578.486979166664</v>
      </c>
      <c r="H548" s="92">
        <v>42578.487002314818</v>
      </c>
      <c r="I548" s="92">
        <v>42578.486990740741</v>
      </c>
      <c r="J548" s="92">
        <v>42592.468287037038</v>
      </c>
      <c r="K548" s="92">
        <v>42578.497893518521</v>
      </c>
      <c r="L548" s="92">
        <f>IF(AND(单词表[[#This Row],[学英]]&lt;&gt;"",单词表[[#This Row],[学中]]&lt;&gt;"",单词表[[#This Row],[学词]]&lt;&gt;""),MAX(单词表[[#This Row],[学英]:[学词]]),"")</f>
        <v>42578.487002314818</v>
      </c>
      <c r="M548" s="2">
        <f>IF(AND(单词表[[#This Row],[考英]]&lt;&gt;"",单词表[[#This Row],[考中]]&lt;&gt;""),MAX(单词表[[#This Row],[考英]:[考中]]),"")</f>
        <v>42592.468287037038</v>
      </c>
      <c r="N548" s="33"/>
      <c r="P548" s="32"/>
    </row>
    <row r="549" spans="1:16" hidden="1" x14ac:dyDescent="0.15">
      <c r="A549">
        <v>549</v>
      </c>
      <c r="B549" t="s">
        <v>445</v>
      </c>
      <c r="C549" t="s">
        <v>918</v>
      </c>
      <c r="D549" s="72" t="s">
        <v>919</v>
      </c>
      <c r="E549" t="s">
        <v>61</v>
      </c>
      <c r="F549" t="s">
        <v>920</v>
      </c>
      <c r="G549" s="92">
        <v>42579.454502314817</v>
      </c>
      <c r="H549" s="92">
        <v>42579.45453703704</v>
      </c>
      <c r="I549" s="92">
        <v>42579.45453703704</v>
      </c>
      <c r="J549" s="92">
        <v>42592.468680555554</v>
      </c>
      <c r="K549" s="92">
        <v>42579.500671296293</v>
      </c>
      <c r="L549" s="92">
        <f>IF(AND(单词表[[#This Row],[学英]]&lt;&gt;"",单词表[[#This Row],[学中]]&lt;&gt;"",单词表[[#This Row],[学词]]&lt;&gt;""),MAX(单词表[[#This Row],[学英]:[学词]]),"")</f>
        <v>42579.45453703704</v>
      </c>
      <c r="M549" s="2">
        <f>IF(AND(单词表[[#This Row],[考英]]&lt;&gt;"",单词表[[#This Row],[考中]]&lt;&gt;""),MAX(单词表[[#This Row],[考英]:[考中]]),"")</f>
        <v>42592.468680555554</v>
      </c>
      <c r="N549" s="33"/>
      <c r="P549" s="32"/>
    </row>
    <row r="550" spans="1:16" hidden="1" x14ac:dyDescent="0.15">
      <c r="A550">
        <v>550</v>
      </c>
      <c r="B550" t="s">
        <v>445</v>
      </c>
      <c r="C550" t="s">
        <v>918</v>
      </c>
      <c r="D550" s="72" t="s">
        <v>921</v>
      </c>
      <c r="E550" t="s">
        <v>36</v>
      </c>
      <c r="F550" t="s">
        <v>5500</v>
      </c>
      <c r="G550" s="92">
        <v>42592.488298611112</v>
      </c>
      <c r="H550" s="92">
        <v>42579.620266203703</v>
      </c>
      <c r="I550" s="92">
        <v>42579.620266203703</v>
      </c>
      <c r="J550" s="92">
        <v>42592.490208333336</v>
      </c>
      <c r="K550" s="92">
        <v>42579.631076388891</v>
      </c>
      <c r="L550" s="92">
        <f>IF(AND(单词表[[#This Row],[学英]]&lt;&gt;"",单词表[[#This Row],[学中]]&lt;&gt;"",单词表[[#This Row],[学词]]&lt;&gt;""),MAX(单词表[[#This Row],[学英]:[学词]]),"")</f>
        <v>42592.488298611112</v>
      </c>
      <c r="M550" s="2">
        <f>IF(AND(单词表[[#This Row],[考英]]&lt;&gt;"",单词表[[#This Row],[考中]]&lt;&gt;""),MAX(单词表[[#This Row],[考英]:[考中]]),"")</f>
        <v>42592.490208333336</v>
      </c>
      <c r="N550" s="33"/>
      <c r="P550" s="32"/>
    </row>
    <row r="551" spans="1:16" hidden="1" x14ac:dyDescent="0.15">
      <c r="A551">
        <v>551</v>
      </c>
      <c r="B551" t="s">
        <v>445</v>
      </c>
      <c r="C551" t="s">
        <v>918</v>
      </c>
      <c r="D551" s="72" t="s">
        <v>922</v>
      </c>
      <c r="E551" t="s">
        <v>73</v>
      </c>
      <c r="F551" t="s">
        <v>923</v>
      </c>
      <c r="G551" s="92">
        <v>42579.622488425928</v>
      </c>
      <c r="H551" s="92">
        <v>42579.455208333333</v>
      </c>
      <c r="I551" s="92">
        <v>42579.455208333333</v>
      </c>
      <c r="J551" s="92">
        <v>42592.4687962963</v>
      </c>
      <c r="K551" s="92">
        <v>42579</v>
      </c>
      <c r="L551" s="92">
        <f>IF(AND(单词表[[#This Row],[学英]]&lt;&gt;"",单词表[[#This Row],[学中]]&lt;&gt;"",单词表[[#This Row],[学词]]&lt;&gt;""),MAX(单词表[[#This Row],[学英]:[学词]]),"")</f>
        <v>42579.622488425928</v>
      </c>
      <c r="M551" s="2">
        <f>IF(AND(单词表[[#This Row],[考英]]&lt;&gt;"",单词表[[#This Row],[考中]]&lt;&gt;""),MAX(单词表[[#This Row],[考英]:[考中]]),"")</f>
        <v>42592.4687962963</v>
      </c>
      <c r="N551" s="33"/>
      <c r="P551" s="32"/>
    </row>
    <row r="552" spans="1:16" hidden="1" x14ac:dyDescent="0.15">
      <c r="A552">
        <v>552</v>
      </c>
      <c r="B552" t="s">
        <v>445</v>
      </c>
      <c r="C552" t="s">
        <v>918</v>
      </c>
      <c r="D552" s="72" t="s">
        <v>924</v>
      </c>
      <c r="E552" t="s">
        <v>61</v>
      </c>
      <c r="F552" t="s">
        <v>925</v>
      </c>
      <c r="G552" s="92">
        <v>42592.488321759258</v>
      </c>
      <c r="H552" s="92">
        <v>42579.454687500001</v>
      </c>
      <c r="I552" s="92">
        <v>42579.454687500001</v>
      </c>
      <c r="J552" s="92">
        <v>42592.490347222221</v>
      </c>
      <c r="K552" s="92">
        <v>42579</v>
      </c>
      <c r="L552" s="92">
        <f>IF(AND(单词表[[#This Row],[学英]]&lt;&gt;"",单词表[[#This Row],[学中]]&lt;&gt;"",单词表[[#This Row],[学词]]&lt;&gt;""),MAX(单词表[[#This Row],[学英]:[学词]]),"")</f>
        <v>42592.488321759258</v>
      </c>
      <c r="M552" s="2">
        <f>IF(AND(单词表[[#This Row],[考英]]&lt;&gt;"",单词表[[#This Row],[考中]]&lt;&gt;""),MAX(单词表[[#This Row],[考英]:[考中]]),"")</f>
        <v>42592.490347222221</v>
      </c>
      <c r="N552" s="33"/>
      <c r="P552" s="32"/>
    </row>
    <row r="553" spans="1:16" hidden="1" x14ac:dyDescent="0.15">
      <c r="A553">
        <v>553</v>
      </c>
      <c r="B553" t="s">
        <v>445</v>
      </c>
      <c r="C553" t="s">
        <v>918</v>
      </c>
      <c r="D553" s="72" t="s">
        <v>926</v>
      </c>
      <c r="E553" t="s">
        <v>36</v>
      </c>
      <c r="F553" t="s">
        <v>925</v>
      </c>
      <c r="G553" s="92">
        <v>42592.488344907404</v>
      </c>
      <c r="H553" s="92">
        <v>42579.620347222219</v>
      </c>
      <c r="I553" s="92">
        <v>42579.620347222219</v>
      </c>
      <c r="J553" s="92">
        <v>42592.490405092591</v>
      </c>
      <c r="K553" s="92">
        <v>42579.631180555552</v>
      </c>
      <c r="L553" s="92">
        <f>IF(AND(单词表[[#This Row],[学英]]&lt;&gt;"",单词表[[#This Row],[学中]]&lt;&gt;"",单词表[[#This Row],[学词]]&lt;&gt;""),MAX(单词表[[#This Row],[学英]:[学词]]),"")</f>
        <v>42592.488344907404</v>
      </c>
      <c r="M553" s="2">
        <f>IF(AND(单词表[[#This Row],[考英]]&lt;&gt;"",单词表[[#This Row],[考中]]&lt;&gt;""),MAX(单词表[[#This Row],[考英]:[考中]]),"")</f>
        <v>42592.490405092591</v>
      </c>
      <c r="N553" s="33"/>
      <c r="P553" s="32"/>
    </row>
    <row r="554" spans="1:16" hidden="1" x14ac:dyDescent="0.15">
      <c r="A554">
        <v>554</v>
      </c>
      <c r="B554" t="s">
        <v>445</v>
      </c>
      <c r="C554" t="s">
        <v>918</v>
      </c>
      <c r="D554" s="72" t="s">
        <v>927</v>
      </c>
      <c r="E554" t="s">
        <v>73</v>
      </c>
      <c r="F554" t="s">
        <v>928</v>
      </c>
      <c r="G554" s="92">
        <v>42579.455462962964</v>
      </c>
      <c r="H554" s="92">
        <v>42579.455474537041</v>
      </c>
      <c r="I554" s="92">
        <v>42579.455474537041</v>
      </c>
      <c r="J554" s="92">
        <v>42592.469155092593</v>
      </c>
      <c r="K554" s="92">
        <v>42579.500925925924</v>
      </c>
      <c r="L554" s="92">
        <f>IF(AND(单词表[[#This Row],[学英]]&lt;&gt;"",单词表[[#This Row],[学中]]&lt;&gt;"",单词表[[#This Row],[学词]]&lt;&gt;""),MAX(单词表[[#This Row],[学英]:[学词]]),"")</f>
        <v>42579.455474537041</v>
      </c>
      <c r="M554" s="2">
        <f>IF(AND(单词表[[#This Row],[考英]]&lt;&gt;"",单词表[[#This Row],[考中]]&lt;&gt;""),MAX(单词表[[#This Row],[考英]:[考中]]),"")</f>
        <v>42592.469155092593</v>
      </c>
      <c r="N554" s="33"/>
      <c r="P554" s="32"/>
    </row>
    <row r="555" spans="1:16" hidden="1" x14ac:dyDescent="0.15">
      <c r="A555">
        <v>555</v>
      </c>
      <c r="B555" t="s">
        <v>445</v>
      </c>
      <c r="C555" t="s">
        <v>918</v>
      </c>
      <c r="D555" s="72" t="s">
        <v>929</v>
      </c>
      <c r="E555" t="s">
        <v>36</v>
      </c>
      <c r="F555" t="s">
        <v>930</v>
      </c>
      <c r="G555" s="92">
        <v>42579.455497685187</v>
      </c>
      <c r="H555" s="92">
        <v>42579.455509259256</v>
      </c>
      <c r="I555" s="92">
        <v>42579.455509259256</v>
      </c>
      <c r="J555" s="92">
        <v>42592.469236111108</v>
      </c>
      <c r="K555" s="92">
        <v>42579.500972222224</v>
      </c>
      <c r="L555" s="92">
        <f>IF(AND(单词表[[#This Row],[学英]]&lt;&gt;"",单词表[[#This Row],[学中]]&lt;&gt;"",单词表[[#This Row],[学词]]&lt;&gt;""),MAX(单词表[[#This Row],[学英]:[学词]]),"")</f>
        <v>42579.455509259256</v>
      </c>
      <c r="M555" s="2">
        <f>IF(AND(单词表[[#This Row],[考英]]&lt;&gt;"",单词表[[#This Row],[考中]]&lt;&gt;""),MAX(单词表[[#This Row],[考英]:[考中]]),"")</f>
        <v>42592.469236111108</v>
      </c>
      <c r="N555" s="33"/>
      <c r="P555" s="32"/>
    </row>
    <row r="556" spans="1:16" hidden="1" x14ac:dyDescent="0.15">
      <c r="A556">
        <v>556</v>
      </c>
      <c r="B556" t="s">
        <v>445</v>
      </c>
      <c r="C556" t="s">
        <v>918</v>
      </c>
      <c r="D556" s="72" t="s">
        <v>931</v>
      </c>
      <c r="E556" t="s">
        <v>36</v>
      </c>
      <c r="F556" t="s">
        <v>932</v>
      </c>
      <c r="G556" s="92">
        <v>42579.63212962963</v>
      </c>
      <c r="H556" s="92">
        <v>42579.620381944442</v>
      </c>
      <c r="I556" s="92">
        <v>42579.620370370372</v>
      </c>
      <c r="J556" s="92">
        <v>42592.469525462962</v>
      </c>
      <c r="K556" s="92">
        <v>42579.633321759262</v>
      </c>
      <c r="L556" s="92">
        <f>IF(AND(单词表[[#This Row],[学英]]&lt;&gt;"",单词表[[#This Row],[学中]]&lt;&gt;"",单词表[[#This Row],[学词]]&lt;&gt;""),MAX(单词表[[#This Row],[学英]:[学词]]),"")</f>
        <v>42579.63212962963</v>
      </c>
      <c r="M556" s="2">
        <f>IF(AND(单词表[[#This Row],[考英]]&lt;&gt;"",单词表[[#This Row],[考中]]&lt;&gt;""),MAX(单词表[[#This Row],[考英]:[考中]]),"")</f>
        <v>42592.469525462962</v>
      </c>
      <c r="N556" s="33"/>
      <c r="P556" s="32"/>
    </row>
    <row r="557" spans="1:16" hidden="1" x14ac:dyDescent="0.15">
      <c r="A557">
        <v>557</v>
      </c>
      <c r="B557" t="s">
        <v>445</v>
      </c>
      <c r="C557" t="s">
        <v>918</v>
      </c>
      <c r="D557" s="72" t="s">
        <v>933</v>
      </c>
      <c r="E557" t="s">
        <v>73</v>
      </c>
      <c r="F557" t="s">
        <v>934</v>
      </c>
      <c r="G557" s="92">
        <v>42579.462858796294</v>
      </c>
      <c r="H557" s="92">
        <v>42579.462870370371</v>
      </c>
      <c r="I557" s="92">
        <v>42579.462870370371</v>
      </c>
      <c r="J557" s="92">
        <v>42592.469664351855</v>
      </c>
      <c r="K557" s="92">
        <v>42579.501145833332</v>
      </c>
      <c r="L557" s="92">
        <f>IF(AND(单词表[[#This Row],[学英]]&lt;&gt;"",单词表[[#This Row],[学中]]&lt;&gt;"",单词表[[#This Row],[学词]]&lt;&gt;""),MAX(单词表[[#This Row],[学英]:[学词]]),"")</f>
        <v>42579.462870370371</v>
      </c>
      <c r="M557" s="2">
        <f>IF(AND(单词表[[#This Row],[考英]]&lt;&gt;"",单词表[[#This Row],[考中]]&lt;&gt;""),MAX(单词表[[#This Row],[考英]:[考中]]),"")</f>
        <v>42592.469664351855</v>
      </c>
      <c r="N557" s="33"/>
      <c r="P557" s="32"/>
    </row>
    <row r="558" spans="1:16" hidden="1" x14ac:dyDescent="0.15">
      <c r="A558">
        <v>558</v>
      </c>
      <c r="B558" t="s">
        <v>445</v>
      </c>
      <c r="C558" t="s">
        <v>918</v>
      </c>
      <c r="D558" s="72" t="s">
        <v>5641</v>
      </c>
      <c r="E558" t="s">
        <v>702</v>
      </c>
      <c r="F558" t="s">
        <v>935</v>
      </c>
      <c r="G558" s="92">
        <v>42725.463020833333</v>
      </c>
      <c r="H558" s="92">
        <v>42579.46298611111</v>
      </c>
      <c r="I558" s="92">
        <v>42579.46297453704</v>
      </c>
      <c r="J558" s="92"/>
      <c r="K558" s="92">
        <v>42579</v>
      </c>
      <c r="L558" s="92">
        <f>IF(AND(单词表[[#This Row],[学英]]&lt;&gt;"",单词表[[#This Row],[学中]]&lt;&gt;"",单词表[[#This Row],[学词]]&lt;&gt;""),MAX(单词表[[#This Row],[学英]:[学词]]),"")</f>
        <v>42725.463020833333</v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15">
      <c r="A559">
        <v>559</v>
      </c>
      <c r="B559" t="s">
        <v>445</v>
      </c>
      <c r="C559" t="s">
        <v>918</v>
      </c>
      <c r="D559" s="72" t="s">
        <v>936</v>
      </c>
      <c r="E559" t="s">
        <v>736</v>
      </c>
      <c r="F559" t="s">
        <v>937</v>
      </c>
      <c r="G559" s="92">
        <v>42579.463009259256</v>
      </c>
      <c r="H559" s="92">
        <v>42579.463020833333</v>
      </c>
      <c r="I559" s="92">
        <v>42579.463020833333</v>
      </c>
      <c r="J559" s="92">
        <v>42592.469884259262</v>
      </c>
      <c r="K559" s="92">
        <v>42579.501203703701</v>
      </c>
      <c r="L559" s="92">
        <f>IF(AND(单词表[[#This Row],[学英]]&lt;&gt;"",单词表[[#This Row],[学中]]&lt;&gt;"",单词表[[#This Row],[学词]]&lt;&gt;""),MAX(单词表[[#This Row],[学英]:[学词]]),"")</f>
        <v>42579.463020833333</v>
      </c>
      <c r="M559" s="2">
        <f>IF(AND(单词表[[#This Row],[考英]]&lt;&gt;"",单词表[[#This Row],[考中]]&lt;&gt;""),MAX(单词表[[#This Row],[考英]:[考中]]),"")</f>
        <v>42592.469884259262</v>
      </c>
      <c r="N559" s="33"/>
      <c r="P559" s="32"/>
    </row>
    <row r="560" spans="1:16" hidden="1" x14ac:dyDescent="0.15">
      <c r="A560">
        <v>560</v>
      </c>
      <c r="B560" t="s">
        <v>445</v>
      </c>
      <c r="C560" t="s">
        <v>918</v>
      </c>
      <c r="D560" s="72" t="s">
        <v>938</v>
      </c>
      <c r="E560" t="s">
        <v>61</v>
      </c>
      <c r="F560" t="s">
        <v>939</v>
      </c>
      <c r="G560" s="92">
        <v>42579.463067129633</v>
      </c>
      <c r="H560" s="92">
        <v>42579.463078703702</v>
      </c>
      <c r="I560" s="92">
        <v>42579.463067129633</v>
      </c>
      <c r="J560" s="92">
        <v>42592.469942129632</v>
      </c>
      <c r="K560" s="92">
        <v>42579.501250000001</v>
      </c>
      <c r="L560" s="92">
        <f>IF(AND(单词表[[#This Row],[学英]]&lt;&gt;"",单词表[[#This Row],[学中]]&lt;&gt;"",单词表[[#This Row],[学词]]&lt;&gt;""),MAX(单词表[[#This Row],[学英]:[学词]]),"")</f>
        <v>42579.463078703702</v>
      </c>
      <c r="M560" s="2">
        <f>IF(AND(单词表[[#This Row],[考英]]&lt;&gt;"",单词表[[#This Row],[考中]]&lt;&gt;""),MAX(单词表[[#This Row],[考英]:[考中]]),"")</f>
        <v>42592.469942129632</v>
      </c>
      <c r="N560" s="33"/>
      <c r="P560" s="32"/>
    </row>
    <row r="561" spans="1:16" hidden="1" x14ac:dyDescent="0.15">
      <c r="A561">
        <v>561</v>
      </c>
      <c r="B561" t="s">
        <v>445</v>
      </c>
      <c r="C561" t="s">
        <v>918</v>
      </c>
      <c r="D561" s="72" t="s">
        <v>940</v>
      </c>
      <c r="E561" t="s">
        <v>1019</v>
      </c>
      <c r="F561" t="s">
        <v>941</v>
      </c>
      <c r="G561" s="92">
        <v>42725.463067129633</v>
      </c>
      <c r="H561" s="92">
        <v>42579.620451388888</v>
      </c>
      <c r="I561" s="92">
        <v>42579.620428240742</v>
      </c>
      <c r="J561" s="92"/>
      <c r="K561" s="92">
        <v>42579.635104166664</v>
      </c>
      <c r="L561" s="92">
        <f>IF(AND(单词表[[#This Row],[学英]]&lt;&gt;"",单词表[[#This Row],[学中]]&lt;&gt;"",单词表[[#This Row],[学词]]&lt;&gt;""),MAX(单词表[[#This Row],[学英]:[学词]]),"")</f>
        <v>42725.463067129633</v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15">
      <c r="A562">
        <v>562</v>
      </c>
      <c r="B562" t="s">
        <v>445</v>
      </c>
      <c r="C562" t="s">
        <v>918</v>
      </c>
      <c r="D562" s="72" t="s">
        <v>942</v>
      </c>
      <c r="E562" t="s">
        <v>61</v>
      </c>
      <c r="F562" t="s">
        <v>943</v>
      </c>
      <c r="G562" s="92">
        <v>42579.463206018518</v>
      </c>
      <c r="H562" s="92">
        <v>42579.463229166664</v>
      </c>
      <c r="I562" s="92">
        <v>42579.463229166664</v>
      </c>
      <c r="J562" s="92">
        <v>42592.470127314817</v>
      </c>
      <c r="K562" s="92">
        <v>42579.501435185186</v>
      </c>
      <c r="L562" s="92">
        <f>IF(AND(单词表[[#This Row],[学英]]&lt;&gt;"",单词表[[#This Row],[学中]]&lt;&gt;"",单词表[[#This Row],[学词]]&lt;&gt;""),MAX(单词表[[#This Row],[学英]:[学词]]),"")</f>
        <v>42579.463229166664</v>
      </c>
      <c r="M562" s="2">
        <f>IF(AND(单词表[[#This Row],[考英]]&lt;&gt;"",单词表[[#This Row],[考中]]&lt;&gt;""),MAX(单词表[[#This Row],[考英]:[考中]]),"")</f>
        <v>42592.470127314817</v>
      </c>
      <c r="N562" s="33"/>
      <c r="P562" s="32"/>
    </row>
    <row r="563" spans="1:16" hidden="1" x14ac:dyDescent="0.15">
      <c r="A563">
        <v>563</v>
      </c>
      <c r="B563" t="s">
        <v>445</v>
      </c>
      <c r="C563" t="s">
        <v>918</v>
      </c>
      <c r="D563" s="72" t="s">
        <v>944</v>
      </c>
      <c r="E563" t="s">
        <v>73</v>
      </c>
      <c r="F563" t="s">
        <v>945</v>
      </c>
      <c r="G563" s="92">
        <v>42579.632233796299</v>
      </c>
      <c r="H563" s="92">
        <v>42579.47861111111</v>
      </c>
      <c r="I563" s="92">
        <v>42579.47859953704</v>
      </c>
      <c r="J563" s="92">
        <v>42592.470289351855</v>
      </c>
      <c r="K563" s="92">
        <v>42579</v>
      </c>
      <c r="L563" s="92">
        <f>IF(AND(单词表[[#This Row],[学英]]&lt;&gt;"",单词表[[#This Row],[学中]]&lt;&gt;"",单词表[[#This Row],[学词]]&lt;&gt;""),MAX(单词表[[#This Row],[学英]:[学词]]),"")</f>
        <v>42579.632233796299</v>
      </c>
      <c r="M563" s="2">
        <f>IF(AND(单词表[[#This Row],[考英]]&lt;&gt;"",单词表[[#This Row],[考中]]&lt;&gt;""),MAX(单词表[[#This Row],[考英]:[考中]]),"")</f>
        <v>42592.470289351855</v>
      </c>
      <c r="N563" s="33"/>
      <c r="P563" s="32"/>
    </row>
    <row r="564" spans="1:16" hidden="1" x14ac:dyDescent="0.15">
      <c r="A564">
        <v>564</v>
      </c>
      <c r="B564" t="s">
        <v>445</v>
      </c>
      <c r="C564" t="s">
        <v>918</v>
      </c>
      <c r="D564" s="72" t="s">
        <v>946</v>
      </c>
      <c r="E564" t="s">
        <v>36</v>
      </c>
      <c r="F564" t="s">
        <v>947</v>
      </c>
      <c r="G564" s="92">
        <v>42579.483981481484</v>
      </c>
      <c r="H564" s="92">
        <v>42579.484178240738</v>
      </c>
      <c r="I564" s="92">
        <v>42579.483981481484</v>
      </c>
      <c r="J564" s="92">
        <v>42592.47042824074</v>
      </c>
      <c r="K564" s="92">
        <v>42579.501516203702</v>
      </c>
      <c r="L564" s="92">
        <f>IF(AND(单词表[[#This Row],[学英]]&lt;&gt;"",单词表[[#This Row],[学中]]&lt;&gt;"",单词表[[#This Row],[学词]]&lt;&gt;""),MAX(单词表[[#This Row],[学英]:[学词]]),"")</f>
        <v>42579.484178240738</v>
      </c>
      <c r="M564" s="2">
        <f>IF(AND(单词表[[#This Row],[考英]]&lt;&gt;"",单词表[[#This Row],[考中]]&lt;&gt;""),MAX(单词表[[#This Row],[考英]:[考中]]),"")</f>
        <v>42592.47042824074</v>
      </c>
      <c r="N564" s="33"/>
      <c r="P564" s="32"/>
    </row>
    <row r="565" spans="1:16" hidden="1" x14ac:dyDescent="0.15">
      <c r="A565">
        <v>565</v>
      </c>
      <c r="B565" t="s">
        <v>445</v>
      </c>
      <c r="C565" t="s">
        <v>918</v>
      </c>
      <c r="D565" s="72" t="s">
        <v>948</v>
      </c>
      <c r="E565" t="s">
        <v>36</v>
      </c>
      <c r="F565" t="s">
        <v>949</v>
      </c>
      <c r="G565" s="92">
        <v>42579.484120370369</v>
      </c>
      <c r="H565" s="92">
        <v>42579.484143518515</v>
      </c>
      <c r="I565" s="92">
        <v>42579.484120370369</v>
      </c>
      <c r="J565" s="92">
        <v>42592.47047453704</v>
      </c>
      <c r="K565" s="92">
        <v>42579.501562500001</v>
      </c>
      <c r="L565" s="92">
        <f>IF(AND(单词表[[#This Row],[学英]]&lt;&gt;"",单词表[[#This Row],[学中]]&lt;&gt;"",单词表[[#This Row],[学词]]&lt;&gt;""),MAX(单词表[[#This Row],[学英]:[学词]]),"")</f>
        <v>42579.484143518515</v>
      </c>
      <c r="M565" s="2">
        <f>IF(AND(单词表[[#This Row],[考英]]&lt;&gt;"",单词表[[#This Row],[考中]]&lt;&gt;""),MAX(单词表[[#This Row],[考英]:[考中]]),"")</f>
        <v>42592.47047453704</v>
      </c>
      <c r="N565" s="33"/>
      <c r="P565" s="32"/>
    </row>
    <row r="566" spans="1:16" hidden="1" x14ac:dyDescent="0.15">
      <c r="A566">
        <v>566</v>
      </c>
      <c r="B566" t="s">
        <v>445</v>
      </c>
      <c r="C566" t="s">
        <v>918</v>
      </c>
      <c r="D566" s="72" t="s">
        <v>3294</v>
      </c>
      <c r="E566" t="s">
        <v>36</v>
      </c>
      <c r="F566" t="s">
        <v>950</v>
      </c>
      <c r="G566" s="92">
        <v>42579.622719907406</v>
      </c>
      <c r="H566" s="92">
        <v>42579.484513888892</v>
      </c>
      <c r="I566" s="92">
        <v>42579.484513888892</v>
      </c>
      <c r="J566" s="92">
        <v>42592.470671296294</v>
      </c>
      <c r="K566" s="92">
        <v>42579</v>
      </c>
      <c r="L566" s="92">
        <f>IF(AND(单词表[[#This Row],[学英]]&lt;&gt;"",单词表[[#This Row],[学中]]&lt;&gt;"",单词表[[#This Row],[学词]]&lt;&gt;""),MAX(单词表[[#This Row],[学英]:[学词]]),"")</f>
        <v>42579.622719907406</v>
      </c>
      <c r="M566" s="2">
        <f>IF(AND(单词表[[#This Row],[考英]]&lt;&gt;"",单词表[[#This Row],[考中]]&lt;&gt;""),MAX(单词表[[#This Row],[考英]:[考中]]),"")</f>
        <v>42592.470671296294</v>
      </c>
      <c r="N566" s="33"/>
      <c r="P566" s="32"/>
    </row>
    <row r="567" spans="1:16" hidden="1" x14ac:dyDescent="0.15">
      <c r="A567">
        <v>567</v>
      </c>
      <c r="B567" t="s">
        <v>445</v>
      </c>
      <c r="C567" t="s">
        <v>918</v>
      </c>
      <c r="D567" s="72" t="s">
        <v>951</v>
      </c>
      <c r="E567" t="s">
        <v>36</v>
      </c>
      <c r="F567" t="s">
        <v>952</v>
      </c>
      <c r="G567" s="92">
        <v>42579.632210648146</v>
      </c>
      <c r="H567" s="92">
        <v>42579.484236111108</v>
      </c>
      <c r="I567" s="92">
        <v>42579.484224537038</v>
      </c>
      <c r="J567" s="92">
        <v>42592.470833333333</v>
      </c>
      <c r="K567" s="92">
        <v>42579.501712962963</v>
      </c>
      <c r="L567" s="92">
        <f>IF(AND(单词表[[#This Row],[学英]]&lt;&gt;"",单词表[[#This Row],[学中]]&lt;&gt;"",单词表[[#This Row],[学词]]&lt;&gt;""),MAX(单词表[[#This Row],[学英]:[学词]]),"")</f>
        <v>42579.632210648146</v>
      </c>
      <c r="M567" s="2">
        <f>IF(AND(单词表[[#This Row],[考英]]&lt;&gt;"",单词表[[#This Row],[考中]]&lt;&gt;""),MAX(单词表[[#This Row],[考英]:[考中]]),"")</f>
        <v>42592.470833333333</v>
      </c>
      <c r="N567" s="33"/>
      <c r="P567" s="32"/>
    </row>
    <row r="568" spans="1:16" hidden="1" x14ac:dyDescent="0.15">
      <c r="A568">
        <v>568</v>
      </c>
      <c r="B568" t="s">
        <v>445</v>
      </c>
      <c r="C568" t="s">
        <v>918</v>
      </c>
      <c r="D568" s="72" t="s">
        <v>193</v>
      </c>
      <c r="E568" t="s">
        <v>61</v>
      </c>
      <c r="F568" t="s">
        <v>953</v>
      </c>
      <c r="G568" s="92">
        <v>42579.488842592589</v>
      </c>
      <c r="H568" s="92">
        <v>42579.488854166666</v>
      </c>
      <c r="I568" s="92">
        <v>42579.488842592589</v>
      </c>
      <c r="J568" s="92">
        <v>42592.470891203702</v>
      </c>
      <c r="K568" s="92">
        <v>42579.501747685186</v>
      </c>
      <c r="L568" s="92">
        <f>IF(AND(单词表[[#This Row],[学英]]&lt;&gt;"",单词表[[#This Row],[学中]]&lt;&gt;"",单词表[[#This Row],[学词]]&lt;&gt;""),MAX(单词表[[#This Row],[学英]:[学词]]),"")</f>
        <v>42579.488854166666</v>
      </c>
      <c r="M568" s="2">
        <f>IF(AND(单词表[[#This Row],[考英]]&lt;&gt;"",单词表[[#This Row],[考中]]&lt;&gt;""),MAX(单词表[[#This Row],[考英]:[考中]]),"")</f>
        <v>42592.470891203702</v>
      </c>
      <c r="N568" s="33"/>
      <c r="P568" s="32"/>
    </row>
    <row r="569" spans="1:16" hidden="1" x14ac:dyDescent="0.15">
      <c r="A569">
        <v>569</v>
      </c>
      <c r="B569" t="s">
        <v>445</v>
      </c>
      <c r="C569" t="s">
        <v>918</v>
      </c>
      <c r="D569" s="72" t="s">
        <v>954</v>
      </c>
      <c r="E569" t="s">
        <v>36</v>
      </c>
      <c r="F569" t="s">
        <v>955</v>
      </c>
      <c r="G569" s="92">
        <v>42579.484305555554</v>
      </c>
      <c r="H569" s="92">
        <v>42579.484317129631</v>
      </c>
      <c r="I569" s="92">
        <v>42579.484305555554</v>
      </c>
      <c r="J569" s="92">
        <v>42592.470995370371</v>
      </c>
      <c r="K569" s="92">
        <v>42579.501805555556</v>
      </c>
      <c r="L569" s="92">
        <f>IF(AND(单词表[[#This Row],[学英]]&lt;&gt;"",单词表[[#This Row],[学中]]&lt;&gt;"",单词表[[#This Row],[学词]]&lt;&gt;""),MAX(单词表[[#This Row],[学英]:[学词]]),"")</f>
        <v>42579.484317129631</v>
      </c>
      <c r="M569" s="2">
        <f>IF(AND(单词表[[#This Row],[考英]]&lt;&gt;"",单词表[[#This Row],[考中]]&lt;&gt;""),MAX(单词表[[#This Row],[考英]:[考中]]),"")</f>
        <v>42592.470995370371</v>
      </c>
      <c r="N569" s="33"/>
      <c r="P569" s="32"/>
    </row>
    <row r="570" spans="1:16" hidden="1" x14ac:dyDescent="0.15">
      <c r="A570">
        <v>570</v>
      </c>
      <c r="B570" t="s">
        <v>445</v>
      </c>
      <c r="C570" t="s">
        <v>918</v>
      </c>
      <c r="D570" s="72" t="s">
        <v>956</v>
      </c>
      <c r="E570" t="s">
        <v>73</v>
      </c>
      <c r="F570" t="s">
        <v>957</v>
      </c>
      <c r="G570" s="92">
        <v>42579.489930555559</v>
      </c>
      <c r="H570" s="92">
        <v>42579.489942129629</v>
      </c>
      <c r="I570" s="92">
        <v>42579.489942129629</v>
      </c>
      <c r="J570" s="92">
        <v>42592.47115740741</v>
      </c>
      <c r="K570" s="92">
        <v>42579.501921296294</v>
      </c>
      <c r="L570" s="92">
        <f>IF(AND(单词表[[#This Row],[学英]]&lt;&gt;"",单词表[[#This Row],[学中]]&lt;&gt;"",单词表[[#This Row],[学词]]&lt;&gt;""),MAX(单词表[[#This Row],[学英]:[学词]]),"")</f>
        <v>42579.489942129629</v>
      </c>
      <c r="M570" s="2">
        <f>IF(AND(单词表[[#This Row],[考英]]&lt;&gt;"",单词表[[#This Row],[考中]]&lt;&gt;""),MAX(单词表[[#This Row],[考英]:[考中]]),"")</f>
        <v>42592.47115740741</v>
      </c>
      <c r="N570" s="33"/>
      <c r="P570" s="32"/>
    </row>
    <row r="571" spans="1:16" hidden="1" x14ac:dyDescent="0.15">
      <c r="A571">
        <v>571</v>
      </c>
      <c r="B571" t="s">
        <v>445</v>
      </c>
      <c r="C571" t="s">
        <v>918</v>
      </c>
      <c r="D571" s="72" t="s">
        <v>549</v>
      </c>
      <c r="E571" t="s">
        <v>36</v>
      </c>
      <c r="F571" t="s">
        <v>958</v>
      </c>
      <c r="G571" s="92">
        <v>42592.479212962964</v>
      </c>
      <c r="H571" s="92">
        <v>42579.631562499999</v>
      </c>
      <c r="I571" s="92">
        <v>42579.631562499999</v>
      </c>
      <c r="J571" s="92">
        <v>42592.491064814814</v>
      </c>
      <c r="K571" s="92">
        <v>42579.631712962961</v>
      </c>
      <c r="L571" s="92">
        <f>IF(AND(单词表[[#This Row],[学英]]&lt;&gt;"",单词表[[#This Row],[学中]]&lt;&gt;"",单词表[[#This Row],[学词]]&lt;&gt;""),MAX(单词表[[#This Row],[学英]:[学词]]),"")</f>
        <v>42592.479212962964</v>
      </c>
      <c r="M571" s="2">
        <f>IF(AND(单词表[[#This Row],[考英]]&lt;&gt;"",单词表[[#This Row],[考中]]&lt;&gt;""),MAX(单词表[[#This Row],[考英]:[考中]]),"")</f>
        <v>42592.491064814814</v>
      </c>
      <c r="N571" s="33"/>
      <c r="P571" s="32"/>
    </row>
    <row r="572" spans="1:16" hidden="1" x14ac:dyDescent="0.15">
      <c r="A572">
        <v>572</v>
      </c>
      <c r="B572" t="s">
        <v>445</v>
      </c>
      <c r="C572" t="s">
        <v>918</v>
      </c>
      <c r="D572" s="72" t="s">
        <v>570</v>
      </c>
      <c r="E572" t="s">
        <v>61</v>
      </c>
      <c r="F572" t="s">
        <v>3293</v>
      </c>
      <c r="G572" s="92">
        <v>42579.489618055559</v>
      </c>
      <c r="H572" s="92">
        <v>42579.62054398148</v>
      </c>
      <c r="I572" s="92">
        <v>42579.62054398148</v>
      </c>
      <c r="J572" s="92">
        <v>42592.471921296295</v>
      </c>
      <c r="K572" s="92">
        <v>42579.631319444445</v>
      </c>
      <c r="L572" s="92">
        <f>IF(AND(单词表[[#This Row],[学英]]&lt;&gt;"",单词表[[#This Row],[学中]]&lt;&gt;"",单词表[[#This Row],[学词]]&lt;&gt;""),MAX(单词表[[#This Row],[学英]:[学词]]),"")</f>
        <v>42579.62054398148</v>
      </c>
      <c r="M572" s="2">
        <f>IF(AND(单词表[[#This Row],[考英]]&lt;&gt;"",单词表[[#This Row],[考中]]&lt;&gt;""),MAX(单词表[[#This Row],[考英]:[考中]]),"")</f>
        <v>42592.471921296295</v>
      </c>
      <c r="N572" s="33"/>
      <c r="P572" s="32"/>
    </row>
    <row r="573" spans="1:16" hidden="1" x14ac:dyDescent="0.15">
      <c r="A573">
        <v>573</v>
      </c>
      <c r="B573" t="s">
        <v>445</v>
      </c>
      <c r="C573" t="s">
        <v>918</v>
      </c>
      <c r="D573" s="72" t="s">
        <v>959</v>
      </c>
      <c r="E573" t="s">
        <v>61</v>
      </c>
      <c r="F573" t="s">
        <v>960</v>
      </c>
      <c r="G573" s="92">
        <v>42579.490729166668</v>
      </c>
      <c r="H573" s="92">
        <v>42579.490752314814</v>
      </c>
      <c r="I573" s="92">
        <v>42579.490740740737</v>
      </c>
      <c r="J573" s="92">
        <v>42592.472025462965</v>
      </c>
      <c r="K573" s="92">
        <v>42579.502349537041</v>
      </c>
      <c r="L573" s="92">
        <f>IF(AND(单词表[[#This Row],[学英]]&lt;&gt;"",单词表[[#This Row],[学中]]&lt;&gt;"",单词表[[#This Row],[学词]]&lt;&gt;""),MAX(单词表[[#This Row],[学英]:[学词]]),"")</f>
        <v>42579.490752314814</v>
      </c>
      <c r="M573" s="2">
        <f>IF(AND(单词表[[#This Row],[考英]]&lt;&gt;"",单词表[[#This Row],[考中]]&lt;&gt;""),MAX(单词表[[#This Row],[考英]:[考中]]),"")</f>
        <v>42592.472025462965</v>
      </c>
      <c r="N573" s="33"/>
      <c r="P573" s="32"/>
    </row>
    <row r="574" spans="1:16" hidden="1" x14ac:dyDescent="0.15">
      <c r="A574">
        <v>574</v>
      </c>
      <c r="B574" t="s">
        <v>445</v>
      </c>
      <c r="C574" t="s">
        <v>918</v>
      </c>
      <c r="D574" s="72" t="s">
        <v>961</v>
      </c>
      <c r="E574" t="s">
        <v>61</v>
      </c>
      <c r="F574" t="s">
        <v>962</v>
      </c>
      <c r="G574" s="92">
        <v>42579.49077546296</v>
      </c>
      <c r="H574" s="92">
        <v>42579.490787037037</v>
      </c>
      <c r="I574" s="92">
        <v>42579.490787037037</v>
      </c>
      <c r="J574" s="92">
        <v>42592.472187500003</v>
      </c>
      <c r="K574" s="92">
        <v>42579.502395833333</v>
      </c>
      <c r="L574" s="92">
        <f>IF(AND(单词表[[#This Row],[学英]]&lt;&gt;"",单词表[[#This Row],[学中]]&lt;&gt;"",单词表[[#This Row],[学词]]&lt;&gt;""),MAX(单词表[[#This Row],[学英]:[学词]]),"")</f>
        <v>42579.490787037037</v>
      </c>
      <c r="M574" s="2">
        <f>IF(AND(单词表[[#This Row],[考英]]&lt;&gt;"",单词表[[#This Row],[考中]]&lt;&gt;""),MAX(单词表[[#This Row],[考英]:[考中]]),"")</f>
        <v>42592.472187500003</v>
      </c>
      <c r="N574" s="33"/>
      <c r="P574" s="32"/>
    </row>
    <row r="575" spans="1:16" hidden="1" x14ac:dyDescent="0.15">
      <c r="A575">
        <v>575</v>
      </c>
      <c r="B575" t="s">
        <v>445</v>
      </c>
      <c r="C575" t="s">
        <v>918</v>
      </c>
      <c r="D575" s="72" t="s">
        <v>963</v>
      </c>
      <c r="E575" t="s">
        <v>61</v>
      </c>
      <c r="F575" t="s">
        <v>1260</v>
      </c>
      <c r="G575" s="92">
        <v>42579.490810185183</v>
      </c>
      <c r="H575" s="92">
        <v>42579.49082175926</v>
      </c>
      <c r="I575" s="92">
        <v>42579.49082175926</v>
      </c>
      <c r="J575" s="92">
        <v>42592.472280092596</v>
      </c>
      <c r="K575" s="92">
        <v>42579.502465277779</v>
      </c>
      <c r="L575" s="92">
        <f>IF(AND(单词表[[#This Row],[学英]]&lt;&gt;"",单词表[[#This Row],[学中]]&lt;&gt;"",单词表[[#This Row],[学词]]&lt;&gt;""),MAX(单词表[[#This Row],[学英]:[学词]]),"")</f>
        <v>42579.49082175926</v>
      </c>
      <c r="M575" s="2">
        <f>IF(AND(单词表[[#This Row],[考英]]&lt;&gt;"",单词表[[#This Row],[考中]]&lt;&gt;""),MAX(单词表[[#This Row],[考英]:[考中]]),"")</f>
        <v>42592.472280092596</v>
      </c>
      <c r="N575" s="33"/>
      <c r="P575" s="32"/>
    </row>
    <row r="576" spans="1:16" hidden="1" x14ac:dyDescent="0.15">
      <c r="A576">
        <v>576</v>
      </c>
      <c r="B576" t="s">
        <v>445</v>
      </c>
      <c r="C576" t="s">
        <v>918</v>
      </c>
      <c r="D576" s="72" t="s">
        <v>963</v>
      </c>
      <c r="E576" t="s">
        <v>36</v>
      </c>
      <c r="F576" t="s">
        <v>1261</v>
      </c>
      <c r="G576" s="92">
        <v>42579.490844907406</v>
      </c>
      <c r="H576" s="92">
        <v>42579.490868055553</v>
      </c>
      <c r="I576" s="92">
        <v>42579.490844907406</v>
      </c>
      <c r="J576" s="92">
        <v>42592.472314814811</v>
      </c>
      <c r="K576" s="92">
        <v>42579.502488425926</v>
      </c>
      <c r="L576" s="92">
        <f>IF(AND(单词表[[#This Row],[学英]]&lt;&gt;"",单词表[[#This Row],[学中]]&lt;&gt;"",单词表[[#This Row],[学词]]&lt;&gt;""),MAX(单词表[[#This Row],[学英]:[学词]]),"")</f>
        <v>42579.490868055553</v>
      </c>
      <c r="M576" s="2">
        <f>IF(AND(单词表[[#This Row],[考英]]&lt;&gt;"",单词表[[#This Row],[考中]]&lt;&gt;""),MAX(单词表[[#This Row],[考英]:[考中]]),"")</f>
        <v>42592.472314814811</v>
      </c>
      <c r="N576" s="33"/>
      <c r="P576" s="32"/>
    </row>
    <row r="577" spans="1:16" hidden="1" x14ac:dyDescent="0.15">
      <c r="A577">
        <v>577</v>
      </c>
      <c r="B577" t="s">
        <v>445</v>
      </c>
      <c r="C577" t="s">
        <v>918</v>
      </c>
      <c r="D577" s="72" t="s">
        <v>964</v>
      </c>
      <c r="E577" t="s">
        <v>736</v>
      </c>
      <c r="F577" t="s">
        <v>965</v>
      </c>
      <c r="G577" s="92">
        <v>42579.490891203706</v>
      </c>
      <c r="H577" s="92">
        <v>42579.490902777776</v>
      </c>
      <c r="I577" s="92">
        <v>42579.490902777776</v>
      </c>
      <c r="J577" s="92">
        <v>42592.472430555557</v>
      </c>
      <c r="K577" s="92">
        <v>42579.502557870372</v>
      </c>
      <c r="L577" s="92">
        <f>IF(AND(单词表[[#This Row],[学英]]&lt;&gt;"",单词表[[#This Row],[学中]]&lt;&gt;"",单词表[[#This Row],[学词]]&lt;&gt;""),MAX(单词表[[#This Row],[学英]:[学词]]),"")</f>
        <v>42579.490902777776</v>
      </c>
      <c r="M577" s="2">
        <f>IF(AND(单词表[[#This Row],[考英]]&lt;&gt;"",单词表[[#This Row],[考中]]&lt;&gt;""),MAX(单词表[[#This Row],[考英]:[考中]]),"")</f>
        <v>42592.472430555557</v>
      </c>
      <c r="N577" s="33"/>
      <c r="P577" s="32"/>
    </row>
    <row r="578" spans="1:16" hidden="1" x14ac:dyDescent="0.15">
      <c r="A578">
        <v>578</v>
      </c>
      <c r="B578" t="s">
        <v>445</v>
      </c>
      <c r="C578" t="s">
        <v>918</v>
      </c>
      <c r="D578" s="72" t="s">
        <v>966</v>
      </c>
      <c r="E578" t="s">
        <v>61</v>
      </c>
      <c r="F578" t="s">
        <v>1262</v>
      </c>
      <c r="G578" s="92">
        <v>42579.490937499999</v>
      </c>
      <c r="H578" s="92">
        <v>42579.490960648145</v>
      </c>
      <c r="I578" s="92">
        <v>42579.490949074076</v>
      </c>
      <c r="J578" s="92">
        <v>42592.472500000003</v>
      </c>
      <c r="K578" s="92">
        <v>42579.502604166664</v>
      </c>
      <c r="L578" s="92">
        <f>IF(AND(单词表[[#This Row],[学英]]&lt;&gt;"",单词表[[#This Row],[学中]]&lt;&gt;"",单词表[[#This Row],[学词]]&lt;&gt;""),MAX(单词表[[#This Row],[学英]:[学词]]),"")</f>
        <v>42579.490960648145</v>
      </c>
      <c r="M578" s="2">
        <f>IF(AND(单词表[[#This Row],[考英]]&lt;&gt;"",单词表[[#This Row],[考中]]&lt;&gt;""),MAX(单词表[[#This Row],[考英]:[考中]]),"")</f>
        <v>42592.472500000003</v>
      </c>
      <c r="N578" s="33"/>
      <c r="P578" s="32"/>
    </row>
    <row r="579" spans="1:16" hidden="1" x14ac:dyDescent="0.15">
      <c r="A579">
        <v>579</v>
      </c>
      <c r="B579" t="s">
        <v>445</v>
      </c>
      <c r="C579" t="s">
        <v>967</v>
      </c>
      <c r="D579" s="72" t="s">
        <v>966</v>
      </c>
      <c r="E579" t="s">
        <v>36</v>
      </c>
      <c r="F579" t="s">
        <v>1263</v>
      </c>
      <c r="G579" s="92">
        <v>42580.390347222223</v>
      </c>
      <c r="H579" s="92">
        <v>42580.390370370369</v>
      </c>
      <c r="I579" s="92">
        <v>42580.3903587963</v>
      </c>
      <c r="J579" s="92">
        <v>42580.458148148151</v>
      </c>
      <c r="K579" s="92">
        <v>42580.462708333333</v>
      </c>
      <c r="L579" s="92">
        <f>IF(AND(单词表[[#This Row],[学英]]&lt;&gt;"",单词表[[#This Row],[学中]]&lt;&gt;"",单词表[[#This Row],[学词]]&lt;&gt;""),MAX(单词表[[#This Row],[学英]:[学词]]),"")</f>
        <v>42580.390370370369</v>
      </c>
      <c r="M579" s="2">
        <f>IF(AND(单词表[[#This Row],[考英]]&lt;&gt;"",单词表[[#This Row],[考中]]&lt;&gt;""),MAX(单词表[[#This Row],[考英]:[考中]]),"")</f>
        <v>42580.462708333333</v>
      </c>
      <c r="N579" s="33"/>
      <c r="P579" s="32"/>
    </row>
    <row r="580" spans="1:16" hidden="1" x14ac:dyDescent="0.15">
      <c r="A580">
        <v>580</v>
      </c>
      <c r="B580" t="s">
        <v>445</v>
      </c>
      <c r="C580" t="s">
        <v>967</v>
      </c>
      <c r="D580" s="72" t="s">
        <v>968</v>
      </c>
      <c r="E580" t="s">
        <v>73</v>
      </c>
      <c r="F580" t="s">
        <v>5501</v>
      </c>
      <c r="G580" s="92">
        <v>42580.390486111108</v>
      </c>
      <c r="H580" s="92">
        <v>42580.390509259261</v>
      </c>
      <c r="I580" s="92">
        <v>42580.390497685185</v>
      </c>
      <c r="J580" s="92">
        <v>42580.458287037036</v>
      </c>
      <c r="K580" s="92">
        <v>42580.462743055556</v>
      </c>
      <c r="L580" s="92">
        <f>IF(AND(单词表[[#This Row],[学英]]&lt;&gt;"",单词表[[#This Row],[学中]]&lt;&gt;"",单词表[[#This Row],[学词]]&lt;&gt;""),MAX(单词表[[#This Row],[学英]:[学词]]),"")</f>
        <v>42580.390509259261</v>
      </c>
      <c r="M580" s="2">
        <f>IF(AND(单词表[[#This Row],[考英]]&lt;&gt;"",单词表[[#This Row],[考中]]&lt;&gt;""),MAX(单词表[[#This Row],[考英]:[考中]]),"")</f>
        <v>42580.462743055556</v>
      </c>
      <c r="N580" s="33"/>
      <c r="P580" s="32"/>
    </row>
    <row r="581" spans="1:16" hidden="1" x14ac:dyDescent="0.15">
      <c r="A581">
        <v>581</v>
      </c>
      <c r="B581" t="s">
        <v>445</v>
      </c>
      <c r="C581" t="s">
        <v>967</v>
      </c>
      <c r="D581" s="72" t="s">
        <v>969</v>
      </c>
      <c r="E581" t="s">
        <v>73</v>
      </c>
      <c r="F581" t="s">
        <v>970</v>
      </c>
      <c r="G581" s="92">
        <v>42580.390532407408</v>
      </c>
      <c r="H581" s="92">
        <v>42580.390543981484</v>
      </c>
      <c r="I581" s="92">
        <v>42580.390532407408</v>
      </c>
      <c r="J581" s="92">
        <v>42580.458449074074</v>
      </c>
      <c r="K581" s="92">
        <v>42580.462800925925</v>
      </c>
      <c r="L581" s="92">
        <f>IF(AND(单词表[[#This Row],[学英]]&lt;&gt;"",单词表[[#This Row],[学中]]&lt;&gt;"",单词表[[#This Row],[学词]]&lt;&gt;""),MAX(单词表[[#This Row],[学英]:[学词]]),"")</f>
        <v>42580.390543981484</v>
      </c>
      <c r="M581" s="2">
        <f>IF(AND(单词表[[#This Row],[考英]]&lt;&gt;"",单词表[[#This Row],[考中]]&lt;&gt;""),MAX(单词表[[#This Row],[考英]:[考中]]),"")</f>
        <v>42580.462800925925</v>
      </c>
      <c r="N581" s="33"/>
      <c r="P581" s="32"/>
    </row>
    <row r="582" spans="1:16" hidden="1" x14ac:dyDescent="0.15">
      <c r="A582">
        <v>582</v>
      </c>
      <c r="B582" t="s">
        <v>445</v>
      </c>
      <c r="C582" t="s">
        <v>967</v>
      </c>
      <c r="D582" s="72" t="s">
        <v>971</v>
      </c>
      <c r="E582" t="s">
        <v>736</v>
      </c>
      <c r="F582" t="s">
        <v>972</v>
      </c>
      <c r="G582" s="92">
        <v>42580.390601851854</v>
      </c>
      <c r="H582" s="92">
        <v>42580.390613425923</v>
      </c>
      <c r="I582" s="92">
        <v>42580.390601851854</v>
      </c>
      <c r="J582" s="92">
        <v>42580.458564814813</v>
      </c>
      <c r="K582" s="92">
        <v>42580.462870370371</v>
      </c>
      <c r="L582" s="92">
        <f>IF(AND(单词表[[#This Row],[学英]]&lt;&gt;"",单词表[[#This Row],[学中]]&lt;&gt;"",单词表[[#This Row],[学词]]&lt;&gt;""),MAX(单词表[[#This Row],[学英]:[学词]]),"")</f>
        <v>42580.390613425923</v>
      </c>
      <c r="M582" s="2">
        <f>IF(AND(单词表[[#This Row],[考英]]&lt;&gt;"",单词表[[#This Row],[考中]]&lt;&gt;""),MAX(单词表[[#This Row],[考英]:[考中]]),"")</f>
        <v>42580.462870370371</v>
      </c>
      <c r="N582" s="33"/>
      <c r="P582" s="32"/>
    </row>
    <row r="583" spans="1:16" hidden="1" x14ac:dyDescent="0.15">
      <c r="A583">
        <v>583</v>
      </c>
      <c r="B583" t="s">
        <v>445</v>
      </c>
      <c r="C583" t="s">
        <v>967</v>
      </c>
      <c r="D583" s="72" t="s">
        <v>973</v>
      </c>
      <c r="E583" t="s">
        <v>736</v>
      </c>
      <c r="F583" t="s">
        <v>974</v>
      </c>
      <c r="G583" s="92">
        <v>42580.3906712963</v>
      </c>
      <c r="H583" s="92">
        <v>42580.390682870369</v>
      </c>
      <c r="I583" s="92">
        <v>42580.3906712963</v>
      </c>
      <c r="J583" s="92">
        <v>42580.458703703705</v>
      </c>
      <c r="K583" s="92">
        <v>42580.462916666664</v>
      </c>
      <c r="L583" s="92">
        <f>IF(AND(单词表[[#This Row],[学英]]&lt;&gt;"",单词表[[#This Row],[学中]]&lt;&gt;"",单词表[[#This Row],[学词]]&lt;&gt;""),MAX(单词表[[#This Row],[学英]:[学词]]),"")</f>
        <v>42580.390682870369</v>
      </c>
      <c r="M583" s="2">
        <f>IF(AND(单词表[[#This Row],[考英]]&lt;&gt;"",单词表[[#This Row],[考中]]&lt;&gt;""),MAX(单词表[[#This Row],[考英]:[考中]]),"")</f>
        <v>42580.462916666664</v>
      </c>
      <c r="N583" s="33"/>
      <c r="P583" s="32"/>
    </row>
    <row r="584" spans="1:16" hidden="1" x14ac:dyDescent="0.15">
      <c r="A584">
        <v>584</v>
      </c>
      <c r="B584" t="s">
        <v>445</v>
      </c>
      <c r="C584" t="s">
        <v>967</v>
      </c>
      <c r="D584" s="72" t="s">
        <v>975</v>
      </c>
      <c r="E584" t="s">
        <v>736</v>
      </c>
      <c r="F584" t="s">
        <v>976</v>
      </c>
      <c r="G584" s="92">
        <v>42587.43241898148</v>
      </c>
      <c r="H584" s="92">
        <v>42580.390729166669</v>
      </c>
      <c r="I584" s="92">
        <v>42580.390717592592</v>
      </c>
      <c r="J584" s="92">
        <v>42587.434479166666</v>
      </c>
      <c r="K584" s="92">
        <v>42580.462962962964</v>
      </c>
      <c r="L584" s="92">
        <f>IF(AND(单词表[[#This Row],[学英]]&lt;&gt;"",单词表[[#This Row],[学中]]&lt;&gt;"",单词表[[#This Row],[学词]]&lt;&gt;""),MAX(单词表[[#This Row],[学英]:[学词]]),"")</f>
        <v>42587.43241898148</v>
      </c>
      <c r="M584" s="2">
        <f>IF(AND(单词表[[#This Row],[考英]]&lt;&gt;"",单词表[[#This Row],[考中]]&lt;&gt;""),MAX(单词表[[#This Row],[考英]:[考中]]),"")</f>
        <v>42587.434479166666</v>
      </c>
      <c r="N584" s="33"/>
      <c r="P584" s="32"/>
    </row>
    <row r="585" spans="1:16" hidden="1" x14ac:dyDescent="0.15">
      <c r="A585">
        <v>585</v>
      </c>
      <c r="B585" t="s">
        <v>445</v>
      </c>
      <c r="C585" t="s">
        <v>967</v>
      </c>
      <c r="D585" s="72" t="s">
        <v>977</v>
      </c>
      <c r="E585" t="s">
        <v>736</v>
      </c>
      <c r="F585" t="s">
        <v>978</v>
      </c>
      <c r="G585" s="92">
        <v>42587.432453703703</v>
      </c>
      <c r="H585" s="92">
        <v>42580.390763888892</v>
      </c>
      <c r="I585" s="92">
        <v>42580.390763888892</v>
      </c>
      <c r="J585" s="92">
        <v>42587.434583333335</v>
      </c>
      <c r="K585" s="92">
        <v>42580.463009259256</v>
      </c>
      <c r="L585" s="92">
        <f>IF(AND(单词表[[#This Row],[学英]]&lt;&gt;"",单词表[[#This Row],[学中]]&lt;&gt;"",单词表[[#This Row],[学词]]&lt;&gt;""),MAX(单词表[[#This Row],[学英]:[学词]]),"")</f>
        <v>42587.432453703703</v>
      </c>
      <c r="M585" s="2">
        <f>IF(AND(单词表[[#This Row],[考英]]&lt;&gt;"",单词表[[#This Row],[考中]]&lt;&gt;""),MAX(单词表[[#This Row],[考英]:[考中]]),"")</f>
        <v>42587.434583333335</v>
      </c>
      <c r="N585" s="33"/>
      <c r="P585" s="32"/>
    </row>
    <row r="586" spans="1:16" hidden="1" x14ac:dyDescent="0.15">
      <c r="A586">
        <v>586</v>
      </c>
      <c r="B586" t="s">
        <v>445</v>
      </c>
      <c r="C586" t="s">
        <v>967</v>
      </c>
      <c r="D586" s="72" t="s">
        <v>979</v>
      </c>
      <c r="E586" t="s">
        <v>736</v>
      </c>
      <c r="F586" t="s">
        <v>3298</v>
      </c>
      <c r="G586" s="92">
        <v>42580.394201388888</v>
      </c>
      <c r="H586" s="92">
        <v>42580.394212962965</v>
      </c>
      <c r="I586" s="92">
        <v>42580.394212962965</v>
      </c>
      <c r="J586" s="92">
        <v>42580.459085648145</v>
      </c>
      <c r="K586" s="92">
        <v>42580.463055555556</v>
      </c>
      <c r="L586" s="92">
        <f>IF(AND(单词表[[#This Row],[学英]]&lt;&gt;"",单词表[[#This Row],[学中]]&lt;&gt;"",单词表[[#This Row],[学词]]&lt;&gt;""),MAX(单词表[[#This Row],[学英]:[学词]]),"")</f>
        <v>42580.394212962965</v>
      </c>
      <c r="M586" s="2">
        <f>IF(AND(单词表[[#This Row],[考英]]&lt;&gt;"",单词表[[#This Row],[考中]]&lt;&gt;""),MAX(单词表[[#This Row],[考英]:[考中]]),"")</f>
        <v>42580.463055555556</v>
      </c>
      <c r="N586" s="33"/>
      <c r="P586" s="32"/>
    </row>
    <row r="587" spans="1:16" hidden="1" x14ac:dyDescent="0.15">
      <c r="A587">
        <v>587</v>
      </c>
      <c r="B587" t="s">
        <v>445</v>
      </c>
      <c r="C587" t="s">
        <v>967</v>
      </c>
      <c r="D587" s="72" t="s">
        <v>980</v>
      </c>
      <c r="E587" t="s">
        <v>73</v>
      </c>
      <c r="F587" t="s">
        <v>981</v>
      </c>
      <c r="G587" s="92">
        <v>42580.451157407406</v>
      </c>
      <c r="H587" s="92">
        <v>42580.451168981483</v>
      </c>
      <c r="I587" s="92">
        <v>42580.451157407406</v>
      </c>
      <c r="J587" s="92">
        <v>42580.45952546296</v>
      </c>
      <c r="K587" s="92">
        <v>42580.463101851848</v>
      </c>
      <c r="L587" s="92">
        <f>IF(AND(单词表[[#This Row],[学英]]&lt;&gt;"",单词表[[#This Row],[学中]]&lt;&gt;"",单词表[[#This Row],[学词]]&lt;&gt;""),MAX(单词表[[#This Row],[学英]:[学词]]),"")</f>
        <v>42580.451168981483</v>
      </c>
      <c r="M587" s="2">
        <f>IF(AND(单词表[[#This Row],[考英]]&lt;&gt;"",单词表[[#This Row],[考中]]&lt;&gt;""),MAX(单词表[[#This Row],[考英]:[考中]]),"")</f>
        <v>42580.463101851848</v>
      </c>
      <c r="N587" s="33"/>
      <c r="P587" s="32"/>
    </row>
    <row r="588" spans="1:16" hidden="1" x14ac:dyDescent="0.15">
      <c r="A588">
        <v>588</v>
      </c>
      <c r="B588" t="s">
        <v>445</v>
      </c>
      <c r="C588" t="s">
        <v>967</v>
      </c>
      <c r="D588" s="72" t="s">
        <v>982</v>
      </c>
      <c r="E588" t="s">
        <v>73</v>
      </c>
      <c r="F588" t="s">
        <v>983</v>
      </c>
      <c r="G588" s="92">
        <v>42587.430578703701</v>
      </c>
      <c r="H588" s="92">
        <v>42580.451215277775</v>
      </c>
      <c r="I588" s="92">
        <v>42580.451203703706</v>
      </c>
      <c r="J588" s="92">
        <v>42587.431493055556</v>
      </c>
      <c r="K588" s="92">
        <v>42580.463159722225</v>
      </c>
      <c r="L588" s="92">
        <f>IF(AND(单词表[[#This Row],[学英]]&lt;&gt;"",单词表[[#This Row],[学中]]&lt;&gt;"",单词表[[#This Row],[学词]]&lt;&gt;""),MAX(单词表[[#This Row],[学英]:[学词]]),"")</f>
        <v>42587.430578703701</v>
      </c>
      <c r="M588" s="2">
        <f>IF(AND(单词表[[#This Row],[考英]]&lt;&gt;"",单词表[[#This Row],[考中]]&lt;&gt;""),MAX(单词表[[#This Row],[考英]:[考中]]),"")</f>
        <v>42587.431493055556</v>
      </c>
      <c r="N588" s="33"/>
      <c r="P588" s="32"/>
    </row>
    <row r="589" spans="1:16" hidden="1" x14ac:dyDescent="0.15">
      <c r="A589">
        <v>589</v>
      </c>
      <c r="B589" t="s">
        <v>445</v>
      </c>
      <c r="C589" t="s">
        <v>967</v>
      </c>
      <c r="D589" s="72" t="s">
        <v>984</v>
      </c>
      <c r="E589" t="s">
        <v>36</v>
      </c>
      <c r="F589" t="s">
        <v>985</v>
      </c>
      <c r="G589" s="92">
        <v>42580.449328703704</v>
      </c>
      <c r="H589" s="92">
        <v>42580.449340277781</v>
      </c>
      <c r="I589" s="92">
        <v>42580.449340277781</v>
      </c>
      <c r="J589" s="92">
        <v>42580.459687499999</v>
      </c>
      <c r="K589" s="92">
        <v>42580.463206018518</v>
      </c>
      <c r="L589" s="92">
        <f>IF(AND(单词表[[#This Row],[学英]]&lt;&gt;"",单词表[[#This Row],[学中]]&lt;&gt;"",单词表[[#This Row],[学词]]&lt;&gt;""),MAX(单词表[[#This Row],[学英]:[学词]]),"")</f>
        <v>42580.449340277781</v>
      </c>
      <c r="M589" s="2">
        <f>IF(AND(单词表[[#This Row],[考英]]&lt;&gt;"",单词表[[#This Row],[考中]]&lt;&gt;""),MAX(单词表[[#This Row],[考英]:[考中]]),"")</f>
        <v>42580.463206018518</v>
      </c>
      <c r="N589" s="33"/>
      <c r="P589" s="32"/>
    </row>
    <row r="590" spans="1:16" hidden="1" x14ac:dyDescent="0.15">
      <c r="A590">
        <v>590</v>
      </c>
      <c r="B590" t="s">
        <v>445</v>
      </c>
      <c r="C590" t="s">
        <v>967</v>
      </c>
      <c r="D590" s="72" t="s">
        <v>986</v>
      </c>
      <c r="E590" t="s">
        <v>73</v>
      </c>
      <c r="F590" t="s">
        <v>987</v>
      </c>
      <c r="G590" s="92">
        <v>42580.454479166663</v>
      </c>
      <c r="H590" s="92">
        <v>42580.454479166663</v>
      </c>
      <c r="I590" s="92">
        <v>42580.454479166663</v>
      </c>
      <c r="J590" s="92">
        <v>42580.459953703707</v>
      </c>
      <c r="K590" s="92">
        <v>42580.463275462964</v>
      </c>
      <c r="L590" s="92">
        <f>IF(AND(单词表[[#This Row],[学英]]&lt;&gt;"",单词表[[#This Row],[学中]]&lt;&gt;"",单词表[[#This Row],[学词]]&lt;&gt;""),MAX(单词表[[#This Row],[学英]:[学词]]),"")</f>
        <v>42580.454479166663</v>
      </c>
      <c r="M590" s="2">
        <f>IF(AND(单词表[[#This Row],[考英]]&lt;&gt;"",单词表[[#This Row],[考中]]&lt;&gt;""),MAX(单词表[[#This Row],[考英]:[考中]]),"")</f>
        <v>42580.463275462964</v>
      </c>
      <c r="N590" s="33"/>
      <c r="P590" s="32"/>
    </row>
    <row r="591" spans="1:16" hidden="1" x14ac:dyDescent="0.15">
      <c r="A591">
        <v>591</v>
      </c>
      <c r="B591" t="s">
        <v>445</v>
      </c>
      <c r="C591" t="s">
        <v>967</v>
      </c>
      <c r="D591" s="72" t="s">
        <v>988</v>
      </c>
      <c r="E591" t="s">
        <v>36</v>
      </c>
      <c r="F591" t="s">
        <v>989</v>
      </c>
      <c r="G591" s="92">
        <v>42580.451423611114</v>
      </c>
      <c r="H591" s="92">
        <v>42580.451435185183</v>
      </c>
      <c r="I591" s="92">
        <v>42580.451435185183</v>
      </c>
      <c r="J591" s="92">
        <v>42580.460127314815</v>
      </c>
      <c r="K591" s="92">
        <v>42580.463310185187</v>
      </c>
      <c r="L591" s="92">
        <f>IF(AND(单词表[[#This Row],[学英]]&lt;&gt;"",单词表[[#This Row],[学中]]&lt;&gt;"",单词表[[#This Row],[学词]]&lt;&gt;""),MAX(单词表[[#This Row],[学英]:[学词]]),"")</f>
        <v>42580.451435185183</v>
      </c>
      <c r="M591" s="2">
        <f>IF(AND(单词表[[#This Row],[考英]]&lt;&gt;"",单词表[[#This Row],[考中]]&lt;&gt;""),MAX(单词表[[#This Row],[考英]:[考中]]),"")</f>
        <v>42580.463310185187</v>
      </c>
      <c r="N591" s="33"/>
      <c r="P591" s="32"/>
    </row>
    <row r="592" spans="1:16" hidden="1" x14ac:dyDescent="0.15">
      <c r="A592">
        <v>592</v>
      </c>
      <c r="B592" t="s">
        <v>445</v>
      </c>
      <c r="C592" t="s">
        <v>967</v>
      </c>
      <c r="D592" s="72" t="s">
        <v>990</v>
      </c>
      <c r="E592" t="s">
        <v>73</v>
      </c>
      <c r="F592" t="s">
        <v>991</v>
      </c>
      <c r="G592" s="92">
        <v>42587.435115740744</v>
      </c>
      <c r="H592" s="92">
        <v>42580.45553240741</v>
      </c>
      <c r="I592" s="92">
        <v>42580.455509259256</v>
      </c>
      <c r="J592" s="92">
        <v>42587.435381944444</v>
      </c>
      <c r="K592" s="92">
        <v>42580.463368055556</v>
      </c>
      <c r="L592" s="92">
        <f>IF(AND(单词表[[#This Row],[学英]]&lt;&gt;"",单词表[[#This Row],[学中]]&lt;&gt;"",单词表[[#This Row],[学词]]&lt;&gt;""),MAX(单词表[[#This Row],[学英]:[学词]]),"")</f>
        <v>42587.435115740744</v>
      </c>
      <c r="M592" s="2">
        <f>IF(AND(单词表[[#This Row],[考英]]&lt;&gt;"",单词表[[#This Row],[考中]]&lt;&gt;""),MAX(单词表[[#This Row],[考英]:[考中]]),"")</f>
        <v>42587.435381944444</v>
      </c>
      <c r="N592" s="33"/>
      <c r="P592" s="32"/>
    </row>
    <row r="593" spans="1:16" hidden="1" x14ac:dyDescent="0.15">
      <c r="A593">
        <v>593</v>
      </c>
      <c r="B593" t="s">
        <v>445</v>
      </c>
      <c r="C593" t="s">
        <v>967</v>
      </c>
      <c r="D593" s="72" t="s">
        <v>992</v>
      </c>
      <c r="E593" t="s">
        <v>61</v>
      </c>
      <c r="F593" t="s">
        <v>554</v>
      </c>
      <c r="G593" s="92">
        <v>42580.454525462963</v>
      </c>
      <c r="H593" s="92">
        <v>42587.430636574078</v>
      </c>
      <c r="I593" s="92">
        <v>42587.430625000001</v>
      </c>
      <c r="J593" s="92">
        <v>42580.460474537038</v>
      </c>
      <c r="K593" s="92">
        <v>42587.432939814818</v>
      </c>
      <c r="L593" s="92">
        <f>IF(AND(单词表[[#This Row],[学英]]&lt;&gt;"",单词表[[#This Row],[学中]]&lt;&gt;"",单词表[[#This Row],[学词]]&lt;&gt;""),MAX(单词表[[#This Row],[学英]:[学词]]),"")</f>
        <v>42587.430636574078</v>
      </c>
      <c r="M593" s="2">
        <f>IF(AND(单词表[[#This Row],[考英]]&lt;&gt;"",单词表[[#This Row],[考中]]&lt;&gt;""),MAX(单词表[[#This Row],[考英]:[考中]]),"")</f>
        <v>42587.432939814818</v>
      </c>
      <c r="N593" s="33"/>
      <c r="P593" s="32"/>
    </row>
    <row r="594" spans="1:16" hidden="1" x14ac:dyDescent="0.15">
      <c r="A594">
        <v>594</v>
      </c>
      <c r="B594" t="s">
        <v>445</v>
      </c>
      <c r="C594" t="s">
        <v>967</v>
      </c>
      <c r="D594" s="72" t="s">
        <v>3296</v>
      </c>
      <c r="E594" t="s">
        <v>36</v>
      </c>
      <c r="F594" t="s">
        <v>3297</v>
      </c>
      <c r="G594" s="92">
        <v>42580.392407407409</v>
      </c>
      <c r="H594" s="92">
        <v>42580.392430555556</v>
      </c>
      <c r="I594" s="92">
        <v>42580.392418981479</v>
      </c>
      <c r="J594" s="92">
        <v>42580.460509259261</v>
      </c>
      <c r="K594" s="92">
        <v>42580.463506944441</v>
      </c>
      <c r="L594" s="92">
        <f>IF(AND(单词表[[#This Row],[学英]]&lt;&gt;"",单词表[[#This Row],[学中]]&lt;&gt;"",单词表[[#This Row],[学词]]&lt;&gt;""),MAX(单词表[[#This Row],[学英]:[学词]]),"")</f>
        <v>42580.392430555556</v>
      </c>
      <c r="M594" s="2">
        <f>IF(AND(单词表[[#This Row],[考英]]&lt;&gt;"",单词表[[#This Row],[考中]]&lt;&gt;""),MAX(单词表[[#This Row],[考英]:[考中]]),"")</f>
        <v>42580.463506944441</v>
      </c>
      <c r="N594" s="33"/>
      <c r="P594" s="32"/>
    </row>
    <row r="595" spans="1:16" hidden="1" x14ac:dyDescent="0.15">
      <c r="A595">
        <v>595</v>
      </c>
      <c r="B595" t="s">
        <v>445</v>
      </c>
      <c r="C595" t="s">
        <v>967</v>
      </c>
      <c r="D595" s="72" t="s">
        <v>995</v>
      </c>
      <c r="E595" t="s">
        <v>36</v>
      </c>
      <c r="F595" t="s">
        <v>996</v>
      </c>
      <c r="G595" s="92">
        <v>42580.457627314812</v>
      </c>
      <c r="H595" s="92">
        <v>42580.457638888889</v>
      </c>
      <c r="I595" s="92">
        <v>42580.457627314812</v>
      </c>
      <c r="J595" s="92">
        <v>42580.460706018515</v>
      </c>
      <c r="K595" s="92">
        <v>42580.463599537034</v>
      </c>
      <c r="L595" s="92">
        <f>IF(AND(单词表[[#This Row],[学英]]&lt;&gt;"",单词表[[#This Row],[学中]]&lt;&gt;"",单词表[[#This Row],[学词]]&lt;&gt;""),MAX(单词表[[#This Row],[学英]:[学词]]),"")</f>
        <v>42580.457638888889</v>
      </c>
      <c r="M595" s="2">
        <f>IF(AND(单词表[[#This Row],[考英]]&lt;&gt;"",单词表[[#This Row],[考中]]&lt;&gt;""),MAX(单词表[[#This Row],[考英]:[考中]]),"")</f>
        <v>42580.463599537034</v>
      </c>
      <c r="N595" s="33"/>
      <c r="P595" s="32"/>
    </row>
    <row r="596" spans="1:16" hidden="1" x14ac:dyDescent="0.15">
      <c r="A596">
        <v>596</v>
      </c>
      <c r="B596" t="s">
        <v>445</v>
      </c>
      <c r="C596" t="s">
        <v>967</v>
      </c>
      <c r="D596" s="72" t="s">
        <v>997</v>
      </c>
      <c r="E596" t="s">
        <v>61</v>
      </c>
      <c r="F596" t="s">
        <v>998</v>
      </c>
      <c r="G596" s="92">
        <v>42587.430659722224</v>
      </c>
      <c r="H596" s="92">
        <v>42580.454594907409</v>
      </c>
      <c r="I596" s="92">
        <v>42580.454583333332</v>
      </c>
      <c r="J596" s="92">
        <v>42587.431886574072</v>
      </c>
      <c r="K596" s="92">
        <v>42580.463842592595</v>
      </c>
      <c r="L596" s="92">
        <f>IF(AND(单词表[[#This Row],[学英]]&lt;&gt;"",单词表[[#This Row],[学中]]&lt;&gt;"",单词表[[#This Row],[学词]]&lt;&gt;""),MAX(单词表[[#This Row],[学英]:[学词]]),"")</f>
        <v>42587.430659722224</v>
      </c>
      <c r="M596" s="2">
        <f>IF(AND(单词表[[#This Row],[考英]]&lt;&gt;"",单词表[[#This Row],[考中]]&lt;&gt;""),MAX(单词表[[#This Row],[考英]:[考中]]),"")</f>
        <v>42587.431886574072</v>
      </c>
      <c r="N596" s="33"/>
      <c r="P596" s="32"/>
    </row>
    <row r="597" spans="1:16" hidden="1" x14ac:dyDescent="0.15">
      <c r="A597">
        <v>597</v>
      </c>
      <c r="B597" t="s">
        <v>445</v>
      </c>
      <c r="C597" t="s">
        <v>967</v>
      </c>
      <c r="D597" s="72" t="s">
        <v>999</v>
      </c>
      <c r="E597" t="s">
        <v>702</v>
      </c>
      <c r="F597" t="s">
        <v>1000</v>
      </c>
      <c r="G597" s="92">
        <v>42580.392488425925</v>
      </c>
      <c r="H597" s="92">
        <v>42587.435185185182</v>
      </c>
      <c r="I597" s="92">
        <v>42587.435173611113</v>
      </c>
      <c r="J597" s="92">
        <v>42580.461053240739</v>
      </c>
      <c r="K597" s="92">
        <v>42587.435497685183</v>
      </c>
      <c r="L597" s="92">
        <f>IF(AND(单词表[[#This Row],[学英]]&lt;&gt;"",单词表[[#This Row],[学中]]&lt;&gt;"",单词表[[#This Row],[学词]]&lt;&gt;""),MAX(单词表[[#This Row],[学英]:[学词]]),"")</f>
        <v>42587.435185185182</v>
      </c>
      <c r="M597" s="2">
        <f>IF(AND(单词表[[#This Row],[考英]]&lt;&gt;"",单词表[[#This Row],[考中]]&lt;&gt;""),MAX(单词表[[#This Row],[考英]:[考中]]),"")</f>
        <v>42587.435497685183</v>
      </c>
      <c r="N597" s="33"/>
      <c r="P597" s="32"/>
    </row>
    <row r="598" spans="1:16" hidden="1" x14ac:dyDescent="0.15">
      <c r="A598">
        <v>598</v>
      </c>
      <c r="B598" t="s">
        <v>445</v>
      </c>
      <c r="C598" t="s">
        <v>967</v>
      </c>
      <c r="D598" s="72" t="s">
        <v>1001</v>
      </c>
      <c r="E598" t="s">
        <v>36</v>
      </c>
      <c r="F598" t="s">
        <v>1002</v>
      </c>
      <c r="G598" s="92">
        <v>42580.392534722225</v>
      </c>
      <c r="H598" s="92">
        <v>42580.392534722225</v>
      </c>
      <c r="I598" s="92">
        <v>42580.392534722225</v>
      </c>
      <c r="J598" s="92">
        <v>42580.461134259262</v>
      </c>
      <c r="K598" s="92">
        <v>42580.463993055557</v>
      </c>
      <c r="L598" s="92">
        <f>IF(AND(单词表[[#This Row],[学英]]&lt;&gt;"",单词表[[#This Row],[学中]]&lt;&gt;"",单词表[[#This Row],[学词]]&lt;&gt;""),MAX(单词表[[#This Row],[学英]:[学词]]),"")</f>
        <v>42580.392534722225</v>
      </c>
      <c r="M598" s="2">
        <f>IF(AND(单词表[[#This Row],[考英]]&lt;&gt;"",单词表[[#This Row],[考中]]&lt;&gt;""),MAX(单词表[[#This Row],[考英]:[考中]]),"")</f>
        <v>42580.463993055557</v>
      </c>
      <c r="N598" s="33"/>
      <c r="P598" s="32"/>
    </row>
    <row r="599" spans="1:16" hidden="1" x14ac:dyDescent="0.15">
      <c r="A599">
        <v>599</v>
      </c>
      <c r="B599" t="s">
        <v>445</v>
      </c>
      <c r="C599" t="s">
        <v>967</v>
      </c>
      <c r="D599" s="72" t="s">
        <v>1003</v>
      </c>
      <c r="E599" t="s">
        <v>36</v>
      </c>
      <c r="F599" t="s">
        <v>1004</v>
      </c>
      <c r="G599" s="92">
        <v>42580.457662037035</v>
      </c>
      <c r="H599" s="92">
        <v>42580.457673611112</v>
      </c>
      <c r="I599" s="92">
        <v>42580.457662037035</v>
      </c>
      <c r="J599" s="92">
        <v>42580.461238425924</v>
      </c>
      <c r="K599" s="92">
        <v>42580.46402777778</v>
      </c>
      <c r="L599" s="92">
        <f>IF(AND(单词表[[#This Row],[学英]]&lt;&gt;"",单词表[[#This Row],[学中]]&lt;&gt;"",单词表[[#This Row],[学词]]&lt;&gt;""),MAX(单词表[[#This Row],[学英]:[学词]]),"")</f>
        <v>42580.457673611112</v>
      </c>
      <c r="M599" s="2">
        <f>IF(AND(单词表[[#This Row],[考英]]&lt;&gt;"",单词表[[#This Row],[考中]]&lt;&gt;""),MAX(单词表[[#This Row],[考英]:[考中]]),"")</f>
        <v>42580.46402777778</v>
      </c>
      <c r="N599" s="33"/>
      <c r="P599" s="32"/>
    </row>
    <row r="600" spans="1:16" hidden="1" x14ac:dyDescent="0.15">
      <c r="A600">
        <v>600</v>
      </c>
      <c r="B600" t="s">
        <v>445</v>
      </c>
      <c r="C600" t="s">
        <v>967</v>
      </c>
      <c r="D600" s="72" t="s">
        <v>1003</v>
      </c>
      <c r="E600" t="s">
        <v>61</v>
      </c>
      <c r="F600" t="s">
        <v>1005</v>
      </c>
      <c r="G600" s="92">
        <v>42580.457685185182</v>
      </c>
      <c r="H600" s="92">
        <v>42580.457696759258</v>
      </c>
      <c r="I600" s="92">
        <v>42580.457685185182</v>
      </c>
      <c r="J600" s="92">
        <v>42580.461319444446</v>
      </c>
      <c r="K600" s="92">
        <v>42580.464062500003</v>
      </c>
      <c r="L600" s="92">
        <f>IF(AND(单词表[[#This Row],[学英]]&lt;&gt;"",单词表[[#This Row],[学中]]&lt;&gt;"",单词表[[#This Row],[学词]]&lt;&gt;""),MAX(单词表[[#This Row],[学英]:[学词]]),"")</f>
        <v>42580.457696759258</v>
      </c>
      <c r="M600" s="2">
        <f>IF(AND(单词表[[#This Row],[考英]]&lt;&gt;"",单词表[[#This Row],[考中]]&lt;&gt;""),MAX(单词表[[#This Row],[考英]:[考中]]),"")</f>
        <v>42580.464062500003</v>
      </c>
      <c r="N600" s="33"/>
      <c r="P600" s="32"/>
    </row>
    <row r="601" spans="1:16" hidden="1" x14ac:dyDescent="0.15">
      <c r="A601">
        <v>601</v>
      </c>
      <c r="B601" t="s">
        <v>445</v>
      </c>
      <c r="C601" t="s">
        <v>967</v>
      </c>
      <c r="D601" s="72" t="s">
        <v>1006</v>
      </c>
      <c r="E601" t="s">
        <v>36</v>
      </c>
      <c r="F601" t="s">
        <v>1007</v>
      </c>
      <c r="G601" s="92">
        <v>42587.437407407408</v>
      </c>
      <c r="H601" s="92">
        <v>42587.435706018521</v>
      </c>
      <c r="I601" s="92">
        <v>42587.435706018521</v>
      </c>
      <c r="J601" s="92">
        <v>42587.437557870369</v>
      </c>
      <c r="K601" s="92">
        <v>42587.435925925929</v>
      </c>
      <c r="L601" s="92">
        <f>IF(AND(单词表[[#This Row],[学英]]&lt;&gt;"",单词表[[#This Row],[学中]]&lt;&gt;"",单词表[[#This Row],[学词]]&lt;&gt;""),MAX(单词表[[#This Row],[学英]:[学词]]),"")</f>
        <v>42587.437407407408</v>
      </c>
      <c r="M601" s="2">
        <f>IF(AND(单词表[[#This Row],[考英]]&lt;&gt;"",单词表[[#This Row],[考中]]&lt;&gt;""),MAX(单词表[[#This Row],[考英]:[考中]]),"")</f>
        <v>42587.437557870369</v>
      </c>
      <c r="N601" s="33"/>
      <c r="P601" s="32"/>
    </row>
    <row r="602" spans="1:16" hidden="1" x14ac:dyDescent="0.15">
      <c r="A602">
        <v>602</v>
      </c>
      <c r="B602" t="s">
        <v>445</v>
      </c>
      <c r="C602" t="s">
        <v>967</v>
      </c>
      <c r="D602" s="72" t="s">
        <v>1006</v>
      </c>
      <c r="E602" t="s">
        <v>73</v>
      </c>
      <c r="F602" t="s">
        <v>1008</v>
      </c>
      <c r="G602" s="92">
        <v>42587.435752314814</v>
      </c>
      <c r="H602" s="92">
        <v>42587.435787037037</v>
      </c>
      <c r="I602" s="92">
        <v>42587.435763888891</v>
      </c>
      <c r="J602" s="92">
        <v>42587.436666666668</v>
      </c>
      <c r="K602" s="92">
        <v>42587.435960648145</v>
      </c>
      <c r="L602" s="92">
        <f>IF(AND(单词表[[#This Row],[学英]]&lt;&gt;"",单词表[[#This Row],[学中]]&lt;&gt;"",单词表[[#This Row],[学词]]&lt;&gt;""),MAX(单词表[[#This Row],[学英]:[学词]]),"")</f>
        <v>42587.435787037037</v>
      </c>
      <c r="M602" s="2">
        <f>IF(AND(单词表[[#This Row],[考英]]&lt;&gt;"",单词表[[#This Row],[考中]]&lt;&gt;""),MAX(单词表[[#This Row],[考英]:[考中]]),"")</f>
        <v>42587.436666666668</v>
      </c>
      <c r="N602" s="33"/>
      <c r="P602" s="32"/>
    </row>
    <row r="603" spans="1:16" hidden="1" x14ac:dyDescent="0.15">
      <c r="A603">
        <v>603</v>
      </c>
      <c r="B603" t="s">
        <v>445</v>
      </c>
      <c r="C603" t="s">
        <v>967</v>
      </c>
      <c r="D603" s="72" t="s">
        <v>1009</v>
      </c>
      <c r="E603" t="s">
        <v>61</v>
      </c>
      <c r="F603" t="s">
        <v>1010</v>
      </c>
      <c r="G603" s="92">
        <v>42580.450173611112</v>
      </c>
      <c r="H603" s="92">
        <v>42580.450185185182</v>
      </c>
      <c r="I603" s="92">
        <v>42580.450173611112</v>
      </c>
      <c r="J603" s="92">
        <v>42580.461365740739</v>
      </c>
      <c r="K603" s="92">
        <v>42580.464282407411</v>
      </c>
      <c r="L603" s="92">
        <f>IF(AND(单词表[[#This Row],[学英]]&lt;&gt;"",单词表[[#This Row],[学中]]&lt;&gt;"",单词表[[#This Row],[学词]]&lt;&gt;""),MAX(单词表[[#This Row],[学英]:[学词]]),"")</f>
        <v>42580.450185185182</v>
      </c>
      <c r="M603" s="2">
        <f>IF(AND(单词表[[#This Row],[考英]]&lt;&gt;"",单词表[[#This Row],[考中]]&lt;&gt;""),MAX(单词表[[#This Row],[考英]:[考中]]),"")</f>
        <v>42580.464282407411</v>
      </c>
      <c r="N603" s="33"/>
      <c r="P603" s="32"/>
    </row>
    <row r="604" spans="1:16" hidden="1" x14ac:dyDescent="0.15">
      <c r="A604">
        <v>604</v>
      </c>
      <c r="B604" t="s">
        <v>445</v>
      </c>
      <c r="C604" t="s">
        <v>967</v>
      </c>
      <c r="D604" s="72" t="s">
        <v>1009</v>
      </c>
      <c r="E604" t="s">
        <v>36</v>
      </c>
      <c r="F604" t="s">
        <v>1011</v>
      </c>
      <c r="G604" s="92">
        <v>42580.450127314813</v>
      </c>
      <c r="H604" s="92">
        <v>42580.450138888889</v>
      </c>
      <c r="I604" s="92">
        <v>42580.450127314813</v>
      </c>
      <c r="J604" s="92">
        <v>42580.461412037039</v>
      </c>
      <c r="K604" s="92">
        <v>42580.464328703703</v>
      </c>
      <c r="L604" s="92">
        <f>IF(AND(单词表[[#This Row],[学英]]&lt;&gt;"",单词表[[#This Row],[学中]]&lt;&gt;"",单词表[[#This Row],[学词]]&lt;&gt;""),MAX(单词表[[#This Row],[学英]:[学词]]),"")</f>
        <v>42580.450138888889</v>
      </c>
      <c r="M604" s="2">
        <f>IF(AND(单词表[[#This Row],[考英]]&lt;&gt;"",单词表[[#This Row],[考中]]&lt;&gt;""),MAX(单词表[[#This Row],[考英]:[考中]]),"")</f>
        <v>42580.464328703703</v>
      </c>
      <c r="N604" s="33"/>
      <c r="P604" s="32"/>
    </row>
    <row r="605" spans="1:16" hidden="1" x14ac:dyDescent="0.15">
      <c r="A605">
        <v>605</v>
      </c>
      <c r="B605" t="s">
        <v>445</v>
      </c>
      <c r="C605" t="s">
        <v>967</v>
      </c>
      <c r="D605" s="72" t="s">
        <v>1012</v>
      </c>
      <c r="E605" t="s">
        <v>73</v>
      </c>
      <c r="F605" t="s">
        <v>1013</v>
      </c>
      <c r="G605" s="92">
        <v>42587.430763888886</v>
      </c>
      <c r="H605" s="92">
        <v>42587.430787037039</v>
      </c>
      <c r="I605" s="92">
        <v>42587.430775462963</v>
      </c>
      <c r="J605" s="92">
        <v>42587.432013888887</v>
      </c>
      <c r="K605" s="92">
        <v>42587.43310185185</v>
      </c>
      <c r="L605" s="92">
        <f>IF(AND(单词表[[#This Row],[学英]]&lt;&gt;"",单词表[[#This Row],[学中]]&lt;&gt;"",单词表[[#This Row],[学词]]&lt;&gt;""),MAX(单词表[[#This Row],[学英]:[学词]]),"")</f>
        <v>42587.430787037039</v>
      </c>
      <c r="M605" s="2">
        <f>IF(AND(单词表[[#This Row],[考英]]&lt;&gt;"",单词表[[#This Row],[考中]]&lt;&gt;""),MAX(单词表[[#This Row],[考英]:[考中]]),"")</f>
        <v>42587.43310185185</v>
      </c>
      <c r="N605" s="33"/>
      <c r="P605" s="32"/>
    </row>
    <row r="606" spans="1:16" hidden="1" x14ac:dyDescent="0.15">
      <c r="A606">
        <v>606</v>
      </c>
      <c r="B606" t="s">
        <v>445</v>
      </c>
      <c r="C606" t="s">
        <v>967</v>
      </c>
      <c r="D606" s="72" t="s">
        <v>1014</v>
      </c>
      <c r="E606" t="s">
        <v>61</v>
      </c>
      <c r="F606" t="s">
        <v>1015</v>
      </c>
      <c r="G606" s="92">
        <v>42587.432557870372</v>
      </c>
      <c r="H606" s="92">
        <v>42587.430821759262</v>
      </c>
      <c r="I606" s="92">
        <v>42587.430821759262</v>
      </c>
      <c r="J606" s="92">
        <v>42587.434872685182</v>
      </c>
      <c r="K606" s="92">
        <v>42587.433182870373</v>
      </c>
      <c r="L606" s="92">
        <f>IF(AND(单词表[[#This Row],[学英]]&lt;&gt;"",单词表[[#This Row],[学中]]&lt;&gt;"",单词表[[#This Row],[学词]]&lt;&gt;""),MAX(单词表[[#This Row],[学英]:[学词]]),"")</f>
        <v>42587.432557870372</v>
      </c>
      <c r="M606" s="2">
        <f>IF(AND(单词表[[#This Row],[考英]]&lt;&gt;"",单词表[[#This Row],[考中]]&lt;&gt;""),MAX(单词表[[#This Row],[考英]:[考中]]),"")</f>
        <v>42587.434872685182</v>
      </c>
      <c r="N606" s="33"/>
      <c r="P606" s="32"/>
    </row>
    <row r="607" spans="1:16" hidden="1" x14ac:dyDescent="0.15">
      <c r="A607">
        <v>607</v>
      </c>
      <c r="B607" t="s">
        <v>1424</v>
      </c>
      <c r="C607" t="s">
        <v>5</v>
      </c>
      <c r="D607" s="77" t="s">
        <v>1271</v>
      </c>
      <c r="E607" t="s">
        <v>73</v>
      </c>
      <c r="F607" t="s">
        <v>1272</v>
      </c>
      <c r="G607" s="92"/>
      <c r="H607" s="92"/>
      <c r="I607" s="92"/>
      <c r="J607" s="92"/>
      <c r="K607" s="92"/>
      <c r="L607" s="9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15">
      <c r="A608">
        <v>608</v>
      </c>
      <c r="B608" t="s">
        <v>1424</v>
      </c>
      <c r="C608" t="s">
        <v>5</v>
      </c>
      <c r="D608" s="77" t="s">
        <v>1273</v>
      </c>
      <c r="E608" t="s">
        <v>157</v>
      </c>
      <c r="F608" t="s">
        <v>1274</v>
      </c>
      <c r="G608" s="92"/>
      <c r="H608" s="92"/>
      <c r="I608" s="92"/>
      <c r="J608" s="92"/>
      <c r="K608" s="92"/>
      <c r="L608" s="9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15">
      <c r="A609">
        <v>609</v>
      </c>
      <c r="B609" t="s">
        <v>1424</v>
      </c>
      <c r="C609" t="s">
        <v>5</v>
      </c>
      <c r="D609" s="77" t="s">
        <v>1275</v>
      </c>
      <c r="E609" t="s">
        <v>73</v>
      </c>
      <c r="F609" t="s">
        <v>1276</v>
      </c>
      <c r="G609" s="92"/>
      <c r="H609" s="92"/>
      <c r="I609" s="92"/>
      <c r="J609" s="92"/>
      <c r="K609" s="92"/>
      <c r="L609" s="9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15">
      <c r="A610">
        <v>610</v>
      </c>
      <c r="B610" t="s">
        <v>1424</v>
      </c>
      <c r="C610" t="s">
        <v>5</v>
      </c>
      <c r="D610" s="77" t="s">
        <v>1277</v>
      </c>
      <c r="E610" t="s">
        <v>736</v>
      </c>
      <c r="F610" t="s">
        <v>1278</v>
      </c>
      <c r="G610" s="92"/>
      <c r="H610" s="92"/>
      <c r="I610" s="92"/>
      <c r="J610" s="92"/>
      <c r="K610" s="92"/>
      <c r="L610" s="9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15">
      <c r="A611">
        <v>611</v>
      </c>
      <c r="B611" t="s">
        <v>1424</v>
      </c>
      <c r="C611" t="s">
        <v>5</v>
      </c>
      <c r="D611" s="77" t="s">
        <v>1190</v>
      </c>
      <c r="E611" t="s">
        <v>157</v>
      </c>
      <c r="F611" t="s">
        <v>1279</v>
      </c>
      <c r="G611" s="92"/>
      <c r="H611" s="92"/>
      <c r="I611" s="92"/>
      <c r="J611" s="92"/>
      <c r="K611" s="92"/>
      <c r="L611" s="9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15">
      <c r="A612">
        <v>612</v>
      </c>
      <c r="B612" t="s">
        <v>1424</v>
      </c>
      <c r="C612" t="s">
        <v>5</v>
      </c>
      <c r="D612" s="77" t="s">
        <v>1280</v>
      </c>
      <c r="E612" t="s">
        <v>73</v>
      </c>
      <c r="F612" t="s">
        <v>1281</v>
      </c>
      <c r="G612" s="92"/>
      <c r="H612" s="92"/>
      <c r="I612" s="92"/>
      <c r="J612" s="92"/>
      <c r="K612" s="92"/>
      <c r="L612" s="9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15">
      <c r="A613">
        <v>613</v>
      </c>
      <c r="B613" t="s">
        <v>1424</v>
      </c>
      <c r="C613" t="s">
        <v>5</v>
      </c>
      <c r="D613" s="72" t="s">
        <v>5639</v>
      </c>
      <c r="E613" t="s">
        <v>736</v>
      </c>
      <c r="F613" t="s">
        <v>5502</v>
      </c>
      <c r="G613" s="92"/>
      <c r="H613" s="92"/>
      <c r="I613" s="92"/>
      <c r="J613" s="92"/>
      <c r="K613" s="92"/>
      <c r="L613" s="9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15">
      <c r="A614">
        <v>614</v>
      </c>
      <c r="B614" t="s">
        <v>1424</v>
      </c>
      <c r="C614" t="s">
        <v>5</v>
      </c>
      <c r="D614" s="77" t="s">
        <v>1282</v>
      </c>
      <c r="E614" t="s">
        <v>736</v>
      </c>
      <c r="F614" t="s">
        <v>1283</v>
      </c>
      <c r="G614" s="92"/>
      <c r="H614" s="92"/>
      <c r="I614" s="92"/>
      <c r="J614" s="92"/>
      <c r="K614" s="92"/>
      <c r="L614" s="9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15">
      <c r="A615">
        <v>615</v>
      </c>
      <c r="B615" t="s">
        <v>1424</v>
      </c>
      <c r="C615" t="s">
        <v>5</v>
      </c>
      <c r="D615" s="77" t="s">
        <v>1284</v>
      </c>
      <c r="E615" t="s">
        <v>736</v>
      </c>
      <c r="F615" t="s">
        <v>1285</v>
      </c>
      <c r="G615" s="92"/>
      <c r="H615" s="92"/>
      <c r="I615" s="92"/>
      <c r="J615" s="92"/>
      <c r="K615" s="92"/>
      <c r="L615" s="9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15">
      <c r="A616">
        <v>616</v>
      </c>
      <c r="B616" t="s">
        <v>1424</v>
      </c>
      <c r="C616" t="s">
        <v>5</v>
      </c>
      <c r="D616" s="77" t="s">
        <v>1286</v>
      </c>
      <c r="E616" t="s">
        <v>61</v>
      </c>
      <c r="F616" t="s">
        <v>1287</v>
      </c>
      <c r="G616" s="92"/>
      <c r="H616" s="92"/>
      <c r="I616" s="92"/>
      <c r="J616" s="92"/>
      <c r="K616" s="92"/>
      <c r="L616" s="9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15">
      <c r="A617">
        <v>617</v>
      </c>
      <c r="B617" t="s">
        <v>1424</v>
      </c>
      <c r="C617" t="s">
        <v>5</v>
      </c>
      <c r="D617" s="77" t="s">
        <v>1288</v>
      </c>
      <c r="E617" t="s">
        <v>36</v>
      </c>
      <c r="F617" t="s">
        <v>1289</v>
      </c>
      <c r="G617" s="92"/>
      <c r="H617" s="92"/>
      <c r="I617" s="92"/>
      <c r="J617" s="92"/>
      <c r="K617" s="92"/>
      <c r="L617" s="9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15">
      <c r="A618">
        <v>618</v>
      </c>
      <c r="B618" t="s">
        <v>1424</v>
      </c>
      <c r="C618" t="s">
        <v>5</v>
      </c>
      <c r="D618" s="77" t="s">
        <v>1290</v>
      </c>
      <c r="E618" t="s">
        <v>736</v>
      </c>
      <c r="F618" t="s">
        <v>1291</v>
      </c>
      <c r="G618" s="92"/>
      <c r="H618" s="92"/>
      <c r="I618" s="92"/>
      <c r="J618" s="92"/>
      <c r="K618" s="92"/>
      <c r="L618" s="9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15">
      <c r="A619">
        <v>619</v>
      </c>
      <c r="B619" t="s">
        <v>1424</v>
      </c>
      <c r="C619" t="s">
        <v>5</v>
      </c>
      <c r="D619" s="77" t="s">
        <v>1292</v>
      </c>
      <c r="E619" t="s">
        <v>61</v>
      </c>
      <c r="F619" t="s">
        <v>1293</v>
      </c>
      <c r="G619" s="92"/>
      <c r="H619" s="92"/>
      <c r="I619" s="92"/>
      <c r="J619" s="92"/>
      <c r="K619" s="92"/>
      <c r="L619" s="9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15">
      <c r="A620">
        <v>620</v>
      </c>
      <c r="B620" t="s">
        <v>1424</v>
      </c>
      <c r="C620" t="s">
        <v>5</v>
      </c>
      <c r="D620" s="77" t="s">
        <v>1294</v>
      </c>
      <c r="E620" t="s">
        <v>73</v>
      </c>
      <c r="F620" t="s">
        <v>1295</v>
      </c>
      <c r="G620" s="92"/>
      <c r="H620" s="92"/>
      <c r="I620" s="92"/>
      <c r="J620" s="92"/>
      <c r="K620" s="92"/>
      <c r="L620" s="9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15">
      <c r="A621">
        <v>621</v>
      </c>
      <c r="B621" t="s">
        <v>1424</v>
      </c>
      <c r="C621" t="s">
        <v>5</v>
      </c>
      <c r="D621" s="77" t="s">
        <v>1296</v>
      </c>
      <c r="E621" t="s">
        <v>702</v>
      </c>
      <c r="F621" t="s">
        <v>1297</v>
      </c>
      <c r="G621" s="92"/>
      <c r="H621" s="92"/>
      <c r="I621" s="92"/>
      <c r="J621" s="92"/>
      <c r="K621" s="92"/>
      <c r="L621" s="9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15">
      <c r="A622">
        <v>622</v>
      </c>
      <c r="B622" t="s">
        <v>1424</v>
      </c>
      <c r="C622" t="s">
        <v>5</v>
      </c>
      <c r="D622" s="77" t="s">
        <v>1298</v>
      </c>
      <c r="E622" t="s">
        <v>36</v>
      </c>
      <c r="F622" t="s">
        <v>1299</v>
      </c>
      <c r="G622" s="92"/>
      <c r="H622" s="92"/>
      <c r="I622" s="92"/>
      <c r="J622" s="92"/>
      <c r="K622" s="92"/>
      <c r="L622" s="9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15">
      <c r="A623">
        <v>623</v>
      </c>
      <c r="B623" t="s">
        <v>1424</v>
      </c>
      <c r="C623" t="s">
        <v>5</v>
      </c>
      <c r="D623" s="77" t="s">
        <v>1300</v>
      </c>
      <c r="E623" t="s">
        <v>36</v>
      </c>
      <c r="F623" t="s">
        <v>1301</v>
      </c>
      <c r="G623" s="92"/>
      <c r="H623" s="92"/>
      <c r="I623" s="92"/>
      <c r="J623" s="92"/>
      <c r="K623" s="92"/>
      <c r="L623" s="9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15">
      <c r="A624">
        <v>624</v>
      </c>
      <c r="B624" t="s">
        <v>1424</v>
      </c>
      <c r="C624" t="s">
        <v>5</v>
      </c>
      <c r="D624" s="77" t="s">
        <v>1302</v>
      </c>
      <c r="E624" t="s">
        <v>38</v>
      </c>
      <c r="F624" t="s">
        <v>1303</v>
      </c>
      <c r="G624" s="92"/>
      <c r="H624" s="92"/>
      <c r="I624" s="92"/>
      <c r="J624" s="92"/>
      <c r="K624" s="92"/>
      <c r="L624" s="9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15">
      <c r="A625">
        <v>625</v>
      </c>
      <c r="B625" t="s">
        <v>1424</v>
      </c>
      <c r="C625" t="s">
        <v>5</v>
      </c>
      <c r="D625" s="77" t="s">
        <v>1304</v>
      </c>
      <c r="E625" t="s">
        <v>61</v>
      </c>
      <c r="F625" t="s">
        <v>1305</v>
      </c>
      <c r="G625" s="92"/>
      <c r="H625" s="92"/>
      <c r="I625" s="92"/>
      <c r="J625" s="92"/>
      <c r="K625" s="92"/>
      <c r="L625" s="9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15">
      <c r="A626">
        <v>626</v>
      </c>
      <c r="B626" t="s">
        <v>1424</v>
      </c>
      <c r="C626" t="s">
        <v>5</v>
      </c>
      <c r="D626" s="77" t="s">
        <v>1306</v>
      </c>
      <c r="E626" t="s">
        <v>702</v>
      </c>
      <c r="F626" t="s">
        <v>1307</v>
      </c>
      <c r="G626" s="92"/>
      <c r="H626" s="92"/>
      <c r="I626" s="92"/>
      <c r="J626" s="92"/>
      <c r="K626" s="92"/>
      <c r="L626" s="9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15">
      <c r="A627">
        <v>627</v>
      </c>
      <c r="B627" t="s">
        <v>1424</v>
      </c>
      <c r="C627" t="s">
        <v>5</v>
      </c>
      <c r="D627" s="77" t="s">
        <v>1308</v>
      </c>
      <c r="E627" t="s">
        <v>61</v>
      </c>
      <c r="F627" t="s">
        <v>1309</v>
      </c>
      <c r="G627" s="92"/>
      <c r="H627" s="92"/>
      <c r="I627" s="92"/>
      <c r="J627" s="92"/>
      <c r="K627" s="92"/>
      <c r="L627" s="9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15">
      <c r="A628">
        <v>628</v>
      </c>
      <c r="B628" t="s">
        <v>1424</v>
      </c>
      <c r="C628" t="s">
        <v>5</v>
      </c>
      <c r="D628" s="77" t="s">
        <v>172</v>
      </c>
      <c r="E628" t="s">
        <v>61</v>
      </c>
      <c r="F628" t="s">
        <v>154</v>
      </c>
      <c r="G628" s="92"/>
      <c r="H628" s="92"/>
      <c r="I628" s="92"/>
      <c r="J628" s="92"/>
      <c r="K628" s="92"/>
      <c r="L628" s="9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15">
      <c r="A629">
        <v>629</v>
      </c>
      <c r="B629" t="s">
        <v>1424</v>
      </c>
      <c r="C629" t="s">
        <v>5</v>
      </c>
      <c r="D629" s="77" t="s">
        <v>1310</v>
      </c>
      <c r="E629" t="s">
        <v>36</v>
      </c>
      <c r="F629" t="s">
        <v>1311</v>
      </c>
      <c r="G629" s="92"/>
      <c r="H629" s="92"/>
      <c r="I629" s="92"/>
      <c r="J629" s="92"/>
      <c r="K629" s="92"/>
      <c r="L629" s="9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15">
      <c r="A630">
        <v>630</v>
      </c>
      <c r="B630" t="s">
        <v>1424</v>
      </c>
      <c r="C630" t="s">
        <v>5</v>
      </c>
      <c r="D630" s="77" t="s">
        <v>1312</v>
      </c>
      <c r="E630" t="s">
        <v>36</v>
      </c>
      <c r="F630" t="s">
        <v>1313</v>
      </c>
      <c r="G630" s="92"/>
      <c r="H630" s="92"/>
      <c r="I630" s="92"/>
      <c r="J630" s="92"/>
      <c r="K630" s="92"/>
      <c r="L630" s="9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15">
      <c r="A631">
        <v>631</v>
      </c>
      <c r="B631" t="s">
        <v>1424</v>
      </c>
      <c r="C631" t="s">
        <v>5</v>
      </c>
      <c r="D631" s="77" t="s">
        <v>1314</v>
      </c>
      <c r="E631" t="s">
        <v>36</v>
      </c>
      <c r="F631" t="s">
        <v>1315</v>
      </c>
      <c r="G631" s="92"/>
      <c r="H631" s="92"/>
      <c r="I631" s="92"/>
      <c r="J631" s="92"/>
      <c r="K631" s="92"/>
      <c r="L631" s="9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15">
      <c r="A632">
        <v>632</v>
      </c>
      <c r="B632" t="s">
        <v>1424</v>
      </c>
      <c r="C632" t="s">
        <v>5</v>
      </c>
      <c r="D632" s="77" t="s">
        <v>1133</v>
      </c>
      <c r="E632" t="s">
        <v>36</v>
      </c>
      <c r="F632" t="s">
        <v>1316</v>
      </c>
      <c r="G632" s="92"/>
      <c r="H632" s="92"/>
      <c r="I632" s="92"/>
      <c r="J632" s="92"/>
      <c r="K632" s="92"/>
      <c r="L632" s="9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15">
      <c r="A633">
        <v>633</v>
      </c>
      <c r="B633" t="s">
        <v>1424</v>
      </c>
      <c r="C633" t="s">
        <v>5</v>
      </c>
      <c r="D633" s="77" t="s">
        <v>1317</v>
      </c>
      <c r="E633" t="s">
        <v>73</v>
      </c>
      <c r="F633" t="s">
        <v>1318</v>
      </c>
      <c r="G633" s="92"/>
      <c r="H633" s="92"/>
      <c r="I633" s="92"/>
      <c r="J633" s="92"/>
      <c r="K633" s="92"/>
      <c r="L633" s="9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15">
      <c r="A634">
        <v>634</v>
      </c>
      <c r="B634" t="s">
        <v>1424</v>
      </c>
      <c r="C634" t="s">
        <v>5</v>
      </c>
      <c r="D634" s="77" t="s">
        <v>1175</v>
      </c>
      <c r="E634" t="s">
        <v>36</v>
      </c>
      <c r="F634" t="s">
        <v>1176</v>
      </c>
      <c r="G634" s="92"/>
      <c r="H634" s="92"/>
      <c r="I634" s="92"/>
      <c r="J634" s="92"/>
      <c r="K634" s="92"/>
      <c r="L634" s="9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15">
      <c r="A635">
        <v>635</v>
      </c>
      <c r="B635" t="s">
        <v>1424</v>
      </c>
      <c r="C635" t="s">
        <v>5</v>
      </c>
      <c r="D635" s="77" t="s">
        <v>1319</v>
      </c>
      <c r="E635" t="s">
        <v>73</v>
      </c>
      <c r="F635" t="s">
        <v>1320</v>
      </c>
      <c r="G635" s="92"/>
      <c r="H635" s="92"/>
      <c r="I635" s="92"/>
      <c r="J635" s="92"/>
      <c r="K635" s="92"/>
      <c r="L635" s="9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15">
      <c r="A636">
        <v>636</v>
      </c>
      <c r="B636" t="s">
        <v>1424</v>
      </c>
      <c r="C636" t="s">
        <v>5</v>
      </c>
      <c r="D636" s="77" t="s">
        <v>1321</v>
      </c>
      <c r="E636" t="s">
        <v>61</v>
      </c>
      <c r="F636" t="s">
        <v>1322</v>
      </c>
      <c r="G636" s="92"/>
      <c r="H636" s="92"/>
      <c r="I636" s="92"/>
      <c r="J636" s="92"/>
      <c r="K636" s="92"/>
      <c r="L636" s="9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15">
      <c r="A637">
        <v>637</v>
      </c>
      <c r="B637" t="s">
        <v>1424</v>
      </c>
      <c r="C637" t="s">
        <v>5</v>
      </c>
      <c r="D637" s="77" t="s">
        <v>1323</v>
      </c>
      <c r="E637" t="s">
        <v>73</v>
      </c>
      <c r="F637" t="s">
        <v>1324</v>
      </c>
      <c r="G637" s="92"/>
      <c r="H637" s="92"/>
      <c r="I637" s="92"/>
      <c r="J637" s="92"/>
      <c r="K637" s="92"/>
      <c r="L637" s="9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15">
      <c r="A638">
        <v>638</v>
      </c>
      <c r="B638" t="s">
        <v>1424</v>
      </c>
      <c r="C638" t="s">
        <v>5</v>
      </c>
      <c r="D638" s="77" t="s">
        <v>1325</v>
      </c>
      <c r="E638" t="s">
        <v>36</v>
      </c>
      <c r="F638" t="s">
        <v>1326</v>
      </c>
      <c r="G638" s="92"/>
      <c r="H638" s="92"/>
      <c r="I638" s="92"/>
      <c r="J638" s="92"/>
      <c r="K638" s="92"/>
      <c r="L638" s="9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15">
      <c r="A639">
        <v>639</v>
      </c>
      <c r="B639" t="s">
        <v>1424</v>
      </c>
      <c r="C639" t="s">
        <v>5</v>
      </c>
      <c r="D639" s="77" t="s">
        <v>1067</v>
      </c>
      <c r="E639" t="s">
        <v>36</v>
      </c>
      <c r="F639" t="s">
        <v>1068</v>
      </c>
      <c r="G639" s="92"/>
      <c r="H639" s="92"/>
      <c r="I639" s="92"/>
      <c r="J639" s="92"/>
      <c r="K639" s="92"/>
      <c r="L639" s="9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15">
      <c r="A640">
        <v>640</v>
      </c>
      <c r="B640" t="s">
        <v>1424</v>
      </c>
      <c r="C640" t="s">
        <v>5</v>
      </c>
      <c r="D640" s="77" t="s">
        <v>1107</v>
      </c>
      <c r="E640" t="s">
        <v>36</v>
      </c>
      <c r="F640" t="s">
        <v>1167</v>
      </c>
      <c r="G640" s="92"/>
      <c r="H640" s="92"/>
      <c r="I640" s="92"/>
      <c r="J640" s="92"/>
      <c r="K640" s="92"/>
      <c r="L640" s="9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15">
      <c r="A641">
        <v>641</v>
      </c>
      <c r="B641" t="s">
        <v>1424</v>
      </c>
      <c r="C641" t="s">
        <v>5</v>
      </c>
      <c r="D641" s="77" t="s">
        <v>1327</v>
      </c>
      <c r="E641" t="s">
        <v>36</v>
      </c>
      <c r="F641" t="s">
        <v>1328</v>
      </c>
      <c r="G641" s="92"/>
      <c r="H641" s="92"/>
      <c r="I641" s="92"/>
      <c r="J641" s="92"/>
      <c r="K641" s="92"/>
      <c r="L641" s="9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15">
      <c r="A642">
        <v>642</v>
      </c>
      <c r="B642" t="s">
        <v>1424</v>
      </c>
      <c r="C642" t="s">
        <v>5</v>
      </c>
      <c r="D642" s="77" t="s">
        <v>484</v>
      </c>
      <c r="E642" t="s">
        <v>36</v>
      </c>
      <c r="F642" t="s">
        <v>485</v>
      </c>
      <c r="G642" s="92"/>
      <c r="H642" s="92"/>
      <c r="I642" s="92"/>
      <c r="J642" s="92"/>
      <c r="K642" s="92"/>
      <c r="L642" s="9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15">
      <c r="A643">
        <v>643</v>
      </c>
      <c r="B643" t="s">
        <v>1424</v>
      </c>
      <c r="C643" t="s">
        <v>5</v>
      </c>
      <c r="D643" s="77" t="s">
        <v>1329</v>
      </c>
      <c r="E643" t="s">
        <v>702</v>
      </c>
      <c r="F643" t="s">
        <v>1330</v>
      </c>
      <c r="G643" s="92"/>
      <c r="H643" s="92"/>
      <c r="I643" s="92"/>
      <c r="J643" s="92"/>
      <c r="K643" s="92"/>
      <c r="L643" s="9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15">
      <c r="A644">
        <v>644</v>
      </c>
      <c r="B644" t="s">
        <v>1424</v>
      </c>
      <c r="C644" t="s">
        <v>5</v>
      </c>
      <c r="D644" s="77" t="s">
        <v>1331</v>
      </c>
      <c r="E644" t="s">
        <v>36</v>
      </c>
      <c r="F644" t="s">
        <v>1332</v>
      </c>
      <c r="G644" s="92"/>
      <c r="H644" s="92"/>
      <c r="I644" s="92"/>
      <c r="J644" s="92"/>
      <c r="K644" s="92"/>
      <c r="L644" s="9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15">
      <c r="A645">
        <v>645</v>
      </c>
      <c r="B645" t="s">
        <v>1424</v>
      </c>
      <c r="C645" t="s">
        <v>5</v>
      </c>
      <c r="D645" s="77" t="s">
        <v>1183</v>
      </c>
      <c r="E645" t="s">
        <v>36</v>
      </c>
      <c r="F645" t="s">
        <v>1333</v>
      </c>
      <c r="G645" s="92"/>
      <c r="H645" s="92"/>
      <c r="I645" s="92"/>
      <c r="J645" s="92"/>
      <c r="K645" s="92"/>
      <c r="L645" s="9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15">
      <c r="A646">
        <v>646</v>
      </c>
      <c r="B646" t="s">
        <v>1424</v>
      </c>
      <c r="C646" t="s">
        <v>5</v>
      </c>
      <c r="D646" s="77" t="s">
        <v>1334</v>
      </c>
      <c r="E646" t="s">
        <v>73</v>
      </c>
      <c r="F646" t="s">
        <v>1335</v>
      </c>
      <c r="G646" s="92"/>
      <c r="H646" s="92"/>
      <c r="I646" s="92"/>
      <c r="J646" s="92"/>
      <c r="K646" s="92"/>
      <c r="L646" s="9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15">
      <c r="A647">
        <v>647</v>
      </c>
      <c r="B647" t="s">
        <v>1424</v>
      </c>
      <c r="C647" t="s">
        <v>5</v>
      </c>
      <c r="D647" s="77" t="s">
        <v>1336</v>
      </c>
      <c r="E647" t="s">
        <v>73</v>
      </c>
      <c r="F647" t="s">
        <v>1337</v>
      </c>
      <c r="G647" s="92"/>
      <c r="H647" s="92"/>
      <c r="I647" s="92"/>
      <c r="J647" s="92"/>
      <c r="K647" s="92"/>
      <c r="L647" s="9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15">
      <c r="A648">
        <v>648</v>
      </c>
      <c r="B648" t="s">
        <v>1424</v>
      </c>
      <c r="C648" t="s">
        <v>5</v>
      </c>
      <c r="D648" s="77" t="s">
        <v>1338</v>
      </c>
      <c r="E648" t="s">
        <v>61</v>
      </c>
      <c r="F648" t="s">
        <v>1339</v>
      </c>
      <c r="G648" s="92"/>
      <c r="H648" s="92"/>
      <c r="I648" s="92"/>
      <c r="J648" s="92"/>
      <c r="K648" s="92"/>
      <c r="L648" s="9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15">
      <c r="A649">
        <v>649</v>
      </c>
      <c r="B649" t="s">
        <v>1424</v>
      </c>
      <c r="C649" t="s">
        <v>5</v>
      </c>
      <c r="D649" s="77" t="s">
        <v>1340</v>
      </c>
      <c r="E649" t="s">
        <v>61</v>
      </c>
      <c r="F649" t="s">
        <v>1341</v>
      </c>
      <c r="G649" s="92"/>
      <c r="H649" s="92"/>
      <c r="I649" s="92"/>
      <c r="J649" s="92"/>
      <c r="K649" s="92"/>
      <c r="L649" s="9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15">
      <c r="A650">
        <v>650</v>
      </c>
      <c r="B650" t="s">
        <v>1424</v>
      </c>
      <c r="C650" t="s">
        <v>5</v>
      </c>
      <c r="D650" s="77" t="s">
        <v>1342</v>
      </c>
      <c r="E650" t="s">
        <v>36</v>
      </c>
      <c r="F650" t="s">
        <v>1343</v>
      </c>
      <c r="G650" s="92"/>
      <c r="H650" s="92"/>
      <c r="I650" s="92"/>
      <c r="J650" s="92"/>
      <c r="K650" s="92"/>
      <c r="L650" s="9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15">
      <c r="A651">
        <v>651</v>
      </c>
      <c r="B651" t="s">
        <v>1424</v>
      </c>
      <c r="C651" t="s">
        <v>5</v>
      </c>
      <c r="D651" s="77" t="s">
        <v>1344</v>
      </c>
      <c r="E651" t="s">
        <v>36</v>
      </c>
      <c r="F651" t="s">
        <v>1345</v>
      </c>
      <c r="G651" s="92"/>
      <c r="H651" s="92"/>
      <c r="I651" s="92"/>
      <c r="J651" s="92"/>
      <c r="K651" s="92"/>
      <c r="L651" s="9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15">
      <c r="A652">
        <v>652</v>
      </c>
      <c r="B652" t="s">
        <v>1424</v>
      </c>
      <c r="C652" t="s">
        <v>5</v>
      </c>
      <c r="D652" s="77" t="s">
        <v>1346</v>
      </c>
      <c r="E652" t="s">
        <v>702</v>
      </c>
      <c r="F652" t="s">
        <v>1347</v>
      </c>
      <c r="G652" s="92"/>
      <c r="H652" s="92"/>
      <c r="I652" s="92"/>
      <c r="J652" s="92"/>
      <c r="K652" s="92"/>
      <c r="L652" s="9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15">
      <c r="A653">
        <v>653</v>
      </c>
      <c r="B653" t="s">
        <v>1424</v>
      </c>
      <c r="C653" t="s">
        <v>5</v>
      </c>
      <c r="D653" s="77" t="s">
        <v>1348</v>
      </c>
      <c r="E653" t="s">
        <v>36</v>
      </c>
      <c r="F653" t="s">
        <v>1349</v>
      </c>
      <c r="G653" s="92"/>
      <c r="H653" s="92"/>
      <c r="I653" s="92"/>
      <c r="J653" s="92"/>
      <c r="K653" s="92"/>
      <c r="L653" s="9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15">
      <c r="A654">
        <v>654</v>
      </c>
      <c r="B654" t="s">
        <v>1424</v>
      </c>
      <c r="C654" t="s">
        <v>5</v>
      </c>
      <c r="D654" s="77" t="s">
        <v>1350</v>
      </c>
      <c r="E654" t="s">
        <v>702</v>
      </c>
      <c r="F654" t="s">
        <v>1351</v>
      </c>
      <c r="G654" s="92"/>
      <c r="H654" s="92"/>
      <c r="I654" s="92"/>
      <c r="J654" s="92"/>
      <c r="K654" s="92"/>
      <c r="L654" s="9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15">
      <c r="A655">
        <v>655</v>
      </c>
      <c r="B655" t="s">
        <v>1424</v>
      </c>
      <c r="C655" t="s">
        <v>5</v>
      </c>
      <c r="D655" s="77" t="s">
        <v>1352</v>
      </c>
      <c r="E655" t="s">
        <v>73</v>
      </c>
      <c r="F655" t="s">
        <v>1353</v>
      </c>
      <c r="G655" s="92"/>
      <c r="H655" s="92"/>
      <c r="I655" s="92"/>
      <c r="J655" s="92"/>
      <c r="K655" s="92"/>
      <c r="L655" s="9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15">
      <c r="A656">
        <v>656</v>
      </c>
      <c r="B656" t="s">
        <v>1424</v>
      </c>
      <c r="C656" t="s">
        <v>5</v>
      </c>
      <c r="D656" s="77" t="s">
        <v>1354</v>
      </c>
      <c r="E656" t="s">
        <v>1021</v>
      </c>
      <c r="F656" t="s">
        <v>1355</v>
      </c>
      <c r="G656" s="92"/>
      <c r="H656" s="92"/>
      <c r="I656" s="92"/>
      <c r="J656" s="92"/>
      <c r="K656" s="92"/>
      <c r="L656" s="9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15">
      <c r="A657">
        <v>657</v>
      </c>
      <c r="B657" t="s">
        <v>1424</v>
      </c>
      <c r="C657" t="s">
        <v>5</v>
      </c>
      <c r="D657" s="77" t="s">
        <v>1356</v>
      </c>
      <c r="E657" t="s">
        <v>1021</v>
      </c>
      <c r="F657" t="s">
        <v>1357</v>
      </c>
      <c r="G657" s="92"/>
      <c r="H657" s="92"/>
      <c r="I657" s="92"/>
      <c r="J657" s="92"/>
      <c r="K657" s="92"/>
      <c r="L657" s="9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15">
      <c r="A658">
        <v>658</v>
      </c>
      <c r="B658" t="s">
        <v>1424</v>
      </c>
      <c r="C658" t="s">
        <v>5</v>
      </c>
      <c r="D658" s="77" t="s">
        <v>1358</v>
      </c>
      <c r="E658" t="s">
        <v>73</v>
      </c>
      <c r="F658" t="s">
        <v>1359</v>
      </c>
      <c r="G658" s="92"/>
      <c r="H658" s="92"/>
      <c r="I658" s="92"/>
      <c r="J658" s="92"/>
      <c r="K658" s="92"/>
      <c r="L658" s="9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15">
      <c r="A659">
        <v>659</v>
      </c>
      <c r="B659" t="s">
        <v>1424</v>
      </c>
      <c r="C659" t="s">
        <v>5</v>
      </c>
      <c r="D659" s="77" t="s">
        <v>1360</v>
      </c>
      <c r="E659" t="s">
        <v>73</v>
      </c>
      <c r="F659" t="s">
        <v>1361</v>
      </c>
      <c r="G659" s="92"/>
      <c r="H659" s="92"/>
      <c r="I659" s="92"/>
      <c r="J659" s="92"/>
      <c r="K659" s="92"/>
      <c r="L659" s="9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15">
      <c r="A660">
        <v>660</v>
      </c>
      <c r="B660" t="s">
        <v>1424</v>
      </c>
      <c r="C660" t="s">
        <v>5</v>
      </c>
      <c r="D660" s="77" t="s">
        <v>1362</v>
      </c>
      <c r="E660" t="s">
        <v>36</v>
      </c>
      <c r="F660" t="s">
        <v>1363</v>
      </c>
      <c r="G660" s="92"/>
      <c r="H660" s="92"/>
      <c r="I660" s="92"/>
      <c r="J660" s="92"/>
      <c r="K660" s="92"/>
      <c r="L660" s="9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15">
      <c r="A661">
        <v>661</v>
      </c>
      <c r="B661" t="s">
        <v>1424</v>
      </c>
      <c r="C661" t="s">
        <v>5</v>
      </c>
      <c r="D661" s="77" t="s">
        <v>1364</v>
      </c>
      <c r="E661" t="s">
        <v>36</v>
      </c>
      <c r="F661" t="s">
        <v>1365</v>
      </c>
      <c r="G661" s="92"/>
      <c r="H661" s="92"/>
      <c r="I661" s="92"/>
      <c r="J661" s="92"/>
      <c r="K661" s="92"/>
      <c r="L661" s="9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15">
      <c r="A662">
        <v>662</v>
      </c>
      <c r="B662" t="s">
        <v>1424</v>
      </c>
      <c r="C662" t="s">
        <v>5</v>
      </c>
      <c r="D662" s="77" t="s">
        <v>1366</v>
      </c>
      <c r="E662" t="s">
        <v>359</v>
      </c>
      <c r="F662" t="s">
        <v>1367</v>
      </c>
      <c r="G662" s="92"/>
      <c r="H662" s="92"/>
      <c r="I662" s="92"/>
      <c r="J662" s="92"/>
      <c r="K662" s="92"/>
      <c r="L662" s="9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15">
      <c r="A663">
        <v>663</v>
      </c>
      <c r="B663" t="s">
        <v>1424</v>
      </c>
      <c r="C663" t="s">
        <v>5</v>
      </c>
      <c r="D663" s="77" t="s">
        <v>1368</v>
      </c>
      <c r="E663" t="s">
        <v>61</v>
      </c>
      <c r="F663" t="s">
        <v>1369</v>
      </c>
      <c r="G663" s="92"/>
      <c r="H663" s="92"/>
      <c r="I663" s="92"/>
      <c r="J663" s="92"/>
      <c r="K663" s="92"/>
      <c r="L663" s="9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15">
      <c r="A664">
        <v>664</v>
      </c>
      <c r="B664" t="s">
        <v>1424</v>
      </c>
      <c r="C664" t="s">
        <v>5</v>
      </c>
      <c r="D664" s="77" t="s">
        <v>1370</v>
      </c>
      <c r="E664" t="s">
        <v>1019</v>
      </c>
      <c r="F664" t="s">
        <v>1371</v>
      </c>
      <c r="G664" s="92"/>
      <c r="H664" s="92"/>
      <c r="I664" s="92"/>
      <c r="J664" s="92"/>
      <c r="K664" s="92"/>
      <c r="L664" s="9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15">
      <c r="A665">
        <v>665</v>
      </c>
      <c r="B665" t="s">
        <v>1424</v>
      </c>
      <c r="C665" t="s">
        <v>5</v>
      </c>
      <c r="D665" s="77" t="s">
        <v>375</v>
      </c>
      <c r="E665" t="s">
        <v>61</v>
      </c>
      <c r="F665" t="s">
        <v>1372</v>
      </c>
      <c r="G665" s="92"/>
      <c r="H665" s="92"/>
      <c r="I665" s="92"/>
      <c r="J665" s="92"/>
      <c r="K665" s="92"/>
      <c r="L665" s="9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15">
      <c r="A666">
        <v>666</v>
      </c>
      <c r="B666" t="s">
        <v>1424</v>
      </c>
      <c r="C666" t="s">
        <v>5</v>
      </c>
      <c r="D666" s="77" t="s">
        <v>1373</v>
      </c>
      <c r="E666" t="s">
        <v>36</v>
      </c>
      <c r="F666" t="s">
        <v>1374</v>
      </c>
      <c r="G666" s="92"/>
      <c r="H666" s="92"/>
      <c r="I666" s="92"/>
      <c r="J666" s="92"/>
      <c r="K666" s="92"/>
      <c r="L666" s="9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15">
      <c r="A667">
        <v>667</v>
      </c>
      <c r="B667" t="s">
        <v>1424</v>
      </c>
      <c r="C667" t="s">
        <v>5</v>
      </c>
      <c r="D667" s="77" t="s">
        <v>1375</v>
      </c>
      <c r="E667" t="s">
        <v>702</v>
      </c>
      <c r="F667" t="s">
        <v>1376</v>
      </c>
      <c r="G667" s="92"/>
      <c r="H667" s="92"/>
      <c r="I667" s="92"/>
      <c r="J667" s="92"/>
      <c r="K667" s="92"/>
      <c r="L667" s="9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15">
      <c r="A668">
        <v>668</v>
      </c>
      <c r="B668" t="s">
        <v>1424</v>
      </c>
      <c r="C668" t="s">
        <v>5</v>
      </c>
      <c r="D668" s="77" t="s">
        <v>1377</v>
      </c>
      <c r="E668" t="s">
        <v>36</v>
      </c>
      <c r="F668" t="s">
        <v>1378</v>
      </c>
      <c r="G668" s="92"/>
      <c r="H668" s="92"/>
      <c r="I668" s="92"/>
      <c r="J668" s="92"/>
      <c r="K668" s="92"/>
      <c r="L668" s="9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15">
      <c r="A669">
        <v>669</v>
      </c>
      <c r="B669" t="s">
        <v>1424</v>
      </c>
      <c r="C669" t="s">
        <v>5</v>
      </c>
      <c r="D669" s="77" t="s">
        <v>1379</v>
      </c>
      <c r="E669" t="s">
        <v>73</v>
      </c>
      <c r="F669" t="s">
        <v>635</v>
      </c>
      <c r="G669" s="92"/>
      <c r="H669" s="92"/>
      <c r="I669" s="92"/>
      <c r="J669" s="92"/>
      <c r="K669" s="92"/>
      <c r="L669" s="9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15">
      <c r="A670">
        <v>670</v>
      </c>
      <c r="B670" t="s">
        <v>1424</v>
      </c>
      <c r="C670" t="s">
        <v>5</v>
      </c>
      <c r="D670" s="77" t="s">
        <v>776</v>
      </c>
      <c r="E670" t="s">
        <v>36</v>
      </c>
      <c r="F670" t="s">
        <v>1380</v>
      </c>
      <c r="G670" s="92"/>
      <c r="H670" s="92"/>
      <c r="I670" s="92"/>
      <c r="J670" s="92"/>
      <c r="K670" s="92"/>
      <c r="L670" s="9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15">
      <c r="A671">
        <v>671</v>
      </c>
      <c r="B671" t="s">
        <v>1424</v>
      </c>
      <c r="C671" t="s">
        <v>5</v>
      </c>
      <c r="D671" s="77" t="s">
        <v>776</v>
      </c>
      <c r="E671" t="s">
        <v>61</v>
      </c>
      <c r="F671" t="s">
        <v>777</v>
      </c>
      <c r="G671" s="92"/>
      <c r="H671" s="92"/>
      <c r="I671" s="92"/>
      <c r="J671" s="92"/>
      <c r="K671" s="92"/>
      <c r="L671" s="9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15">
      <c r="A672">
        <v>672</v>
      </c>
      <c r="B672" t="s">
        <v>1424</v>
      </c>
      <c r="C672" t="s">
        <v>5</v>
      </c>
      <c r="D672" s="77" t="s">
        <v>299</v>
      </c>
      <c r="E672" t="s">
        <v>36</v>
      </c>
      <c r="F672" t="s">
        <v>300</v>
      </c>
      <c r="G672" s="92"/>
      <c r="H672" s="92"/>
      <c r="I672" s="92"/>
      <c r="J672" s="92"/>
      <c r="K672" s="92"/>
      <c r="L672" s="9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15">
      <c r="A673">
        <v>673</v>
      </c>
      <c r="B673" t="s">
        <v>1424</v>
      </c>
      <c r="C673" t="s">
        <v>5</v>
      </c>
      <c r="D673" s="77" t="s">
        <v>1381</v>
      </c>
      <c r="E673" t="s">
        <v>36</v>
      </c>
      <c r="F673" t="s">
        <v>1142</v>
      </c>
      <c r="G673" s="92"/>
      <c r="H673" s="92"/>
      <c r="I673" s="92"/>
      <c r="J673" s="92"/>
      <c r="K673" s="92"/>
      <c r="L673" s="9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15">
      <c r="A674">
        <v>674</v>
      </c>
      <c r="B674" t="s">
        <v>1424</v>
      </c>
      <c r="C674" t="s">
        <v>5</v>
      </c>
      <c r="D674" s="77" t="s">
        <v>1382</v>
      </c>
      <c r="E674" t="s">
        <v>157</v>
      </c>
      <c r="F674" t="s">
        <v>1383</v>
      </c>
      <c r="G674" s="92"/>
      <c r="H674" s="92"/>
      <c r="I674" s="92"/>
      <c r="J674" s="92"/>
      <c r="K674" s="92"/>
      <c r="L674" s="9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15">
      <c r="A675">
        <v>675</v>
      </c>
      <c r="B675" t="s">
        <v>1424</v>
      </c>
      <c r="C675" t="s">
        <v>5</v>
      </c>
      <c r="D675" s="77" t="s">
        <v>1384</v>
      </c>
      <c r="E675" t="s">
        <v>36</v>
      </c>
      <c r="F675" t="s">
        <v>891</v>
      </c>
      <c r="G675" s="92"/>
      <c r="H675" s="92"/>
      <c r="I675" s="92"/>
      <c r="J675" s="92"/>
      <c r="K675" s="92"/>
      <c r="L675" s="9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15">
      <c r="A676">
        <v>676</v>
      </c>
      <c r="B676" t="s">
        <v>1424</v>
      </c>
      <c r="C676" t="s">
        <v>5</v>
      </c>
      <c r="D676" s="77" t="s">
        <v>1385</v>
      </c>
      <c r="E676" t="s">
        <v>36</v>
      </c>
      <c r="F676" t="s">
        <v>113</v>
      </c>
      <c r="G676" s="92"/>
      <c r="H676" s="92"/>
      <c r="I676" s="92"/>
      <c r="J676" s="92"/>
      <c r="K676" s="92"/>
      <c r="L676" s="9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15">
      <c r="A677">
        <v>677</v>
      </c>
      <c r="B677" t="s">
        <v>1424</v>
      </c>
      <c r="C677" t="s">
        <v>5</v>
      </c>
      <c r="D677" s="77" t="s">
        <v>1386</v>
      </c>
      <c r="E677" t="s">
        <v>36</v>
      </c>
      <c r="F677" t="s">
        <v>1387</v>
      </c>
      <c r="G677" s="92"/>
      <c r="H677" s="92"/>
      <c r="I677" s="92"/>
      <c r="J677" s="92"/>
      <c r="K677" s="92"/>
      <c r="L677" s="9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15">
      <c r="A678">
        <v>678</v>
      </c>
      <c r="B678" t="s">
        <v>1424</v>
      </c>
      <c r="C678" t="s">
        <v>5</v>
      </c>
      <c r="D678" s="77" t="s">
        <v>1388</v>
      </c>
      <c r="E678" t="s">
        <v>61</v>
      </c>
      <c r="F678" t="s">
        <v>1389</v>
      </c>
      <c r="G678" s="92"/>
      <c r="H678" s="92"/>
      <c r="I678" s="92"/>
      <c r="J678" s="92"/>
      <c r="K678" s="92"/>
      <c r="L678" s="9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15">
      <c r="A679">
        <v>679</v>
      </c>
      <c r="B679" t="s">
        <v>1424</v>
      </c>
      <c r="C679" t="s">
        <v>5</v>
      </c>
      <c r="D679" s="77" t="s">
        <v>1388</v>
      </c>
      <c r="E679" t="s">
        <v>73</v>
      </c>
      <c r="F679" t="s">
        <v>1390</v>
      </c>
      <c r="G679" s="92"/>
      <c r="H679" s="92"/>
      <c r="I679" s="92"/>
      <c r="J679" s="92"/>
      <c r="K679" s="92"/>
      <c r="L679" s="9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15">
      <c r="A680">
        <v>680</v>
      </c>
      <c r="B680" t="s">
        <v>1424</v>
      </c>
      <c r="C680" t="s">
        <v>5</v>
      </c>
      <c r="D680" s="77" t="s">
        <v>1391</v>
      </c>
      <c r="E680" t="s">
        <v>36</v>
      </c>
      <c r="F680" t="s">
        <v>1392</v>
      </c>
      <c r="G680" s="92"/>
      <c r="H680" s="92"/>
      <c r="I680" s="92"/>
      <c r="J680" s="92"/>
      <c r="K680" s="92"/>
      <c r="L680" s="9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15">
      <c r="A681">
        <v>681</v>
      </c>
      <c r="B681" t="s">
        <v>1424</v>
      </c>
      <c r="C681" t="s">
        <v>5</v>
      </c>
      <c r="D681" s="77" t="s">
        <v>1393</v>
      </c>
      <c r="E681" t="s">
        <v>73</v>
      </c>
      <c r="F681" t="s">
        <v>1394</v>
      </c>
      <c r="G681" s="92"/>
      <c r="H681" s="92"/>
      <c r="I681" s="92"/>
      <c r="J681" s="92"/>
      <c r="K681" s="92"/>
      <c r="L681" s="9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15">
      <c r="A682">
        <v>682</v>
      </c>
      <c r="B682" t="s">
        <v>1424</v>
      </c>
      <c r="C682" t="s">
        <v>5</v>
      </c>
      <c r="D682" s="77" t="s">
        <v>1395</v>
      </c>
      <c r="E682" t="s">
        <v>210</v>
      </c>
      <c r="F682" t="s">
        <v>1396</v>
      </c>
      <c r="G682" s="92"/>
      <c r="H682" s="92"/>
      <c r="I682" s="92"/>
      <c r="J682" s="92"/>
      <c r="K682" s="92"/>
      <c r="L682" s="9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15">
      <c r="A683">
        <v>683</v>
      </c>
      <c r="B683" t="s">
        <v>1424</v>
      </c>
      <c r="C683" t="s">
        <v>5</v>
      </c>
      <c r="D683" s="77" t="s">
        <v>1103</v>
      </c>
      <c r="E683" t="s">
        <v>36</v>
      </c>
      <c r="F683" t="s">
        <v>1397</v>
      </c>
      <c r="G683" s="92"/>
      <c r="H683" s="92"/>
      <c r="I683" s="92"/>
      <c r="J683" s="92"/>
      <c r="K683" s="92"/>
      <c r="L683" s="9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15">
      <c r="A684">
        <v>684</v>
      </c>
      <c r="B684" t="s">
        <v>1424</v>
      </c>
      <c r="C684" t="s">
        <v>5</v>
      </c>
      <c r="D684" s="77" t="s">
        <v>1398</v>
      </c>
      <c r="E684" t="s">
        <v>36</v>
      </c>
      <c r="F684" t="s">
        <v>1399</v>
      </c>
      <c r="G684" s="92"/>
      <c r="H684" s="92"/>
      <c r="I684" s="92"/>
      <c r="J684" s="92"/>
      <c r="K684" s="92"/>
      <c r="L684" s="9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15">
      <c r="A685">
        <v>685</v>
      </c>
      <c r="B685" t="s">
        <v>1424</v>
      </c>
      <c r="C685" t="s">
        <v>5</v>
      </c>
      <c r="D685" s="77" t="s">
        <v>1400</v>
      </c>
      <c r="E685" t="s">
        <v>73</v>
      </c>
      <c r="F685" t="s">
        <v>1401</v>
      </c>
      <c r="G685" s="92"/>
      <c r="H685" s="92"/>
      <c r="I685" s="92"/>
      <c r="J685" s="92"/>
      <c r="K685" s="92"/>
      <c r="L685" s="9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15">
      <c r="A686">
        <v>686</v>
      </c>
      <c r="B686" t="s">
        <v>1424</v>
      </c>
      <c r="C686" t="s">
        <v>5</v>
      </c>
      <c r="D686" s="77" t="s">
        <v>1402</v>
      </c>
      <c r="E686" t="s">
        <v>736</v>
      </c>
      <c r="F686" t="s">
        <v>1403</v>
      </c>
      <c r="G686" s="92"/>
      <c r="H686" s="92"/>
      <c r="I686" s="92"/>
      <c r="J686" s="92"/>
      <c r="K686" s="92"/>
      <c r="L686" s="9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15">
      <c r="A687">
        <v>687</v>
      </c>
      <c r="B687" t="s">
        <v>1424</v>
      </c>
      <c r="C687" t="s">
        <v>5</v>
      </c>
      <c r="D687" s="77" t="s">
        <v>1185</v>
      </c>
      <c r="E687" t="s">
        <v>36</v>
      </c>
      <c r="F687" t="s">
        <v>1186</v>
      </c>
      <c r="G687" s="92"/>
      <c r="H687" s="92"/>
      <c r="I687" s="92"/>
      <c r="J687" s="92"/>
      <c r="K687" s="92"/>
      <c r="L687" s="9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15">
      <c r="A688">
        <v>688</v>
      </c>
      <c r="B688" t="s">
        <v>1424</v>
      </c>
      <c r="C688" t="s">
        <v>5</v>
      </c>
      <c r="D688" s="77" t="s">
        <v>1404</v>
      </c>
      <c r="E688" t="s">
        <v>36</v>
      </c>
      <c r="F688" t="s">
        <v>1405</v>
      </c>
      <c r="G688" s="92"/>
      <c r="H688" s="92"/>
      <c r="I688" s="92"/>
      <c r="J688" s="92"/>
      <c r="K688" s="92"/>
      <c r="L688" s="9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15">
      <c r="A689">
        <v>689</v>
      </c>
      <c r="B689" t="s">
        <v>1424</v>
      </c>
      <c r="C689" t="s">
        <v>5</v>
      </c>
      <c r="D689" s="77" t="s">
        <v>1077</v>
      </c>
      <c r="E689" t="s">
        <v>36</v>
      </c>
      <c r="F689" t="s">
        <v>1078</v>
      </c>
      <c r="G689" s="92"/>
      <c r="H689" s="92"/>
      <c r="I689" s="92"/>
      <c r="J689" s="92"/>
      <c r="K689" s="92"/>
      <c r="L689" s="9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15">
      <c r="A690">
        <v>690</v>
      </c>
      <c r="B690" t="s">
        <v>1424</v>
      </c>
      <c r="C690" t="s">
        <v>5</v>
      </c>
      <c r="D690" s="77" t="s">
        <v>1406</v>
      </c>
      <c r="E690" t="s">
        <v>36</v>
      </c>
      <c r="F690" t="s">
        <v>1407</v>
      </c>
      <c r="G690" s="92"/>
      <c r="H690" s="92"/>
      <c r="I690" s="92"/>
      <c r="J690" s="92"/>
      <c r="K690" s="92"/>
      <c r="L690" s="9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15">
      <c r="A691">
        <v>691</v>
      </c>
      <c r="B691" t="s">
        <v>1424</v>
      </c>
      <c r="C691" t="s">
        <v>5</v>
      </c>
      <c r="D691" s="77" t="s">
        <v>1408</v>
      </c>
      <c r="E691" t="s">
        <v>61</v>
      </c>
      <c r="F691" t="s">
        <v>1409</v>
      </c>
      <c r="G691" s="92"/>
      <c r="H691" s="92"/>
      <c r="I691" s="92"/>
      <c r="J691" s="92"/>
      <c r="K691" s="92"/>
      <c r="L691" s="9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15">
      <c r="A692">
        <v>692</v>
      </c>
      <c r="B692" t="s">
        <v>1424</v>
      </c>
      <c r="C692" t="s">
        <v>5</v>
      </c>
      <c r="D692" s="77" t="s">
        <v>1410</v>
      </c>
      <c r="E692" t="s">
        <v>73</v>
      </c>
      <c r="F692" t="s">
        <v>1411</v>
      </c>
      <c r="G692" s="92"/>
      <c r="H692" s="92"/>
      <c r="I692" s="92"/>
      <c r="J692" s="92"/>
      <c r="K692" s="92"/>
      <c r="L692" s="9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15">
      <c r="A693">
        <v>693</v>
      </c>
      <c r="B693" t="s">
        <v>1424</v>
      </c>
      <c r="C693" t="s">
        <v>5</v>
      </c>
      <c r="D693" s="77" t="s">
        <v>1412</v>
      </c>
      <c r="E693" t="s">
        <v>157</v>
      </c>
      <c r="F693" t="s">
        <v>1413</v>
      </c>
      <c r="G693" s="92"/>
      <c r="H693" s="92"/>
      <c r="I693" s="92"/>
      <c r="J693" s="92"/>
      <c r="K693" s="92"/>
      <c r="L693" s="9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15">
      <c r="A694">
        <v>694</v>
      </c>
      <c r="B694" t="s">
        <v>1424</v>
      </c>
      <c r="C694" t="s">
        <v>5</v>
      </c>
      <c r="D694" s="77" t="s">
        <v>1414</v>
      </c>
      <c r="E694" t="s">
        <v>736</v>
      </c>
      <c r="F694" t="s">
        <v>1415</v>
      </c>
      <c r="G694" s="92"/>
      <c r="H694" s="92"/>
      <c r="I694" s="92"/>
      <c r="J694" s="92"/>
      <c r="K694" s="92"/>
      <c r="L694" s="9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15">
      <c r="A695">
        <v>695</v>
      </c>
      <c r="B695" t="s">
        <v>1424</v>
      </c>
      <c r="C695" t="s">
        <v>5</v>
      </c>
      <c r="D695" s="77" t="s">
        <v>1416</v>
      </c>
      <c r="E695" t="s">
        <v>36</v>
      </c>
      <c r="F695" t="s">
        <v>1417</v>
      </c>
      <c r="G695" s="92"/>
      <c r="H695" s="92"/>
      <c r="I695" s="92"/>
      <c r="J695" s="92"/>
      <c r="K695" s="92"/>
      <c r="L695" s="9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15">
      <c r="A696">
        <v>696</v>
      </c>
      <c r="B696" t="s">
        <v>1424</v>
      </c>
      <c r="C696" t="s">
        <v>5</v>
      </c>
      <c r="D696" s="77" t="s">
        <v>699</v>
      </c>
      <c r="E696" t="s">
        <v>61</v>
      </c>
      <c r="F696" t="s">
        <v>1418</v>
      </c>
      <c r="G696" s="92"/>
      <c r="H696" s="92"/>
      <c r="I696" s="92"/>
      <c r="J696" s="92"/>
      <c r="K696" s="92"/>
      <c r="L696" s="9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15">
      <c r="A697">
        <v>697</v>
      </c>
      <c r="B697" t="s">
        <v>1424</v>
      </c>
      <c r="C697" t="s">
        <v>5</v>
      </c>
      <c r="D697" s="77" t="s">
        <v>1419</v>
      </c>
      <c r="E697" t="s">
        <v>38</v>
      </c>
      <c r="F697" t="s">
        <v>5520</v>
      </c>
      <c r="G697" s="92"/>
      <c r="H697" s="92"/>
      <c r="I697" s="92"/>
      <c r="J697" s="92"/>
      <c r="K697" s="92"/>
      <c r="L697" s="9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15">
      <c r="A698">
        <v>698</v>
      </c>
      <c r="B698" t="s">
        <v>1424</v>
      </c>
      <c r="C698" t="s">
        <v>5</v>
      </c>
      <c r="D698" s="77" t="s">
        <v>1420</v>
      </c>
      <c r="E698" t="s">
        <v>36</v>
      </c>
      <c r="F698" t="s">
        <v>1421</v>
      </c>
      <c r="G698" s="92"/>
      <c r="H698" s="92"/>
      <c r="I698" s="92"/>
      <c r="J698" s="92"/>
      <c r="K698" s="92"/>
      <c r="L698" s="9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15">
      <c r="A699">
        <v>699</v>
      </c>
      <c r="B699" t="s">
        <v>1424</v>
      </c>
      <c r="C699" t="s">
        <v>5</v>
      </c>
      <c r="D699" s="77" t="s">
        <v>1422</v>
      </c>
      <c r="E699" t="s">
        <v>73</v>
      </c>
      <c r="F699" t="s">
        <v>1423</v>
      </c>
      <c r="G699" s="92"/>
      <c r="H699" s="92"/>
      <c r="I699" s="92"/>
      <c r="J699" s="92"/>
      <c r="K699" s="92"/>
      <c r="L699" s="9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15">
      <c r="A700">
        <v>700</v>
      </c>
      <c r="B700" t="s">
        <v>1424</v>
      </c>
      <c r="C700" t="s">
        <v>6</v>
      </c>
      <c r="D700" s="77" t="s">
        <v>1425</v>
      </c>
      <c r="E700" t="s">
        <v>61</v>
      </c>
      <c r="F700" t="s">
        <v>1426</v>
      </c>
      <c r="G700" s="92"/>
      <c r="H700" s="92"/>
      <c r="I700" s="92"/>
      <c r="J700" s="92"/>
      <c r="K700" s="92"/>
      <c r="L700" s="9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15">
      <c r="A701">
        <v>701</v>
      </c>
      <c r="B701" t="s">
        <v>1424</v>
      </c>
      <c r="C701" t="s">
        <v>6</v>
      </c>
      <c r="D701" s="77" t="s">
        <v>1427</v>
      </c>
      <c r="E701" t="s">
        <v>61</v>
      </c>
      <c r="F701" t="s">
        <v>5521</v>
      </c>
      <c r="G701" s="92"/>
      <c r="H701" s="92"/>
      <c r="I701" s="92"/>
      <c r="J701" s="92"/>
      <c r="K701" s="92"/>
      <c r="L701" s="9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15">
      <c r="A702">
        <v>702</v>
      </c>
      <c r="B702" t="s">
        <v>1424</v>
      </c>
      <c r="C702" t="s">
        <v>6</v>
      </c>
      <c r="D702" s="77" t="s">
        <v>1428</v>
      </c>
      <c r="E702" t="s">
        <v>36</v>
      </c>
      <c r="F702" t="s">
        <v>1429</v>
      </c>
      <c r="G702" s="92"/>
      <c r="H702" s="92"/>
      <c r="I702" s="92"/>
      <c r="J702" s="92"/>
      <c r="K702" s="92"/>
      <c r="L702" s="9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15">
      <c r="A703">
        <v>703</v>
      </c>
      <c r="B703" t="s">
        <v>1424</v>
      </c>
      <c r="C703" t="s">
        <v>6</v>
      </c>
      <c r="D703" s="77" t="s">
        <v>1430</v>
      </c>
      <c r="E703" t="s">
        <v>36</v>
      </c>
      <c r="F703" t="s">
        <v>1431</v>
      </c>
      <c r="G703" s="92"/>
      <c r="H703" s="92"/>
      <c r="I703" s="92"/>
      <c r="J703" s="92"/>
      <c r="K703" s="92"/>
      <c r="L703" s="9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15">
      <c r="A704">
        <v>704</v>
      </c>
      <c r="B704" t="s">
        <v>1424</v>
      </c>
      <c r="C704" t="s">
        <v>6</v>
      </c>
      <c r="D704" s="77" t="s">
        <v>1432</v>
      </c>
      <c r="E704" t="s">
        <v>36</v>
      </c>
      <c r="F704" t="s">
        <v>1433</v>
      </c>
      <c r="G704" s="92"/>
      <c r="H704" s="92"/>
      <c r="I704" s="92"/>
      <c r="J704" s="92"/>
      <c r="K704" s="92"/>
      <c r="L704" s="9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15">
      <c r="A705">
        <v>705</v>
      </c>
      <c r="B705" t="s">
        <v>1424</v>
      </c>
      <c r="C705" t="s">
        <v>6</v>
      </c>
      <c r="D705" s="77" t="s">
        <v>1434</v>
      </c>
      <c r="E705" t="s">
        <v>702</v>
      </c>
      <c r="F705" t="s">
        <v>1435</v>
      </c>
      <c r="G705" s="92"/>
      <c r="H705" s="92"/>
      <c r="I705" s="92"/>
      <c r="J705" s="92"/>
      <c r="K705" s="92"/>
      <c r="L705" s="9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15">
      <c r="A706">
        <v>706</v>
      </c>
      <c r="B706" t="s">
        <v>1424</v>
      </c>
      <c r="C706" t="s">
        <v>6</v>
      </c>
      <c r="D706" s="77" t="s">
        <v>1436</v>
      </c>
      <c r="E706" t="s">
        <v>36</v>
      </c>
      <c r="F706" t="s">
        <v>1437</v>
      </c>
      <c r="G706" s="92"/>
      <c r="H706" s="92"/>
      <c r="I706" s="92"/>
      <c r="J706" s="92"/>
      <c r="K706" s="92"/>
      <c r="L706" s="9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15">
      <c r="A707">
        <v>707</v>
      </c>
      <c r="B707" t="s">
        <v>1424</v>
      </c>
      <c r="C707" t="s">
        <v>6</v>
      </c>
      <c r="D707" s="77" t="s">
        <v>1438</v>
      </c>
      <c r="E707" t="s">
        <v>36</v>
      </c>
      <c r="F707" t="s">
        <v>1439</v>
      </c>
      <c r="G707" s="92"/>
      <c r="H707" s="92"/>
      <c r="I707" s="92"/>
      <c r="J707" s="92"/>
      <c r="K707" s="92"/>
      <c r="L707" s="9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15">
      <c r="A708">
        <v>708</v>
      </c>
      <c r="B708" t="s">
        <v>1424</v>
      </c>
      <c r="C708" t="s">
        <v>6</v>
      </c>
      <c r="D708" s="77" t="s">
        <v>1440</v>
      </c>
      <c r="E708" t="s">
        <v>73</v>
      </c>
      <c r="F708" t="s">
        <v>1441</v>
      </c>
      <c r="G708" s="92"/>
      <c r="H708" s="92"/>
      <c r="I708" s="92"/>
      <c r="J708" s="92"/>
      <c r="K708" s="92"/>
      <c r="L708" s="9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15">
      <c r="A709">
        <v>709</v>
      </c>
      <c r="B709" t="s">
        <v>1424</v>
      </c>
      <c r="C709" t="s">
        <v>6</v>
      </c>
      <c r="D709" s="77" t="s">
        <v>1442</v>
      </c>
      <c r="E709" t="s">
        <v>36</v>
      </c>
      <c r="F709" t="s">
        <v>1443</v>
      </c>
      <c r="G709" s="92"/>
      <c r="H709" s="92"/>
      <c r="I709" s="92"/>
      <c r="J709" s="92"/>
      <c r="K709" s="92"/>
      <c r="L709" s="9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15">
      <c r="A710">
        <v>710</v>
      </c>
      <c r="B710" t="s">
        <v>1424</v>
      </c>
      <c r="C710" t="s">
        <v>6</v>
      </c>
      <c r="D710" s="77" t="s">
        <v>1444</v>
      </c>
      <c r="E710" t="s">
        <v>73</v>
      </c>
      <c r="F710" t="s">
        <v>1445</v>
      </c>
      <c r="G710" s="92"/>
      <c r="H710" s="92"/>
      <c r="I710" s="92"/>
      <c r="J710" s="92"/>
      <c r="K710" s="92"/>
      <c r="L710" s="9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15">
      <c r="A711">
        <v>711</v>
      </c>
      <c r="B711" t="s">
        <v>1424</v>
      </c>
      <c r="C711" t="s">
        <v>6</v>
      </c>
      <c r="D711" s="77" t="s">
        <v>1446</v>
      </c>
      <c r="E711" t="s">
        <v>36</v>
      </c>
      <c r="F711" t="s">
        <v>1447</v>
      </c>
      <c r="G711" s="92"/>
      <c r="H711" s="92"/>
      <c r="I711" s="92"/>
      <c r="J711" s="92"/>
      <c r="K711" s="92"/>
      <c r="L711" s="9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15">
      <c r="A712">
        <v>712</v>
      </c>
      <c r="B712" t="s">
        <v>1424</v>
      </c>
      <c r="C712" t="s">
        <v>6</v>
      </c>
      <c r="D712" s="77" t="s">
        <v>1448</v>
      </c>
      <c r="E712" t="s">
        <v>61</v>
      </c>
      <c r="F712" t="s">
        <v>1449</v>
      </c>
      <c r="G712" s="92"/>
      <c r="H712" s="92"/>
      <c r="I712" s="92"/>
      <c r="J712" s="92"/>
      <c r="K712" s="92"/>
      <c r="L712" s="9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15">
      <c r="A713">
        <v>713</v>
      </c>
      <c r="B713" t="s">
        <v>1424</v>
      </c>
      <c r="C713" t="s">
        <v>6</v>
      </c>
      <c r="D713" s="77" t="s">
        <v>1450</v>
      </c>
      <c r="E713" t="s">
        <v>36</v>
      </c>
      <c r="F713" t="s">
        <v>1451</v>
      </c>
      <c r="G713" s="92"/>
      <c r="H713" s="92"/>
      <c r="I713" s="92"/>
      <c r="J713" s="92"/>
      <c r="K713" s="92"/>
      <c r="L713" s="9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15">
      <c r="A714">
        <v>714</v>
      </c>
      <c r="B714" t="s">
        <v>1424</v>
      </c>
      <c r="C714" t="s">
        <v>6</v>
      </c>
      <c r="D714" s="77" t="s">
        <v>1452</v>
      </c>
      <c r="E714" t="s">
        <v>36</v>
      </c>
      <c r="F714" t="s">
        <v>1453</v>
      </c>
      <c r="G714" s="92"/>
      <c r="H714" s="92"/>
      <c r="I714" s="92"/>
      <c r="J714" s="92"/>
      <c r="K714" s="92"/>
      <c r="L714" s="9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15">
      <c r="A715">
        <v>715</v>
      </c>
      <c r="B715" t="s">
        <v>1424</v>
      </c>
      <c r="C715" t="s">
        <v>6</v>
      </c>
      <c r="D715" s="77" t="s">
        <v>1454</v>
      </c>
      <c r="E715" t="s">
        <v>36</v>
      </c>
      <c r="F715" t="s">
        <v>1455</v>
      </c>
      <c r="G715" s="92"/>
      <c r="H715" s="92"/>
      <c r="I715" s="92"/>
      <c r="J715" s="92"/>
      <c r="K715" s="92"/>
      <c r="L715" s="9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15">
      <c r="A716">
        <v>716</v>
      </c>
      <c r="B716" t="s">
        <v>1424</v>
      </c>
      <c r="C716" t="s">
        <v>6</v>
      </c>
      <c r="D716" s="77" t="s">
        <v>1456</v>
      </c>
      <c r="E716" t="s">
        <v>36</v>
      </c>
      <c r="F716" t="s">
        <v>1457</v>
      </c>
      <c r="G716" s="92"/>
      <c r="H716" s="92"/>
      <c r="I716" s="92"/>
      <c r="J716" s="92"/>
      <c r="K716" s="92"/>
      <c r="L716" s="9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15">
      <c r="A717">
        <v>717</v>
      </c>
      <c r="B717" t="s">
        <v>1424</v>
      </c>
      <c r="C717" t="s">
        <v>6</v>
      </c>
      <c r="D717" s="77" t="s">
        <v>1458</v>
      </c>
      <c r="E717" t="s">
        <v>36</v>
      </c>
      <c r="F717" t="s">
        <v>1459</v>
      </c>
      <c r="G717" s="92"/>
      <c r="H717" s="92"/>
      <c r="I717" s="92"/>
      <c r="J717" s="92"/>
      <c r="K717" s="92"/>
      <c r="L717" s="9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15">
      <c r="A718">
        <v>718</v>
      </c>
      <c r="B718" t="s">
        <v>1424</v>
      </c>
      <c r="C718" t="s">
        <v>6</v>
      </c>
      <c r="D718" s="77" t="s">
        <v>1460</v>
      </c>
      <c r="E718" t="s">
        <v>36</v>
      </c>
      <c r="F718" t="s">
        <v>1461</v>
      </c>
      <c r="G718" s="92"/>
      <c r="H718" s="92"/>
      <c r="I718" s="92"/>
      <c r="J718" s="92"/>
      <c r="K718" s="92"/>
      <c r="L718" s="9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15">
      <c r="A719">
        <v>719</v>
      </c>
      <c r="B719" t="s">
        <v>1424</v>
      </c>
      <c r="C719" t="s">
        <v>6</v>
      </c>
      <c r="D719" s="77" t="s">
        <v>1462</v>
      </c>
      <c r="E719" t="s">
        <v>36</v>
      </c>
      <c r="F719" t="s">
        <v>1463</v>
      </c>
      <c r="G719" s="92"/>
      <c r="H719" s="92"/>
      <c r="I719" s="92"/>
      <c r="J719" s="92"/>
      <c r="K719" s="92"/>
      <c r="L719" s="9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15">
      <c r="A720">
        <v>720</v>
      </c>
      <c r="B720" t="s">
        <v>1424</v>
      </c>
      <c r="C720" t="s">
        <v>6</v>
      </c>
      <c r="D720" s="77" t="s">
        <v>1464</v>
      </c>
      <c r="E720" t="s">
        <v>36</v>
      </c>
      <c r="F720" t="s">
        <v>1465</v>
      </c>
      <c r="G720" s="92"/>
      <c r="H720" s="92"/>
      <c r="I720" s="92"/>
      <c r="J720" s="92"/>
      <c r="K720" s="92"/>
      <c r="L720" s="9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15">
      <c r="A721">
        <v>721</v>
      </c>
      <c r="B721" t="s">
        <v>1424</v>
      </c>
      <c r="C721" t="s">
        <v>6</v>
      </c>
      <c r="D721" s="77" t="s">
        <v>1466</v>
      </c>
      <c r="E721" t="s">
        <v>36</v>
      </c>
      <c r="F721" t="s">
        <v>1467</v>
      </c>
      <c r="G721" s="92"/>
      <c r="H721" s="92"/>
      <c r="I721" s="92"/>
      <c r="J721" s="92"/>
      <c r="K721" s="92"/>
      <c r="L721" s="9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15">
      <c r="A722">
        <v>722</v>
      </c>
      <c r="B722" t="s">
        <v>1424</v>
      </c>
      <c r="C722" t="s">
        <v>6</v>
      </c>
      <c r="D722" s="77" t="s">
        <v>1468</v>
      </c>
      <c r="E722" t="s">
        <v>36</v>
      </c>
      <c r="F722" t="s">
        <v>1469</v>
      </c>
      <c r="G722" s="92"/>
      <c r="H722" s="92"/>
      <c r="I722" s="92"/>
      <c r="J722" s="92"/>
      <c r="K722" s="92"/>
      <c r="L722" s="9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15">
      <c r="A723">
        <v>723</v>
      </c>
      <c r="B723" t="s">
        <v>1424</v>
      </c>
      <c r="C723" t="s">
        <v>6</v>
      </c>
      <c r="D723" s="77" t="s">
        <v>1470</v>
      </c>
      <c r="E723" t="s">
        <v>36</v>
      </c>
      <c r="F723" t="s">
        <v>1471</v>
      </c>
      <c r="G723" s="92"/>
      <c r="H723" s="92"/>
      <c r="I723" s="92"/>
      <c r="J723" s="92"/>
      <c r="K723" s="92"/>
      <c r="L723" s="9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15">
      <c r="A724">
        <v>724</v>
      </c>
      <c r="B724" t="s">
        <v>1424</v>
      </c>
      <c r="C724" t="s">
        <v>6</v>
      </c>
      <c r="D724" s="77" t="s">
        <v>1472</v>
      </c>
      <c r="E724" t="s">
        <v>36</v>
      </c>
      <c r="F724" t="s">
        <v>1473</v>
      </c>
      <c r="G724" s="92"/>
      <c r="H724" s="92"/>
      <c r="I724" s="92"/>
      <c r="J724" s="92"/>
      <c r="K724" s="92"/>
      <c r="L724" s="9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15">
      <c r="A725">
        <v>725</v>
      </c>
      <c r="B725" t="s">
        <v>1424</v>
      </c>
      <c r="C725" t="s">
        <v>6</v>
      </c>
      <c r="D725" s="77" t="s">
        <v>1474</v>
      </c>
      <c r="E725" t="s">
        <v>36</v>
      </c>
      <c r="F725" t="s">
        <v>1475</v>
      </c>
      <c r="G725" s="92"/>
      <c r="H725" s="92"/>
      <c r="I725" s="92"/>
      <c r="J725" s="92"/>
      <c r="K725" s="92"/>
      <c r="L725" s="9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15">
      <c r="A726">
        <v>726</v>
      </c>
      <c r="B726" t="s">
        <v>1424</v>
      </c>
      <c r="C726" t="s">
        <v>6</v>
      </c>
      <c r="D726" s="77" t="s">
        <v>1476</v>
      </c>
      <c r="E726" t="s">
        <v>73</v>
      </c>
      <c r="F726" t="s">
        <v>1477</v>
      </c>
      <c r="G726" s="92"/>
      <c r="H726" s="92"/>
      <c r="I726" s="92"/>
      <c r="J726" s="92"/>
      <c r="K726" s="92"/>
      <c r="L726" s="9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15">
      <c r="A727">
        <v>727</v>
      </c>
      <c r="B727" t="s">
        <v>1424</v>
      </c>
      <c r="C727" t="s">
        <v>6</v>
      </c>
      <c r="D727" s="72" t="s">
        <v>5634</v>
      </c>
      <c r="E727" t="s">
        <v>73</v>
      </c>
      <c r="F727" t="s">
        <v>1478</v>
      </c>
      <c r="G727" s="92"/>
      <c r="H727" s="92"/>
      <c r="I727" s="92"/>
      <c r="J727" s="92"/>
      <c r="K727" s="92"/>
      <c r="L727" s="9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15">
      <c r="A728">
        <v>728</v>
      </c>
      <c r="B728" t="s">
        <v>1424</v>
      </c>
      <c r="C728" t="s">
        <v>6</v>
      </c>
      <c r="D728" s="77" t="s">
        <v>1479</v>
      </c>
      <c r="E728" t="s">
        <v>36</v>
      </c>
      <c r="F728" t="s">
        <v>1480</v>
      </c>
      <c r="G728" s="92"/>
      <c r="H728" s="92"/>
      <c r="I728" s="92"/>
      <c r="J728" s="92"/>
      <c r="K728" s="92"/>
      <c r="L728" s="9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15">
      <c r="A729">
        <v>729</v>
      </c>
      <c r="B729" t="s">
        <v>1424</v>
      </c>
      <c r="C729" t="s">
        <v>6</v>
      </c>
      <c r="D729" s="77" t="s">
        <v>1481</v>
      </c>
      <c r="E729" t="s">
        <v>61</v>
      </c>
      <c r="F729" t="s">
        <v>1482</v>
      </c>
      <c r="G729" s="92"/>
      <c r="H729" s="92"/>
      <c r="I729" s="92"/>
      <c r="J729" s="92"/>
      <c r="K729" s="92"/>
      <c r="L729" s="9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15">
      <c r="A730">
        <v>730</v>
      </c>
      <c r="B730" t="s">
        <v>1424</v>
      </c>
      <c r="C730" t="s">
        <v>6</v>
      </c>
      <c r="D730" s="77" t="s">
        <v>1483</v>
      </c>
      <c r="E730" t="s">
        <v>359</v>
      </c>
      <c r="F730" t="s">
        <v>1484</v>
      </c>
      <c r="G730" s="92"/>
      <c r="H730" s="92"/>
      <c r="I730" s="92"/>
      <c r="J730" s="92"/>
      <c r="K730" s="92"/>
      <c r="L730" s="9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15">
      <c r="A731">
        <v>731</v>
      </c>
      <c r="B731" t="s">
        <v>1424</v>
      </c>
      <c r="C731" t="s">
        <v>6</v>
      </c>
      <c r="D731" s="77" t="s">
        <v>1485</v>
      </c>
      <c r="E731" t="s">
        <v>61</v>
      </c>
      <c r="F731" t="s">
        <v>1486</v>
      </c>
      <c r="G731" s="92"/>
      <c r="H731" s="92"/>
      <c r="I731" s="92"/>
      <c r="J731" s="92"/>
      <c r="K731" s="92"/>
      <c r="L731" s="9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15">
      <c r="A732">
        <v>732</v>
      </c>
      <c r="B732" t="s">
        <v>1424</v>
      </c>
      <c r="C732" t="s">
        <v>6</v>
      </c>
      <c r="D732" s="77" t="s">
        <v>1485</v>
      </c>
      <c r="E732" t="s">
        <v>36</v>
      </c>
      <c r="F732" t="s">
        <v>1487</v>
      </c>
      <c r="G732" s="92"/>
      <c r="H732" s="92"/>
      <c r="I732" s="92"/>
      <c r="J732" s="92"/>
      <c r="K732" s="92"/>
      <c r="L732" s="9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15">
      <c r="A733">
        <v>733</v>
      </c>
      <c r="B733" t="s">
        <v>1424</v>
      </c>
      <c r="C733" t="s">
        <v>6</v>
      </c>
      <c r="D733" s="77" t="s">
        <v>1488</v>
      </c>
      <c r="E733" t="s">
        <v>61</v>
      </c>
      <c r="F733" t="s">
        <v>1489</v>
      </c>
      <c r="G733" s="92"/>
      <c r="H733" s="92"/>
      <c r="I733" s="92"/>
      <c r="J733" s="92"/>
      <c r="K733" s="92"/>
      <c r="L733" s="9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15">
      <c r="A734">
        <v>734</v>
      </c>
      <c r="B734" t="s">
        <v>1424</v>
      </c>
      <c r="C734" t="s">
        <v>6</v>
      </c>
      <c r="D734" s="77" t="s">
        <v>1490</v>
      </c>
      <c r="E734" t="s">
        <v>702</v>
      </c>
      <c r="F734" t="s">
        <v>1491</v>
      </c>
      <c r="G734" s="92"/>
      <c r="H734" s="92"/>
      <c r="I734" s="92"/>
      <c r="J734" s="92"/>
      <c r="K734" s="92"/>
      <c r="L734" s="9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15">
      <c r="A735">
        <v>735</v>
      </c>
      <c r="B735" t="s">
        <v>1424</v>
      </c>
      <c r="C735" t="s">
        <v>6</v>
      </c>
      <c r="D735" s="77" t="s">
        <v>1492</v>
      </c>
      <c r="E735" t="s">
        <v>61</v>
      </c>
      <c r="F735" t="s">
        <v>1493</v>
      </c>
      <c r="G735" s="92"/>
      <c r="H735" s="92"/>
      <c r="I735" s="92"/>
      <c r="J735" s="92"/>
      <c r="K735" s="92"/>
      <c r="L735" s="9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15">
      <c r="A736">
        <v>736</v>
      </c>
      <c r="B736" t="s">
        <v>1424</v>
      </c>
      <c r="C736" t="s">
        <v>6</v>
      </c>
      <c r="D736" s="77" t="s">
        <v>1223</v>
      </c>
      <c r="E736" t="s">
        <v>61</v>
      </c>
      <c r="F736" t="s">
        <v>5522</v>
      </c>
      <c r="G736" s="92"/>
      <c r="H736" s="92"/>
      <c r="I736" s="92"/>
      <c r="J736" s="92"/>
      <c r="K736" s="92"/>
      <c r="L736" s="9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15">
      <c r="A737">
        <v>737</v>
      </c>
      <c r="B737" t="s">
        <v>1424</v>
      </c>
      <c r="C737" t="s">
        <v>6</v>
      </c>
      <c r="D737" s="77" t="s">
        <v>1494</v>
      </c>
      <c r="E737" t="s">
        <v>36</v>
      </c>
      <c r="F737" t="s">
        <v>1495</v>
      </c>
      <c r="G737" s="92"/>
      <c r="H737" s="92"/>
      <c r="I737" s="92"/>
      <c r="J737" s="92"/>
      <c r="K737" s="92"/>
      <c r="L737" s="9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15">
      <c r="A738">
        <v>738</v>
      </c>
      <c r="B738" t="s">
        <v>1424</v>
      </c>
      <c r="C738" t="s">
        <v>6</v>
      </c>
      <c r="D738" s="77" t="s">
        <v>1496</v>
      </c>
      <c r="E738" t="s">
        <v>36</v>
      </c>
      <c r="F738" t="s">
        <v>1497</v>
      </c>
      <c r="G738" s="92"/>
      <c r="H738" s="92"/>
      <c r="I738" s="92"/>
      <c r="J738" s="92"/>
      <c r="K738" s="92"/>
      <c r="L738" s="9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15">
      <c r="A739">
        <v>739</v>
      </c>
      <c r="B739" t="s">
        <v>1424</v>
      </c>
      <c r="C739" t="s">
        <v>6</v>
      </c>
      <c r="D739" s="77" t="s">
        <v>1498</v>
      </c>
      <c r="E739" t="s">
        <v>36</v>
      </c>
      <c r="F739" t="s">
        <v>1499</v>
      </c>
      <c r="G739" s="92"/>
      <c r="H739" s="92"/>
      <c r="I739" s="92"/>
      <c r="J739" s="92"/>
      <c r="K739" s="92"/>
      <c r="L739" s="9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15">
      <c r="A740">
        <v>740</v>
      </c>
      <c r="B740" t="s">
        <v>1424</v>
      </c>
      <c r="C740" t="s">
        <v>6</v>
      </c>
      <c r="D740" s="77" t="s">
        <v>1212</v>
      </c>
      <c r="E740" t="s">
        <v>36</v>
      </c>
      <c r="F740" t="s">
        <v>1213</v>
      </c>
      <c r="G740" s="92"/>
      <c r="H740" s="92"/>
      <c r="I740" s="92"/>
      <c r="J740" s="92"/>
      <c r="K740" s="92"/>
      <c r="L740" s="9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15">
      <c r="A741">
        <v>741</v>
      </c>
      <c r="B741" t="s">
        <v>1424</v>
      </c>
      <c r="C741" t="s">
        <v>6</v>
      </c>
      <c r="D741" s="77" t="s">
        <v>1212</v>
      </c>
      <c r="E741" t="s">
        <v>61</v>
      </c>
      <c r="F741" t="s">
        <v>1500</v>
      </c>
      <c r="G741" s="92"/>
      <c r="H741" s="92"/>
      <c r="I741" s="92"/>
      <c r="J741" s="92"/>
      <c r="K741" s="92"/>
      <c r="L741" s="9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15">
      <c r="A742">
        <v>742</v>
      </c>
      <c r="B742" t="s">
        <v>1424</v>
      </c>
      <c r="C742" t="s">
        <v>6</v>
      </c>
      <c r="D742" s="77" t="s">
        <v>1501</v>
      </c>
      <c r="E742" t="s">
        <v>36</v>
      </c>
      <c r="F742" t="s">
        <v>1502</v>
      </c>
      <c r="G742" s="92"/>
      <c r="H742" s="92"/>
      <c r="I742" s="92"/>
      <c r="J742" s="92"/>
      <c r="K742" s="92"/>
      <c r="L742" s="9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15">
      <c r="A743">
        <v>743</v>
      </c>
      <c r="B743" t="s">
        <v>1424</v>
      </c>
      <c r="C743" t="s">
        <v>6</v>
      </c>
      <c r="D743" s="77" t="s">
        <v>1503</v>
      </c>
      <c r="E743" t="s">
        <v>36</v>
      </c>
      <c r="F743" t="s">
        <v>310</v>
      </c>
      <c r="G743" s="92"/>
      <c r="H743" s="92"/>
      <c r="I743" s="92"/>
      <c r="J743" s="92"/>
      <c r="K743" s="92"/>
      <c r="L743" s="9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15">
      <c r="A744">
        <v>744</v>
      </c>
      <c r="B744" t="s">
        <v>1424</v>
      </c>
      <c r="C744" t="s">
        <v>6</v>
      </c>
      <c r="D744" s="77" t="s">
        <v>1504</v>
      </c>
      <c r="E744" t="s">
        <v>736</v>
      </c>
      <c r="F744" t="s">
        <v>1505</v>
      </c>
      <c r="G744" s="92"/>
      <c r="H744" s="92"/>
      <c r="I744" s="92"/>
      <c r="J744" s="92"/>
      <c r="K744" s="92"/>
      <c r="L744" s="9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15">
      <c r="A745">
        <v>745</v>
      </c>
      <c r="B745" t="s">
        <v>1424</v>
      </c>
      <c r="C745" t="s">
        <v>6</v>
      </c>
      <c r="D745" s="77" t="s">
        <v>1506</v>
      </c>
      <c r="E745" t="s">
        <v>73</v>
      </c>
      <c r="F745" t="s">
        <v>1507</v>
      </c>
      <c r="G745" s="92"/>
      <c r="H745" s="92"/>
      <c r="I745" s="92"/>
      <c r="J745" s="92"/>
      <c r="K745" s="92"/>
      <c r="L745" s="9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15">
      <c r="A746">
        <v>746</v>
      </c>
      <c r="B746" t="s">
        <v>1424</v>
      </c>
      <c r="C746" t="s">
        <v>6</v>
      </c>
      <c r="D746" s="77" t="s">
        <v>277</v>
      </c>
      <c r="E746" t="s">
        <v>36</v>
      </c>
      <c r="F746" t="s">
        <v>1508</v>
      </c>
      <c r="G746" s="92"/>
      <c r="H746" s="92"/>
      <c r="I746" s="92"/>
      <c r="J746" s="92"/>
      <c r="K746" s="92"/>
      <c r="L746" s="9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15">
      <c r="A747">
        <v>747</v>
      </c>
      <c r="B747" t="s">
        <v>1424</v>
      </c>
      <c r="C747" t="s">
        <v>6</v>
      </c>
      <c r="D747" s="77" t="s">
        <v>338</v>
      </c>
      <c r="E747" t="s">
        <v>36</v>
      </c>
      <c r="F747" t="s">
        <v>1509</v>
      </c>
      <c r="G747" s="92"/>
      <c r="H747" s="92"/>
      <c r="I747" s="92"/>
      <c r="J747" s="92"/>
      <c r="K747" s="92"/>
      <c r="L747" s="9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15">
      <c r="A748">
        <v>748</v>
      </c>
      <c r="B748" t="s">
        <v>1424</v>
      </c>
      <c r="C748" t="s">
        <v>6</v>
      </c>
      <c r="D748" s="77" t="s">
        <v>1510</v>
      </c>
      <c r="E748" t="s">
        <v>1019</v>
      </c>
      <c r="F748" t="s">
        <v>1511</v>
      </c>
      <c r="G748" s="92"/>
      <c r="H748" s="92"/>
      <c r="I748" s="92"/>
      <c r="J748" s="92"/>
      <c r="K748" s="92"/>
      <c r="L748" s="9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15">
      <c r="A749">
        <v>749</v>
      </c>
      <c r="B749" t="s">
        <v>1424</v>
      </c>
      <c r="C749" t="s">
        <v>6</v>
      </c>
      <c r="D749" s="77" t="s">
        <v>1512</v>
      </c>
      <c r="E749" t="s">
        <v>36</v>
      </c>
      <c r="F749" t="s">
        <v>1513</v>
      </c>
      <c r="G749" s="92"/>
      <c r="H749" s="92"/>
      <c r="I749" s="92"/>
      <c r="J749" s="92"/>
      <c r="K749" s="92"/>
      <c r="L749" s="9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15">
      <c r="A750">
        <v>750</v>
      </c>
      <c r="B750" t="s">
        <v>1424</v>
      </c>
      <c r="C750" t="s">
        <v>6</v>
      </c>
      <c r="D750" s="77" t="s">
        <v>1514</v>
      </c>
      <c r="E750" t="s">
        <v>702</v>
      </c>
      <c r="F750" t="s">
        <v>1515</v>
      </c>
      <c r="G750" s="92"/>
      <c r="H750" s="92"/>
      <c r="I750" s="92"/>
      <c r="J750" s="92"/>
      <c r="K750" s="92"/>
      <c r="L750" s="9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15">
      <c r="A751">
        <v>751</v>
      </c>
      <c r="B751" t="s">
        <v>1424</v>
      </c>
      <c r="C751" t="s">
        <v>6</v>
      </c>
      <c r="D751" s="77" t="s">
        <v>1516</v>
      </c>
      <c r="E751" t="s">
        <v>73</v>
      </c>
      <c r="F751" t="s">
        <v>1517</v>
      </c>
      <c r="G751" s="92"/>
      <c r="H751" s="92"/>
      <c r="I751" s="92"/>
      <c r="J751" s="92"/>
      <c r="K751" s="92"/>
      <c r="L751" s="9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15">
      <c r="A752">
        <v>752</v>
      </c>
      <c r="B752" t="s">
        <v>1424</v>
      </c>
      <c r="C752" t="s">
        <v>6</v>
      </c>
      <c r="D752" s="77" t="s">
        <v>1518</v>
      </c>
      <c r="E752" t="s">
        <v>36</v>
      </c>
      <c r="F752" t="s">
        <v>5503</v>
      </c>
      <c r="G752" s="92"/>
      <c r="H752" s="92"/>
      <c r="I752" s="92"/>
      <c r="J752" s="92"/>
      <c r="K752" s="92"/>
      <c r="L752" s="9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15">
      <c r="A753">
        <v>753</v>
      </c>
      <c r="B753" t="s">
        <v>1424</v>
      </c>
      <c r="C753" t="s">
        <v>6</v>
      </c>
      <c r="D753" s="77" t="s">
        <v>1519</v>
      </c>
      <c r="E753" t="s">
        <v>73</v>
      </c>
      <c r="F753" t="s">
        <v>1520</v>
      </c>
      <c r="G753" s="92"/>
      <c r="H753" s="92"/>
      <c r="I753" s="92"/>
      <c r="J753" s="92"/>
      <c r="K753" s="92"/>
      <c r="L753" s="9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15">
      <c r="A754">
        <v>754</v>
      </c>
      <c r="B754" t="s">
        <v>1424</v>
      </c>
      <c r="C754" t="s">
        <v>6</v>
      </c>
      <c r="D754" s="77" t="s">
        <v>1050</v>
      </c>
      <c r="E754" t="s">
        <v>61</v>
      </c>
      <c r="F754" t="s">
        <v>1521</v>
      </c>
      <c r="G754" s="92"/>
      <c r="H754" s="92"/>
      <c r="I754" s="92"/>
      <c r="J754" s="92"/>
      <c r="K754" s="92"/>
      <c r="L754" s="9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15">
      <c r="A755">
        <v>755</v>
      </c>
      <c r="B755" t="s">
        <v>1424</v>
      </c>
      <c r="C755" t="s">
        <v>6</v>
      </c>
      <c r="D755" s="77" t="s">
        <v>1522</v>
      </c>
      <c r="E755" t="s">
        <v>702</v>
      </c>
      <c r="F755" t="s">
        <v>1523</v>
      </c>
      <c r="G755" s="92"/>
      <c r="H755" s="92"/>
      <c r="I755" s="92"/>
      <c r="J755" s="92"/>
      <c r="K755" s="92"/>
      <c r="L755" s="9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15">
      <c r="A756">
        <v>756</v>
      </c>
      <c r="B756" t="s">
        <v>1424</v>
      </c>
      <c r="C756" t="s">
        <v>6</v>
      </c>
      <c r="D756" s="77" t="s">
        <v>1524</v>
      </c>
      <c r="E756" t="s">
        <v>36</v>
      </c>
      <c r="F756" t="s">
        <v>1525</v>
      </c>
      <c r="G756" s="92"/>
      <c r="H756" s="92"/>
      <c r="I756" s="92"/>
      <c r="J756" s="92"/>
      <c r="K756" s="92"/>
      <c r="L756" s="9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15">
      <c r="A757">
        <v>757</v>
      </c>
      <c r="B757" t="s">
        <v>1424</v>
      </c>
      <c r="C757" t="s">
        <v>6</v>
      </c>
      <c r="D757" s="77" t="s">
        <v>1526</v>
      </c>
      <c r="E757" t="s">
        <v>1019</v>
      </c>
      <c r="F757" t="s">
        <v>1527</v>
      </c>
      <c r="G757" s="92"/>
      <c r="H757" s="92"/>
      <c r="I757" s="92"/>
      <c r="J757" s="92"/>
      <c r="K757" s="92"/>
      <c r="L757" s="9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15">
      <c r="A758">
        <v>758</v>
      </c>
      <c r="B758" t="s">
        <v>1424</v>
      </c>
      <c r="C758" t="s">
        <v>6</v>
      </c>
      <c r="D758" s="77" t="s">
        <v>1528</v>
      </c>
      <c r="E758" t="s">
        <v>61</v>
      </c>
      <c r="F758" t="s">
        <v>1529</v>
      </c>
      <c r="G758" s="92"/>
      <c r="H758" s="92"/>
      <c r="I758" s="92"/>
      <c r="J758" s="92"/>
      <c r="K758" s="92"/>
      <c r="L758" s="9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15">
      <c r="A759">
        <v>759</v>
      </c>
      <c r="B759" t="s">
        <v>1424</v>
      </c>
      <c r="C759" t="s">
        <v>6</v>
      </c>
      <c r="D759" s="77" t="s">
        <v>1530</v>
      </c>
      <c r="E759" t="s">
        <v>36</v>
      </c>
      <c r="F759" t="s">
        <v>1531</v>
      </c>
      <c r="G759" s="92"/>
      <c r="H759" s="92"/>
      <c r="I759" s="92"/>
      <c r="J759" s="92"/>
      <c r="K759" s="92"/>
      <c r="L759" s="9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15">
      <c r="A760">
        <v>760</v>
      </c>
      <c r="B760" t="s">
        <v>1424</v>
      </c>
      <c r="C760" t="s">
        <v>6</v>
      </c>
      <c r="D760" s="77" t="s">
        <v>1532</v>
      </c>
      <c r="E760" t="s">
        <v>36</v>
      </c>
      <c r="F760" t="s">
        <v>1322</v>
      </c>
      <c r="G760" s="92"/>
      <c r="H760" s="92"/>
      <c r="I760" s="92"/>
      <c r="J760" s="92"/>
      <c r="K760" s="92"/>
      <c r="L760" s="9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15">
      <c r="A761">
        <v>761</v>
      </c>
      <c r="B761" t="s">
        <v>1424</v>
      </c>
      <c r="C761" t="s">
        <v>6</v>
      </c>
      <c r="D761" s="77" t="s">
        <v>1119</v>
      </c>
      <c r="E761" t="s">
        <v>36</v>
      </c>
      <c r="F761" t="s">
        <v>1533</v>
      </c>
      <c r="G761" s="92"/>
      <c r="H761" s="92"/>
      <c r="I761" s="92"/>
      <c r="J761" s="92"/>
      <c r="K761" s="92"/>
      <c r="L761" s="9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15">
      <c r="A762">
        <v>762</v>
      </c>
      <c r="B762" t="s">
        <v>1424</v>
      </c>
      <c r="C762" t="s">
        <v>6</v>
      </c>
      <c r="D762" s="77" t="s">
        <v>1534</v>
      </c>
      <c r="E762" t="s">
        <v>36</v>
      </c>
      <c r="F762" t="s">
        <v>1535</v>
      </c>
      <c r="G762" s="92"/>
      <c r="H762" s="92"/>
      <c r="I762" s="92"/>
      <c r="J762" s="92"/>
      <c r="K762" s="92"/>
      <c r="L762" s="9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15">
      <c r="A763">
        <v>763</v>
      </c>
      <c r="B763" t="s">
        <v>1424</v>
      </c>
      <c r="C763" t="s">
        <v>6</v>
      </c>
      <c r="D763" s="77" t="s">
        <v>1536</v>
      </c>
      <c r="E763" t="s">
        <v>36</v>
      </c>
      <c r="F763" t="s">
        <v>1537</v>
      </c>
      <c r="G763" s="92"/>
      <c r="H763" s="92"/>
      <c r="I763" s="92"/>
      <c r="J763" s="92"/>
      <c r="K763" s="92"/>
      <c r="L763" s="9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15">
      <c r="A764">
        <v>764</v>
      </c>
      <c r="B764" t="s">
        <v>1424</v>
      </c>
      <c r="C764" t="s">
        <v>6</v>
      </c>
      <c r="D764" s="77" t="s">
        <v>1538</v>
      </c>
      <c r="E764" t="s">
        <v>36</v>
      </c>
      <c r="F764" t="s">
        <v>1539</v>
      </c>
      <c r="G764" s="92"/>
      <c r="H764" s="92"/>
      <c r="I764" s="92"/>
      <c r="J764" s="92"/>
      <c r="K764" s="92"/>
      <c r="L764" s="9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15">
      <c r="A765">
        <v>765</v>
      </c>
      <c r="B765" t="s">
        <v>1424</v>
      </c>
      <c r="C765" t="s">
        <v>6</v>
      </c>
      <c r="D765" s="77" t="s">
        <v>1540</v>
      </c>
      <c r="E765" t="s">
        <v>36</v>
      </c>
      <c r="F765" t="s">
        <v>1541</v>
      </c>
      <c r="G765" s="92"/>
      <c r="H765" s="92"/>
      <c r="I765" s="92"/>
      <c r="J765" s="92"/>
      <c r="K765" s="92"/>
      <c r="L765" s="9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15">
      <c r="A766">
        <v>766</v>
      </c>
      <c r="B766" t="s">
        <v>1424</v>
      </c>
      <c r="C766" t="s">
        <v>6</v>
      </c>
      <c r="D766" s="77" t="s">
        <v>1542</v>
      </c>
      <c r="E766" t="s">
        <v>36</v>
      </c>
      <c r="F766" t="s">
        <v>1543</v>
      </c>
      <c r="G766" s="92"/>
      <c r="H766" s="92"/>
      <c r="I766" s="92"/>
      <c r="J766" s="92"/>
      <c r="K766" s="92"/>
      <c r="L766" s="9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15">
      <c r="A767">
        <v>767</v>
      </c>
      <c r="B767" t="s">
        <v>1424</v>
      </c>
      <c r="C767" t="s">
        <v>6</v>
      </c>
      <c r="D767" s="77" t="s">
        <v>1544</v>
      </c>
      <c r="E767" t="s">
        <v>36</v>
      </c>
      <c r="F767" t="s">
        <v>1545</v>
      </c>
      <c r="G767" s="92"/>
      <c r="H767" s="92"/>
      <c r="I767" s="92"/>
      <c r="J767" s="92"/>
      <c r="K767" s="92"/>
      <c r="L767" s="9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15">
      <c r="A768">
        <v>768</v>
      </c>
      <c r="B768" t="s">
        <v>1424</v>
      </c>
      <c r="C768" t="s">
        <v>6</v>
      </c>
      <c r="D768" s="77" t="s">
        <v>1149</v>
      </c>
      <c r="E768" t="s">
        <v>61</v>
      </c>
      <c r="F768" t="s">
        <v>1150</v>
      </c>
      <c r="G768" s="92"/>
      <c r="H768" s="92"/>
      <c r="I768" s="92"/>
      <c r="J768" s="92"/>
      <c r="K768" s="92"/>
      <c r="L768" s="9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15">
      <c r="A769">
        <v>769</v>
      </c>
      <c r="B769" t="s">
        <v>1424</v>
      </c>
      <c r="C769" t="s">
        <v>6</v>
      </c>
      <c r="D769" s="77" t="s">
        <v>1546</v>
      </c>
      <c r="E769" t="s">
        <v>36</v>
      </c>
      <c r="F769" t="s">
        <v>1547</v>
      </c>
      <c r="G769" s="92"/>
      <c r="H769" s="92"/>
      <c r="I769" s="92"/>
      <c r="J769" s="92"/>
      <c r="K769" s="92"/>
      <c r="L769" s="9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15">
      <c r="A770">
        <v>770</v>
      </c>
      <c r="B770" t="s">
        <v>1424</v>
      </c>
      <c r="C770" t="s">
        <v>6</v>
      </c>
      <c r="D770" s="77" t="s">
        <v>951</v>
      </c>
      <c r="E770" t="s">
        <v>36</v>
      </c>
      <c r="F770" t="s">
        <v>1548</v>
      </c>
      <c r="G770" s="92"/>
      <c r="H770" s="92"/>
      <c r="I770" s="92"/>
      <c r="J770" s="92"/>
      <c r="K770" s="92"/>
      <c r="L770" s="9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15">
      <c r="A771">
        <v>771</v>
      </c>
      <c r="B771" t="s">
        <v>1424</v>
      </c>
      <c r="C771" t="s">
        <v>6</v>
      </c>
      <c r="D771" s="77" t="s">
        <v>1549</v>
      </c>
      <c r="E771" t="s">
        <v>36</v>
      </c>
      <c r="F771" t="s">
        <v>1550</v>
      </c>
      <c r="G771" s="92"/>
      <c r="H771" s="92"/>
      <c r="I771" s="92"/>
      <c r="J771" s="92"/>
      <c r="K771" s="92"/>
      <c r="L771" s="9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15">
      <c r="A772">
        <v>772</v>
      </c>
      <c r="B772" t="s">
        <v>1424</v>
      </c>
      <c r="C772" t="s">
        <v>6</v>
      </c>
      <c r="D772" s="77" t="s">
        <v>1551</v>
      </c>
      <c r="E772" t="s">
        <v>36</v>
      </c>
      <c r="F772" t="s">
        <v>1552</v>
      </c>
      <c r="G772" s="92"/>
      <c r="H772" s="92"/>
      <c r="I772" s="92"/>
      <c r="J772" s="92"/>
      <c r="K772" s="92"/>
      <c r="L772" s="9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15">
      <c r="A773">
        <v>773</v>
      </c>
      <c r="B773" t="s">
        <v>1424</v>
      </c>
      <c r="C773" t="s">
        <v>6</v>
      </c>
      <c r="D773" s="77" t="s">
        <v>1553</v>
      </c>
      <c r="E773" t="s">
        <v>36</v>
      </c>
      <c r="F773" t="s">
        <v>1554</v>
      </c>
      <c r="G773" s="92"/>
      <c r="H773" s="92"/>
      <c r="I773" s="92"/>
      <c r="J773" s="92"/>
      <c r="K773" s="92"/>
      <c r="L773" s="9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15">
      <c r="A774">
        <v>774</v>
      </c>
      <c r="B774" t="s">
        <v>1424</v>
      </c>
      <c r="C774" t="s">
        <v>6</v>
      </c>
      <c r="D774" s="77" t="s">
        <v>1553</v>
      </c>
      <c r="E774" t="s">
        <v>73</v>
      </c>
      <c r="F774" t="s">
        <v>1555</v>
      </c>
      <c r="G774" s="92"/>
      <c r="H774" s="92"/>
      <c r="I774" s="92"/>
      <c r="J774" s="92"/>
      <c r="K774" s="92"/>
      <c r="L774" s="9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15">
      <c r="A775">
        <v>775</v>
      </c>
      <c r="B775" t="s">
        <v>1424</v>
      </c>
      <c r="C775" t="s">
        <v>6</v>
      </c>
      <c r="D775" s="77" t="s">
        <v>1556</v>
      </c>
      <c r="E775" t="s">
        <v>36</v>
      </c>
      <c r="F775" t="s">
        <v>1557</v>
      </c>
      <c r="G775" s="92"/>
      <c r="H775" s="92"/>
      <c r="I775" s="92"/>
      <c r="J775" s="92"/>
      <c r="K775" s="92"/>
      <c r="L775" s="9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15">
      <c r="A776">
        <v>776</v>
      </c>
      <c r="B776" t="s">
        <v>1424</v>
      </c>
      <c r="C776" t="s">
        <v>6</v>
      </c>
      <c r="D776" s="77" t="s">
        <v>1558</v>
      </c>
      <c r="E776" t="s">
        <v>702</v>
      </c>
      <c r="F776" t="s">
        <v>1559</v>
      </c>
      <c r="G776" s="92"/>
      <c r="H776" s="92"/>
      <c r="I776" s="92"/>
      <c r="J776" s="92"/>
      <c r="K776" s="92"/>
      <c r="L776" s="9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15">
      <c r="A777">
        <v>777</v>
      </c>
      <c r="B777" t="s">
        <v>1424</v>
      </c>
      <c r="C777" t="s">
        <v>6</v>
      </c>
      <c r="D777" s="77" t="s">
        <v>1560</v>
      </c>
      <c r="E777" t="s">
        <v>36</v>
      </c>
      <c r="F777" t="s">
        <v>1561</v>
      </c>
      <c r="G777" s="92"/>
      <c r="H777" s="92"/>
      <c r="I777" s="92"/>
      <c r="J777" s="92"/>
      <c r="K777" s="92"/>
      <c r="L777" s="9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15">
      <c r="A778">
        <v>778</v>
      </c>
      <c r="B778" t="s">
        <v>1424</v>
      </c>
      <c r="C778" t="s">
        <v>6</v>
      </c>
      <c r="D778" s="77" t="s">
        <v>1562</v>
      </c>
      <c r="E778" t="s">
        <v>36</v>
      </c>
      <c r="F778" t="s">
        <v>1563</v>
      </c>
      <c r="G778" s="92"/>
      <c r="H778" s="92"/>
      <c r="I778" s="92"/>
      <c r="J778" s="92"/>
      <c r="K778" s="92"/>
      <c r="L778" s="9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15">
      <c r="A779">
        <v>779</v>
      </c>
      <c r="B779" t="s">
        <v>1424</v>
      </c>
      <c r="C779" t="s">
        <v>6</v>
      </c>
      <c r="D779" s="77" t="s">
        <v>1564</v>
      </c>
      <c r="E779" t="s">
        <v>36</v>
      </c>
      <c r="F779" t="s">
        <v>1565</v>
      </c>
      <c r="G779" s="92"/>
      <c r="H779" s="92"/>
      <c r="I779" s="92"/>
      <c r="J779" s="92"/>
      <c r="K779" s="92"/>
      <c r="L779" s="9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15">
      <c r="A780">
        <v>780</v>
      </c>
      <c r="B780" t="s">
        <v>1424</v>
      </c>
      <c r="C780" t="s">
        <v>7</v>
      </c>
      <c r="D780" s="77" t="s">
        <v>1566</v>
      </c>
      <c r="E780" t="s">
        <v>36</v>
      </c>
      <c r="F780" t="s">
        <v>1567</v>
      </c>
      <c r="G780" s="92"/>
      <c r="H780" s="92"/>
      <c r="I780" s="92"/>
      <c r="J780" s="92"/>
      <c r="K780" s="92"/>
      <c r="L780" s="9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15">
      <c r="A781">
        <v>781</v>
      </c>
      <c r="B781" t="s">
        <v>1424</v>
      </c>
      <c r="C781" t="s">
        <v>7</v>
      </c>
      <c r="D781" s="77" t="s">
        <v>1568</v>
      </c>
      <c r="E781" t="s">
        <v>36</v>
      </c>
      <c r="F781" t="s">
        <v>1569</v>
      </c>
      <c r="G781" s="92"/>
      <c r="H781" s="92"/>
      <c r="I781" s="92"/>
      <c r="J781" s="92"/>
      <c r="K781" s="92"/>
      <c r="L781" s="9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15">
      <c r="A782">
        <v>782</v>
      </c>
      <c r="B782" t="s">
        <v>1424</v>
      </c>
      <c r="C782" t="s">
        <v>7</v>
      </c>
      <c r="D782" s="77" t="s">
        <v>1570</v>
      </c>
      <c r="E782" t="s">
        <v>36</v>
      </c>
      <c r="F782" t="s">
        <v>1571</v>
      </c>
      <c r="G782" s="92"/>
      <c r="H782" s="92"/>
      <c r="I782" s="92"/>
      <c r="J782" s="92"/>
      <c r="K782" s="92"/>
      <c r="L782" s="9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15">
      <c r="A783">
        <v>783</v>
      </c>
      <c r="B783" t="s">
        <v>1424</v>
      </c>
      <c r="C783" t="s">
        <v>7</v>
      </c>
      <c r="D783" s="77" t="s">
        <v>1572</v>
      </c>
      <c r="E783" t="s">
        <v>36</v>
      </c>
      <c r="F783" t="s">
        <v>1573</v>
      </c>
      <c r="G783" s="92"/>
      <c r="H783" s="92"/>
      <c r="I783" s="92"/>
      <c r="J783" s="92"/>
      <c r="K783" s="92"/>
      <c r="L783" s="9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15">
      <c r="A784">
        <v>784</v>
      </c>
      <c r="B784" t="s">
        <v>1424</v>
      </c>
      <c r="C784" t="s">
        <v>7</v>
      </c>
      <c r="D784" s="77" t="s">
        <v>1574</v>
      </c>
      <c r="E784" t="s">
        <v>36</v>
      </c>
      <c r="F784" t="s">
        <v>1575</v>
      </c>
      <c r="G784" s="92"/>
      <c r="H784" s="92"/>
      <c r="I784" s="92"/>
      <c r="J784" s="92"/>
      <c r="K784" s="92"/>
      <c r="L784" s="9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15">
      <c r="A785">
        <v>785</v>
      </c>
      <c r="B785" t="s">
        <v>1424</v>
      </c>
      <c r="C785" t="s">
        <v>7</v>
      </c>
      <c r="D785" s="77" t="s">
        <v>1576</v>
      </c>
      <c r="E785" t="s">
        <v>61</v>
      </c>
      <c r="F785" t="s">
        <v>1577</v>
      </c>
      <c r="G785" s="92"/>
      <c r="H785" s="92"/>
      <c r="I785" s="92"/>
      <c r="J785" s="92"/>
      <c r="K785" s="92"/>
      <c r="L785" s="9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15">
      <c r="A786">
        <v>786</v>
      </c>
      <c r="B786" t="s">
        <v>1424</v>
      </c>
      <c r="C786" t="s">
        <v>7</v>
      </c>
      <c r="D786" s="77" t="s">
        <v>1578</v>
      </c>
      <c r="E786" t="s">
        <v>36</v>
      </c>
      <c r="F786" t="s">
        <v>1579</v>
      </c>
      <c r="G786" s="92"/>
      <c r="H786" s="92"/>
      <c r="I786" s="92"/>
      <c r="J786" s="92"/>
      <c r="K786" s="92"/>
      <c r="L786" s="9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15">
      <c r="A787">
        <v>787</v>
      </c>
      <c r="B787" t="s">
        <v>1424</v>
      </c>
      <c r="C787" t="s">
        <v>7</v>
      </c>
      <c r="D787" s="77" t="s">
        <v>1580</v>
      </c>
      <c r="E787" t="s">
        <v>36</v>
      </c>
      <c r="F787" t="s">
        <v>1581</v>
      </c>
      <c r="G787" s="92"/>
      <c r="H787" s="92"/>
      <c r="I787" s="92"/>
      <c r="J787" s="92"/>
      <c r="K787" s="92"/>
      <c r="L787" s="9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15">
      <c r="A788">
        <v>788</v>
      </c>
      <c r="B788" t="s">
        <v>1424</v>
      </c>
      <c r="C788" t="s">
        <v>7</v>
      </c>
      <c r="D788" s="77" t="s">
        <v>1582</v>
      </c>
      <c r="E788" t="s">
        <v>36</v>
      </c>
      <c r="F788" t="s">
        <v>1583</v>
      </c>
      <c r="G788" s="92"/>
      <c r="H788" s="92"/>
      <c r="I788" s="92"/>
      <c r="J788" s="92"/>
      <c r="K788" s="92"/>
      <c r="L788" s="9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15">
      <c r="A789">
        <v>789</v>
      </c>
      <c r="B789" t="s">
        <v>1424</v>
      </c>
      <c r="C789" t="s">
        <v>7</v>
      </c>
      <c r="D789" s="77" t="s">
        <v>1584</v>
      </c>
      <c r="E789" t="s">
        <v>61</v>
      </c>
      <c r="F789" t="s">
        <v>1585</v>
      </c>
      <c r="G789" s="92"/>
      <c r="H789" s="92"/>
      <c r="I789" s="92"/>
      <c r="J789" s="92"/>
      <c r="K789" s="92"/>
      <c r="L789" s="9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15">
      <c r="A790">
        <v>790</v>
      </c>
      <c r="B790" t="s">
        <v>1424</v>
      </c>
      <c r="C790" t="s">
        <v>7</v>
      </c>
      <c r="D790" s="77" t="s">
        <v>1586</v>
      </c>
      <c r="E790" t="s">
        <v>36</v>
      </c>
      <c r="F790" t="s">
        <v>1587</v>
      </c>
      <c r="G790" s="92"/>
      <c r="H790" s="92"/>
      <c r="I790" s="92"/>
      <c r="J790" s="92"/>
      <c r="K790" s="92"/>
      <c r="L790" s="9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15">
      <c r="A791">
        <v>791</v>
      </c>
      <c r="B791" t="s">
        <v>1424</v>
      </c>
      <c r="C791" t="s">
        <v>7</v>
      </c>
      <c r="D791" s="77" t="s">
        <v>1588</v>
      </c>
      <c r="E791" t="s">
        <v>36</v>
      </c>
      <c r="F791" t="s">
        <v>1589</v>
      </c>
      <c r="G791" s="92"/>
      <c r="H791" s="92"/>
      <c r="I791" s="92"/>
      <c r="J791" s="92"/>
      <c r="K791" s="92"/>
      <c r="L791" s="9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15">
      <c r="A792">
        <v>792</v>
      </c>
      <c r="B792" t="s">
        <v>1424</v>
      </c>
      <c r="C792" t="s">
        <v>7</v>
      </c>
      <c r="D792" s="77" t="s">
        <v>1590</v>
      </c>
      <c r="E792" t="s">
        <v>36</v>
      </c>
      <c r="F792" t="s">
        <v>1591</v>
      </c>
      <c r="G792" s="92"/>
      <c r="H792" s="92"/>
      <c r="I792" s="92"/>
      <c r="J792" s="92"/>
      <c r="K792" s="92"/>
      <c r="L792" s="9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15">
      <c r="A793">
        <v>793</v>
      </c>
      <c r="B793" t="s">
        <v>1424</v>
      </c>
      <c r="C793" t="s">
        <v>7</v>
      </c>
      <c r="D793" s="77" t="s">
        <v>1171</v>
      </c>
      <c r="E793" t="s">
        <v>36</v>
      </c>
      <c r="F793" t="s">
        <v>1172</v>
      </c>
      <c r="G793" s="92"/>
      <c r="H793" s="92"/>
      <c r="I793" s="92"/>
      <c r="J793" s="92"/>
      <c r="K793" s="92"/>
      <c r="L793" s="9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15">
      <c r="A794">
        <v>794</v>
      </c>
      <c r="B794" t="s">
        <v>1424</v>
      </c>
      <c r="C794" t="s">
        <v>7</v>
      </c>
      <c r="D794" s="77" t="s">
        <v>1592</v>
      </c>
      <c r="E794" t="s">
        <v>36</v>
      </c>
      <c r="F794" t="s">
        <v>1593</v>
      </c>
      <c r="G794" s="92"/>
      <c r="H794" s="92"/>
      <c r="I794" s="92"/>
      <c r="J794" s="92"/>
      <c r="K794" s="92"/>
      <c r="L794" s="9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15">
      <c r="A795">
        <v>795</v>
      </c>
      <c r="B795" t="s">
        <v>1424</v>
      </c>
      <c r="C795" t="s">
        <v>7</v>
      </c>
      <c r="D795" s="77" t="s">
        <v>1594</v>
      </c>
      <c r="E795" t="s">
        <v>36</v>
      </c>
      <c r="F795" t="s">
        <v>1595</v>
      </c>
      <c r="G795" s="92"/>
      <c r="H795" s="92"/>
      <c r="I795" s="92"/>
      <c r="J795" s="92"/>
      <c r="K795" s="92"/>
      <c r="L795" s="9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15">
      <c r="A796">
        <v>796</v>
      </c>
      <c r="B796" t="s">
        <v>1424</v>
      </c>
      <c r="C796" t="s">
        <v>7</v>
      </c>
      <c r="D796" s="77" t="s">
        <v>1596</v>
      </c>
      <c r="E796" t="s">
        <v>36</v>
      </c>
      <c r="F796" t="s">
        <v>1597</v>
      </c>
      <c r="G796" s="92"/>
      <c r="H796" s="92"/>
      <c r="I796" s="92"/>
      <c r="J796" s="92"/>
      <c r="K796" s="92"/>
      <c r="L796" s="9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15">
      <c r="A797">
        <v>797</v>
      </c>
      <c r="B797" t="s">
        <v>1424</v>
      </c>
      <c r="C797" t="s">
        <v>7</v>
      </c>
      <c r="D797" s="77" t="s">
        <v>1598</v>
      </c>
      <c r="E797" t="s">
        <v>36</v>
      </c>
      <c r="F797" t="s">
        <v>1599</v>
      </c>
      <c r="G797" s="92"/>
      <c r="H797" s="92"/>
      <c r="I797" s="92"/>
      <c r="J797" s="92"/>
      <c r="K797" s="92"/>
      <c r="L797" s="9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15">
      <c r="A798">
        <v>798</v>
      </c>
      <c r="B798" t="s">
        <v>1424</v>
      </c>
      <c r="C798" t="s">
        <v>7</v>
      </c>
      <c r="D798" s="77" t="s">
        <v>1600</v>
      </c>
      <c r="E798" t="s">
        <v>61</v>
      </c>
      <c r="F798" t="s">
        <v>1601</v>
      </c>
      <c r="G798" s="92"/>
      <c r="H798" s="92"/>
      <c r="I798" s="92"/>
      <c r="J798" s="92"/>
      <c r="K798" s="92"/>
      <c r="L798" s="9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15">
      <c r="A799">
        <v>799</v>
      </c>
      <c r="B799" t="s">
        <v>1424</v>
      </c>
      <c r="C799" t="s">
        <v>7</v>
      </c>
      <c r="D799" s="77" t="s">
        <v>1602</v>
      </c>
      <c r="E799" t="s">
        <v>36</v>
      </c>
      <c r="F799" t="s">
        <v>1603</v>
      </c>
      <c r="G799" s="92"/>
      <c r="H799" s="92"/>
      <c r="I799" s="92"/>
      <c r="J799" s="92"/>
      <c r="K799" s="92"/>
      <c r="L799" s="9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15">
      <c r="A800">
        <v>800</v>
      </c>
      <c r="B800" t="s">
        <v>1424</v>
      </c>
      <c r="C800" t="s">
        <v>7</v>
      </c>
      <c r="D800" s="77" t="s">
        <v>1604</v>
      </c>
      <c r="E800" t="s">
        <v>36</v>
      </c>
      <c r="F800" t="s">
        <v>1605</v>
      </c>
      <c r="G800" s="92"/>
      <c r="H800" s="92"/>
      <c r="I800" s="92"/>
      <c r="J800" s="92"/>
      <c r="K800" s="92"/>
      <c r="L800" s="9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15">
      <c r="A801">
        <v>801</v>
      </c>
      <c r="B801" t="s">
        <v>1424</v>
      </c>
      <c r="C801" t="s">
        <v>7</v>
      </c>
      <c r="D801" s="77" t="s">
        <v>1606</v>
      </c>
      <c r="E801" t="s">
        <v>36</v>
      </c>
      <c r="F801" t="s">
        <v>1607</v>
      </c>
      <c r="G801" s="92"/>
      <c r="H801" s="92"/>
      <c r="I801" s="92"/>
      <c r="J801" s="92"/>
      <c r="K801" s="92"/>
      <c r="L801" s="9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15">
      <c r="A802">
        <v>802</v>
      </c>
      <c r="B802" t="s">
        <v>1424</v>
      </c>
      <c r="C802" t="s">
        <v>7</v>
      </c>
      <c r="D802" s="77" t="s">
        <v>1608</v>
      </c>
      <c r="E802" t="s">
        <v>36</v>
      </c>
      <c r="F802" t="s">
        <v>1609</v>
      </c>
      <c r="G802" s="92"/>
      <c r="H802" s="92"/>
      <c r="I802" s="92"/>
      <c r="J802" s="92"/>
      <c r="K802" s="92"/>
      <c r="L802" s="9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15">
      <c r="A803">
        <v>803</v>
      </c>
      <c r="B803" t="s">
        <v>1424</v>
      </c>
      <c r="C803" t="s">
        <v>7</v>
      </c>
      <c r="D803" s="77" t="s">
        <v>1610</v>
      </c>
      <c r="E803" t="s">
        <v>36</v>
      </c>
      <c r="F803" t="s">
        <v>1611</v>
      </c>
      <c r="G803" s="92"/>
      <c r="H803" s="92"/>
      <c r="I803" s="92"/>
      <c r="J803" s="92"/>
      <c r="K803" s="92"/>
      <c r="L803" s="9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15">
      <c r="A804">
        <v>804</v>
      </c>
      <c r="B804" t="s">
        <v>1424</v>
      </c>
      <c r="C804" t="s">
        <v>7</v>
      </c>
      <c r="D804" s="77" t="s">
        <v>1612</v>
      </c>
      <c r="E804" t="s">
        <v>36</v>
      </c>
      <c r="F804" t="s">
        <v>1613</v>
      </c>
      <c r="G804" s="92"/>
      <c r="H804" s="92"/>
      <c r="I804" s="92"/>
      <c r="J804" s="92"/>
      <c r="K804" s="92"/>
      <c r="L804" s="9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15">
      <c r="A805">
        <v>805</v>
      </c>
      <c r="B805" t="s">
        <v>1424</v>
      </c>
      <c r="C805" t="s">
        <v>7</v>
      </c>
      <c r="D805" s="77" t="s">
        <v>1614</v>
      </c>
      <c r="E805" t="s">
        <v>36</v>
      </c>
      <c r="F805" t="s">
        <v>1615</v>
      </c>
      <c r="G805" s="92"/>
      <c r="H805" s="92"/>
      <c r="I805" s="92"/>
      <c r="J805" s="92"/>
      <c r="K805" s="92"/>
      <c r="L805" s="9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15">
      <c r="A806">
        <v>806</v>
      </c>
      <c r="B806" t="s">
        <v>1424</v>
      </c>
      <c r="C806" t="s">
        <v>7</v>
      </c>
      <c r="D806" s="77" t="s">
        <v>1616</v>
      </c>
      <c r="E806" t="s">
        <v>36</v>
      </c>
      <c r="F806" t="s">
        <v>1617</v>
      </c>
      <c r="G806" s="92"/>
      <c r="H806" s="92"/>
      <c r="I806" s="92"/>
      <c r="J806" s="92"/>
      <c r="K806" s="92"/>
      <c r="L806" s="9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15">
      <c r="A807">
        <v>807</v>
      </c>
      <c r="B807" t="s">
        <v>1424</v>
      </c>
      <c r="C807" t="s">
        <v>7</v>
      </c>
      <c r="D807" s="77" t="s">
        <v>1618</v>
      </c>
      <c r="E807" t="s">
        <v>36</v>
      </c>
      <c r="F807" t="s">
        <v>1619</v>
      </c>
      <c r="G807" s="92"/>
      <c r="H807" s="92"/>
      <c r="I807" s="92"/>
      <c r="J807" s="92"/>
      <c r="K807" s="92"/>
      <c r="L807" s="9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15">
      <c r="A808">
        <v>808</v>
      </c>
      <c r="B808" t="s">
        <v>1424</v>
      </c>
      <c r="C808" t="s">
        <v>7</v>
      </c>
      <c r="D808" s="77" t="s">
        <v>1620</v>
      </c>
      <c r="E808" t="s">
        <v>157</v>
      </c>
      <c r="F808" t="s">
        <v>1621</v>
      </c>
      <c r="G808" s="92"/>
      <c r="H808" s="92"/>
      <c r="I808" s="92"/>
      <c r="J808" s="92"/>
      <c r="K808" s="92"/>
      <c r="L808" s="9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15">
      <c r="A809">
        <v>809</v>
      </c>
      <c r="B809" t="s">
        <v>1424</v>
      </c>
      <c r="C809" t="s">
        <v>7</v>
      </c>
      <c r="D809" s="77" t="s">
        <v>1622</v>
      </c>
      <c r="E809" t="s">
        <v>38</v>
      </c>
      <c r="F809" t="s">
        <v>1623</v>
      </c>
      <c r="G809" s="92"/>
      <c r="H809" s="92"/>
      <c r="I809" s="92"/>
      <c r="J809" s="92"/>
      <c r="K809" s="92"/>
      <c r="L809" s="9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15">
      <c r="A810">
        <v>810</v>
      </c>
      <c r="B810" t="s">
        <v>1424</v>
      </c>
      <c r="C810" t="s">
        <v>7</v>
      </c>
      <c r="D810" s="77" t="s">
        <v>1622</v>
      </c>
      <c r="E810" t="s">
        <v>73</v>
      </c>
      <c r="F810" t="s">
        <v>1624</v>
      </c>
      <c r="G810" s="92"/>
      <c r="H810" s="92"/>
      <c r="I810" s="92"/>
      <c r="J810" s="92"/>
      <c r="K810" s="92"/>
      <c r="L810" s="9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15">
      <c r="A811">
        <v>811</v>
      </c>
      <c r="B811" t="s">
        <v>1424</v>
      </c>
      <c r="C811" t="s">
        <v>7</v>
      </c>
      <c r="D811" s="77" t="s">
        <v>355</v>
      </c>
      <c r="E811" t="s">
        <v>36</v>
      </c>
      <c r="F811" t="s">
        <v>1245</v>
      </c>
      <c r="G811" s="92"/>
      <c r="H811" s="92"/>
      <c r="I811" s="92"/>
      <c r="J811" s="92"/>
      <c r="K811" s="92"/>
      <c r="L811" s="9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15">
      <c r="A812">
        <v>812</v>
      </c>
      <c r="B812" t="s">
        <v>1424</v>
      </c>
      <c r="C812" t="s">
        <v>7</v>
      </c>
      <c r="D812" s="77" t="s">
        <v>355</v>
      </c>
      <c r="E812" t="s">
        <v>61</v>
      </c>
      <c r="F812" t="s">
        <v>356</v>
      </c>
      <c r="G812" s="92"/>
      <c r="H812" s="92"/>
      <c r="I812" s="92"/>
      <c r="J812" s="92"/>
      <c r="K812" s="92"/>
      <c r="L812" s="9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15">
      <c r="A813">
        <v>813</v>
      </c>
      <c r="B813" t="s">
        <v>1424</v>
      </c>
      <c r="C813" t="s">
        <v>7</v>
      </c>
      <c r="D813" s="77" t="s">
        <v>1625</v>
      </c>
      <c r="E813" t="s">
        <v>73</v>
      </c>
      <c r="F813" t="s">
        <v>1626</v>
      </c>
      <c r="G813" s="92"/>
      <c r="H813" s="92"/>
      <c r="I813" s="92"/>
      <c r="J813" s="92"/>
      <c r="K813" s="92"/>
      <c r="L813" s="9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15">
      <c r="A814">
        <v>814</v>
      </c>
      <c r="B814" t="s">
        <v>1424</v>
      </c>
      <c r="C814" t="s">
        <v>7</v>
      </c>
      <c r="D814" s="77" t="s">
        <v>1627</v>
      </c>
      <c r="E814" t="s">
        <v>36</v>
      </c>
      <c r="F814" t="s">
        <v>1628</v>
      </c>
      <c r="G814" s="92"/>
      <c r="H814" s="92"/>
      <c r="I814" s="92"/>
      <c r="J814" s="92"/>
      <c r="K814" s="92"/>
      <c r="L814" s="9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15">
      <c r="A815">
        <v>815</v>
      </c>
      <c r="B815" t="s">
        <v>1424</v>
      </c>
      <c r="C815" t="s">
        <v>7</v>
      </c>
      <c r="D815" s="77" t="s">
        <v>1629</v>
      </c>
      <c r="E815" t="s">
        <v>36</v>
      </c>
      <c r="F815" t="s">
        <v>1630</v>
      </c>
      <c r="G815" s="92"/>
      <c r="H815" s="92"/>
      <c r="I815" s="92"/>
      <c r="J815" s="92"/>
      <c r="K815" s="92"/>
      <c r="L815" s="9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15">
      <c r="A816">
        <v>816</v>
      </c>
      <c r="B816" t="s">
        <v>1424</v>
      </c>
      <c r="C816" t="s">
        <v>7</v>
      </c>
      <c r="D816" s="77" t="s">
        <v>1631</v>
      </c>
      <c r="E816" t="s">
        <v>36</v>
      </c>
      <c r="F816" t="s">
        <v>1632</v>
      </c>
      <c r="G816" s="92"/>
      <c r="H816" s="92"/>
      <c r="I816" s="92"/>
      <c r="J816" s="92"/>
      <c r="K816" s="92"/>
      <c r="L816" s="9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15">
      <c r="A817">
        <v>817</v>
      </c>
      <c r="B817" t="s">
        <v>1424</v>
      </c>
      <c r="C817" t="s">
        <v>7</v>
      </c>
      <c r="D817" s="77" t="s">
        <v>1633</v>
      </c>
      <c r="E817" t="s">
        <v>36</v>
      </c>
      <c r="F817" t="s">
        <v>1634</v>
      </c>
      <c r="G817" s="92"/>
      <c r="H817" s="92"/>
      <c r="I817" s="92"/>
      <c r="J817" s="92"/>
      <c r="K817" s="92"/>
      <c r="L817" s="9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15">
      <c r="A818">
        <v>818</v>
      </c>
      <c r="B818" t="s">
        <v>1424</v>
      </c>
      <c r="C818" t="s">
        <v>7</v>
      </c>
      <c r="D818" s="77" t="s">
        <v>1635</v>
      </c>
      <c r="E818" t="s">
        <v>36</v>
      </c>
      <c r="F818" t="s">
        <v>1636</v>
      </c>
      <c r="G818" s="92"/>
      <c r="H818" s="92"/>
      <c r="I818" s="92"/>
      <c r="J818" s="92"/>
      <c r="K818" s="92"/>
      <c r="L818" s="9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15">
      <c r="A819">
        <v>819</v>
      </c>
      <c r="B819" t="s">
        <v>1424</v>
      </c>
      <c r="C819" t="s">
        <v>7</v>
      </c>
      <c r="D819" s="77" t="s">
        <v>1637</v>
      </c>
      <c r="E819" t="s">
        <v>36</v>
      </c>
      <c r="F819" t="s">
        <v>1638</v>
      </c>
      <c r="G819" s="92"/>
      <c r="H819" s="92"/>
      <c r="I819" s="92"/>
      <c r="J819" s="92"/>
      <c r="K819" s="92"/>
      <c r="L819" s="9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15">
      <c r="A820">
        <v>820</v>
      </c>
      <c r="B820" t="s">
        <v>1424</v>
      </c>
      <c r="C820" t="s">
        <v>7</v>
      </c>
      <c r="D820" s="77" t="s">
        <v>1639</v>
      </c>
      <c r="E820" t="s">
        <v>61</v>
      </c>
      <c r="F820" t="s">
        <v>1640</v>
      </c>
      <c r="G820" s="92"/>
      <c r="H820" s="92"/>
      <c r="I820" s="92"/>
      <c r="J820" s="92"/>
      <c r="K820" s="92"/>
      <c r="L820" s="9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15">
      <c r="A821">
        <v>821</v>
      </c>
      <c r="B821" t="s">
        <v>1424</v>
      </c>
      <c r="C821" t="s">
        <v>7</v>
      </c>
      <c r="D821" s="77" t="s">
        <v>1641</v>
      </c>
      <c r="E821" t="s">
        <v>61</v>
      </c>
      <c r="F821" t="s">
        <v>1642</v>
      </c>
      <c r="G821" s="92"/>
      <c r="H821" s="92"/>
      <c r="I821" s="92"/>
      <c r="J821" s="92"/>
      <c r="K821" s="92"/>
      <c r="L821" s="9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15">
      <c r="A822">
        <v>822</v>
      </c>
      <c r="B822" t="s">
        <v>1424</v>
      </c>
      <c r="C822" t="s">
        <v>7</v>
      </c>
      <c r="D822" s="77" t="s">
        <v>1643</v>
      </c>
      <c r="E822" t="s">
        <v>36</v>
      </c>
      <c r="F822" t="s">
        <v>1644</v>
      </c>
      <c r="G822" s="92"/>
      <c r="H822" s="92"/>
      <c r="I822" s="92"/>
      <c r="J822" s="92"/>
      <c r="K822" s="92"/>
      <c r="L822" s="9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15">
      <c r="A823">
        <v>823</v>
      </c>
      <c r="B823" t="s">
        <v>1424</v>
      </c>
      <c r="C823" t="s">
        <v>7</v>
      </c>
      <c r="D823" s="77" t="s">
        <v>1645</v>
      </c>
      <c r="E823" t="s">
        <v>36</v>
      </c>
      <c r="F823" t="s">
        <v>1646</v>
      </c>
      <c r="G823" s="92"/>
      <c r="H823" s="92"/>
      <c r="I823" s="92"/>
      <c r="J823" s="92"/>
      <c r="K823" s="92"/>
      <c r="L823" s="9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15">
      <c r="A824">
        <v>824</v>
      </c>
      <c r="B824" t="s">
        <v>1424</v>
      </c>
      <c r="C824" t="s">
        <v>7</v>
      </c>
      <c r="D824" s="77" t="s">
        <v>1647</v>
      </c>
      <c r="E824" t="s">
        <v>36</v>
      </c>
      <c r="F824" t="s">
        <v>1648</v>
      </c>
      <c r="G824" s="92"/>
      <c r="H824" s="92"/>
      <c r="I824" s="92"/>
      <c r="J824" s="92"/>
      <c r="K824" s="92"/>
      <c r="L824" s="9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15">
      <c r="A825">
        <v>825</v>
      </c>
      <c r="B825" t="s">
        <v>1424</v>
      </c>
      <c r="C825" t="s">
        <v>7</v>
      </c>
      <c r="D825" s="77" t="s">
        <v>1649</v>
      </c>
      <c r="E825" t="s">
        <v>36</v>
      </c>
      <c r="F825" t="s">
        <v>1650</v>
      </c>
      <c r="G825" s="92"/>
      <c r="H825" s="92"/>
      <c r="I825" s="92"/>
      <c r="J825" s="92"/>
      <c r="K825" s="92"/>
      <c r="L825" s="9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15">
      <c r="A826">
        <v>826</v>
      </c>
      <c r="B826" t="s">
        <v>1424</v>
      </c>
      <c r="C826" t="s">
        <v>7</v>
      </c>
      <c r="D826" s="77" t="s">
        <v>1651</v>
      </c>
      <c r="E826" t="s">
        <v>36</v>
      </c>
      <c r="F826" t="s">
        <v>1652</v>
      </c>
      <c r="G826" s="92"/>
      <c r="H826" s="92"/>
      <c r="I826" s="92"/>
      <c r="J826" s="92"/>
      <c r="K826" s="92"/>
      <c r="L826" s="9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15">
      <c r="A827">
        <v>827</v>
      </c>
      <c r="B827" t="s">
        <v>1424</v>
      </c>
      <c r="C827" t="s">
        <v>7</v>
      </c>
      <c r="D827" s="77" t="s">
        <v>1653</v>
      </c>
      <c r="E827" t="s">
        <v>36</v>
      </c>
      <c r="F827" t="s">
        <v>1654</v>
      </c>
      <c r="G827" s="92"/>
      <c r="H827" s="92"/>
      <c r="I827" s="92"/>
      <c r="J827" s="92"/>
      <c r="K827" s="92"/>
      <c r="L827" s="9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15">
      <c r="A828">
        <v>828</v>
      </c>
      <c r="B828" t="s">
        <v>1424</v>
      </c>
      <c r="C828" t="s">
        <v>7</v>
      </c>
      <c r="D828" s="77" t="s">
        <v>1655</v>
      </c>
      <c r="E828" t="s">
        <v>36</v>
      </c>
      <c r="F828" t="s">
        <v>1656</v>
      </c>
      <c r="G828" s="92"/>
      <c r="H828" s="92"/>
      <c r="I828" s="92"/>
      <c r="J828" s="92"/>
      <c r="K828" s="92"/>
      <c r="L828" s="9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15">
      <c r="A829">
        <v>829</v>
      </c>
      <c r="B829" t="s">
        <v>1424</v>
      </c>
      <c r="C829" t="s">
        <v>7</v>
      </c>
      <c r="D829" s="77" t="s">
        <v>202</v>
      </c>
      <c r="E829" t="s">
        <v>61</v>
      </c>
      <c r="F829" t="s">
        <v>203</v>
      </c>
      <c r="G829" s="92"/>
      <c r="H829" s="92"/>
      <c r="I829" s="92"/>
      <c r="J829" s="92"/>
      <c r="K829" s="92"/>
      <c r="L829" s="9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15">
      <c r="A830">
        <v>830</v>
      </c>
      <c r="B830" t="s">
        <v>1424</v>
      </c>
      <c r="C830" t="s">
        <v>7</v>
      </c>
      <c r="D830" s="77" t="s">
        <v>394</v>
      </c>
      <c r="E830" t="s">
        <v>157</v>
      </c>
      <c r="F830" t="s">
        <v>1657</v>
      </c>
      <c r="G830" s="92"/>
      <c r="H830" s="92"/>
      <c r="I830" s="92"/>
      <c r="J830" s="92"/>
      <c r="K830" s="92"/>
      <c r="L830" s="9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15">
      <c r="A831">
        <v>831</v>
      </c>
      <c r="B831" t="s">
        <v>1424</v>
      </c>
      <c r="C831" t="s">
        <v>7</v>
      </c>
      <c r="D831" s="77" t="s">
        <v>1658</v>
      </c>
      <c r="E831" t="s">
        <v>157</v>
      </c>
      <c r="F831" t="s">
        <v>1659</v>
      </c>
      <c r="G831" s="92"/>
      <c r="H831" s="92"/>
      <c r="I831" s="92"/>
      <c r="J831" s="92"/>
      <c r="K831" s="92"/>
      <c r="L831" s="9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15">
      <c r="A832">
        <v>832</v>
      </c>
      <c r="B832" t="s">
        <v>1424</v>
      </c>
      <c r="C832" t="s">
        <v>7</v>
      </c>
      <c r="D832" s="77" t="s">
        <v>1660</v>
      </c>
      <c r="E832" t="s">
        <v>36</v>
      </c>
      <c r="F832" t="s">
        <v>1661</v>
      </c>
      <c r="G832" s="92"/>
      <c r="H832" s="92"/>
      <c r="I832" s="92"/>
      <c r="J832" s="92"/>
      <c r="K832" s="92"/>
      <c r="L832" s="9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15">
      <c r="A833">
        <v>833</v>
      </c>
      <c r="B833" t="s">
        <v>1424</v>
      </c>
      <c r="C833" t="s">
        <v>7</v>
      </c>
      <c r="D833" s="77" t="s">
        <v>763</v>
      </c>
      <c r="E833" t="s">
        <v>73</v>
      </c>
      <c r="F833" t="s">
        <v>1662</v>
      </c>
      <c r="G833" s="92"/>
      <c r="H833" s="92"/>
      <c r="I833" s="92"/>
      <c r="J833" s="92"/>
      <c r="K833" s="92"/>
      <c r="L833" s="9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15">
      <c r="A834">
        <v>834</v>
      </c>
      <c r="B834" t="s">
        <v>1424</v>
      </c>
      <c r="C834" t="s">
        <v>7</v>
      </c>
      <c r="D834" s="77" t="s">
        <v>1135</v>
      </c>
      <c r="E834" t="s">
        <v>157</v>
      </c>
      <c r="F834" t="s">
        <v>1663</v>
      </c>
      <c r="G834" s="92"/>
      <c r="H834" s="92"/>
      <c r="I834" s="92"/>
      <c r="J834" s="92"/>
      <c r="K834" s="92"/>
      <c r="L834" s="9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15">
      <c r="A835">
        <v>835</v>
      </c>
      <c r="B835" t="s">
        <v>1424</v>
      </c>
      <c r="C835" t="s">
        <v>7</v>
      </c>
      <c r="D835" s="77" t="s">
        <v>1664</v>
      </c>
      <c r="E835" t="s">
        <v>61</v>
      </c>
      <c r="F835" t="s">
        <v>1665</v>
      </c>
      <c r="G835" s="92"/>
      <c r="H835" s="92"/>
      <c r="I835" s="92"/>
      <c r="J835" s="92"/>
      <c r="K835" s="92"/>
      <c r="L835" s="9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15">
      <c r="A836">
        <v>836</v>
      </c>
      <c r="B836" t="s">
        <v>1424</v>
      </c>
      <c r="C836" t="s">
        <v>7</v>
      </c>
      <c r="D836" s="77" t="s">
        <v>1151</v>
      </c>
      <c r="E836" t="s">
        <v>157</v>
      </c>
      <c r="F836" t="s">
        <v>1152</v>
      </c>
      <c r="G836" s="92"/>
      <c r="H836" s="92"/>
      <c r="I836" s="92"/>
      <c r="J836" s="92"/>
      <c r="K836" s="92"/>
      <c r="L836" s="9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15">
      <c r="A837">
        <v>837</v>
      </c>
      <c r="B837" t="s">
        <v>1424</v>
      </c>
      <c r="C837" t="s">
        <v>7</v>
      </c>
      <c r="D837" s="77" t="s">
        <v>1666</v>
      </c>
      <c r="E837" t="s">
        <v>702</v>
      </c>
      <c r="F837" t="s">
        <v>1667</v>
      </c>
      <c r="G837" s="92"/>
      <c r="H837" s="92"/>
      <c r="I837" s="92"/>
      <c r="J837" s="92"/>
      <c r="K837" s="92"/>
      <c r="L837" s="9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15">
      <c r="A838">
        <v>838</v>
      </c>
      <c r="B838" t="s">
        <v>1424</v>
      </c>
      <c r="C838" t="s">
        <v>7</v>
      </c>
      <c r="D838" s="77" t="s">
        <v>1668</v>
      </c>
      <c r="E838" t="s">
        <v>36</v>
      </c>
      <c r="F838" t="s">
        <v>1669</v>
      </c>
      <c r="G838" s="92"/>
      <c r="H838" s="92"/>
      <c r="I838" s="92"/>
      <c r="J838" s="92"/>
      <c r="K838" s="92"/>
      <c r="L838" s="9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15">
      <c r="A839">
        <v>839</v>
      </c>
      <c r="B839" t="s">
        <v>1424</v>
      </c>
      <c r="C839" t="s">
        <v>7</v>
      </c>
      <c r="D839" s="77" t="s">
        <v>1670</v>
      </c>
      <c r="E839" t="s">
        <v>702</v>
      </c>
      <c r="F839" t="s">
        <v>1671</v>
      </c>
      <c r="G839" s="92"/>
      <c r="H839" s="92"/>
      <c r="I839" s="92"/>
      <c r="J839" s="92"/>
      <c r="K839" s="92"/>
      <c r="L839" s="9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15">
      <c r="A840">
        <v>840</v>
      </c>
      <c r="B840" t="s">
        <v>1424</v>
      </c>
      <c r="C840" t="s">
        <v>7</v>
      </c>
      <c r="D840" s="77" t="s">
        <v>369</v>
      </c>
      <c r="E840" t="s">
        <v>61</v>
      </c>
      <c r="F840" t="s">
        <v>1672</v>
      </c>
      <c r="G840" s="92"/>
      <c r="H840" s="92"/>
      <c r="I840" s="92"/>
      <c r="J840" s="92"/>
      <c r="K840" s="92"/>
      <c r="L840" s="9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15">
      <c r="A841">
        <v>841</v>
      </c>
      <c r="B841" t="s">
        <v>1424</v>
      </c>
      <c r="C841" t="s">
        <v>7</v>
      </c>
      <c r="D841" s="77" t="s">
        <v>1673</v>
      </c>
      <c r="E841" t="s">
        <v>61</v>
      </c>
      <c r="F841" t="s">
        <v>232</v>
      </c>
      <c r="G841" s="92"/>
      <c r="H841" s="92"/>
      <c r="I841" s="92"/>
      <c r="J841" s="92"/>
      <c r="K841" s="92"/>
      <c r="L841" s="9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15">
      <c r="A842">
        <v>842</v>
      </c>
      <c r="B842" t="s">
        <v>1424</v>
      </c>
      <c r="C842" t="s">
        <v>7</v>
      </c>
      <c r="D842" s="77" t="s">
        <v>1674</v>
      </c>
      <c r="E842" t="s">
        <v>61</v>
      </c>
      <c r="F842" t="s">
        <v>1675</v>
      </c>
      <c r="G842" s="92"/>
      <c r="H842" s="92"/>
      <c r="I842" s="92"/>
      <c r="J842" s="92"/>
      <c r="K842" s="92"/>
      <c r="L842" s="9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15">
      <c r="A843">
        <v>843</v>
      </c>
      <c r="B843" t="s">
        <v>1424</v>
      </c>
      <c r="C843" t="s">
        <v>7</v>
      </c>
      <c r="D843" s="77" t="s">
        <v>1676</v>
      </c>
      <c r="E843" t="s">
        <v>61</v>
      </c>
      <c r="F843" t="s">
        <v>1677</v>
      </c>
      <c r="G843" s="92"/>
      <c r="H843" s="92"/>
      <c r="I843" s="92"/>
      <c r="J843" s="92"/>
      <c r="K843" s="92"/>
      <c r="L843" s="9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15">
      <c r="A844">
        <v>844</v>
      </c>
      <c r="B844" t="s">
        <v>1424</v>
      </c>
      <c r="C844" t="s">
        <v>7</v>
      </c>
      <c r="D844" s="77" t="s">
        <v>1678</v>
      </c>
      <c r="E844" t="s">
        <v>702</v>
      </c>
      <c r="F844" t="s">
        <v>1679</v>
      </c>
      <c r="G844" s="92"/>
      <c r="H844" s="92"/>
      <c r="I844" s="92"/>
      <c r="J844" s="92"/>
      <c r="K844" s="92"/>
      <c r="L844" s="9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15">
      <c r="A845">
        <v>845</v>
      </c>
      <c r="B845" t="s">
        <v>1424</v>
      </c>
      <c r="C845" t="s">
        <v>7</v>
      </c>
      <c r="D845" s="77" t="s">
        <v>1680</v>
      </c>
      <c r="E845" t="s">
        <v>36</v>
      </c>
      <c r="F845" t="s">
        <v>1681</v>
      </c>
      <c r="G845" s="92"/>
      <c r="H845" s="92"/>
      <c r="I845" s="92"/>
      <c r="J845" s="92"/>
      <c r="K845" s="92"/>
      <c r="L845" s="9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15">
      <c r="A846">
        <v>846</v>
      </c>
      <c r="B846" t="s">
        <v>1424</v>
      </c>
      <c r="C846" t="s">
        <v>7</v>
      </c>
      <c r="D846" s="77" t="s">
        <v>1682</v>
      </c>
      <c r="E846" t="s">
        <v>73</v>
      </c>
      <c r="F846" t="s">
        <v>1683</v>
      </c>
      <c r="G846" s="92"/>
      <c r="H846" s="92"/>
      <c r="I846" s="92"/>
      <c r="J846" s="92"/>
      <c r="K846" s="92"/>
      <c r="L846" s="9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15">
      <c r="A847">
        <v>847</v>
      </c>
      <c r="B847" t="s">
        <v>1424</v>
      </c>
      <c r="C847" t="s">
        <v>7</v>
      </c>
      <c r="D847" s="72" t="s">
        <v>5637</v>
      </c>
      <c r="E847" t="s">
        <v>73</v>
      </c>
      <c r="F847" t="s">
        <v>934</v>
      </c>
      <c r="G847" s="92"/>
      <c r="H847" s="92"/>
      <c r="I847" s="92"/>
      <c r="J847" s="92"/>
      <c r="K847" s="92"/>
      <c r="L847" s="9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15">
      <c r="A848">
        <v>848</v>
      </c>
      <c r="B848" t="s">
        <v>1424</v>
      </c>
      <c r="C848" t="s">
        <v>7</v>
      </c>
      <c r="D848" s="77" t="s">
        <v>1684</v>
      </c>
      <c r="E848" t="s">
        <v>36</v>
      </c>
      <c r="F848" t="s">
        <v>1685</v>
      </c>
      <c r="G848" s="92"/>
      <c r="H848" s="92"/>
      <c r="I848" s="92"/>
      <c r="J848" s="92"/>
      <c r="K848" s="92"/>
      <c r="L848" s="9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15">
      <c r="A849">
        <v>849</v>
      </c>
      <c r="B849" t="s">
        <v>1424</v>
      </c>
      <c r="C849" t="s">
        <v>7</v>
      </c>
      <c r="D849" s="77" t="s">
        <v>1686</v>
      </c>
      <c r="E849" t="s">
        <v>36</v>
      </c>
      <c r="F849" t="s">
        <v>1687</v>
      </c>
      <c r="G849" s="92"/>
      <c r="H849" s="92"/>
      <c r="I849" s="92"/>
      <c r="J849" s="92"/>
      <c r="K849" s="92"/>
      <c r="L849" s="9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15">
      <c r="A850">
        <v>850</v>
      </c>
      <c r="B850" t="s">
        <v>1424</v>
      </c>
      <c r="C850" t="s">
        <v>7</v>
      </c>
      <c r="D850" s="77" t="s">
        <v>1688</v>
      </c>
      <c r="E850" t="s">
        <v>36</v>
      </c>
      <c r="F850" t="s">
        <v>1689</v>
      </c>
      <c r="G850" s="92"/>
      <c r="H850" s="92"/>
      <c r="I850" s="92"/>
      <c r="J850" s="92"/>
      <c r="K850" s="92"/>
      <c r="L850" s="9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15">
      <c r="A851">
        <v>851</v>
      </c>
      <c r="B851" t="s">
        <v>1424</v>
      </c>
      <c r="C851" t="s">
        <v>7</v>
      </c>
      <c r="D851" s="77" t="s">
        <v>1690</v>
      </c>
      <c r="E851" t="s">
        <v>36</v>
      </c>
      <c r="F851" t="s">
        <v>1691</v>
      </c>
      <c r="G851" s="92"/>
      <c r="H851" s="92"/>
      <c r="I851" s="92"/>
      <c r="J851" s="92"/>
      <c r="K851" s="92"/>
      <c r="L851" s="9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15">
      <c r="A852">
        <v>852</v>
      </c>
      <c r="B852" t="s">
        <v>1424</v>
      </c>
      <c r="C852" t="s">
        <v>7</v>
      </c>
      <c r="D852" s="77" t="s">
        <v>1692</v>
      </c>
      <c r="E852" t="s">
        <v>702</v>
      </c>
      <c r="F852" t="s">
        <v>1693</v>
      </c>
      <c r="G852" s="92"/>
      <c r="H852" s="92"/>
      <c r="I852" s="92"/>
      <c r="J852" s="92"/>
      <c r="K852" s="92"/>
      <c r="L852" s="9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15">
      <c r="A853">
        <v>853</v>
      </c>
      <c r="B853" t="s">
        <v>1424</v>
      </c>
      <c r="C853" t="s">
        <v>7</v>
      </c>
      <c r="D853" s="77" t="s">
        <v>1694</v>
      </c>
      <c r="E853" t="s">
        <v>702</v>
      </c>
      <c r="F853" t="s">
        <v>1695</v>
      </c>
      <c r="G853" s="92"/>
      <c r="H853" s="92"/>
      <c r="I853" s="92"/>
      <c r="J853" s="92"/>
      <c r="K853" s="92"/>
      <c r="L853" s="9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15">
      <c r="A854">
        <v>854</v>
      </c>
      <c r="B854" t="s">
        <v>1424</v>
      </c>
      <c r="C854" t="s">
        <v>7</v>
      </c>
      <c r="D854" s="77" t="s">
        <v>1696</v>
      </c>
      <c r="E854" t="s">
        <v>36</v>
      </c>
      <c r="F854" t="s">
        <v>1697</v>
      </c>
      <c r="G854" s="92"/>
      <c r="H854" s="92"/>
      <c r="I854" s="92"/>
      <c r="J854" s="92"/>
      <c r="K854" s="92"/>
      <c r="L854" s="9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15">
      <c r="A855">
        <v>855</v>
      </c>
      <c r="B855" t="s">
        <v>1424</v>
      </c>
      <c r="C855" t="s">
        <v>7</v>
      </c>
      <c r="D855" s="77" t="s">
        <v>1698</v>
      </c>
      <c r="E855" t="s">
        <v>36</v>
      </c>
      <c r="F855" t="s">
        <v>1699</v>
      </c>
      <c r="G855" s="92"/>
      <c r="H855" s="92"/>
      <c r="I855" s="92"/>
      <c r="J855" s="92"/>
      <c r="K855" s="92"/>
      <c r="L855" s="9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15">
      <c r="A856">
        <v>856</v>
      </c>
      <c r="B856" t="s">
        <v>1424</v>
      </c>
      <c r="C856" t="s">
        <v>7</v>
      </c>
      <c r="D856" s="77" t="s">
        <v>1700</v>
      </c>
      <c r="E856" t="s">
        <v>36</v>
      </c>
      <c r="F856" t="s">
        <v>1701</v>
      </c>
      <c r="G856" s="92"/>
      <c r="H856" s="92"/>
      <c r="I856" s="92"/>
      <c r="J856" s="92"/>
      <c r="K856" s="92"/>
      <c r="L856" s="9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15">
      <c r="A857">
        <v>857</v>
      </c>
      <c r="B857" t="s">
        <v>1424</v>
      </c>
      <c r="C857" t="s">
        <v>7</v>
      </c>
      <c r="D857" s="77" t="s">
        <v>1702</v>
      </c>
      <c r="E857" t="s">
        <v>702</v>
      </c>
      <c r="F857" t="s">
        <v>1703</v>
      </c>
      <c r="G857" s="92"/>
      <c r="H857" s="92"/>
      <c r="I857" s="92"/>
      <c r="J857" s="92"/>
      <c r="K857" s="92"/>
      <c r="L857" s="9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15">
      <c r="A858">
        <v>858</v>
      </c>
      <c r="B858" t="s">
        <v>1424</v>
      </c>
      <c r="C858" t="s">
        <v>7</v>
      </c>
      <c r="D858" s="77" t="s">
        <v>373</v>
      </c>
      <c r="E858" t="s">
        <v>36</v>
      </c>
      <c r="F858" t="s">
        <v>374</v>
      </c>
      <c r="G858" s="92"/>
      <c r="H858" s="92"/>
      <c r="I858" s="92"/>
      <c r="J858" s="92"/>
      <c r="K858" s="92"/>
      <c r="L858" s="9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15">
      <c r="A859">
        <v>859</v>
      </c>
      <c r="B859" t="s">
        <v>1424</v>
      </c>
      <c r="C859" t="s">
        <v>7</v>
      </c>
      <c r="D859" s="77" t="s">
        <v>1704</v>
      </c>
      <c r="E859" t="s">
        <v>36</v>
      </c>
      <c r="F859" t="s">
        <v>1705</v>
      </c>
      <c r="G859" s="92"/>
      <c r="H859" s="92"/>
      <c r="I859" s="92"/>
      <c r="J859" s="92"/>
      <c r="K859" s="92"/>
      <c r="L859" s="9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15">
      <c r="A860">
        <v>860</v>
      </c>
      <c r="B860" t="s">
        <v>1424</v>
      </c>
      <c r="C860" t="s">
        <v>7</v>
      </c>
      <c r="D860" s="77" t="s">
        <v>1706</v>
      </c>
      <c r="E860" t="s">
        <v>157</v>
      </c>
      <c r="F860" t="s">
        <v>1707</v>
      </c>
      <c r="G860" s="92"/>
      <c r="H860" s="92"/>
      <c r="I860" s="92"/>
      <c r="J860" s="92"/>
      <c r="K860" s="92"/>
      <c r="L860" s="9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15">
      <c r="A861">
        <v>861</v>
      </c>
      <c r="B861" t="s">
        <v>1424</v>
      </c>
      <c r="C861" t="s">
        <v>7</v>
      </c>
      <c r="D861" s="77" t="s">
        <v>1708</v>
      </c>
      <c r="E861" t="s">
        <v>73</v>
      </c>
      <c r="F861" t="s">
        <v>1709</v>
      </c>
      <c r="G861" s="92"/>
      <c r="H861" s="92"/>
      <c r="I861" s="92"/>
      <c r="J861" s="92"/>
      <c r="K861" s="92"/>
      <c r="L861" s="9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15">
      <c r="A862">
        <v>862</v>
      </c>
      <c r="B862" t="s">
        <v>1424</v>
      </c>
      <c r="C862" t="s">
        <v>7</v>
      </c>
      <c r="D862" s="77" t="s">
        <v>1710</v>
      </c>
      <c r="E862" t="s">
        <v>36</v>
      </c>
      <c r="F862" t="s">
        <v>1711</v>
      </c>
      <c r="G862" s="92"/>
      <c r="H862" s="92"/>
      <c r="I862" s="92"/>
      <c r="J862" s="92"/>
      <c r="K862" s="92"/>
      <c r="L862" s="9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15">
      <c r="A863">
        <v>863</v>
      </c>
      <c r="B863" t="s">
        <v>1424</v>
      </c>
      <c r="C863" t="s">
        <v>7</v>
      </c>
      <c r="D863" s="77" t="s">
        <v>1712</v>
      </c>
      <c r="E863" t="s">
        <v>36</v>
      </c>
      <c r="F863" t="s">
        <v>1713</v>
      </c>
      <c r="G863" s="92"/>
      <c r="H863" s="92"/>
      <c r="I863" s="92"/>
      <c r="J863" s="92"/>
      <c r="K863" s="92"/>
      <c r="L863" s="9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15">
      <c r="A864">
        <v>864</v>
      </c>
      <c r="B864" t="s">
        <v>1424</v>
      </c>
      <c r="C864" t="s">
        <v>7</v>
      </c>
      <c r="D864" s="77" t="s">
        <v>1714</v>
      </c>
      <c r="E864" t="s">
        <v>36</v>
      </c>
      <c r="F864" t="s">
        <v>1715</v>
      </c>
      <c r="G864" s="92"/>
      <c r="H864" s="92"/>
      <c r="I864" s="92"/>
      <c r="J864" s="92"/>
      <c r="K864" s="92"/>
      <c r="L864" s="9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15">
      <c r="A865">
        <v>865</v>
      </c>
      <c r="B865" t="s">
        <v>1424</v>
      </c>
      <c r="C865" t="s">
        <v>7</v>
      </c>
      <c r="D865" s="77" t="s">
        <v>1716</v>
      </c>
      <c r="E865" t="s">
        <v>36</v>
      </c>
      <c r="F865" t="s">
        <v>1717</v>
      </c>
      <c r="G865" s="92"/>
      <c r="H865" s="92"/>
      <c r="I865" s="92"/>
      <c r="J865" s="92"/>
      <c r="K865" s="92"/>
      <c r="L865" s="9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15">
      <c r="A866">
        <v>866</v>
      </c>
      <c r="B866" t="s">
        <v>1424</v>
      </c>
      <c r="C866" t="s">
        <v>7</v>
      </c>
      <c r="D866" s="77" t="s">
        <v>1718</v>
      </c>
      <c r="E866" t="s">
        <v>73</v>
      </c>
      <c r="F866" t="s">
        <v>1719</v>
      </c>
      <c r="G866" s="92"/>
      <c r="H866" s="92"/>
      <c r="I866" s="92"/>
      <c r="J866" s="92"/>
      <c r="K866" s="92"/>
      <c r="L866" s="9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15">
      <c r="A867">
        <v>867</v>
      </c>
      <c r="B867" t="s">
        <v>1424</v>
      </c>
      <c r="C867" t="s">
        <v>7</v>
      </c>
      <c r="D867" s="77" t="s">
        <v>1720</v>
      </c>
      <c r="E867" t="s">
        <v>73</v>
      </c>
      <c r="F867" t="s">
        <v>1721</v>
      </c>
      <c r="G867" s="92"/>
      <c r="H867" s="92"/>
      <c r="I867" s="92"/>
      <c r="J867" s="92"/>
      <c r="K867" s="92"/>
      <c r="L867" s="9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15">
      <c r="A868">
        <v>868</v>
      </c>
      <c r="B868" t="s">
        <v>1424</v>
      </c>
      <c r="C868" t="s">
        <v>7</v>
      </c>
      <c r="D868" s="77" t="s">
        <v>1722</v>
      </c>
      <c r="E868" t="s">
        <v>61</v>
      </c>
      <c r="F868" t="s">
        <v>1723</v>
      </c>
      <c r="G868" s="92"/>
      <c r="H868" s="92"/>
      <c r="I868" s="92"/>
      <c r="J868" s="92"/>
      <c r="K868" s="92"/>
      <c r="L868" s="9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15">
      <c r="A869">
        <v>869</v>
      </c>
      <c r="B869" t="s">
        <v>1424</v>
      </c>
      <c r="C869" t="s">
        <v>7</v>
      </c>
      <c r="D869" s="77" t="s">
        <v>1724</v>
      </c>
      <c r="E869" t="s">
        <v>36</v>
      </c>
      <c r="F869" t="s">
        <v>1725</v>
      </c>
      <c r="G869" s="92"/>
      <c r="H869" s="92"/>
      <c r="I869" s="92"/>
      <c r="J869" s="92"/>
      <c r="K869" s="92"/>
      <c r="L869" s="9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15">
      <c r="A870">
        <v>870</v>
      </c>
      <c r="B870" t="s">
        <v>1424</v>
      </c>
      <c r="C870" t="s">
        <v>7</v>
      </c>
      <c r="D870" s="77" t="s">
        <v>1726</v>
      </c>
      <c r="E870" t="s">
        <v>36</v>
      </c>
      <c r="F870" t="s">
        <v>1727</v>
      </c>
      <c r="G870" s="92"/>
      <c r="H870" s="92"/>
      <c r="I870" s="92"/>
      <c r="J870" s="92"/>
      <c r="K870" s="92"/>
      <c r="L870" s="9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15">
      <c r="A871">
        <v>871</v>
      </c>
      <c r="B871" t="s">
        <v>1424</v>
      </c>
      <c r="C871" t="s">
        <v>7</v>
      </c>
      <c r="D871" s="77" t="s">
        <v>1728</v>
      </c>
      <c r="E871" t="s">
        <v>36</v>
      </c>
      <c r="F871" t="s">
        <v>1729</v>
      </c>
      <c r="G871" s="92"/>
      <c r="H871" s="92"/>
      <c r="I871" s="92"/>
      <c r="J871" s="92"/>
      <c r="K871" s="92"/>
      <c r="L871" s="9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15">
      <c r="A872">
        <v>872</v>
      </c>
      <c r="B872" t="s">
        <v>1424</v>
      </c>
      <c r="C872" t="s">
        <v>7</v>
      </c>
      <c r="D872" s="77" t="s">
        <v>1730</v>
      </c>
      <c r="E872" t="s">
        <v>36</v>
      </c>
      <c r="F872" t="s">
        <v>1731</v>
      </c>
      <c r="G872" s="92"/>
      <c r="H872" s="92"/>
      <c r="I872" s="92"/>
      <c r="J872" s="92"/>
      <c r="K872" s="92"/>
      <c r="L872" s="9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15">
      <c r="A873">
        <v>873</v>
      </c>
      <c r="B873" t="s">
        <v>1424</v>
      </c>
      <c r="C873" t="s">
        <v>7</v>
      </c>
      <c r="D873" s="77" t="s">
        <v>1732</v>
      </c>
      <c r="E873" t="s">
        <v>73</v>
      </c>
      <c r="F873" t="s">
        <v>1733</v>
      </c>
      <c r="G873" s="92"/>
      <c r="H873" s="92"/>
      <c r="I873" s="92"/>
      <c r="J873" s="92"/>
      <c r="K873" s="92"/>
      <c r="L873" s="9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15">
      <c r="A874">
        <v>874</v>
      </c>
      <c r="B874" t="s">
        <v>1424</v>
      </c>
      <c r="C874" t="s">
        <v>7</v>
      </c>
      <c r="D874" s="77" t="s">
        <v>907</v>
      </c>
      <c r="E874" t="s">
        <v>73</v>
      </c>
      <c r="F874" t="s">
        <v>1734</v>
      </c>
      <c r="G874" s="92"/>
      <c r="H874" s="92"/>
      <c r="I874" s="92"/>
      <c r="J874" s="92"/>
      <c r="K874" s="92"/>
      <c r="L874" s="9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15">
      <c r="A875">
        <v>875</v>
      </c>
      <c r="B875" t="s">
        <v>1424</v>
      </c>
      <c r="C875" t="s">
        <v>7</v>
      </c>
      <c r="D875" s="77" t="s">
        <v>1735</v>
      </c>
      <c r="E875" t="s">
        <v>36</v>
      </c>
      <c r="F875" t="s">
        <v>1736</v>
      </c>
      <c r="G875" s="92"/>
      <c r="H875" s="92"/>
      <c r="I875" s="92"/>
      <c r="J875" s="92"/>
      <c r="K875" s="92"/>
      <c r="L875" s="9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15">
      <c r="A876">
        <v>876</v>
      </c>
      <c r="B876" t="s">
        <v>1424</v>
      </c>
      <c r="C876" t="s">
        <v>7</v>
      </c>
      <c r="D876" s="77" t="s">
        <v>1737</v>
      </c>
      <c r="E876" t="s">
        <v>36</v>
      </c>
      <c r="F876" t="s">
        <v>1738</v>
      </c>
      <c r="G876" s="92"/>
      <c r="H876" s="92"/>
      <c r="I876" s="92"/>
      <c r="J876" s="92"/>
      <c r="K876" s="92"/>
      <c r="L876" s="9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15">
      <c r="A877">
        <v>877</v>
      </c>
      <c r="B877" t="s">
        <v>1424</v>
      </c>
      <c r="C877" t="s">
        <v>7</v>
      </c>
      <c r="D877" s="77" t="s">
        <v>1739</v>
      </c>
      <c r="E877" t="s">
        <v>73</v>
      </c>
      <c r="F877" t="s">
        <v>1740</v>
      </c>
      <c r="G877" s="92"/>
      <c r="H877" s="92"/>
      <c r="I877" s="92"/>
      <c r="J877" s="92"/>
      <c r="K877" s="92"/>
      <c r="L877" s="9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15">
      <c r="A878">
        <v>878</v>
      </c>
      <c r="B878" t="s">
        <v>1424</v>
      </c>
      <c r="C878" t="s">
        <v>7</v>
      </c>
      <c r="D878" s="77" t="s">
        <v>1741</v>
      </c>
      <c r="E878" t="s">
        <v>73</v>
      </c>
      <c r="F878" t="s">
        <v>1742</v>
      </c>
      <c r="G878" s="92"/>
      <c r="H878" s="92"/>
      <c r="I878" s="92"/>
      <c r="J878" s="92"/>
      <c r="K878" s="92"/>
      <c r="L878" s="9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15">
      <c r="A879">
        <v>879</v>
      </c>
      <c r="B879" t="s">
        <v>1424</v>
      </c>
      <c r="C879" t="s">
        <v>7</v>
      </c>
      <c r="D879" s="77" t="s">
        <v>1743</v>
      </c>
      <c r="E879" t="s">
        <v>73</v>
      </c>
      <c r="F879" t="s">
        <v>1744</v>
      </c>
      <c r="G879" s="92"/>
      <c r="H879" s="92"/>
      <c r="I879" s="92"/>
      <c r="J879" s="92"/>
      <c r="K879" s="92"/>
      <c r="L879" s="9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15">
      <c r="A880">
        <v>880</v>
      </c>
      <c r="B880" t="s">
        <v>1424</v>
      </c>
      <c r="C880" t="s">
        <v>7</v>
      </c>
      <c r="D880" s="77" t="s">
        <v>968</v>
      </c>
      <c r="E880" t="s">
        <v>73</v>
      </c>
      <c r="F880" t="s">
        <v>1745</v>
      </c>
      <c r="G880" s="92"/>
      <c r="H880" s="92"/>
      <c r="I880" s="92"/>
      <c r="J880" s="92"/>
      <c r="K880" s="92"/>
      <c r="L880" s="9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15">
      <c r="A881">
        <v>881</v>
      </c>
      <c r="B881" t="s">
        <v>1424</v>
      </c>
      <c r="C881" t="s">
        <v>7</v>
      </c>
      <c r="D881" s="77" t="s">
        <v>961</v>
      </c>
      <c r="E881" t="s">
        <v>61</v>
      </c>
      <c r="F881" t="s">
        <v>1746</v>
      </c>
      <c r="G881" s="92"/>
      <c r="H881" s="92"/>
      <c r="I881" s="92"/>
      <c r="J881" s="92"/>
      <c r="K881" s="92"/>
      <c r="L881" s="9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15">
      <c r="A882">
        <v>882</v>
      </c>
      <c r="B882" t="s">
        <v>1424</v>
      </c>
      <c r="C882" t="s">
        <v>7</v>
      </c>
      <c r="D882" s="77" t="s">
        <v>1747</v>
      </c>
      <c r="E882" t="s">
        <v>36</v>
      </c>
      <c r="F882" t="s">
        <v>1748</v>
      </c>
      <c r="G882" s="92"/>
      <c r="H882" s="92"/>
      <c r="I882" s="92"/>
      <c r="J882" s="92"/>
      <c r="K882" s="92"/>
      <c r="L882" s="9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15">
      <c r="A883">
        <v>883</v>
      </c>
      <c r="B883" t="s">
        <v>1424</v>
      </c>
      <c r="C883" t="s">
        <v>7</v>
      </c>
      <c r="D883" s="77" t="s">
        <v>1749</v>
      </c>
      <c r="E883" t="s">
        <v>36</v>
      </c>
      <c r="F883" t="s">
        <v>1750</v>
      </c>
      <c r="G883" s="92"/>
      <c r="H883" s="92"/>
      <c r="I883" s="92"/>
      <c r="J883" s="92"/>
      <c r="K883" s="92"/>
      <c r="L883" s="9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15">
      <c r="A884">
        <v>884</v>
      </c>
      <c r="B884" t="s">
        <v>1424</v>
      </c>
      <c r="C884" t="s">
        <v>7</v>
      </c>
      <c r="D884" s="77" t="s">
        <v>284</v>
      </c>
      <c r="E884" t="s">
        <v>36</v>
      </c>
      <c r="F884" t="s">
        <v>1751</v>
      </c>
      <c r="G884" s="92"/>
      <c r="H884" s="92"/>
      <c r="I884" s="92"/>
      <c r="J884" s="92"/>
      <c r="K884" s="92"/>
      <c r="L884" s="9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15">
      <c r="A885">
        <v>885</v>
      </c>
      <c r="B885" t="s">
        <v>1424</v>
      </c>
      <c r="C885" t="s">
        <v>7</v>
      </c>
      <c r="D885" s="77" t="s">
        <v>1752</v>
      </c>
      <c r="E885" t="s">
        <v>36</v>
      </c>
      <c r="F885" t="s">
        <v>1753</v>
      </c>
      <c r="G885" s="92"/>
      <c r="H885" s="92"/>
      <c r="I885" s="92"/>
      <c r="J885" s="92"/>
      <c r="K885" s="92"/>
      <c r="L885" s="9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15">
      <c r="A886">
        <v>886</v>
      </c>
      <c r="B886" t="s">
        <v>1424</v>
      </c>
      <c r="C886" t="s">
        <v>7</v>
      </c>
      <c r="D886" s="77" t="s">
        <v>1754</v>
      </c>
      <c r="E886" t="s">
        <v>36</v>
      </c>
      <c r="F886" t="s">
        <v>1755</v>
      </c>
      <c r="G886" s="92"/>
      <c r="H886" s="92"/>
      <c r="I886" s="92"/>
      <c r="J886" s="92"/>
      <c r="K886" s="92"/>
      <c r="L886" s="9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15">
      <c r="A887">
        <v>887</v>
      </c>
      <c r="B887" t="s">
        <v>1424</v>
      </c>
      <c r="C887" t="s">
        <v>7</v>
      </c>
      <c r="D887" s="77" t="s">
        <v>1756</v>
      </c>
      <c r="E887" t="s">
        <v>36</v>
      </c>
      <c r="F887" t="s">
        <v>1757</v>
      </c>
      <c r="G887" s="92"/>
      <c r="H887" s="92"/>
      <c r="I887" s="92"/>
      <c r="J887" s="92"/>
      <c r="K887" s="92"/>
      <c r="L887" s="9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15">
      <c r="A888">
        <v>888</v>
      </c>
      <c r="B888" t="s">
        <v>1424</v>
      </c>
      <c r="C888" t="s">
        <v>7</v>
      </c>
      <c r="D888" s="77" t="s">
        <v>1758</v>
      </c>
      <c r="E888" t="s">
        <v>73</v>
      </c>
      <c r="F888" t="s">
        <v>1759</v>
      </c>
      <c r="G888" s="92"/>
      <c r="H888" s="92"/>
      <c r="I888" s="92"/>
      <c r="J888" s="92"/>
      <c r="K888" s="92"/>
      <c r="L888" s="9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15">
      <c r="A889">
        <v>889</v>
      </c>
      <c r="B889" t="s">
        <v>1424</v>
      </c>
      <c r="C889" t="s">
        <v>8</v>
      </c>
      <c r="D889" s="77" t="s">
        <v>1760</v>
      </c>
      <c r="E889" t="s">
        <v>736</v>
      </c>
      <c r="F889" t="s">
        <v>5504</v>
      </c>
      <c r="G889" s="92"/>
      <c r="H889" s="92"/>
      <c r="I889" s="92"/>
      <c r="J889" s="92"/>
      <c r="K889" s="92"/>
      <c r="L889" s="9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15">
      <c r="A890">
        <v>890</v>
      </c>
      <c r="B890" t="s">
        <v>1424</v>
      </c>
      <c r="C890" t="s">
        <v>8</v>
      </c>
      <c r="D890" s="77" t="s">
        <v>426</v>
      </c>
      <c r="E890" t="s">
        <v>36</v>
      </c>
      <c r="F890" t="s">
        <v>427</v>
      </c>
      <c r="G890" s="92"/>
      <c r="H890" s="92"/>
      <c r="I890" s="92"/>
      <c r="J890" s="92"/>
      <c r="K890" s="92"/>
      <c r="L890" s="9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15">
      <c r="A891">
        <v>891</v>
      </c>
      <c r="B891" t="s">
        <v>1424</v>
      </c>
      <c r="C891" t="s">
        <v>8</v>
      </c>
      <c r="D891" s="77" t="s">
        <v>1761</v>
      </c>
      <c r="E891" t="s">
        <v>157</v>
      </c>
      <c r="F891" t="s">
        <v>1803</v>
      </c>
      <c r="G891" s="92"/>
      <c r="H891" s="92"/>
      <c r="I891" s="92"/>
      <c r="J891" s="92"/>
      <c r="K891" s="92"/>
      <c r="L891" s="9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15">
      <c r="A892">
        <v>892</v>
      </c>
      <c r="B892" t="s">
        <v>1424</v>
      </c>
      <c r="C892" t="s">
        <v>8</v>
      </c>
      <c r="D892" s="77" t="s">
        <v>311</v>
      </c>
      <c r="E892" t="s">
        <v>61</v>
      </c>
      <c r="F892" t="s">
        <v>102</v>
      </c>
      <c r="G892" s="92"/>
      <c r="H892" s="92"/>
      <c r="I892" s="92"/>
      <c r="J892" s="92"/>
      <c r="K892" s="92"/>
      <c r="L892" s="9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15">
      <c r="A893">
        <v>893</v>
      </c>
      <c r="B893" t="s">
        <v>1424</v>
      </c>
      <c r="C893" t="s">
        <v>8</v>
      </c>
      <c r="D893" s="77" t="s">
        <v>1762</v>
      </c>
      <c r="E893" t="s">
        <v>1021</v>
      </c>
      <c r="F893" t="s">
        <v>1763</v>
      </c>
      <c r="G893" s="92"/>
      <c r="H893" s="92"/>
      <c r="I893" s="92"/>
      <c r="J893" s="92"/>
      <c r="K893" s="92"/>
      <c r="L893" s="9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15">
      <c r="A894">
        <v>894</v>
      </c>
      <c r="B894" t="s">
        <v>1424</v>
      </c>
      <c r="C894" t="s">
        <v>8</v>
      </c>
      <c r="D894" s="77" t="s">
        <v>1764</v>
      </c>
      <c r="E894" t="s">
        <v>36</v>
      </c>
      <c r="F894" t="s">
        <v>1765</v>
      </c>
      <c r="G894" s="92"/>
      <c r="H894" s="92"/>
      <c r="I894" s="92"/>
      <c r="J894" s="92"/>
      <c r="K894" s="92"/>
      <c r="L894" s="9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15">
      <c r="A895">
        <v>895</v>
      </c>
      <c r="B895" t="s">
        <v>1424</v>
      </c>
      <c r="C895" t="s">
        <v>8</v>
      </c>
      <c r="D895" s="72" t="s">
        <v>5635</v>
      </c>
      <c r="E895" t="s">
        <v>36</v>
      </c>
      <c r="F895" t="s">
        <v>1766</v>
      </c>
      <c r="G895" s="92"/>
      <c r="H895" s="92"/>
      <c r="I895" s="92"/>
      <c r="J895" s="92"/>
      <c r="K895" s="92"/>
      <c r="L895" s="9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15">
      <c r="A896">
        <v>896</v>
      </c>
      <c r="B896" t="s">
        <v>1424</v>
      </c>
      <c r="C896" t="s">
        <v>8</v>
      </c>
      <c r="D896" s="77" t="s">
        <v>1767</v>
      </c>
      <c r="E896" t="s">
        <v>1768</v>
      </c>
      <c r="F896" t="s">
        <v>1769</v>
      </c>
      <c r="G896" s="92"/>
      <c r="H896" s="92"/>
      <c r="I896" s="92"/>
      <c r="J896" s="92"/>
      <c r="K896" s="92"/>
      <c r="L896" s="9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15">
      <c r="A897">
        <v>897</v>
      </c>
      <c r="B897" t="s">
        <v>1424</v>
      </c>
      <c r="C897" t="s">
        <v>8</v>
      </c>
      <c r="D897" s="77" t="s">
        <v>1770</v>
      </c>
      <c r="E897" t="s">
        <v>36</v>
      </c>
      <c r="F897" t="s">
        <v>1771</v>
      </c>
      <c r="G897" s="92"/>
      <c r="H897" s="92"/>
      <c r="I897" s="92"/>
      <c r="J897" s="92"/>
      <c r="K897" s="92"/>
      <c r="L897" s="9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15">
      <c r="A898">
        <v>898</v>
      </c>
      <c r="B898" t="s">
        <v>1424</v>
      </c>
      <c r="C898" t="s">
        <v>8</v>
      </c>
      <c r="D898" s="77" t="s">
        <v>177</v>
      </c>
      <c r="E898" t="s">
        <v>36</v>
      </c>
      <c r="F898" t="s">
        <v>5666</v>
      </c>
      <c r="G898" s="92"/>
      <c r="H898" s="92"/>
      <c r="I898" s="92"/>
      <c r="J898" s="92"/>
      <c r="K898" s="92"/>
      <c r="L898" s="9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15">
      <c r="A899">
        <v>899</v>
      </c>
      <c r="B899" t="s">
        <v>1424</v>
      </c>
      <c r="C899" t="s">
        <v>8</v>
      </c>
      <c r="D899" s="77" t="s">
        <v>1772</v>
      </c>
      <c r="E899" t="s">
        <v>36</v>
      </c>
      <c r="F899" t="s">
        <v>1773</v>
      </c>
      <c r="G899" s="92"/>
      <c r="H899" s="92"/>
      <c r="I899" s="92"/>
      <c r="J899" s="92"/>
      <c r="K899" s="92"/>
      <c r="L899" s="9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15">
      <c r="A900">
        <v>900</v>
      </c>
      <c r="B900" t="s">
        <v>1424</v>
      </c>
      <c r="C900" t="s">
        <v>8</v>
      </c>
      <c r="D900" s="77" t="s">
        <v>1774</v>
      </c>
      <c r="E900" t="s">
        <v>702</v>
      </c>
      <c r="F900" t="s">
        <v>1775</v>
      </c>
      <c r="G900" s="92"/>
      <c r="H900" s="92"/>
      <c r="I900" s="92"/>
      <c r="J900" s="92"/>
      <c r="K900" s="92"/>
      <c r="L900" s="9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15">
      <c r="A901">
        <v>901</v>
      </c>
      <c r="B901" t="s">
        <v>1424</v>
      </c>
      <c r="C901" t="s">
        <v>8</v>
      </c>
      <c r="D901" s="77" t="s">
        <v>778</v>
      </c>
      <c r="E901" t="s">
        <v>61</v>
      </c>
      <c r="F901" t="s">
        <v>1776</v>
      </c>
      <c r="G901" s="92"/>
      <c r="H901" s="92"/>
      <c r="I901" s="92"/>
      <c r="J901" s="92"/>
      <c r="K901" s="92"/>
      <c r="L901" s="9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15">
      <c r="A902">
        <v>902</v>
      </c>
      <c r="B902" t="s">
        <v>1424</v>
      </c>
      <c r="C902" t="s">
        <v>8</v>
      </c>
      <c r="D902" s="77" t="s">
        <v>624</v>
      </c>
      <c r="E902" t="s">
        <v>61</v>
      </c>
      <c r="F902" t="s">
        <v>625</v>
      </c>
      <c r="G902" s="92"/>
      <c r="H902" s="92"/>
      <c r="I902" s="92"/>
      <c r="J902" s="92"/>
      <c r="K902" s="92"/>
      <c r="L902" s="9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15">
      <c r="A903">
        <v>903</v>
      </c>
      <c r="B903" t="s">
        <v>1424</v>
      </c>
      <c r="C903" t="s">
        <v>8</v>
      </c>
      <c r="D903" s="77" t="s">
        <v>1777</v>
      </c>
      <c r="E903" t="s">
        <v>36</v>
      </c>
      <c r="F903" t="s">
        <v>1778</v>
      </c>
      <c r="G903" s="92"/>
      <c r="H903" s="92"/>
      <c r="I903" s="92"/>
      <c r="J903" s="92"/>
      <c r="K903" s="92"/>
      <c r="L903" s="9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15">
      <c r="A904">
        <v>904</v>
      </c>
      <c r="B904" t="s">
        <v>1424</v>
      </c>
      <c r="C904" t="s">
        <v>8</v>
      </c>
      <c r="D904" s="77" t="s">
        <v>1779</v>
      </c>
      <c r="E904" t="s">
        <v>36</v>
      </c>
      <c r="F904" t="s">
        <v>1780</v>
      </c>
      <c r="G904" s="92"/>
      <c r="H904" s="92"/>
      <c r="I904" s="92"/>
      <c r="J904" s="92"/>
      <c r="K904" s="92"/>
      <c r="L904" s="9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15">
      <c r="A905">
        <v>905</v>
      </c>
      <c r="B905" t="s">
        <v>1424</v>
      </c>
      <c r="C905" t="s">
        <v>8</v>
      </c>
      <c r="D905" s="77" t="s">
        <v>1781</v>
      </c>
      <c r="E905" t="s">
        <v>702</v>
      </c>
      <c r="F905" t="s">
        <v>569</v>
      </c>
      <c r="G905" s="92"/>
      <c r="H905" s="92"/>
      <c r="I905" s="92"/>
      <c r="J905" s="92"/>
      <c r="K905" s="92"/>
      <c r="L905" s="9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15">
      <c r="A906">
        <v>906</v>
      </c>
      <c r="B906" t="s">
        <v>1424</v>
      </c>
      <c r="C906" t="s">
        <v>8</v>
      </c>
      <c r="D906" s="77" t="s">
        <v>1782</v>
      </c>
      <c r="E906" t="s">
        <v>36</v>
      </c>
      <c r="F906" t="s">
        <v>1783</v>
      </c>
      <c r="G906" s="92"/>
      <c r="H906" s="92"/>
      <c r="I906" s="92"/>
      <c r="J906" s="92"/>
      <c r="K906" s="92"/>
      <c r="L906" s="9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15">
      <c r="A907">
        <v>907</v>
      </c>
      <c r="B907" t="s">
        <v>1424</v>
      </c>
      <c r="C907" t="s">
        <v>8</v>
      </c>
      <c r="D907" s="77" t="s">
        <v>1784</v>
      </c>
      <c r="E907" t="s">
        <v>61</v>
      </c>
      <c r="F907" t="s">
        <v>1785</v>
      </c>
      <c r="G907" s="92"/>
      <c r="H907" s="92"/>
      <c r="I907" s="92"/>
      <c r="J907" s="92"/>
      <c r="K907" s="92"/>
      <c r="L907" s="9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15">
      <c r="A908">
        <v>908</v>
      </c>
      <c r="B908" t="s">
        <v>1424</v>
      </c>
      <c r="C908" t="s">
        <v>8</v>
      </c>
      <c r="D908" s="77" t="s">
        <v>1786</v>
      </c>
      <c r="E908" t="s">
        <v>157</v>
      </c>
      <c r="F908" t="s">
        <v>1787</v>
      </c>
      <c r="G908" s="92"/>
      <c r="H908" s="92"/>
      <c r="I908" s="92"/>
      <c r="J908" s="92"/>
      <c r="K908" s="92"/>
      <c r="L908" s="9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15">
      <c r="A909">
        <v>909</v>
      </c>
      <c r="B909" t="s">
        <v>1424</v>
      </c>
      <c r="C909" t="s">
        <v>8</v>
      </c>
      <c r="D909" s="77" t="s">
        <v>1788</v>
      </c>
      <c r="E909" t="s">
        <v>61</v>
      </c>
      <c r="F909" t="s">
        <v>1789</v>
      </c>
      <c r="G909" s="92"/>
      <c r="H909" s="92"/>
      <c r="I909" s="92"/>
      <c r="J909" s="92"/>
      <c r="K909" s="92"/>
      <c r="L909" s="9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15">
      <c r="A910">
        <v>910</v>
      </c>
      <c r="B910" t="s">
        <v>1424</v>
      </c>
      <c r="C910" t="s">
        <v>8</v>
      </c>
      <c r="D910" s="77" t="s">
        <v>1790</v>
      </c>
      <c r="E910" t="s">
        <v>73</v>
      </c>
      <c r="F910" t="s">
        <v>1791</v>
      </c>
      <c r="G910" s="92"/>
      <c r="H910" s="92"/>
      <c r="I910" s="92"/>
      <c r="J910" s="92"/>
      <c r="K910" s="92"/>
      <c r="L910" s="9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15">
      <c r="A911">
        <v>911</v>
      </c>
      <c r="B911" t="s">
        <v>1424</v>
      </c>
      <c r="C911" t="s">
        <v>8</v>
      </c>
      <c r="D911" s="77" t="s">
        <v>1792</v>
      </c>
      <c r="E911" t="s">
        <v>36</v>
      </c>
      <c r="F911" t="s">
        <v>1793</v>
      </c>
      <c r="G911" s="92"/>
      <c r="H911" s="92"/>
      <c r="I911" s="92"/>
      <c r="J911" s="92"/>
      <c r="K911" s="92"/>
      <c r="L911" s="9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15">
      <c r="A912">
        <v>912</v>
      </c>
      <c r="B912" t="s">
        <v>1424</v>
      </c>
      <c r="C912" t="s">
        <v>8</v>
      </c>
      <c r="D912" s="77" t="s">
        <v>1794</v>
      </c>
      <c r="E912" t="s">
        <v>702</v>
      </c>
      <c r="F912" t="s">
        <v>1795</v>
      </c>
      <c r="G912" s="92"/>
      <c r="H912" s="92"/>
      <c r="I912" s="92"/>
      <c r="J912" s="92"/>
      <c r="K912" s="92"/>
      <c r="L912" s="9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15">
      <c r="A913">
        <v>913</v>
      </c>
      <c r="B913" t="s">
        <v>1424</v>
      </c>
      <c r="C913" t="s">
        <v>8</v>
      </c>
      <c r="D913" s="77" t="s">
        <v>1796</v>
      </c>
      <c r="E913" t="s">
        <v>702</v>
      </c>
      <c r="F913" t="s">
        <v>1797</v>
      </c>
      <c r="G913" s="92"/>
      <c r="H913" s="92"/>
      <c r="I913" s="92"/>
      <c r="J913" s="92"/>
      <c r="K913" s="92"/>
      <c r="L913" s="9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15">
      <c r="A914">
        <v>914</v>
      </c>
      <c r="B914" t="s">
        <v>1424</v>
      </c>
      <c r="C914" t="s">
        <v>8</v>
      </c>
      <c r="D914" s="77" t="s">
        <v>1798</v>
      </c>
      <c r="E914" t="s">
        <v>61</v>
      </c>
      <c r="F914" t="s">
        <v>1799</v>
      </c>
      <c r="G914" s="92"/>
      <c r="H914" s="92"/>
      <c r="I914" s="92"/>
      <c r="J914" s="92"/>
      <c r="K914" s="92"/>
      <c r="L914" s="9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15">
      <c r="A915">
        <v>915</v>
      </c>
      <c r="B915" t="s">
        <v>1424</v>
      </c>
      <c r="C915" t="s">
        <v>8</v>
      </c>
      <c r="D915" s="77" t="s">
        <v>1800</v>
      </c>
      <c r="E915" t="s">
        <v>61</v>
      </c>
      <c r="F915" t="s">
        <v>1801</v>
      </c>
      <c r="G915" s="92"/>
      <c r="H915" s="92"/>
      <c r="I915" s="92"/>
      <c r="J915" s="92"/>
      <c r="K915" s="92"/>
      <c r="L915" s="9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15">
      <c r="A916">
        <v>916</v>
      </c>
      <c r="B916" t="s">
        <v>1424</v>
      </c>
      <c r="C916" t="s">
        <v>8</v>
      </c>
      <c r="D916" s="77" t="s">
        <v>874</v>
      </c>
      <c r="E916" t="s">
        <v>702</v>
      </c>
      <c r="F916" t="s">
        <v>1802</v>
      </c>
      <c r="G916" s="92"/>
      <c r="H916" s="92"/>
      <c r="I916" s="92"/>
      <c r="J916" s="92"/>
      <c r="K916" s="92"/>
      <c r="L916" s="9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15">
      <c r="A917">
        <v>917</v>
      </c>
      <c r="B917" t="s">
        <v>1424</v>
      </c>
      <c r="C917" t="s">
        <v>8</v>
      </c>
      <c r="D917" s="77" t="s">
        <v>437</v>
      </c>
      <c r="E917" t="s">
        <v>36</v>
      </c>
      <c r="F917" t="s">
        <v>438</v>
      </c>
      <c r="G917" s="92"/>
      <c r="H917" s="92"/>
      <c r="I917" s="92"/>
      <c r="J917" s="92"/>
      <c r="K917" s="92"/>
      <c r="L917" s="9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15">
      <c r="A918">
        <v>918</v>
      </c>
      <c r="B918" t="s">
        <v>1424</v>
      </c>
      <c r="C918" t="s">
        <v>8</v>
      </c>
      <c r="D918" s="77" t="s">
        <v>1804</v>
      </c>
      <c r="E918" t="s">
        <v>36</v>
      </c>
      <c r="F918" t="s">
        <v>1805</v>
      </c>
      <c r="G918" s="92"/>
      <c r="H918" s="92"/>
      <c r="I918" s="92"/>
      <c r="J918" s="92"/>
      <c r="K918" s="92"/>
      <c r="L918" s="9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15">
      <c r="A919">
        <v>919</v>
      </c>
      <c r="B919" t="s">
        <v>1424</v>
      </c>
      <c r="C919" t="s">
        <v>8</v>
      </c>
      <c r="D919" s="77" t="s">
        <v>1806</v>
      </c>
      <c r="E919" t="s">
        <v>36</v>
      </c>
      <c r="F919" t="s">
        <v>1807</v>
      </c>
      <c r="G919" s="92"/>
      <c r="H919" s="92"/>
      <c r="I919" s="92"/>
      <c r="J919" s="92"/>
      <c r="K919" s="92"/>
      <c r="L919" s="9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15">
      <c r="A920">
        <v>920</v>
      </c>
      <c r="B920" t="s">
        <v>1424</v>
      </c>
      <c r="C920" t="s">
        <v>8</v>
      </c>
      <c r="D920" s="77" t="s">
        <v>1808</v>
      </c>
      <c r="E920" t="s">
        <v>61</v>
      </c>
      <c r="F920" t="s">
        <v>1809</v>
      </c>
      <c r="G920" s="92"/>
      <c r="H920" s="92"/>
      <c r="I920" s="92"/>
      <c r="J920" s="92"/>
      <c r="K920" s="92"/>
      <c r="L920" s="9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15">
      <c r="A921">
        <v>921</v>
      </c>
      <c r="B921" t="s">
        <v>1424</v>
      </c>
      <c r="C921" t="s">
        <v>8</v>
      </c>
      <c r="D921" s="77" t="s">
        <v>1808</v>
      </c>
      <c r="E921" t="s">
        <v>36</v>
      </c>
      <c r="F921" t="s">
        <v>1810</v>
      </c>
      <c r="G921" s="92"/>
      <c r="H921" s="92"/>
      <c r="I921" s="92"/>
      <c r="J921" s="92"/>
      <c r="K921" s="92"/>
      <c r="L921" s="9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15">
      <c r="A922">
        <v>922</v>
      </c>
      <c r="B922" t="s">
        <v>1424</v>
      </c>
      <c r="C922" t="s">
        <v>8</v>
      </c>
      <c r="D922" s="77" t="s">
        <v>876</v>
      </c>
      <c r="E922" t="s">
        <v>36</v>
      </c>
      <c r="F922" t="s">
        <v>1811</v>
      </c>
      <c r="G922" s="92"/>
      <c r="H922" s="92"/>
      <c r="I922" s="92"/>
      <c r="J922" s="92"/>
      <c r="K922" s="92"/>
      <c r="L922" s="9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15">
      <c r="A923">
        <v>923</v>
      </c>
      <c r="B923" t="s">
        <v>1424</v>
      </c>
      <c r="C923" t="s">
        <v>8</v>
      </c>
      <c r="D923" s="77" t="s">
        <v>1812</v>
      </c>
      <c r="E923" t="s">
        <v>36</v>
      </c>
      <c r="F923" t="s">
        <v>1813</v>
      </c>
      <c r="G923" s="92"/>
      <c r="H923" s="92"/>
      <c r="I923" s="92"/>
      <c r="J923" s="92"/>
      <c r="K923" s="92"/>
      <c r="L923" s="9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15">
      <c r="A924">
        <v>924</v>
      </c>
      <c r="B924" t="s">
        <v>1424</v>
      </c>
      <c r="C924" t="s">
        <v>8</v>
      </c>
      <c r="D924" s="77" t="s">
        <v>1814</v>
      </c>
      <c r="E924" t="s">
        <v>61</v>
      </c>
      <c r="F924" t="s">
        <v>1815</v>
      </c>
      <c r="G924" s="92"/>
      <c r="H924" s="92"/>
      <c r="I924" s="92"/>
      <c r="J924" s="92"/>
      <c r="K924" s="92"/>
      <c r="L924" s="9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15">
      <c r="A925">
        <v>925</v>
      </c>
      <c r="B925" t="s">
        <v>1424</v>
      </c>
      <c r="C925" t="s">
        <v>8</v>
      </c>
      <c r="D925" s="77" t="s">
        <v>1816</v>
      </c>
      <c r="E925" t="s">
        <v>36</v>
      </c>
      <c r="F925" t="s">
        <v>1817</v>
      </c>
      <c r="G925" s="92"/>
      <c r="H925" s="92"/>
      <c r="I925" s="92"/>
      <c r="J925" s="92"/>
      <c r="K925" s="92"/>
      <c r="L925" s="9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15">
      <c r="A926">
        <v>926</v>
      </c>
      <c r="B926" t="s">
        <v>1424</v>
      </c>
      <c r="C926" t="s">
        <v>8</v>
      </c>
      <c r="D926" s="77" t="s">
        <v>1818</v>
      </c>
      <c r="E926" t="s">
        <v>36</v>
      </c>
      <c r="F926" t="s">
        <v>1819</v>
      </c>
      <c r="G926" s="92"/>
      <c r="H926" s="92"/>
      <c r="I926" s="92"/>
      <c r="J926" s="92"/>
      <c r="K926" s="92"/>
      <c r="L926" s="9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15">
      <c r="A927">
        <v>927</v>
      </c>
      <c r="B927" t="s">
        <v>1424</v>
      </c>
      <c r="C927" t="s">
        <v>8</v>
      </c>
      <c r="D927" s="77" t="s">
        <v>1820</v>
      </c>
      <c r="E927" t="s">
        <v>36</v>
      </c>
      <c r="F927" t="s">
        <v>1821</v>
      </c>
      <c r="G927" s="92"/>
      <c r="H927" s="92"/>
      <c r="I927" s="92"/>
      <c r="J927" s="92"/>
      <c r="K927" s="92"/>
      <c r="L927" s="9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15">
      <c r="A928">
        <v>928</v>
      </c>
      <c r="B928" t="s">
        <v>1424</v>
      </c>
      <c r="C928" t="s">
        <v>8</v>
      </c>
      <c r="D928" s="77" t="s">
        <v>1822</v>
      </c>
      <c r="E928" t="s">
        <v>736</v>
      </c>
      <c r="F928" t="s">
        <v>1823</v>
      </c>
      <c r="G928" s="92"/>
      <c r="H928" s="92"/>
      <c r="I928" s="92"/>
      <c r="J928" s="92"/>
      <c r="K928" s="92"/>
      <c r="L928" s="9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15">
      <c r="A929">
        <v>929</v>
      </c>
      <c r="B929" t="s">
        <v>1424</v>
      </c>
      <c r="C929" t="s">
        <v>8</v>
      </c>
      <c r="D929" s="77" t="s">
        <v>1824</v>
      </c>
      <c r="E929" t="s">
        <v>736</v>
      </c>
      <c r="F929" t="s">
        <v>1825</v>
      </c>
      <c r="G929" s="92"/>
      <c r="H929" s="92"/>
      <c r="I929" s="92"/>
      <c r="J929" s="92"/>
      <c r="K929" s="92"/>
      <c r="L929" s="9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15">
      <c r="A930">
        <v>930</v>
      </c>
      <c r="B930" t="s">
        <v>1424</v>
      </c>
      <c r="C930" t="s">
        <v>8</v>
      </c>
      <c r="D930" s="77" t="s">
        <v>1826</v>
      </c>
      <c r="E930" t="s">
        <v>61</v>
      </c>
      <c r="F930" t="s">
        <v>1827</v>
      </c>
      <c r="G930" s="92"/>
      <c r="H930" s="92"/>
      <c r="I930" s="92"/>
      <c r="J930" s="92"/>
      <c r="K930" s="92"/>
      <c r="L930" s="9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15">
      <c r="A931">
        <v>931</v>
      </c>
      <c r="B931" t="s">
        <v>1424</v>
      </c>
      <c r="C931" t="s">
        <v>8</v>
      </c>
      <c r="D931" s="77" t="s">
        <v>1828</v>
      </c>
      <c r="E931" t="s">
        <v>36</v>
      </c>
      <c r="F931" t="s">
        <v>1829</v>
      </c>
      <c r="G931" s="92"/>
      <c r="H931" s="92"/>
      <c r="I931" s="92"/>
      <c r="J931" s="92"/>
      <c r="K931" s="92"/>
      <c r="L931" s="9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15">
      <c r="A932">
        <v>932</v>
      </c>
      <c r="B932" t="s">
        <v>1424</v>
      </c>
      <c r="C932" t="s">
        <v>8</v>
      </c>
      <c r="D932" s="77" t="s">
        <v>1830</v>
      </c>
      <c r="E932" t="s">
        <v>36</v>
      </c>
      <c r="F932" t="s">
        <v>1831</v>
      </c>
      <c r="G932" s="92"/>
      <c r="H932" s="92"/>
      <c r="I932" s="92"/>
      <c r="J932" s="92"/>
      <c r="K932" s="92"/>
      <c r="L932" s="9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15">
      <c r="A933">
        <v>933</v>
      </c>
      <c r="B933" t="s">
        <v>1424</v>
      </c>
      <c r="C933" t="s">
        <v>8</v>
      </c>
      <c r="D933" s="77" t="s">
        <v>1832</v>
      </c>
      <c r="E933" t="s">
        <v>36</v>
      </c>
      <c r="F933" t="s">
        <v>1833</v>
      </c>
      <c r="G933" s="92"/>
      <c r="H933" s="92"/>
      <c r="I933" s="92"/>
      <c r="J933" s="92"/>
      <c r="K933" s="92"/>
      <c r="L933" s="9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15">
      <c r="A934">
        <v>934</v>
      </c>
      <c r="B934" t="s">
        <v>1424</v>
      </c>
      <c r="C934" t="s">
        <v>8</v>
      </c>
      <c r="D934" s="77" t="s">
        <v>1834</v>
      </c>
      <c r="E934" t="s">
        <v>36</v>
      </c>
      <c r="F934" t="s">
        <v>1835</v>
      </c>
      <c r="G934" s="92"/>
      <c r="H934" s="92"/>
      <c r="I934" s="92"/>
      <c r="J934" s="92"/>
      <c r="K934" s="92"/>
      <c r="L934" s="9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15">
      <c r="A935">
        <v>935</v>
      </c>
      <c r="B935" t="s">
        <v>1424</v>
      </c>
      <c r="C935" t="s">
        <v>8</v>
      </c>
      <c r="D935" s="77" t="s">
        <v>1836</v>
      </c>
      <c r="E935" t="s">
        <v>36</v>
      </c>
      <c r="F935" t="s">
        <v>1837</v>
      </c>
      <c r="G935" s="92"/>
      <c r="H935" s="92"/>
      <c r="I935" s="92"/>
      <c r="J935" s="92"/>
      <c r="K935" s="92"/>
      <c r="L935" s="9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15">
      <c r="A936">
        <v>936</v>
      </c>
      <c r="B936" t="s">
        <v>1424</v>
      </c>
      <c r="C936" t="s">
        <v>8</v>
      </c>
      <c r="D936" s="77" t="s">
        <v>1838</v>
      </c>
      <c r="E936" t="s">
        <v>36</v>
      </c>
      <c r="F936" t="s">
        <v>1839</v>
      </c>
      <c r="G936" s="92"/>
      <c r="H936" s="92"/>
      <c r="I936" s="92"/>
      <c r="J936" s="92"/>
      <c r="K936" s="92"/>
      <c r="L936" s="9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15">
      <c r="A937">
        <v>937</v>
      </c>
      <c r="B937" t="s">
        <v>1424</v>
      </c>
      <c r="C937" t="s">
        <v>8</v>
      </c>
      <c r="D937" s="77" t="s">
        <v>1840</v>
      </c>
      <c r="E937" t="s">
        <v>73</v>
      </c>
      <c r="F937" t="s">
        <v>1841</v>
      </c>
      <c r="G937" s="92"/>
      <c r="H937" s="92"/>
      <c r="I937" s="92"/>
      <c r="J937" s="92"/>
      <c r="K937" s="92"/>
      <c r="L937" s="9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15">
      <c r="A938">
        <v>938</v>
      </c>
      <c r="B938" t="s">
        <v>1424</v>
      </c>
      <c r="C938" t="s">
        <v>8</v>
      </c>
      <c r="D938" s="77" t="s">
        <v>1842</v>
      </c>
      <c r="E938" t="s">
        <v>73</v>
      </c>
      <c r="F938" t="s">
        <v>1843</v>
      </c>
      <c r="G938" s="92"/>
      <c r="H938" s="92"/>
      <c r="I938" s="92"/>
      <c r="J938" s="92"/>
      <c r="K938" s="92"/>
      <c r="L938" s="9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15">
      <c r="A939">
        <v>939</v>
      </c>
      <c r="B939" t="s">
        <v>1424</v>
      </c>
      <c r="C939" t="s">
        <v>8</v>
      </c>
      <c r="D939" s="77" t="s">
        <v>1844</v>
      </c>
      <c r="E939" t="s">
        <v>36</v>
      </c>
      <c r="F939" t="s">
        <v>1845</v>
      </c>
      <c r="G939" s="92"/>
      <c r="H939" s="92"/>
      <c r="I939" s="92"/>
      <c r="J939" s="92"/>
      <c r="K939" s="92"/>
      <c r="L939" s="9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15">
      <c r="A940">
        <v>940</v>
      </c>
      <c r="B940" t="s">
        <v>1424</v>
      </c>
      <c r="C940" t="s">
        <v>8</v>
      </c>
      <c r="D940" s="77" t="s">
        <v>1846</v>
      </c>
      <c r="E940" t="s">
        <v>36</v>
      </c>
      <c r="F940" t="s">
        <v>1847</v>
      </c>
      <c r="G940" s="92"/>
      <c r="H940" s="92"/>
      <c r="I940" s="92"/>
      <c r="J940" s="92"/>
      <c r="K940" s="92"/>
      <c r="L940" s="9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15">
      <c r="A941">
        <v>941</v>
      </c>
      <c r="B941" t="s">
        <v>1424</v>
      </c>
      <c r="C941" t="s">
        <v>8</v>
      </c>
      <c r="D941" s="77" t="s">
        <v>1848</v>
      </c>
      <c r="E941" t="s">
        <v>736</v>
      </c>
      <c r="F941" t="s">
        <v>1849</v>
      </c>
      <c r="G941" s="92"/>
      <c r="H941" s="92"/>
      <c r="I941" s="92"/>
      <c r="J941" s="92"/>
      <c r="K941" s="92"/>
      <c r="L941" s="9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15">
      <c r="A942">
        <v>942</v>
      </c>
      <c r="B942" t="s">
        <v>1424</v>
      </c>
      <c r="C942" t="s">
        <v>8</v>
      </c>
      <c r="D942" s="77" t="s">
        <v>1850</v>
      </c>
      <c r="E942" t="s">
        <v>36</v>
      </c>
      <c r="F942" t="s">
        <v>1851</v>
      </c>
      <c r="G942" s="92"/>
      <c r="H942" s="92"/>
      <c r="I942" s="92"/>
      <c r="J942" s="92"/>
      <c r="K942" s="92"/>
      <c r="L942" s="9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15">
      <c r="A943">
        <v>943</v>
      </c>
      <c r="B943" t="s">
        <v>1424</v>
      </c>
      <c r="C943" t="s">
        <v>8</v>
      </c>
      <c r="D943" s="77" t="s">
        <v>1852</v>
      </c>
      <c r="E943" t="s">
        <v>73</v>
      </c>
      <c r="F943" t="s">
        <v>1853</v>
      </c>
      <c r="G943" s="92"/>
      <c r="H943" s="92"/>
      <c r="I943" s="92"/>
      <c r="J943" s="92"/>
      <c r="K943" s="92"/>
      <c r="L943" s="9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15">
      <c r="A944">
        <v>944</v>
      </c>
      <c r="B944" t="s">
        <v>1424</v>
      </c>
      <c r="C944" t="s">
        <v>8</v>
      </c>
      <c r="D944" s="77" t="s">
        <v>1854</v>
      </c>
      <c r="E944" t="s">
        <v>36</v>
      </c>
      <c r="F944" t="s">
        <v>1855</v>
      </c>
      <c r="G944" s="92"/>
      <c r="H944" s="92"/>
      <c r="I944" s="92"/>
      <c r="J944" s="92"/>
      <c r="K944" s="92"/>
      <c r="L944" s="9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15">
      <c r="A945">
        <v>945</v>
      </c>
      <c r="B945" t="s">
        <v>1424</v>
      </c>
      <c r="C945" t="s">
        <v>8</v>
      </c>
      <c r="D945" s="77" t="s">
        <v>1856</v>
      </c>
      <c r="E945" t="s">
        <v>702</v>
      </c>
      <c r="F945" t="s">
        <v>1950</v>
      </c>
      <c r="G945" s="92"/>
      <c r="H945" s="92"/>
      <c r="I945" s="92"/>
      <c r="J945" s="92"/>
      <c r="K945" s="92"/>
      <c r="L945" s="9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15">
      <c r="A946">
        <v>946</v>
      </c>
      <c r="B946" t="s">
        <v>1424</v>
      </c>
      <c r="C946" t="s">
        <v>8</v>
      </c>
      <c r="D946" s="77" t="s">
        <v>1857</v>
      </c>
      <c r="E946" t="s">
        <v>36</v>
      </c>
      <c r="F946" t="s">
        <v>1858</v>
      </c>
      <c r="G946" s="92"/>
      <c r="H946" s="92"/>
      <c r="I946" s="92"/>
      <c r="J946" s="92"/>
      <c r="K946" s="92"/>
      <c r="L946" s="9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15">
      <c r="A947">
        <v>947</v>
      </c>
      <c r="B947" t="s">
        <v>1424</v>
      </c>
      <c r="C947" t="s">
        <v>8</v>
      </c>
      <c r="D947" s="77" t="s">
        <v>1859</v>
      </c>
      <c r="E947" t="s">
        <v>36</v>
      </c>
      <c r="F947" t="s">
        <v>1860</v>
      </c>
      <c r="G947" s="92"/>
      <c r="H947" s="92"/>
      <c r="I947" s="92"/>
      <c r="J947" s="92"/>
      <c r="K947" s="92"/>
      <c r="L947" s="9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15">
      <c r="A948">
        <v>948</v>
      </c>
      <c r="B948" t="s">
        <v>1424</v>
      </c>
      <c r="C948" t="s">
        <v>8</v>
      </c>
      <c r="D948" s="77" t="s">
        <v>1861</v>
      </c>
      <c r="E948" t="s">
        <v>36</v>
      </c>
      <c r="F948" t="s">
        <v>1862</v>
      </c>
      <c r="G948" s="92"/>
      <c r="H948" s="92"/>
      <c r="I948" s="92"/>
      <c r="J948" s="92"/>
      <c r="K948" s="92"/>
      <c r="L948" s="9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15">
      <c r="A949">
        <v>949</v>
      </c>
      <c r="B949" t="s">
        <v>1424</v>
      </c>
      <c r="C949" t="s">
        <v>8</v>
      </c>
      <c r="D949" s="77" t="s">
        <v>1863</v>
      </c>
      <c r="E949" t="s">
        <v>36</v>
      </c>
      <c r="F949" t="s">
        <v>1864</v>
      </c>
      <c r="G949" s="92"/>
      <c r="H949" s="92"/>
      <c r="I949" s="92"/>
      <c r="J949" s="92"/>
      <c r="K949" s="92"/>
      <c r="L949" s="9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15">
      <c r="A950">
        <v>950</v>
      </c>
      <c r="B950" t="s">
        <v>1424</v>
      </c>
      <c r="C950" t="s">
        <v>8</v>
      </c>
      <c r="D950" s="77" t="s">
        <v>1865</v>
      </c>
      <c r="E950" t="s">
        <v>36</v>
      </c>
      <c r="F950" t="s">
        <v>1866</v>
      </c>
      <c r="G950" s="92"/>
      <c r="H950" s="92"/>
      <c r="I950" s="92"/>
      <c r="J950" s="92"/>
      <c r="K950" s="92"/>
      <c r="L950" s="9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15">
      <c r="A951">
        <v>951</v>
      </c>
      <c r="B951" t="s">
        <v>1424</v>
      </c>
      <c r="C951" t="s">
        <v>8</v>
      </c>
      <c r="D951" s="77" t="s">
        <v>1867</v>
      </c>
      <c r="E951" t="s">
        <v>36</v>
      </c>
      <c r="F951" t="s">
        <v>1868</v>
      </c>
      <c r="G951" s="92"/>
      <c r="H951" s="92"/>
      <c r="I951" s="92"/>
      <c r="J951" s="92"/>
      <c r="K951" s="92"/>
      <c r="L951" s="9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15">
      <c r="A952">
        <v>952</v>
      </c>
      <c r="B952" t="s">
        <v>1424</v>
      </c>
      <c r="C952" t="s">
        <v>8</v>
      </c>
      <c r="D952" s="77" t="s">
        <v>1869</v>
      </c>
      <c r="E952" t="s">
        <v>36</v>
      </c>
      <c r="F952" t="s">
        <v>1870</v>
      </c>
      <c r="G952" s="92"/>
      <c r="H952" s="92"/>
      <c r="I952" s="92"/>
      <c r="J952" s="92"/>
      <c r="K952" s="92"/>
      <c r="L952" s="9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15">
      <c r="A953">
        <v>953</v>
      </c>
      <c r="B953" t="s">
        <v>1424</v>
      </c>
      <c r="C953" t="s">
        <v>8</v>
      </c>
      <c r="D953" s="77" t="s">
        <v>1871</v>
      </c>
      <c r="E953" t="s">
        <v>157</v>
      </c>
      <c r="F953" t="s">
        <v>1872</v>
      </c>
      <c r="G953" s="92"/>
      <c r="H953" s="92"/>
      <c r="I953" s="92"/>
      <c r="J953" s="92"/>
      <c r="K953" s="92"/>
      <c r="L953" s="9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15">
      <c r="A954">
        <v>954</v>
      </c>
      <c r="B954" t="s">
        <v>1424</v>
      </c>
      <c r="C954" t="s">
        <v>8</v>
      </c>
      <c r="D954" s="77" t="s">
        <v>1873</v>
      </c>
      <c r="E954" t="s">
        <v>73</v>
      </c>
      <c r="F954" t="s">
        <v>1874</v>
      </c>
      <c r="G954" s="92"/>
      <c r="H954" s="92"/>
      <c r="I954" s="92"/>
      <c r="J954" s="92"/>
      <c r="K954" s="92"/>
      <c r="L954" s="9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15">
      <c r="A955">
        <v>955</v>
      </c>
      <c r="B955" t="s">
        <v>1424</v>
      </c>
      <c r="C955" t="s">
        <v>8</v>
      </c>
      <c r="D955" s="77" t="s">
        <v>1875</v>
      </c>
      <c r="E955" t="s">
        <v>1019</v>
      </c>
      <c r="F955" t="s">
        <v>1876</v>
      </c>
      <c r="G955" s="92"/>
      <c r="H955" s="92"/>
      <c r="I955" s="92"/>
      <c r="J955" s="92"/>
      <c r="K955" s="92"/>
      <c r="L955" s="9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15">
      <c r="A956">
        <v>956</v>
      </c>
      <c r="B956" t="s">
        <v>1424</v>
      </c>
      <c r="C956" t="s">
        <v>8</v>
      </c>
      <c r="D956" s="77" t="s">
        <v>1877</v>
      </c>
      <c r="E956" t="s">
        <v>702</v>
      </c>
      <c r="F956" t="s">
        <v>1878</v>
      </c>
      <c r="G956" s="92"/>
      <c r="H956" s="92"/>
      <c r="I956" s="92"/>
      <c r="J956" s="92"/>
      <c r="K956" s="92"/>
      <c r="L956" s="9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15">
      <c r="A957">
        <v>957</v>
      </c>
      <c r="B957" t="s">
        <v>1424</v>
      </c>
      <c r="C957" t="s">
        <v>8</v>
      </c>
      <c r="D957" s="77" t="s">
        <v>1879</v>
      </c>
      <c r="E957" t="s">
        <v>36</v>
      </c>
      <c r="F957" t="s">
        <v>1880</v>
      </c>
      <c r="G957" s="92"/>
      <c r="H957" s="92"/>
      <c r="I957" s="92"/>
      <c r="J957" s="92"/>
      <c r="K957" s="92"/>
      <c r="L957" s="9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15">
      <c r="A958">
        <v>958</v>
      </c>
      <c r="B958" t="s">
        <v>1424</v>
      </c>
      <c r="C958" t="s">
        <v>8</v>
      </c>
      <c r="D958" s="77" t="s">
        <v>1881</v>
      </c>
      <c r="E958" t="s">
        <v>36</v>
      </c>
      <c r="F958" t="s">
        <v>1882</v>
      </c>
      <c r="G958" s="92"/>
      <c r="H958" s="92"/>
      <c r="I958" s="92"/>
      <c r="J958" s="92"/>
      <c r="K958" s="92"/>
      <c r="L958" s="9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15">
      <c r="A959">
        <v>959</v>
      </c>
      <c r="B959" t="s">
        <v>1424</v>
      </c>
      <c r="C959" t="s">
        <v>8</v>
      </c>
      <c r="D959" s="77" t="s">
        <v>1883</v>
      </c>
      <c r="E959" t="s">
        <v>36</v>
      </c>
      <c r="F959" t="s">
        <v>1884</v>
      </c>
      <c r="G959" s="92"/>
      <c r="H959" s="92"/>
      <c r="I959" s="92"/>
      <c r="J959" s="92"/>
      <c r="K959" s="92"/>
      <c r="L959" s="9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15">
      <c r="A960">
        <v>960</v>
      </c>
      <c r="B960" t="s">
        <v>1424</v>
      </c>
      <c r="C960" t="s">
        <v>8</v>
      </c>
      <c r="D960" s="77" t="s">
        <v>1885</v>
      </c>
      <c r="E960" t="s">
        <v>36</v>
      </c>
      <c r="F960" t="s">
        <v>1886</v>
      </c>
      <c r="G960" s="92"/>
      <c r="H960" s="92"/>
      <c r="I960" s="92"/>
      <c r="J960" s="92"/>
      <c r="K960" s="92"/>
      <c r="L960" s="9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15">
      <c r="A961">
        <v>961</v>
      </c>
      <c r="B961" t="s">
        <v>1424</v>
      </c>
      <c r="C961" t="s">
        <v>8</v>
      </c>
      <c r="D961" s="77" t="s">
        <v>1887</v>
      </c>
      <c r="E961" t="s">
        <v>36</v>
      </c>
      <c r="F961" t="s">
        <v>1888</v>
      </c>
      <c r="G961" s="92"/>
      <c r="H961" s="92"/>
      <c r="I961" s="92"/>
      <c r="J961" s="92"/>
      <c r="K961" s="92"/>
      <c r="L961" s="9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15">
      <c r="A962">
        <v>962</v>
      </c>
      <c r="B962" t="s">
        <v>1424</v>
      </c>
      <c r="C962" t="s">
        <v>8</v>
      </c>
      <c r="D962" s="77" t="s">
        <v>1889</v>
      </c>
      <c r="E962" t="s">
        <v>736</v>
      </c>
      <c r="F962" t="s">
        <v>1890</v>
      </c>
      <c r="G962" s="92"/>
      <c r="H962" s="92"/>
      <c r="I962" s="92"/>
      <c r="J962" s="92"/>
      <c r="K962" s="92"/>
      <c r="L962" s="9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15">
      <c r="A963">
        <v>963</v>
      </c>
      <c r="B963" t="s">
        <v>1424</v>
      </c>
      <c r="C963" t="s">
        <v>8</v>
      </c>
      <c r="D963" s="77" t="s">
        <v>1891</v>
      </c>
      <c r="E963" t="s">
        <v>73</v>
      </c>
      <c r="F963" t="s">
        <v>1892</v>
      </c>
      <c r="G963" s="92"/>
      <c r="H963" s="92"/>
      <c r="I963" s="92"/>
      <c r="J963" s="92"/>
      <c r="K963" s="92"/>
      <c r="L963" s="9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15">
      <c r="A964">
        <v>964</v>
      </c>
      <c r="B964" t="s">
        <v>1424</v>
      </c>
      <c r="C964" t="s">
        <v>8</v>
      </c>
      <c r="D964" s="77" t="s">
        <v>1893</v>
      </c>
      <c r="E964" t="s">
        <v>36</v>
      </c>
      <c r="F964" t="s">
        <v>1894</v>
      </c>
      <c r="G964" s="92"/>
      <c r="H964" s="92"/>
      <c r="I964" s="92"/>
      <c r="J964" s="92"/>
      <c r="K964" s="92"/>
      <c r="L964" s="9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15">
      <c r="A965">
        <v>965</v>
      </c>
      <c r="B965" t="s">
        <v>1424</v>
      </c>
      <c r="C965" t="s">
        <v>9</v>
      </c>
      <c r="D965" s="77" t="s">
        <v>1895</v>
      </c>
      <c r="E965" t="s">
        <v>36</v>
      </c>
      <c r="F965" t="s">
        <v>1896</v>
      </c>
      <c r="G965" s="92"/>
      <c r="H965" s="92"/>
      <c r="I965" s="92"/>
      <c r="J965" s="92"/>
      <c r="K965" s="92"/>
      <c r="L965" s="9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15">
      <c r="A966">
        <v>966</v>
      </c>
      <c r="B966" t="s">
        <v>1424</v>
      </c>
      <c r="C966" t="s">
        <v>9</v>
      </c>
      <c r="D966" s="77" t="s">
        <v>1897</v>
      </c>
      <c r="E966" t="s">
        <v>36</v>
      </c>
      <c r="F966" t="s">
        <v>1898</v>
      </c>
      <c r="G966" s="92"/>
      <c r="H966" s="92"/>
      <c r="I966" s="92"/>
      <c r="J966" s="92"/>
      <c r="K966" s="92"/>
      <c r="L966" s="9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15">
      <c r="A967">
        <v>967</v>
      </c>
      <c r="B967" t="s">
        <v>1424</v>
      </c>
      <c r="C967" t="s">
        <v>9</v>
      </c>
      <c r="D967" s="77" t="s">
        <v>570</v>
      </c>
      <c r="E967" t="s">
        <v>36</v>
      </c>
      <c r="F967" t="s">
        <v>1899</v>
      </c>
      <c r="G967" s="92"/>
      <c r="H967" s="92"/>
      <c r="I967" s="92"/>
      <c r="J967" s="92"/>
      <c r="K967" s="92"/>
      <c r="L967" s="9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15">
      <c r="A968">
        <v>968</v>
      </c>
      <c r="B968" t="s">
        <v>1424</v>
      </c>
      <c r="C968" t="s">
        <v>9</v>
      </c>
      <c r="D968" s="77" t="s">
        <v>1900</v>
      </c>
      <c r="E968" t="s">
        <v>36</v>
      </c>
      <c r="F968" t="s">
        <v>1901</v>
      </c>
      <c r="G968" s="92"/>
      <c r="H968" s="92"/>
      <c r="I968" s="92"/>
      <c r="J968" s="92"/>
      <c r="K968" s="92"/>
      <c r="L968" s="9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15">
      <c r="A969">
        <v>969</v>
      </c>
      <c r="B969" t="s">
        <v>1424</v>
      </c>
      <c r="C969" t="s">
        <v>9</v>
      </c>
      <c r="D969" s="77" t="s">
        <v>1902</v>
      </c>
      <c r="E969" t="s">
        <v>36</v>
      </c>
      <c r="F969" t="s">
        <v>1903</v>
      </c>
      <c r="G969" s="92"/>
      <c r="H969" s="92"/>
      <c r="I969" s="92"/>
      <c r="J969" s="92"/>
      <c r="K969" s="92"/>
      <c r="L969" s="9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15">
      <c r="A970">
        <v>970</v>
      </c>
      <c r="B970" t="s">
        <v>1424</v>
      </c>
      <c r="C970" t="s">
        <v>9</v>
      </c>
      <c r="D970" s="77" t="s">
        <v>1904</v>
      </c>
      <c r="E970" t="s">
        <v>36</v>
      </c>
      <c r="F970" t="s">
        <v>1905</v>
      </c>
      <c r="G970" s="92"/>
      <c r="H970" s="92"/>
      <c r="I970" s="92"/>
      <c r="J970" s="92"/>
      <c r="K970" s="92"/>
      <c r="L970" s="9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15">
      <c r="A971">
        <v>971</v>
      </c>
      <c r="B971" t="s">
        <v>1424</v>
      </c>
      <c r="C971" t="s">
        <v>9</v>
      </c>
      <c r="D971" s="77" t="s">
        <v>1906</v>
      </c>
      <c r="E971" t="s">
        <v>36</v>
      </c>
      <c r="F971" t="s">
        <v>1907</v>
      </c>
      <c r="G971" s="92"/>
      <c r="H971" s="92"/>
      <c r="I971" s="92"/>
      <c r="J971" s="92"/>
      <c r="K971" s="92"/>
      <c r="L971" s="9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15">
      <c r="A972">
        <v>972</v>
      </c>
      <c r="B972" t="s">
        <v>1424</v>
      </c>
      <c r="C972" t="s">
        <v>9</v>
      </c>
      <c r="D972" s="77" t="s">
        <v>1908</v>
      </c>
      <c r="E972" t="s">
        <v>61</v>
      </c>
      <c r="F972" t="s">
        <v>1909</v>
      </c>
      <c r="G972" s="92"/>
      <c r="H972" s="92"/>
      <c r="I972" s="92"/>
      <c r="J972" s="92"/>
      <c r="K972" s="92"/>
      <c r="L972" s="9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15">
      <c r="A973">
        <v>973</v>
      </c>
      <c r="B973" t="s">
        <v>1424</v>
      </c>
      <c r="C973" t="s">
        <v>9</v>
      </c>
      <c r="D973" s="77" t="s">
        <v>1908</v>
      </c>
      <c r="E973" t="s">
        <v>36</v>
      </c>
      <c r="F973" t="s">
        <v>1910</v>
      </c>
      <c r="G973" s="92"/>
      <c r="H973" s="92"/>
      <c r="I973" s="92"/>
      <c r="J973" s="92"/>
      <c r="K973" s="92"/>
      <c r="L973" s="9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15">
      <c r="A974">
        <v>974</v>
      </c>
      <c r="B974" t="s">
        <v>1424</v>
      </c>
      <c r="C974" t="s">
        <v>9</v>
      </c>
      <c r="D974" s="77" t="s">
        <v>1196</v>
      </c>
      <c r="E974" t="s">
        <v>73</v>
      </c>
      <c r="F974" t="s">
        <v>1197</v>
      </c>
      <c r="G974" s="92"/>
      <c r="H974" s="92"/>
      <c r="I974" s="92"/>
      <c r="J974" s="92"/>
      <c r="K974" s="92"/>
      <c r="L974" s="9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15">
      <c r="A975">
        <v>975</v>
      </c>
      <c r="B975" t="s">
        <v>1424</v>
      </c>
      <c r="C975" t="s">
        <v>9</v>
      </c>
      <c r="D975" s="77" t="s">
        <v>1911</v>
      </c>
      <c r="E975" t="s">
        <v>73</v>
      </c>
      <c r="F975" t="s">
        <v>1912</v>
      </c>
      <c r="G975" s="92"/>
      <c r="H975" s="92"/>
      <c r="I975" s="92"/>
      <c r="J975" s="92"/>
      <c r="K975" s="92"/>
      <c r="L975" s="9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15">
      <c r="A976">
        <v>976</v>
      </c>
      <c r="B976" t="s">
        <v>1424</v>
      </c>
      <c r="C976" t="s">
        <v>9</v>
      </c>
      <c r="D976" s="77" t="s">
        <v>1913</v>
      </c>
      <c r="E976" t="s">
        <v>36</v>
      </c>
      <c r="F976" t="s">
        <v>1914</v>
      </c>
      <c r="G976" s="92"/>
      <c r="H976" s="92"/>
      <c r="I976" s="92"/>
      <c r="J976" s="92"/>
      <c r="K976" s="92"/>
      <c r="L976" s="9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15">
      <c r="A977">
        <v>977</v>
      </c>
      <c r="B977" t="s">
        <v>1424</v>
      </c>
      <c r="C977" t="s">
        <v>9</v>
      </c>
      <c r="D977" s="77" t="s">
        <v>86</v>
      </c>
      <c r="E977" t="s">
        <v>36</v>
      </c>
      <c r="F977" t="s">
        <v>87</v>
      </c>
      <c r="G977" s="92"/>
      <c r="H977" s="92"/>
      <c r="I977" s="92"/>
      <c r="J977" s="92"/>
      <c r="K977" s="92"/>
      <c r="L977" s="9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15">
      <c r="A978">
        <v>978</v>
      </c>
      <c r="B978" t="s">
        <v>1424</v>
      </c>
      <c r="C978" t="s">
        <v>9</v>
      </c>
      <c r="D978" s="77" t="s">
        <v>1915</v>
      </c>
      <c r="E978" t="s">
        <v>36</v>
      </c>
      <c r="F978" t="s">
        <v>1916</v>
      </c>
      <c r="G978" s="92"/>
      <c r="H978" s="92"/>
      <c r="I978" s="92"/>
      <c r="J978" s="92"/>
      <c r="K978" s="92"/>
      <c r="L978" s="9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15">
      <c r="A979">
        <v>979</v>
      </c>
      <c r="B979" t="s">
        <v>1424</v>
      </c>
      <c r="C979" t="s">
        <v>9</v>
      </c>
      <c r="D979" s="77" t="s">
        <v>1917</v>
      </c>
      <c r="E979" t="s">
        <v>36</v>
      </c>
      <c r="F979" t="s">
        <v>1918</v>
      </c>
      <c r="G979" s="92"/>
      <c r="H979" s="92"/>
      <c r="I979" s="92"/>
      <c r="J979" s="92"/>
      <c r="K979" s="92"/>
      <c r="L979" s="9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15">
      <c r="A980">
        <v>980</v>
      </c>
      <c r="B980" t="s">
        <v>1424</v>
      </c>
      <c r="C980" t="s">
        <v>9</v>
      </c>
      <c r="D980" s="77" t="s">
        <v>1123</v>
      </c>
      <c r="E980" t="s">
        <v>61</v>
      </c>
      <c r="F980" t="s">
        <v>1919</v>
      </c>
      <c r="G980" s="92"/>
      <c r="H980" s="92"/>
      <c r="I980" s="92"/>
      <c r="J980" s="92"/>
      <c r="K980" s="92"/>
      <c r="L980" s="9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15">
      <c r="A981">
        <v>981</v>
      </c>
      <c r="B981" t="s">
        <v>1424</v>
      </c>
      <c r="C981" t="s">
        <v>9</v>
      </c>
      <c r="D981" s="77" t="s">
        <v>1920</v>
      </c>
      <c r="E981" t="s">
        <v>36</v>
      </c>
      <c r="F981" t="s">
        <v>1921</v>
      </c>
      <c r="G981" s="92"/>
      <c r="H981" s="92"/>
      <c r="I981" s="92"/>
      <c r="J981" s="92"/>
      <c r="K981" s="92"/>
      <c r="L981" s="9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15">
      <c r="A982">
        <v>982</v>
      </c>
      <c r="B982" t="s">
        <v>1424</v>
      </c>
      <c r="C982" t="s">
        <v>9</v>
      </c>
      <c r="D982" s="77" t="s">
        <v>1084</v>
      </c>
      <c r="E982" t="s">
        <v>36</v>
      </c>
      <c r="F982" t="s">
        <v>1922</v>
      </c>
      <c r="G982" s="92"/>
      <c r="H982" s="92"/>
      <c r="I982" s="92"/>
      <c r="J982" s="92"/>
      <c r="K982" s="92"/>
      <c r="L982" s="9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15">
      <c r="A983">
        <v>983</v>
      </c>
      <c r="B983" t="s">
        <v>1424</v>
      </c>
      <c r="C983" t="s">
        <v>9</v>
      </c>
      <c r="D983" s="77" t="s">
        <v>1923</v>
      </c>
      <c r="E983" t="s">
        <v>736</v>
      </c>
      <c r="F983" t="s">
        <v>1924</v>
      </c>
      <c r="G983" s="92"/>
      <c r="H983" s="92"/>
      <c r="I983" s="92"/>
      <c r="J983" s="92"/>
      <c r="K983" s="92"/>
      <c r="L983" s="9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15">
      <c r="A984">
        <v>984</v>
      </c>
      <c r="B984" t="s">
        <v>1424</v>
      </c>
      <c r="C984" t="s">
        <v>9</v>
      </c>
      <c r="D984" s="77" t="s">
        <v>1925</v>
      </c>
      <c r="E984" t="s">
        <v>736</v>
      </c>
      <c r="F984" t="s">
        <v>1926</v>
      </c>
      <c r="G984" s="92"/>
      <c r="H984" s="92"/>
      <c r="I984" s="92"/>
      <c r="J984" s="92"/>
      <c r="K984" s="92"/>
      <c r="L984" s="9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15">
      <c r="A985">
        <v>985</v>
      </c>
      <c r="B985" t="s">
        <v>1424</v>
      </c>
      <c r="C985" t="s">
        <v>9</v>
      </c>
      <c r="D985" s="77" t="s">
        <v>1927</v>
      </c>
      <c r="E985" t="s">
        <v>736</v>
      </c>
      <c r="F985" t="s">
        <v>1285</v>
      </c>
      <c r="G985" s="92"/>
      <c r="H985" s="92"/>
      <c r="I985" s="92"/>
      <c r="J985" s="92"/>
      <c r="K985" s="92"/>
      <c r="L985" s="9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15">
      <c r="A986">
        <v>986</v>
      </c>
      <c r="B986" t="s">
        <v>1424</v>
      </c>
      <c r="C986" t="s">
        <v>9</v>
      </c>
      <c r="D986" s="77" t="s">
        <v>515</v>
      </c>
      <c r="E986" t="s">
        <v>36</v>
      </c>
      <c r="F986" t="s">
        <v>1928</v>
      </c>
      <c r="G986" s="92"/>
      <c r="H986" s="92"/>
      <c r="I986" s="92"/>
      <c r="J986" s="92"/>
      <c r="K986" s="92"/>
      <c r="L986" s="9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15">
      <c r="A987">
        <v>987</v>
      </c>
      <c r="B987" t="s">
        <v>1424</v>
      </c>
      <c r="C987" t="s">
        <v>9</v>
      </c>
      <c r="D987" s="77" t="s">
        <v>1929</v>
      </c>
      <c r="E987" t="s">
        <v>736</v>
      </c>
      <c r="F987" t="s">
        <v>1928</v>
      </c>
      <c r="G987" s="92"/>
      <c r="H987" s="92"/>
      <c r="I987" s="92"/>
      <c r="J987" s="92"/>
      <c r="K987" s="92"/>
      <c r="L987" s="9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15">
      <c r="A988">
        <v>988</v>
      </c>
      <c r="B988" t="s">
        <v>1424</v>
      </c>
      <c r="C988" t="s">
        <v>9</v>
      </c>
      <c r="D988" s="77" t="s">
        <v>1930</v>
      </c>
      <c r="E988" t="s">
        <v>736</v>
      </c>
      <c r="F988" t="s">
        <v>1931</v>
      </c>
      <c r="G988" s="92"/>
      <c r="H988" s="92"/>
      <c r="I988" s="92"/>
      <c r="J988" s="92"/>
      <c r="K988" s="92"/>
      <c r="L988" s="9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15">
      <c r="A989">
        <v>989</v>
      </c>
      <c r="B989" t="s">
        <v>1424</v>
      </c>
      <c r="C989" t="s">
        <v>9</v>
      </c>
      <c r="D989" s="77" t="s">
        <v>1932</v>
      </c>
      <c r="E989" t="s">
        <v>36</v>
      </c>
      <c r="F989" t="s">
        <v>1933</v>
      </c>
      <c r="G989" s="92"/>
      <c r="H989" s="92"/>
      <c r="I989" s="92"/>
      <c r="J989" s="92"/>
      <c r="K989" s="92"/>
      <c r="L989" s="9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15">
      <c r="A990">
        <v>990</v>
      </c>
      <c r="B990" t="s">
        <v>1424</v>
      </c>
      <c r="C990" t="s">
        <v>9</v>
      </c>
      <c r="D990" s="77" t="s">
        <v>504</v>
      </c>
      <c r="E990" t="s">
        <v>73</v>
      </c>
      <c r="F990" t="s">
        <v>1934</v>
      </c>
      <c r="G990" s="92"/>
      <c r="H990" s="92"/>
      <c r="I990" s="92"/>
      <c r="J990" s="92"/>
      <c r="K990" s="92"/>
      <c r="L990" s="9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15">
      <c r="A991">
        <v>991</v>
      </c>
      <c r="B991" t="s">
        <v>1424</v>
      </c>
      <c r="C991" t="s">
        <v>9</v>
      </c>
      <c r="D991" s="77" t="s">
        <v>361</v>
      </c>
      <c r="E991" t="s">
        <v>36</v>
      </c>
      <c r="F991" t="s">
        <v>1935</v>
      </c>
      <c r="G991" s="92"/>
      <c r="H991" s="92"/>
      <c r="I991" s="92"/>
      <c r="J991" s="92"/>
      <c r="K991" s="92"/>
      <c r="L991" s="9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15">
      <c r="A992">
        <v>992</v>
      </c>
      <c r="B992" t="s">
        <v>1424</v>
      </c>
      <c r="C992" t="s">
        <v>9</v>
      </c>
      <c r="D992" s="77" t="s">
        <v>1936</v>
      </c>
      <c r="E992" t="s">
        <v>36</v>
      </c>
      <c r="F992" t="s">
        <v>1937</v>
      </c>
      <c r="G992" s="92"/>
      <c r="H992" s="92"/>
      <c r="I992" s="92"/>
      <c r="J992" s="92"/>
      <c r="K992" s="92"/>
      <c r="L992" s="9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15">
      <c r="A993">
        <v>993</v>
      </c>
      <c r="B993" t="s">
        <v>1424</v>
      </c>
      <c r="C993" t="s">
        <v>9</v>
      </c>
      <c r="D993" s="77" t="s">
        <v>1938</v>
      </c>
      <c r="E993" t="s">
        <v>702</v>
      </c>
      <c r="F993" t="s">
        <v>1939</v>
      </c>
      <c r="G993" s="92"/>
      <c r="H993" s="92"/>
      <c r="I993" s="92"/>
      <c r="J993" s="92"/>
      <c r="K993" s="92"/>
      <c r="L993" s="9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15">
      <c r="A994">
        <v>994</v>
      </c>
      <c r="B994" t="s">
        <v>1424</v>
      </c>
      <c r="C994" t="s">
        <v>9</v>
      </c>
      <c r="D994" s="77" t="s">
        <v>1940</v>
      </c>
      <c r="E994" t="s">
        <v>36</v>
      </c>
      <c r="F994" t="s">
        <v>1941</v>
      </c>
      <c r="G994" s="92"/>
      <c r="H994" s="92"/>
      <c r="I994" s="92"/>
      <c r="J994" s="92"/>
      <c r="K994" s="92"/>
      <c r="L994" s="9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15">
      <c r="A995">
        <v>995</v>
      </c>
      <c r="B995" t="s">
        <v>1424</v>
      </c>
      <c r="C995" t="s">
        <v>9</v>
      </c>
      <c r="D995" s="77" t="s">
        <v>1942</v>
      </c>
      <c r="E995" t="s">
        <v>36</v>
      </c>
      <c r="F995" t="s">
        <v>1943</v>
      </c>
      <c r="G995" s="92"/>
      <c r="H995" s="92"/>
      <c r="I995" s="92"/>
      <c r="J995" s="92"/>
      <c r="K995" s="92"/>
      <c r="L995" s="9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15">
      <c r="A996">
        <v>996</v>
      </c>
      <c r="B996" t="s">
        <v>1424</v>
      </c>
      <c r="C996" t="s">
        <v>9</v>
      </c>
      <c r="D996" s="77" t="s">
        <v>1944</v>
      </c>
      <c r="E996" t="s">
        <v>36</v>
      </c>
      <c r="F996" t="s">
        <v>1945</v>
      </c>
      <c r="G996" s="92"/>
      <c r="H996" s="92"/>
      <c r="I996" s="92"/>
      <c r="J996" s="92"/>
      <c r="K996" s="92"/>
      <c r="L996" s="9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15">
      <c r="A997">
        <v>997</v>
      </c>
      <c r="B997" t="s">
        <v>1424</v>
      </c>
      <c r="C997" t="s">
        <v>9</v>
      </c>
      <c r="D997" s="77" t="s">
        <v>1946</v>
      </c>
      <c r="E997" t="s">
        <v>36</v>
      </c>
      <c r="F997" t="s">
        <v>1947</v>
      </c>
      <c r="G997" s="92"/>
      <c r="H997" s="92"/>
      <c r="I997" s="92"/>
      <c r="J997" s="92"/>
      <c r="K997" s="92"/>
      <c r="L997" s="9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15">
      <c r="A998">
        <v>998</v>
      </c>
      <c r="B998" t="s">
        <v>1424</v>
      </c>
      <c r="C998" t="s">
        <v>9</v>
      </c>
      <c r="D998" s="77" t="s">
        <v>1948</v>
      </c>
      <c r="E998" t="s">
        <v>1019</v>
      </c>
      <c r="F998" t="s">
        <v>1949</v>
      </c>
      <c r="G998" s="92"/>
      <c r="H998" s="92"/>
      <c r="I998" s="92"/>
      <c r="J998" s="92"/>
      <c r="K998" s="92"/>
      <c r="L998" s="9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15">
      <c r="A999">
        <v>999</v>
      </c>
      <c r="B999" t="s">
        <v>1424</v>
      </c>
      <c r="C999" t="s">
        <v>9</v>
      </c>
      <c r="D999" s="77" t="s">
        <v>1951</v>
      </c>
      <c r="E999" t="s">
        <v>73</v>
      </c>
      <c r="F999" t="s">
        <v>1952</v>
      </c>
      <c r="G999" s="92"/>
      <c r="H999" s="92"/>
      <c r="I999" s="92"/>
      <c r="J999" s="92"/>
      <c r="K999" s="92"/>
      <c r="L999" s="9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15">
      <c r="A1000">
        <v>1000</v>
      </c>
      <c r="B1000" t="s">
        <v>1424</v>
      </c>
      <c r="C1000" t="s">
        <v>9</v>
      </c>
      <c r="D1000" s="77" t="s">
        <v>1953</v>
      </c>
      <c r="E1000" t="s">
        <v>61</v>
      </c>
      <c r="F1000" t="s">
        <v>1954</v>
      </c>
      <c r="G1000" s="92"/>
      <c r="H1000" s="92"/>
      <c r="I1000" s="92"/>
      <c r="J1000" s="92"/>
      <c r="K1000" s="92"/>
      <c r="L1000" s="9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15">
      <c r="A1001">
        <v>1001</v>
      </c>
      <c r="B1001" t="s">
        <v>1424</v>
      </c>
      <c r="C1001" t="s">
        <v>9</v>
      </c>
      <c r="D1001" s="77" t="s">
        <v>1955</v>
      </c>
      <c r="E1001" t="s">
        <v>36</v>
      </c>
      <c r="F1001" t="s">
        <v>1956</v>
      </c>
      <c r="G1001" s="92"/>
      <c r="H1001" s="92"/>
      <c r="I1001" s="92"/>
      <c r="J1001" s="92"/>
      <c r="K1001" s="92"/>
      <c r="L1001" s="9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15">
      <c r="A1002">
        <v>1002</v>
      </c>
      <c r="B1002" t="s">
        <v>1424</v>
      </c>
      <c r="C1002" t="s">
        <v>9</v>
      </c>
      <c r="D1002" s="77" t="s">
        <v>1957</v>
      </c>
      <c r="E1002" t="s">
        <v>61</v>
      </c>
      <c r="F1002" t="s">
        <v>1958</v>
      </c>
      <c r="G1002" s="92"/>
      <c r="H1002" s="92"/>
      <c r="I1002" s="92"/>
      <c r="J1002" s="92"/>
      <c r="K1002" s="92"/>
      <c r="L1002" s="9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15">
      <c r="A1003">
        <v>1003</v>
      </c>
      <c r="B1003" t="s">
        <v>1424</v>
      </c>
      <c r="C1003" t="s">
        <v>9</v>
      </c>
      <c r="D1003" s="77" t="s">
        <v>1959</v>
      </c>
      <c r="E1003" t="s">
        <v>61</v>
      </c>
      <c r="F1003" t="s">
        <v>1960</v>
      </c>
      <c r="G1003" s="92"/>
      <c r="H1003" s="92"/>
      <c r="I1003" s="92"/>
      <c r="J1003" s="92"/>
      <c r="K1003" s="92"/>
      <c r="L1003" s="9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15">
      <c r="A1004">
        <v>1004</v>
      </c>
      <c r="B1004" t="s">
        <v>1424</v>
      </c>
      <c r="C1004" t="s">
        <v>9</v>
      </c>
      <c r="D1004" s="77" t="s">
        <v>707</v>
      </c>
      <c r="E1004" t="s">
        <v>36</v>
      </c>
      <c r="F1004" t="s">
        <v>1961</v>
      </c>
      <c r="G1004" s="92"/>
      <c r="H1004" s="92"/>
      <c r="I1004" s="92"/>
      <c r="J1004" s="92"/>
      <c r="K1004" s="92"/>
      <c r="L1004" s="9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15">
      <c r="A1005">
        <v>1005</v>
      </c>
      <c r="B1005" t="s">
        <v>1424</v>
      </c>
      <c r="C1005" t="s">
        <v>9</v>
      </c>
      <c r="D1005" s="77" t="s">
        <v>1962</v>
      </c>
      <c r="E1005" t="s">
        <v>73</v>
      </c>
      <c r="F1005" t="s">
        <v>1963</v>
      </c>
      <c r="G1005" s="92"/>
      <c r="H1005" s="92"/>
      <c r="I1005" s="92"/>
      <c r="J1005" s="92"/>
      <c r="K1005" s="92"/>
      <c r="L1005" s="9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15">
      <c r="A1006">
        <v>1006</v>
      </c>
      <c r="B1006" t="s">
        <v>1424</v>
      </c>
      <c r="C1006" t="s">
        <v>9</v>
      </c>
      <c r="D1006" s="77" t="s">
        <v>1964</v>
      </c>
      <c r="E1006" t="s">
        <v>73</v>
      </c>
      <c r="F1006" t="s">
        <v>1965</v>
      </c>
      <c r="G1006" s="92"/>
      <c r="H1006" s="92"/>
      <c r="I1006" s="92"/>
      <c r="J1006" s="92"/>
      <c r="K1006" s="92"/>
      <c r="L1006" s="9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15">
      <c r="A1007">
        <v>1007</v>
      </c>
      <c r="B1007" t="s">
        <v>1424</v>
      </c>
      <c r="C1007" t="s">
        <v>9</v>
      </c>
      <c r="D1007" s="77" t="s">
        <v>1966</v>
      </c>
      <c r="E1007" t="s">
        <v>61</v>
      </c>
      <c r="F1007" t="s">
        <v>1967</v>
      </c>
      <c r="G1007" s="92"/>
      <c r="H1007" s="92"/>
      <c r="I1007" s="92"/>
      <c r="J1007" s="92"/>
      <c r="K1007" s="92"/>
      <c r="L1007" s="9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15">
      <c r="A1008">
        <v>1008</v>
      </c>
      <c r="B1008" t="s">
        <v>1424</v>
      </c>
      <c r="C1008" t="s">
        <v>9</v>
      </c>
      <c r="D1008" s="77" t="s">
        <v>1968</v>
      </c>
      <c r="E1008" t="s">
        <v>36</v>
      </c>
      <c r="F1008" t="s">
        <v>1969</v>
      </c>
      <c r="G1008" s="92"/>
      <c r="H1008" s="92"/>
      <c r="I1008" s="92"/>
      <c r="J1008" s="92"/>
      <c r="K1008" s="92"/>
      <c r="L1008" s="9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15">
      <c r="A1009">
        <v>1009</v>
      </c>
      <c r="B1009" t="s">
        <v>1424</v>
      </c>
      <c r="C1009" t="s">
        <v>9</v>
      </c>
      <c r="D1009" s="77" t="s">
        <v>1970</v>
      </c>
      <c r="E1009" t="s">
        <v>61</v>
      </c>
      <c r="F1009" t="s">
        <v>1971</v>
      </c>
      <c r="G1009" s="92"/>
      <c r="H1009" s="92"/>
      <c r="I1009" s="92"/>
      <c r="J1009" s="92"/>
      <c r="K1009" s="92"/>
      <c r="L1009" s="9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15">
      <c r="A1010">
        <v>1010</v>
      </c>
      <c r="B1010" t="s">
        <v>1424</v>
      </c>
      <c r="C1010" t="s">
        <v>9</v>
      </c>
      <c r="D1010" s="77" t="s">
        <v>674</v>
      </c>
      <c r="E1010" t="s">
        <v>36</v>
      </c>
      <c r="F1010" t="s">
        <v>1972</v>
      </c>
      <c r="G1010" s="92"/>
      <c r="H1010" s="92"/>
      <c r="I1010" s="92"/>
      <c r="J1010" s="92"/>
      <c r="K1010" s="92"/>
      <c r="L1010" s="9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15">
      <c r="A1011">
        <v>1011</v>
      </c>
      <c r="B1011" t="s">
        <v>1424</v>
      </c>
      <c r="C1011" t="s">
        <v>9</v>
      </c>
      <c r="D1011" s="77" t="s">
        <v>993</v>
      </c>
      <c r="E1011" t="s">
        <v>36</v>
      </c>
      <c r="F1011" t="s">
        <v>1973</v>
      </c>
      <c r="G1011" s="92"/>
      <c r="H1011" s="92"/>
      <c r="I1011" s="92"/>
      <c r="J1011" s="92"/>
      <c r="K1011" s="92"/>
      <c r="L1011" s="9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15">
      <c r="A1012">
        <v>1012</v>
      </c>
      <c r="B1012" t="s">
        <v>1424</v>
      </c>
      <c r="C1012" t="s">
        <v>9</v>
      </c>
      <c r="D1012" s="77" t="s">
        <v>1974</v>
      </c>
      <c r="E1012" t="s">
        <v>73</v>
      </c>
      <c r="F1012" t="s">
        <v>1975</v>
      </c>
      <c r="G1012" s="92"/>
      <c r="H1012" s="92"/>
      <c r="I1012" s="92"/>
      <c r="J1012" s="92"/>
      <c r="K1012" s="92"/>
      <c r="L1012" s="9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15">
      <c r="A1013">
        <v>1013</v>
      </c>
      <c r="B1013" t="s">
        <v>1424</v>
      </c>
      <c r="C1013" t="s">
        <v>9</v>
      </c>
      <c r="D1013" s="77" t="s">
        <v>1976</v>
      </c>
      <c r="E1013" t="s">
        <v>36</v>
      </c>
      <c r="F1013" t="s">
        <v>1977</v>
      </c>
      <c r="G1013" s="92"/>
      <c r="H1013" s="92"/>
      <c r="I1013" s="92"/>
      <c r="J1013" s="92"/>
      <c r="K1013" s="92"/>
      <c r="L1013" s="9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15">
      <c r="A1014">
        <v>1014</v>
      </c>
      <c r="B1014" t="s">
        <v>1424</v>
      </c>
      <c r="C1014" t="s">
        <v>9</v>
      </c>
      <c r="D1014" s="77" t="s">
        <v>1978</v>
      </c>
      <c r="E1014" t="s">
        <v>36</v>
      </c>
      <c r="F1014" t="s">
        <v>1979</v>
      </c>
      <c r="G1014" s="92"/>
      <c r="H1014" s="92"/>
      <c r="I1014" s="92"/>
      <c r="J1014" s="92"/>
      <c r="K1014" s="92"/>
      <c r="L1014" s="9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15">
      <c r="A1015">
        <v>1015</v>
      </c>
      <c r="B1015" t="s">
        <v>1424</v>
      </c>
      <c r="C1015" t="s">
        <v>9</v>
      </c>
      <c r="D1015" s="77" t="s">
        <v>1980</v>
      </c>
      <c r="E1015" t="s">
        <v>73</v>
      </c>
      <c r="F1015" t="s">
        <v>1981</v>
      </c>
      <c r="G1015" s="92"/>
      <c r="H1015" s="92"/>
      <c r="I1015" s="92"/>
      <c r="J1015" s="92"/>
      <c r="K1015" s="92"/>
      <c r="L1015" s="9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15">
      <c r="A1016">
        <v>1016</v>
      </c>
      <c r="B1016" t="s">
        <v>1424</v>
      </c>
      <c r="C1016" t="s">
        <v>9</v>
      </c>
      <c r="D1016" s="77" t="s">
        <v>1982</v>
      </c>
      <c r="E1016" t="s">
        <v>73</v>
      </c>
      <c r="F1016" t="s">
        <v>1983</v>
      </c>
      <c r="G1016" s="92"/>
      <c r="H1016" s="92"/>
      <c r="I1016" s="92"/>
      <c r="J1016" s="92"/>
      <c r="K1016" s="92"/>
      <c r="L1016" s="9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15">
      <c r="A1017">
        <v>1017</v>
      </c>
      <c r="B1017" t="s">
        <v>1424</v>
      </c>
      <c r="C1017" t="s">
        <v>9</v>
      </c>
      <c r="D1017" s="77" t="s">
        <v>1984</v>
      </c>
      <c r="E1017" t="s">
        <v>36</v>
      </c>
      <c r="F1017" t="s">
        <v>1985</v>
      </c>
      <c r="G1017" s="92"/>
      <c r="H1017" s="92"/>
      <c r="I1017" s="92"/>
      <c r="J1017" s="92"/>
      <c r="K1017" s="92"/>
      <c r="L1017" s="9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15">
      <c r="A1018">
        <v>1018</v>
      </c>
      <c r="B1018" t="s">
        <v>1424</v>
      </c>
      <c r="C1018" t="s">
        <v>9</v>
      </c>
      <c r="D1018" s="77" t="s">
        <v>1986</v>
      </c>
      <c r="E1018" t="s">
        <v>36</v>
      </c>
      <c r="F1018" t="s">
        <v>1987</v>
      </c>
      <c r="G1018" s="92"/>
      <c r="H1018" s="92"/>
      <c r="I1018" s="92"/>
      <c r="J1018" s="92"/>
      <c r="K1018" s="92"/>
      <c r="L1018" s="9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15">
      <c r="A1019">
        <v>1019</v>
      </c>
      <c r="B1019" t="s">
        <v>1424</v>
      </c>
      <c r="C1019" t="s">
        <v>9</v>
      </c>
      <c r="D1019" s="77" t="s">
        <v>1988</v>
      </c>
      <c r="E1019" t="s">
        <v>36</v>
      </c>
      <c r="F1019" t="s">
        <v>1989</v>
      </c>
      <c r="G1019" s="92"/>
      <c r="H1019" s="92"/>
      <c r="I1019" s="92"/>
      <c r="J1019" s="92"/>
      <c r="K1019" s="92"/>
      <c r="L1019" s="9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15">
      <c r="A1020">
        <v>1020</v>
      </c>
      <c r="B1020" t="s">
        <v>1424</v>
      </c>
      <c r="C1020" t="s">
        <v>9</v>
      </c>
      <c r="D1020" s="77" t="s">
        <v>1990</v>
      </c>
      <c r="E1020" t="s">
        <v>736</v>
      </c>
      <c r="F1020" t="s">
        <v>1991</v>
      </c>
      <c r="G1020" s="92"/>
      <c r="H1020" s="92"/>
      <c r="I1020" s="92"/>
      <c r="J1020" s="92"/>
      <c r="K1020" s="92"/>
      <c r="L1020" s="9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15">
      <c r="A1021">
        <v>1021</v>
      </c>
      <c r="B1021" t="s">
        <v>1424</v>
      </c>
      <c r="C1021" t="s">
        <v>9</v>
      </c>
      <c r="D1021" s="77" t="s">
        <v>1992</v>
      </c>
      <c r="E1021" t="s">
        <v>61</v>
      </c>
      <c r="F1021" t="s">
        <v>1993</v>
      </c>
      <c r="G1021" s="92"/>
      <c r="H1021" s="92"/>
      <c r="I1021" s="92"/>
      <c r="J1021" s="92"/>
      <c r="K1021" s="92"/>
      <c r="L1021" s="9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15">
      <c r="A1022">
        <v>1022</v>
      </c>
      <c r="B1022" t="s">
        <v>1424</v>
      </c>
      <c r="C1022" t="s">
        <v>9</v>
      </c>
      <c r="D1022" s="77" t="s">
        <v>1994</v>
      </c>
      <c r="E1022" t="s">
        <v>61</v>
      </c>
      <c r="F1022" t="s">
        <v>1995</v>
      </c>
      <c r="G1022" s="92"/>
      <c r="H1022" s="92"/>
      <c r="I1022" s="92"/>
      <c r="J1022" s="92"/>
      <c r="K1022" s="92"/>
      <c r="L1022" s="9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15">
      <c r="A1023">
        <v>1023</v>
      </c>
      <c r="B1023" t="s">
        <v>1424</v>
      </c>
      <c r="C1023" t="s">
        <v>9</v>
      </c>
      <c r="D1023" s="77" t="s">
        <v>1996</v>
      </c>
      <c r="E1023" t="s">
        <v>61</v>
      </c>
      <c r="F1023" t="s">
        <v>1997</v>
      </c>
      <c r="G1023" s="92"/>
      <c r="H1023" s="92"/>
      <c r="I1023" s="92"/>
      <c r="J1023" s="92"/>
      <c r="K1023" s="92"/>
      <c r="L1023" s="9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15">
      <c r="A1024">
        <v>1024</v>
      </c>
      <c r="B1024" t="s">
        <v>1424</v>
      </c>
      <c r="C1024" t="s">
        <v>9</v>
      </c>
      <c r="D1024" s="77" t="s">
        <v>1998</v>
      </c>
      <c r="E1024" t="s">
        <v>36</v>
      </c>
      <c r="F1024" t="s">
        <v>1999</v>
      </c>
      <c r="G1024" s="92"/>
      <c r="H1024" s="92"/>
      <c r="I1024" s="92"/>
      <c r="J1024" s="92"/>
      <c r="K1024" s="92"/>
      <c r="L1024" s="9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15">
      <c r="A1025">
        <v>1025</v>
      </c>
      <c r="B1025" t="s">
        <v>1424</v>
      </c>
      <c r="C1025" t="s">
        <v>9</v>
      </c>
      <c r="D1025" s="77" t="s">
        <v>2000</v>
      </c>
      <c r="E1025" t="s">
        <v>36</v>
      </c>
      <c r="F1025" t="s">
        <v>2001</v>
      </c>
      <c r="G1025" s="92"/>
      <c r="H1025" s="92"/>
      <c r="I1025" s="92"/>
      <c r="J1025" s="92"/>
      <c r="K1025" s="92"/>
      <c r="L1025" s="9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15">
      <c r="A1026">
        <v>1026</v>
      </c>
      <c r="B1026" t="s">
        <v>1424</v>
      </c>
      <c r="C1026" t="s">
        <v>9</v>
      </c>
      <c r="D1026" s="77" t="s">
        <v>2002</v>
      </c>
      <c r="E1026" t="s">
        <v>61</v>
      </c>
      <c r="F1026" t="s">
        <v>2003</v>
      </c>
      <c r="G1026" s="92"/>
      <c r="H1026" s="92"/>
      <c r="I1026" s="92"/>
      <c r="J1026" s="92"/>
      <c r="K1026" s="92"/>
      <c r="L1026" s="9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15">
      <c r="A1027">
        <v>1027</v>
      </c>
      <c r="B1027" t="s">
        <v>1424</v>
      </c>
      <c r="C1027" t="s">
        <v>9</v>
      </c>
      <c r="D1027" s="77" t="s">
        <v>1155</v>
      </c>
      <c r="E1027" t="s">
        <v>61</v>
      </c>
      <c r="F1027" t="s">
        <v>2004</v>
      </c>
      <c r="G1027" s="92"/>
      <c r="H1027" s="92"/>
      <c r="I1027" s="92"/>
      <c r="J1027" s="92"/>
      <c r="K1027" s="92"/>
      <c r="L1027" s="9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15">
      <c r="A1028">
        <v>1028</v>
      </c>
      <c r="B1028" t="s">
        <v>1424</v>
      </c>
      <c r="C1028" t="s">
        <v>9</v>
      </c>
      <c r="D1028" s="77" t="s">
        <v>2005</v>
      </c>
      <c r="E1028" t="s">
        <v>36</v>
      </c>
      <c r="F1028" t="s">
        <v>2006</v>
      </c>
      <c r="G1028" s="92"/>
      <c r="H1028" s="92"/>
      <c r="I1028" s="92"/>
      <c r="J1028" s="92"/>
      <c r="K1028" s="92"/>
      <c r="L1028" s="9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15">
      <c r="A1029">
        <v>1029</v>
      </c>
      <c r="B1029" t="s">
        <v>1424</v>
      </c>
      <c r="C1029" t="s">
        <v>9</v>
      </c>
      <c r="D1029" s="77" t="s">
        <v>2007</v>
      </c>
      <c r="E1029" t="s">
        <v>73</v>
      </c>
      <c r="F1029" t="s">
        <v>2008</v>
      </c>
      <c r="G1029" s="92"/>
      <c r="H1029" s="92"/>
      <c r="I1029" s="92"/>
      <c r="J1029" s="92"/>
      <c r="K1029" s="92"/>
      <c r="L1029" s="9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15">
      <c r="A1030">
        <v>1030</v>
      </c>
      <c r="B1030" t="s">
        <v>1424</v>
      </c>
      <c r="C1030" t="s">
        <v>9</v>
      </c>
      <c r="D1030" s="77" t="s">
        <v>1936</v>
      </c>
      <c r="E1030" t="s">
        <v>36</v>
      </c>
      <c r="F1030" t="s">
        <v>2009</v>
      </c>
      <c r="G1030" s="92"/>
      <c r="H1030" s="92"/>
      <c r="I1030" s="92"/>
      <c r="J1030" s="92"/>
      <c r="K1030" s="92"/>
      <c r="L1030" s="9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15">
      <c r="A1031">
        <v>1031</v>
      </c>
      <c r="B1031" t="s">
        <v>1424</v>
      </c>
      <c r="C1031" t="s">
        <v>9</v>
      </c>
      <c r="D1031" s="77" t="s">
        <v>2010</v>
      </c>
      <c r="E1031" t="s">
        <v>36</v>
      </c>
      <c r="F1031" t="s">
        <v>2011</v>
      </c>
      <c r="G1031" s="92"/>
      <c r="H1031" s="92"/>
      <c r="I1031" s="92"/>
      <c r="J1031" s="92"/>
      <c r="K1031" s="92"/>
      <c r="L1031" s="9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15">
      <c r="A1032">
        <v>1032</v>
      </c>
      <c r="B1032" t="s">
        <v>1424</v>
      </c>
      <c r="C1032" t="s">
        <v>10</v>
      </c>
      <c r="D1032" s="77" t="s">
        <v>2012</v>
      </c>
      <c r="E1032" t="s">
        <v>702</v>
      </c>
      <c r="F1032" t="s">
        <v>2013</v>
      </c>
      <c r="G1032" s="92"/>
      <c r="H1032" s="92"/>
      <c r="I1032" s="92"/>
      <c r="J1032" s="92"/>
      <c r="K1032" s="92"/>
      <c r="L1032" s="9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15">
      <c r="A1033">
        <v>1033</v>
      </c>
      <c r="B1033" t="s">
        <v>1424</v>
      </c>
      <c r="C1033" t="s">
        <v>10</v>
      </c>
      <c r="D1033" s="77" t="s">
        <v>2014</v>
      </c>
      <c r="E1033" t="s">
        <v>36</v>
      </c>
      <c r="F1033" t="s">
        <v>2015</v>
      </c>
      <c r="G1033" s="92"/>
      <c r="H1033" s="92"/>
      <c r="I1033" s="92"/>
      <c r="J1033" s="92"/>
      <c r="K1033" s="92"/>
      <c r="L1033" s="9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15">
      <c r="A1034">
        <v>1034</v>
      </c>
      <c r="B1034" t="s">
        <v>1424</v>
      </c>
      <c r="C1034" t="s">
        <v>10</v>
      </c>
      <c r="D1034" s="77" t="s">
        <v>2016</v>
      </c>
      <c r="E1034" t="s">
        <v>702</v>
      </c>
      <c r="F1034" t="s">
        <v>2017</v>
      </c>
      <c r="G1034" s="92"/>
      <c r="H1034" s="92"/>
      <c r="I1034" s="92"/>
      <c r="J1034" s="92"/>
      <c r="K1034" s="92"/>
      <c r="L1034" s="9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15">
      <c r="A1035">
        <v>1035</v>
      </c>
      <c r="B1035" t="s">
        <v>1424</v>
      </c>
      <c r="C1035" t="s">
        <v>10</v>
      </c>
      <c r="D1035" s="77" t="s">
        <v>1992</v>
      </c>
      <c r="E1035" t="s">
        <v>36</v>
      </c>
      <c r="F1035" t="s">
        <v>2018</v>
      </c>
      <c r="G1035" s="92"/>
      <c r="H1035" s="92"/>
      <c r="I1035" s="92"/>
      <c r="J1035" s="92"/>
      <c r="K1035" s="92"/>
      <c r="L1035" s="9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15">
      <c r="A1036">
        <v>1036</v>
      </c>
      <c r="B1036" t="s">
        <v>1424</v>
      </c>
      <c r="C1036" t="s">
        <v>10</v>
      </c>
      <c r="D1036" s="77" t="s">
        <v>2019</v>
      </c>
      <c r="E1036" t="s">
        <v>36</v>
      </c>
      <c r="F1036" t="s">
        <v>2020</v>
      </c>
      <c r="G1036" s="92"/>
      <c r="H1036" s="92"/>
      <c r="I1036" s="92"/>
      <c r="J1036" s="92"/>
      <c r="K1036" s="92"/>
      <c r="L1036" s="9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15">
      <c r="A1037">
        <v>1037</v>
      </c>
      <c r="B1037" t="s">
        <v>1424</v>
      </c>
      <c r="C1037" t="s">
        <v>10</v>
      </c>
      <c r="D1037" s="77" t="s">
        <v>2021</v>
      </c>
      <c r="E1037" t="s">
        <v>36</v>
      </c>
      <c r="F1037" t="s">
        <v>2022</v>
      </c>
      <c r="G1037" s="92"/>
      <c r="H1037" s="92"/>
      <c r="I1037" s="92"/>
      <c r="J1037" s="92"/>
      <c r="K1037" s="92"/>
      <c r="L1037" s="9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15">
      <c r="A1038">
        <v>1038</v>
      </c>
      <c r="B1038" t="s">
        <v>1424</v>
      </c>
      <c r="C1038" t="s">
        <v>10</v>
      </c>
      <c r="D1038" s="77" t="s">
        <v>2023</v>
      </c>
      <c r="E1038" t="s">
        <v>36</v>
      </c>
      <c r="F1038" t="s">
        <v>2024</v>
      </c>
      <c r="G1038" s="92"/>
      <c r="H1038" s="92"/>
      <c r="I1038" s="92"/>
      <c r="J1038" s="92"/>
      <c r="K1038" s="92"/>
      <c r="L1038" s="9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15">
      <c r="A1039">
        <v>1039</v>
      </c>
      <c r="B1039" t="s">
        <v>1424</v>
      </c>
      <c r="C1039" t="s">
        <v>10</v>
      </c>
      <c r="D1039" s="77" t="s">
        <v>2025</v>
      </c>
      <c r="E1039" t="s">
        <v>36</v>
      </c>
      <c r="F1039" t="s">
        <v>2026</v>
      </c>
      <c r="G1039" s="92"/>
      <c r="H1039" s="92"/>
      <c r="I1039" s="92"/>
      <c r="J1039" s="92"/>
      <c r="K1039" s="92"/>
      <c r="L1039" s="9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15">
      <c r="A1040">
        <v>1040</v>
      </c>
      <c r="B1040" t="s">
        <v>1424</v>
      </c>
      <c r="C1040" t="s">
        <v>10</v>
      </c>
      <c r="D1040" s="77" t="s">
        <v>2027</v>
      </c>
      <c r="E1040" t="s">
        <v>702</v>
      </c>
      <c r="F1040" t="s">
        <v>2028</v>
      </c>
      <c r="G1040" s="92"/>
      <c r="H1040" s="92"/>
      <c r="I1040" s="92"/>
      <c r="J1040" s="92"/>
      <c r="K1040" s="92"/>
      <c r="L1040" s="9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15">
      <c r="A1041">
        <v>1041</v>
      </c>
      <c r="B1041" t="s">
        <v>1424</v>
      </c>
      <c r="C1041" t="s">
        <v>10</v>
      </c>
      <c r="D1041" s="77" t="s">
        <v>2029</v>
      </c>
      <c r="E1041" t="s">
        <v>36</v>
      </c>
      <c r="F1041" t="s">
        <v>689</v>
      </c>
      <c r="G1041" s="92"/>
      <c r="H1041" s="92"/>
      <c r="I1041" s="92"/>
      <c r="J1041" s="92"/>
      <c r="K1041" s="92"/>
      <c r="L1041" s="9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15">
      <c r="A1042">
        <v>1042</v>
      </c>
      <c r="B1042" t="s">
        <v>1424</v>
      </c>
      <c r="C1042" t="s">
        <v>10</v>
      </c>
      <c r="D1042" s="77" t="s">
        <v>2030</v>
      </c>
      <c r="E1042" t="s">
        <v>36</v>
      </c>
      <c r="F1042" t="s">
        <v>2031</v>
      </c>
      <c r="G1042" s="92"/>
      <c r="H1042" s="92"/>
      <c r="I1042" s="92"/>
      <c r="J1042" s="92"/>
      <c r="K1042" s="92"/>
      <c r="L1042" s="9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15">
      <c r="A1043">
        <v>1043</v>
      </c>
      <c r="B1043" t="s">
        <v>1424</v>
      </c>
      <c r="C1043" t="s">
        <v>10</v>
      </c>
      <c r="D1043" s="77" t="s">
        <v>2032</v>
      </c>
      <c r="E1043" t="s">
        <v>702</v>
      </c>
      <c r="F1043" t="s">
        <v>2033</v>
      </c>
      <c r="G1043" s="92"/>
      <c r="H1043" s="92"/>
      <c r="I1043" s="92"/>
      <c r="J1043" s="92"/>
      <c r="K1043" s="92"/>
      <c r="L1043" s="9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15">
      <c r="A1044">
        <v>1044</v>
      </c>
      <c r="B1044" t="s">
        <v>1424</v>
      </c>
      <c r="C1044" t="s">
        <v>10</v>
      </c>
      <c r="D1044" s="77" t="s">
        <v>2034</v>
      </c>
      <c r="E1044" t="s">
        <v>702</v>
      </c>
      <c r="F1044" t="s">
        <v>2035</v>
      </c>
      <c r="G1044" s="92"/>
      <c r="H1044" s="92"/>
      <c r="I1044" s="92"/>
      <c r="J1044" s="92"/>
      <c r="K1044" s="92"/>
      <c r="L1044" s="9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15">
      <c r="A1045">
        <v>1045</v>
      </c>
      <c r="B1045" t="s">
        <v>1424</v>
      </c>
      <c r="C1045" t="s">
        <v>10</v>
      </c>
      <c r="D1045" s="77" t="s">
        <v>2036</v>
      </c>
      <c r="E1045" t="s">
        <v>36</v>
      </c>
      <c r="F1045" t="s">
        <v>2037</v>
      </c>
      <c r="G1045" s="92"/>
      <c r="H1045" s="92"/>
      <c r="I1045" s="92"/>
      <c r="J1045" s="92"/>
      <c r="K1045" s="92"/>
      <c r="L1045" s="9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15">
      <c r="A1046">
        <v>1046</v>
      </c>
      <c r="B1046" t="s">
        <v>1424</v>
      </c>
      <c r="C1046" t="s">
        <v>10</v>
      </c>
      <c r="D1046" s="77" t="s">
        <v>2038</v>
      </c>
      <c r="E1046" t="s">
        <v>36</v>
      </c>
      <c r="F1046" t="s">
        <v>2039</v>
      </c>
      <c r="G1046" s="92"/>
      <c r="H1046" s="92"/>
      <c r="I1046" s="92"/>
      <c r="J1046" s="92"/>
      <c r="K1046" s="92"/>
      <c r="L1046" s="9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15">
      <c r="A1047">
        <v>1047</v>
      </c>
      <c r="B1047" t="s">
        <v>1424</v>
      </c>
      <c r="C1047" t="s">
        <v>10</v>
      </c>
      <c r="D1047" s="77" t="s">
        <v>2040</v>
      </c>
      <c r="E1047" t="s">
        <v>36</v>
      </c>
      <c r="F1047" t="s">
        <v>2041</v>
      </c>
      <c r="G1047" s="92"/>
      <c r="H1047" s="92"/>
      <c r="I1047" s="92"/>
      <c r="J1047" s="92"/>
      <c r="K1047" s="92"/>
      <c r="L1047" s="9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15">
      <c r="A1048">
        <v>1048</v>
      </c>
      <c r="B1048" t="s">
        <v>1424</v>
      </c>
      <c r="C1048" t="s">
        <v>10</v>
      </c>
      <c r="D1048" s="77" t="s">
        <v>2042</v>
      </c>
      <c r="E1048" t="s">
        <v>38</v>
      </c>
      <c r="F1048" t="s">
        <v>2043</v>
      </c>
      <c r="G1048" s="92"/>
      <c r="H1048" s="92"/>
      <c r="I1048" s="92"/>
      <c r="J1048" s="92"/>
      <c r="K1048" s="92"/>
      <c r="L1048" s="9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15">
      <c r="A1049">
        <v>1049</v>
      </c>
      <c r="B1049" t="s">
        <v>1424</v>
      </c>
      <c r="C1049" t="s">
        <v>10</v>
      </c>
      <c r="D1049" s="77" t="s">
        <v>2044</v>
      </c>
      <c r="E1049" t="s">
        <v>36</v>
      </c>
      <c r="F1049" t="s">
        <v>2045</v>
      </c>
      <c r="G1049" s="92"/>
      <c r="H1049" s="92"/>
      <c r="I1049" s="92"/>
      <c r="J1049" s="92"/>
      <c r="K1049" s="92"/>
      <c r="L1049" s="9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15">
      <c r="A1050">
        <v>1050</v>
      </c>
      <c r="B1050" t="s">
        <v>1424</v>
      </c>
      <c r="C1050" t="s">
        <v>10</v>
      </c>
      <c r="D1050" s="77" t="s">
        <v>2046</v>
      </c>
      <c r="E1050" t="s">
        <v>36</v>
      </c>
      <c r="F1050" t="s">
        <v>2047</v>
      </c>
      <c r="G1050" s="92"/>
      <c r="H1050" s="92"/>
      <c r="I1050" s="92"/>
      <c r="J1050" s="92"/>
      <c r="K1050" s="92"/>
      <c r="L1050" s="9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15">
      <c r="A1051">
        <v>1051</v>
      </c>
      <c r="B1051" t="s">
        <v>1424</v>
      </c>
      <c r="C1051" t="s">
        <v>10</v>
      </c>
      <c r="D1051" s="77" t="s">
        <v>2048</v>
      </c>
      <c r="E1051" t="s">
        <v>36</v>
      </c>
      <c r="F1051" t="s">
        <v>2049</v>
      </c>
      <c r="G1051" s="92"/>
      <c r="H1051" s="92"/>
      <c r="I1051" s="92"/>
      <c r="J1051" s="92"/>
      <c r="K1051" s="92"/>
      <c r="L1051" s="9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15">
      <c r="A1052">
        <v>1052</v>
      </c>
      <c r="B1052" t="s">
        <v>1424</v>
      </c>
      <c r="C1052" t="s">
        <v>10</v>
      </c>
      <c r="D1052" s="77" t="s">
        <v>2050</v>
      </c>
      <c r="E1052" t="s">
        <v>702</v>
      </c>
      <c r="F1052" t="s">
        <v>2051</v>
      </c>
      <c r="G1052" s="92"/>
      <c r="H1052" s="92"/>
      <c r="I1052" s="92"/>
      <c r="J1052" s="92"/>
      <c r="K1052" s="92"/>
      <c r="L1052" s="9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15">
      <c r="A1053">
        <v>1053</v>
      </c>
      <c r="B1053" t="s">
        <v>1424</v>
      </c>
      <c r="C1053" t="s">
        <v>10</v>
      </c>
      <c r="D1053" s="77" t="s">
        <v>2052</v>
      </c>
      <c r="E1053" t="s">
        <v>73</v>
      </c>
      <c r="F1053" t="s">
        <v>2053</v>
      </c>
      <c r="G1053" s="92"/>
      <c r="H1053" s="92"/>
      <c r="I1053" s="92"/>
      <c r="J1053" s="92"/>
      <c r="K1053" s="92"/>
      <c r="L1053" s="9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15">
      <c r="A1054">
        <v>1054</v>
      </c>
      <c r="B1054" t="s">
        <v>1424</v>
      </c>
      <c r="C1054" t="s">
        <v>10</v>
      </c>
      <c r="D1054" s="77" t="s">
        <v>2054</v>
      </c>
      <c r="E1054" t="s">
        <v>736</v>
      </c>
      <c r="F1054" t="s">
        <v>2055</v>
      </c>
      <c r="G1054" s="92"/>
      <c r="H1054" s="92"/>
      <c r="I1054" s="92"/>
      <c r="J1054" s="92"/>
      <c r="K1054" s="92"/>
      <c r="L1054" s="9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15">
      <c r="A1055">
        <v>1055</v>
      </c>
      <c r="B1055" t="s">
        <v>1424</v>
      </c>
      <c r="C1055" t="s">
        <v>10</v>
      </c>
      <c r="D1055" s="77" t="s">
        <v>2056</v>
      </c>
      <c r="E1055" t="s">
        <v>736</v>
      </c>
      <c r="F1055" t="s">
        <v>2057</v>
      </c>
      <c r="G1055" s="92"/>
      <c r="H1055" s="92"/>
      <c r="I1055" s="92"/>
      <c r="J1055" s="92"/>
      <c r="K1055" s="92"/>
      <c r="L1055" s="9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15">
      <c r="A1056">
        <v>1056</v>
      </c>
      <c r="B1056" t="s">
        <v>1424</v>
      </c>
      <c r="C1056" t="s">
        <v>10</v>
      </c>
      <c r="D1056" s="77" t="s">
        <v>2058</v>
      </c>
      <c r="E1056" t="s">
        <v>736</v>
      </c>
      <c r="F1056" t="s">
        <v>2059</v>
      </c>
      <c r="G1056" s="92"/>
      <c r="H1056" s="92"/>
      <c r="I1056" s="92"/>
      <c r="J1056" s="92"/>
      <c r="K1056" s="92"/>
      <c r="L1056" s="9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15">
      <c r="A1057">
        <v>1057</v>
      </c>
      <c r="B1057" t="s">
        <v>1424</v>
      </c>
      <c r="C1057" t="s">
        <v>10</v>
      </c>
      <c r="D1057" s="72" t="s">
        <v>5642</v>
      </c>
      <c r="E1057" t="s">
        <v>736</v>
      </c>
      <c r="F1057" t="s">
        <v>2060</v>
      </c>
      <c r="G1057" s="92"/>
      <c r="H1057" s="92"/>
      <c r="I1057" s="92"/>
      <c r="J1057" s="92"/>
      <c r="K1057" s="92"/>
      <c r="L1057" s="9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15">
      <c r="A1058">
        <v>1058</v>
      </c>
      <c r="B1058" t="s">
        <v>1424</v>
      </c>
      <c r="C1058" t="s">
        <v>10</v>
      </c>
      <c r="D1058" s="77" t="s">
        <v>2061</v>
      </c>
      <c r="E1058" t="s">
        <v>736</v>
      </c>
      <c r="F1058" t="s">
        <v>2062</v>
      </c>
      <c r="G1058" s="92"/>
      <c r="H1058" s="92"/>
      <c r="I1058" s="92"/>
      <c r="J1058" s="92"/>
      <c r="K1058" s="92"/>
      <c r="L1058" s="9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15">
      <c r="A1059">
        <v>1059</v>
      </c>
      <c r="B1059" t="s">
        <v>1424</v>
      </c>
      <c r="C1059" t="s">
        <v>10</v>
      </c>
      <c r="D1059" s="77" t="s">
        <v>2063</v>
      </c>
      <c r="E1059" t="s">
        <v>157</v>
      </c>
      <c r="F1059" t="s">
        <v>2064</v>
      </c>
      <c r="G1059" s="92"/>
      <c r="H1059" s="92"/>
      <c r="I1059" s="92"/>
      <c r="J1059" s="92"/>
      <c r="K1059" s="92"/>
      <c r="L1059" s="9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15">
      <c r="A1060">
        <v>1060</v>
      </c>
      <c r="B1060" t="s">
        <v>1424</v>
      </c>
      <c r="C1060" t="s">
        <v>10</v>
      </c>
      <c r="D1060" s="77" t="s">
        <v>2065</v>
      </c>
      <c r="E1060" t="s">
        <v>73</v>
      </c>
      <c r="F1060" t="s">
        <v>2066</v>
      </c>
      <c r="G1060" s="92"/>
      <c r="H1060" s="92"/>
      <c r="I1060" s="92"/>
      <c r="J1060" s="92"/>
      <c r="K1060" s="92"/>
      <c r="L1060" s="9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15">
      <c r="A1061">
        <v>1061</v>
      </c>
      <c r="B1061" t="s">
        <v>1424</v>
      </c>
      <c r="C1061" t="s">
        <v>10</v>
      </c>
      <c r="D1061" s="77" t="s">
        <v>2067</v>
      </c>
      <c r="E1061" t="s">
        <v>36</v>
      </c>
      <c r="F1061" t="s">
        <v>2068</v>
      </c>
      <c r="G1061" s="92"/>
      <c r="H1061" s="92"/>
      <c r="I1061" s="92"/>
      <c r="J1061" s="92"/>
      <c r="K1061" s="92"/>
      <c r="L1061" s="9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15">
      <c r="A1062">
        <v>1062</v>
      </c>
      <c r="B1062" t="s">
        <v>1424</v>
      </c>
      <c r="C1062" t="s">
        <v>10</v>
      </c>
      <c r="D1062" s="77" t="s">
        <v>2069</v>
      </c>
      <c r="E1062" t="s">
        <v>36</v>
      </c>
      <c r="F1062" t="s">
        <v>2070</v>
      </c>
      <c r="G1062" s="92"/>
      <c r="H1062" s="92"/>
      <c r="I1062" s="92"/>
      <c r="J1062" s="92"/>
      <c r="K1062" s="92"/>
      <c r="L1062" s="9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15">
      <c r="A1063">
        <v>1063</v>
      </c>
      <c r="B1063" t="s">
        <v>1424</v>
      </c>
      <c r="C1063" t="s">
        <v>10</v>
      </c>
      <c r="D1063" s="77" t="s">
        <v>2071</v>
      </c>
      <c r="E1063" t="s">
        <v>61</v>
      </c>
      <c r="F1063" t="s">
        <v>2072</v>
      </c>
      <c r="G1063" s="92"/>
      <c r="H1063" s="92"/>
      <c r="I1063" s="92"/>
      <c r="J1063" s="92"/>
      <c r="K1063" s="92"/>
      <c r="L1063" s="9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15">
      <c r="A1064">
        <v>1064</v>
      </c>
      <c r="B1064" t="s">
        <v>1424</v>
      </c>
      <c r="C1064" t="s">
        <v>10</v>
      </c>
      <c r="D1064" s="77" t="s">
        <v>2073</v>
      </c>
      <c r="E1064" t="s">
        <v>157</v>
      </c>
      <c r="F1064" t="s">
        <v>2074</v>
      </c>
      <c r="G1064" s="92"/>
      <c r="H1064" s="92"/>
      <c r="I1064" s="92"/>
      <c r="J1064" s="92"/>
      <c r="K1064" s="92"/>
      <c r="L1064" s="9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15">
      <c r="A1065">
        <v>1065</v>
      </c>
      <c r="B1065" t="s">
        <v>1424</v>
      </c>
      <c r="C1065" t="s">
        <v>10</v>
      </c>
      <c r="D1065" s="77" t="s">
        <v>2075</v>
      </c>
      <c r="E1065" t="s">
        <v>36</v>
      </c>
      <c r="F1065" t="s">
        <v>2076</v>
      </c>
      <c r="G1065" s="92"/>
      <c r="H1065" s="92"/>
      <c r="I1065" s="92"/>
      <c r="J1065" s="92"/>
      <c r="K1065" s="92"/>
      <c r="L1065" s="9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15">
      <c r="A1066">
        <v>1066</v>
      </c>
      <c r="B1066" t="s">
        <v>1424</v>
      </c>
      <c r="C1066" t="s">
        <v>10</v>
      </c>
      <c r="D1066" s="77" t="s">
        <v>2077</v>
      </c>
      <c r="E1066" t="s">
        <v>73</v>
      </c>
      <c r="F1066" t="s">
        <v>2078</v>
      </c>
      <c r="G1066" s="92"/>
      <c r="H1066" s="92"/>
      <c r="I1066" s="92"/>
      <c r="J1066" s="92"/>
      <c r="K1066" s="92"/>
      <c r="L1066" s="9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15">
      <c r="A1067">
        <v>1067</v>
      </c>
      <c r="B1067" t="s">
        <v>1424</v>
      </c>
      <c r="C1067" t="s">
        <v>10</v>
      </c>
      <c r="D1067" s="77" t="s">
        <v>2079</v>
      </c>
      <c r="E1067" t="s">
        <v>702</v>
      </c>
      <c r="F1067" t="s">
        <v>2080</v>
      </c>
      <c r="G1067" s="92"/>
      <c r="H1067" s="92"/>
      <c r="I1067" s="92"/>
      <c r="J1067" s="92"/>
      <c r="K1067" s="92"/>
      <c r="L1067" s="9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15">
      <c r="A1068">
        <v>1068</v>
      </c>
      <c r="B1068" t="s">
        <v>1424</v>
      </c>
      <c r="C1068" t="s">
        <v>10</v>
      </c>
      <c r="D1068" s="77" t="s">
        <v>2081</v>
      </c>
      <c r="E1068" t="s">
        <v>1019</v>
      </c>
      <c r="F1068" t="s">
        <v>2082</v>
      </c>
      <c r="G1068" s="92"/>
      <c r="H1068" s="92"/>
      <c r="I1068" s="92"/>
      <c r="J1068" s="92"/>
      <c r="K1068" s="92"/>
      <c r="L1068" s="9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15">
      <c r="A1069">
        <v>1069</v>
      </c>
      <c r="B1069" t="s">
        <v>1424</v>
      </c>
      <c r="C1069" t="s">
        <v>10</v>
      </c>
      <c r="D1069" s="77" t="s">
        <v>2083</v>
      </c>
      <c r="E1069" t="s">
        <v>1019</v>
      </c>
      <c r="F1069" t="s">
        <v>2084</v>
      </c>
      <c r="G1069" s="92"/>
      <c r="H1069" s="92"/>
      <c r="I1069" s="92"/>
      <c r="J1069" s="92"/>
      <c r="K1069" s="92"/>
      <c r="L1069" s="9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15">
      <c r="A1070">
        <v>1070</v>
      </c>
      <c r="B1070" t="s">
        <v>1424</v>
      </c>
      <c r="C1070" t="s">
        <v>10</v>
      </c>
      <c r="D1070" s="77" t="s">
        <v>2085</v>
      </c>
      <c r="E1070" t="s">
        <v>736</v>
      </c>
      <c r="F1070" t="s">
        <v>2086</v>
      </c>
      <c r="G1070" s="92"/>
      <c r="H1070" s="92"/>
      <c r="I1070" s="92"/>
      <c r="J1070" s="92"/>
      <c r="K1070" s="92"/>
      <c r="L1070" s="9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15">
      <c r="A1071">
        <v>1071</v>
      </c>
      <c r="B1071" t="s">
        <v>1424</v>
      </c>
      <c r="C1071" t="s">
        <v>10</v>
      </c>
      <c r="D1071" s="77" t="s">
        <v>767</v>
      </c>
      <c r="E1071" t="s">
        <v>36</v>
      </c>
      <c r="F1071" t="s">
        <v>768</v>
      </c>
      <c r="G1071" s="92"/>
      <c r="H1071" s="92"/>
      <c r="I1071" s="92"/>
      <c r="J1071" s="92"/>
      <c r="K1071" s="92"/>
      <c r="L1071" s="9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15">
      <c r="A1072">
        <v>1072</v>
      </c>
      <c r="B1072" t="s">
        <v>1424</v>
      </c>
      <c r="C1072" t="s">
        <v>10</v>
      </c>
      <c r="D1072" s="77" t="s">
        <v>65</v>
      </c>
      <c r="E1072" t="s">
        <v>61</v>
      </c>
      <c r="F1072" t="s">
        <v>2087</v>
      </c>
      <c r="G1072" s="92"/>
      <c r="H1072" s="92"/>
      <c r="I1072" s="92"/>
      <c r="J1072" s="92"/>
      <c r="K1072" s="92"/>
      <c r="L1072" s="9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15">
      <c r="A1073">
        <v>1073</v>
      </c>
      <c r="B1073" t="s">
        <v>1424</v>
      </c>
      <c r="C1073" t="s">
        <v>10</v>
      </c>
      <c r="D1073" s="77" t="s">
        <v>969</v>
      </c>
      <c r="E1073" t="s">
        <v>73</v>
      </c>
      <c r="F1073" t="s">
        <v>2088</v>
      </c>
      <c r="G1073" s="92"/>
      <c r="H1073" s="92"/>
      <c r="I1073" s="92"/>
      <c r="J1073" s="92"/>
      <c r="K1073" s="92"/>
      <c r="L1073" s="9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15">
      <c r="A1074">
        <v>1074</v>
      </c>
      <c r="B1074" t="s">
        <v>1424</v>
      </c>
      <c r="C1074" t="s">
        <v>10</v>
      </c>
      <c r="D1074" s="77" t="s">
        <v>2089</v>
      </c>
      <c r="E1074" t="s">
        <v>73</v>
      </c>
      <c r="F1074" t="s">
        <v>2090</v>
      </c>
      <c r="G1074" s="92"/>
      <c r="H1074" s="92"/>
      <c r="I1074" s="92"/>
      <c r="J1074" s="92"/>
      <c r="K1074" s="92"/>
      <c r="L1074" s="9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15">
      <c r="A1075">
        <v>1075</v>
      </c>
      <c r="B1075" t="s">
        <v>1424</v>
      </c>
      <c r="C1075" t="s">
        <v>10</v>
      </c>
      <c r="D1075" s="77" t="s">
        <v>2091</v>
      </c>
      <c r="E1075" t="s">
        <v>36</v>
      </c>
      <c r="F1075" t="s">
        <v>2092</v>
      </c>
      <c r="G1075" s="92"/>
      <c r="H1075" s="92"/>
      <c r="I1075" s="92"/>
      <c r="J1075" s="92"/>
      <c r="K1075" s="92"/>
      <c r="L1075" s="9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15">
      <c r="A1076">
        <v>1076</v>
      </c>
      <c r="B1076" t="s">
        <v>1424</v>
      </c>
      <c r="C1076" t="s">
        <v>10</v>
      </c>
      <c r="D1076" s="77" t="s">
        <v>2093</v>
      </c>
      <c r="E1076" t="s">
        <v>36</v>
      </c>
      <c r="F1076" t="s">
        <v>2094</v>
      </c>
      <c r="G1076" s="92"/>
      <c r="H1076" s="92"/>
      <c r="I1076" s="92"/>
      <c r="J1076" s="92"/>
      <c r="K1076" s="92"/>
      <c r="L1076" s="9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15">
      <c r="A1077">
        <v>1077</v>
      </c>
      <c r="B1077" t="s">
        <v>1424</v>
      </c>
      <c r="C1077" t="s">
        <v>10</v>
      </c>
      <c r="D1077" s="77" t="s">
        <v>2095</v>
      </c>
      <c r="E1077" t="s">
        <v>36</v>
      </c>
      <c r="F1077" t="s">
        <v>2096</v>
      </c>
      <c r="G1077" s="92"/>
      <c r="H1077" s="92"/>
      <c r="I1077" s="92"/>
      <c r="J1077" s="92"/>
      <c r="K1077" s="92"/>
      <c r="L1077" s="9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15">
      <c r="A1078">
        <v>1078</v>
      </c>
      <c r="B1078" t="s">
        <v>1424</v>
      </c>
      <c r="C1078" t="s">
        <v>10</v>
      </c>
      <c r="D1078" s="77" t="s">
        <v>2097</v>
      </c>
      <c r="E1078" t="s">
        <v>36</v>
      </c>
      <c r="F1078" t="s">
        <v>2098</v>
      </c>
      <c r="G1078" s="92"/>
      <c r="H1078" s="92"/>
      <c r="I1078" s="92"/>
      <c r="J1078" s="92"/>
      <c r="K1078" s="92"/>
      <c r="L1078" s="9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15">
      <c r="A1079">
        <v>1079</v>
      </c>
      <c r="B1079" t="s">
        <v>1424</v>
      </c>
      <c r="C1079" t="s">
        <v>10</v>
      </c>
      <c r="D1079" s="77" t="s">
        <v>2099</v>
      </c>
      <c r="E1079" t="s">
        <v>36</v>
      </c>
      <c r="F1079" t="s">
        <v>2100</v>
      </c>
      <c r="G1079" s="92"/>
      <c r="H1079" s="92"/>
      <c r="I1079" s="92"/>
      <c r="J1079" s="92"/>
      <c r="K1079" s="92"/>
      <c r="L1079" s="9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15">
      <c r="A1080">
        <v>1080</v>
      </c>
      <c r="B1080" t="s">
        <v>1424</v>
      </c>
      <c r="C1080" t="s">
        <v>10</v>
      </c>
      <c r="D1080" s="77" t="s">
        <v>2101</v>
      </c>
      <c r="E1080" t="s">
        <v>36</v>
      </c>
      <c r="F1080" t="s">
        <v>2102</v>
      </c>
      <c r="G1080" s="92"/>
      <c r="H1080" s="92"/>
      <c r="I1080" s="92"/>
      <c r="J1080" s="92"/>
      <c r="K1080" s="92"/>
      <c r="L1080" s="9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15">
      <c r="A1081">
        <v>1081</v>
      </c>
      <c r="B1081" t="s">
        <v>1424</v>
      </c>
      <c r="C1081" t="s">
        <v>10</v>
      </c>
      <c r="D1081" s="77" t="s">
        <v>2103</v>
      </c>
      <c r="E1081" t="s">
        <v>702</v>
      </c>
      <c r="F1081" t="s">
        <v>2104</v>
      </c>
      <c r="G1081" s="92"/>
      <c r="H1081" s="92"/>
      <c r="I1081" s="92"/>
      <c r="J1081" s="92"/>
      <c r="K1081" s="92"/>
      <c r="L1081" s="9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15">
      <c r="A1082">
        <v>1082</v>
      </c>
      <c r="B1082" t="s">
        <v>1424</v>
      </c>
      <c r="C1082" t="s">
        <v>10</v>
      </c>
      <c r="D1082" s="77" t="s">
        <v>2105</v>
      </c>
      <c r="E1082" t="s">
        <v>702</v>
      </c>
      <c r="F1082" t="s">
        <v>2106</v>
      </c>
      <c r="G1082" s="92"/>
      <c r="H1082" s="92"/>
      <c r="I1082" s="92"/>
      <c r="J1082" s="92"/>
      <c r="K1082" s="92"/>
      <c r="L1082" s="9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15">
      <c r="A1083">
        <v>1083</v>
      </c>
      <c r="B1083" t="s">
        <v>1424</v>
      </c>
      <c r="C1083" t="s">
        <v>10</v>
      </c>
      <c r="D1083" s="77" t="s">
        <v>297</v>
      </c>
      <c r="E1083" t="s">
        <v>36</v>
      </c>
      <c r="F1083" t="s">
        <v>298</v>
      </c>
      <c r="G1083" s="92"/>
      <c r="H1083" s="92"/>
      <c r="I1083" s="92"/>
      <c r="J1083" s="92"/>
      <c r="K1083" s="92"/>
      <c r="L1083" s="9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15">
      <c r="A1084">
        <v>1084</v>
      </c>
      <c r="B1084" t="s">
        <v>1424</v>
      </c>
      <c r="C1084" t="s">
        <v>11</v>
      </c>
      <c r="D1084" s="77" t="s">
        <v>2107</v>
      </c>
      <c r="E1084" t="s">
        <v>36</v>
      </c>
      <c r="F1084" t="s">
        <v>2108</v>
      </c>
      <c r="G1084" s="92"/>
      <c r="H1084" s="92"/>
      <c r="I1084" s="92"/>
      <c r="J1084" s="92"/>
      <c r="K1084" s="92"/>
      <c r="L1084" s="9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15">
      <c r="A1085">
        <v>1085</v>
      </c>
      <c r="B1085" t="s">
        <v>1424</v>
      </c>
      <c r="C1085" t="s">
        <v>11</v>
      </c>
      <c r="D1085" s="77" t="s">
        <v>1125</v>
      </c>
      <c r="E1085" t="s">
        <v>73</v>
      </c>
      <c r="F1085" t="s">
        <v>2109</v>
      </c>
      <c r="G1085" s="92"/>
      <c r="H1085" s="92"/>
      <c r="I1085" s="92"/>
      <c r="J1085" s="92"/>
      <c r="K1085" s="92"/>
      <c r="L1085" s="9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15">
      <c r="A1086">
        <v>1086</v>
      </c>
      <c r="B1086" t="s">
        <v>1424</v>
      </c>
      <c r="C1086" t="s">
        <v>11</v>
      </c>
      <c r="D1086" s="77" t="s">
        <v>1001</v>
      </c>
      <c r="E1086" t="s">
        <v>36</v>
      </c>
      <c r="F1086" t="s">
        <v>1002</v>
      </c>
      <c r="G1086" s="92"/>
      <c r="H1086" s="92"/>
      <c r="I1086" s="92"/>
      <c r="J1086" s="92"/>
      <c r="K1086" s="92"/>
      <c r="L1086" s="9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15">
      <c r="A1087">
        <v>1087</v>
      </c>
      <c r="B1087" t="s">
        <v>1424</v>
      </c>
      <c r="C1087" t="s">
        <v>11</v>
      </c>
      <c r="D1087" s="77" t="s">
        <v>2110</v>
      </c>
      <c r="E1087" t="s">
        <v>36</v>
      </c>
      <c r="F1087" t="s">
        <v>2111</v>
      </c>
      <c r="G1087" s="92"/>
      <c r="H1087" s="92"/>
      <c r="I1087" s="92"/>
      <c r="J1087" s="92"/>
      <c r="K1087" s="92"/>
      <c r="L1087" s="9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15">
      <c r="A1088">
        <v>1088</v>
      </c>
      <c r="B1088" t="s">
        <v>1424</v>
      </c>
      <c r="C1088" t="s">
        <v>11</v>
      </c>
      <c r="D1088" s="77" t="s">
        <v>2112</v>
      </c>
      <c r="E1088" t="s">
        <v>61</v>
      </c>
      <c r="F1088" t="s">
        <v>2113</v>
      </c>
      <c r="G1088" s="92"/>
      <c r="H1088" s="92"/>
      <c r="I1088" s="92"/>
      <c r="J1088" s="92"/>
      <c r="K1088" s="92"/>
      <c r="L1088" s="9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15">
      <c r="A1089">
        <v>1089</v>
      </c>
      <c r="B1089" t="s">
        <v>1424</v>
      </c>
      <c r="C1089" t="s">
        <v>11</v>
      </c>
      <c r="D1089" s="77" t="s">
        <v>2114</v>
      </c>
      <c r="E1089" t="s">
        <v>36</v>
      </c>
      <c r="F1089" t="s">
        <v>2115</v>
      </c>
      <c r="G1089" s="92"/>
      <c r="H1089" s="92"/>
      <c r="I1089" s="92"/>
      <c r="J1089" s="92"/>
      <c r="K1089" s="92"/>
      <c r="L1089" s="9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15">
      <c r="A1090">
        <v>1090</v>
      </c>
      <c r="B1090" t="s">
        <v>1424</v>
      </c>
      <c r="C1090" t="s">
        <v>11</v>
      </c>
      <c r="D1090" s="77" t="s">
        <v>2116</v>
      </c>
      <c r="E1090" t="s">
        <v>36</v>
      </c>
      <c r="F1090" t="s">
        <v>2117</v>
      </c>
      <c r="G1090" s="92"/>
      <c r="H1090" s="92"/>
      <c r="I1090" s="92"/>
      <c r="J1090" s="92"/>
      <c r="K1090" s="92"/>
      <c r="L1090" s="9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15">
      <c r="A1091">
        <v>1091</v>
      </c>
      <c r="B1091" t="s">
        <v>1424</v>
      </c>
      <c r="C1091" t="s">
        <v>11</v>
      </c>
      <c r="D1091" s="77" t="s">
        <v>2118</v>
      </c>
      <c r="E1091" t="s">
        <v>61</v>
      </c>
      <c r="F1091" t="s">
        <v>2119</v>
      </c>
      <c r="G1091" s="92"/>
      <c r="H1091" s="92"/>
      <c r="I1091" s="92"/>
      <c r="J1091" s="92"/>
      <c r="K1091" s="92"/>
      <c r="L1091" s="9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15">
      <c r="A1092">
        <v>1092</v>
      </c>
      <c r="B1092" t="s">
        <v>1424</v>
      </c>
      <c r="C1092" t="s">
        <v>11</v>
      </c>
      <c r="D1092" s="77" t="s">
        <v>938</v>
      </c>
      <c r="E1092" t="s">
        <v>36</v>
      </c>
      <c r="F1092" t="s">
        <v>939</v>
      </c>
      <c r="G1092" s="92"/>
      <c r="H1092" s="92"/>
      <c r="I1092" s="92"/>
      <c r="J1092" s="92"/>
      <c r="K1092" s="92"/>
      <c r="L1092" s="9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15">
      <c r="A1093">
        <v>1093</v>
      </c>
      <c r="B1093" t="s">
        <v>1424</v>
      </c>
      <c r="C1093" t="s">
        <v>11</v>
      </c>
      <c r="D1093" s="77" t="s">
        <v>938</v>
      </c>
      <c r="E1093" t="s">
        <v>61</v>
      </c>
      <c r="F1093" t="s">
        <v>939</v>
      </c>
      <c r="G1093" s="92"/>
      <c r="H1093" s="92"/>
      <c r="I1093" s="92"/>
      <c r="J1093" s="92"/>
      <c r="K1093" s="92"/>
      <c r="L1093" s="9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15">
      <c r="A1094">
        <v>1094</v>
      </c>
      <c r="B1094" t="s">
        <v>1424</v>
      </c>
      <c r="C1094" t="s">
        <v>11</v>
      </c>
      <c r="D1094" s="77" t="s">
        <v>2120</v>
      </c>
      <c r="E1094" t="s">
        <v>38</v>
      </c>
      <c r="F1094" t="s">
        <v>2121</v>
      </c>
      <c r="G1094" s="92"/>
      <c r="H1094" s="92"/>
      <c r="I1094" s="92"/>
      <c r="J1094" s="92"/>
      <c r="K1094" s="92"/>
      <c r="L1094" s="9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15">
      <c r="A1095">
        <v>1095</v>
      </c>
      <c r="B1095" t="s">
        <v>1424</v>
      </c>
      <c r="C1095" t="s">
        <v>11</v>
      </c>
      <c r="D1095" s="77" t="s">
        <v>2122</v>
      </c>
      <c r="E1095" t="s">
        <v>36</v>
      </c>
      <c r="F1095" t="s">
        <v>2123</v>
      </c>
      <c r="G1095" s="92"/>
      <c r="H1095" s="92"/>
      <c r="I1095" s="92"/>
      <c r="J1095" s="92"/>
      <c r="K1095" s="92"/>
      <c r="L1095" s="9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15">
      <c r="A1096">
        <v>1096</v>
      </c>
      <c r="B1096" t="s">
        <v>1424</v>
      </c>
      <c r="C1096" t="s">
        <v>11</v>
      </c>
      <c r="D1096" s="77" t="s">
        <v>2124</v>
      </c>
      <c r="E1096" t="s">
        <v>36</v>
      </c>
      <c r="F1096" t="s">
        <v>2125</v>
      </c>
      <c r="G1096" s="92"/>
      <c r="H1096" s="92"/>
      <c r="I1096" s="92"/>
      <c r="J1096" s="92"/>
      <c r="K1096" s="92"/>
      <c r="L1096" s="9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15">
      <c r="A1097">
        <v>1097</v>
      </c>
      <c r="B1097" t="s">
        <v>1424</v>
      </c>
      <c r="C1097" t="s">
        <v>11</v>
      </c>
      <c r="D1097" s="77" t="s">
        <v>2126</v>
      </c>
      <c r="E1097" t="s">
        <v>702</v>
      </c>
      <c r="F1097" t="s">
        <v>2127</v>
      </c>
      <c r="G1097" s="92"/>
      <c r="H1097" s="92"/>
      <c r="I1097" s="92"/>
      <c r="J1097" s="92"/>
      <c r="K1097" s="92"/>
      <c r="L1097" s="9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15">
      <c r="A1098">
        <v>1098</v>
      </c>
      <c r="B1098" t="s">
        <v>1424</v>
      </c>
      <c r="C1098" t="s">
        <v>11</v>
      </c>
      <c r="D1098" s="77" t="s">
        <v>2128</v>
      </c>
      <c r="E1098" t="s">
        <v>36</v>
      </c>
      <c r="F1098" t="s">
        <v>2129</v>
      </c>
      <c r="G1098" s="92"/>
      <c r="H1098" s="92"/>
      <c r="I1098" s="92"/>
      <c r="J1098" s="92"/>
      <c r="K1098" s="92"/>
      <c r="L1098" s="9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15">
      <c r="A1099">
        <v>1099</v>
      </c>
      <c r="B1099" t="s">
        <v>1424</v>
      </c>
      <c r="C1099" t="s">
        <v>11</v>
      </c>
      <c r="D1099" s="77" t="s">
        <v>2130</v>
      </c>
      <c r="E1099" t="s">
        <v>36</v>
      </c>
      <c r="F1099" t="s">
        <v>2131</v>
      </c>
      <c r="G1099" s="92"/>
      <c r="H1099" s="92"/>
      <c r="I1099" s="92"/>
      <c r="J1099" s="92"/>
      <c r="K1099" s="92"/>
      <c r="L1099" s="9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15">
      <c r="A1100">
        <v>1100</v>
      </c>
      <c r="B1100" t="s">
        <v>1424</v>
      </c>
      <c r="C1100" t="s">
        <v>11</v>
      </c>
      <c r="D1100" s="77" t="s">
        <v>2132</v>
      </c>
      <c r="E1100" t="s">
        <v>36</v>
      </c>
      <c r="F1100" t="s">
        <v>2133</v>
      </c>
      <c r="G1100" s="92"/>
      <c r="H1100" s="92"/>
      <c r="I1100" s="92"/>
      <c r="J1100" s="92"/>
      <c r="K1100" s="92"/>
      <c r="L1100" s="9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15">
      <c r="A1101">
        <v>1101</v>
      </c>
      <c r="B1101" t="s">
        <v>1424</v>
      </c>
      <c r="C1101" t="s">
        <v>11</v>
      </c>
      <c r="D1101" s="77" t="s">
        <v>2134</v>
      </c>
      <c r="E1101" t="s">
        <v>36</v>
      </c>
      <c r="F1101" t="s">
        <v>2135</v>
      </c>
      <c r="G1101" s="92"/>
      <c r="H1101" s="92"/>
      <c r="I1101" s="92"/>
      <c r="J1101" s="92"/>
      <c r="K1101" s="92"/>
      <c r="L1101" s="9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15">
      <c r="A1102">
        <v>1102</v>
      </c>
      <c r="B1102" t="s">
        <v>1424</v>
      </c>
      <c r="C1102" t="s">
        <v>11</v>
      </c>
      <c r="D1102" s="77" t="s">
        <v>2136</v>
      </c>
      <c r="E1102" t="s">
        <v>36</v>
      </c>
      <c r="F1102" t="s">
        <v>2137</v>
      </c>
      <c r="G1102" s="92"/>
      <c r="H1102" s="92"/>
      <c r="I1102" s="92"/>
      <c r="J1102" s="92"/>
      <c r="K1102" s="92"/>
      <c r="L1102" s="9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15">
      <c r="A1103">
        <v>1103</v>
      </c>
      <c r="B1103" t="s">
        <v>1424</v>
      </c>
      <c r="C1103" t="s">
        <v>11</v>
      </c>
      <c r="D1103" s="77" t="s">
        <v>2138</v>
      </c>
      <c r="E1103" t="s">
        <v>702</v>
      </c>
      <c r="F1103" t="s">
        <v>2139</v>
      </c>
      <c r="G1103" s="92"/>
      <c r="H1103" s="92"/>
      <c r="I1103" s="92"/>
      <c r="J1103" s="92"/>
      <c r="K1103" s="92"/>
      <c r="L1103" s="9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15">
      <c r="A1104">
        <v>1104</v>
      </c>
      <c r="B1104" t="s">
        <v>1424</v>
      </c>
      <c r="C1104" t="s">
        <v>11</v>
      </c>
      <c r="D1104" s="77" t="s">
        <v>2140</v>
      </c>
      <c r="E1104" t="s">
        <v>73</v>
      </c>
      <c r="F1104" t="s">
        <v>2141</v>
      </c>
      <c r="G1104" s="92"/>
      <c r="H1104" s="92"/>
      <c r="I1104" s="92"/>
      <c r="J1104" s="92"/>
      <c r="K1104" s="92"/>
      <c r="L1104" s="9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15">
      <c r="A1105">
        <v>1105</v>
      </c>
      <c r="B1105" t="s">
        <v>1424</v>
      </c>
      <c r="C1105" t="s">
        <v>11</v>
      </c>
      <c r="D1105" s="77" t="s">
        <v>2142</v>
      </c>
      <c r="E1105" t="s">
        <v>157</v>
      </c>
      <c r="F1105" t="s">
        <v>2143</v>
      </c>
      <c r="G1105" s="92"/>
      <c r="H1105" s="92"/>
      <c r="I1105" s="92"/>
      <c r="J1105" s="92"/>
      <c r="K1105" s="92"/>
      <c r="L1105" s="9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15">
      <c r="A1106">
        <v>1106</v>
      </c>
      <c r="B1106" t="s">
        <v>1424</v>
      </c>
      <c r="C1106" t="s">
        <v>11</v>
      </c>
      <c r="D1106" s="77" t="s">
        <v>2144</v>
      </c>
      <c r="E1106" t="s">
        <v>36</v>
      </c>
      <c r="F1106" t="s">
        <v>930</v>
      </c>
      <c r="G1106" s="92"/>
      <c r="H1106" s="92"/>
      <c r="I1106" s="92"/>
      <c r="J1106" s="92"/>
      <c r="K1106" s="92"/>
      <c r="L1106" s="9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15">
      <c r="A1107">
        <v>1107</v>
      </c>
      <c r="B1107" t="s">
        <v>1424</v>
      </c>
      <c r="C1107" t="s">
        <v>11</v>
      </c>
      <c r="D1107" s="77" t="s">
        <v>2145</v>
      </c>
      <c r="E1107" t="s">
        <v>36</v>
      </c>
      <c r="F1107" t="s">
        <v>2146</v>
      </c>
      <c r="G1107" s="92"/>
      <c r="H1107" s="92"/>
      <c r="I1107" s="92"/>
      <c r="J1107" s="92"/>
      <c r="K1107" s="92"/>
      <c r="L1107" s="9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15">
      <c r="A1108">
        <v>1108</v>
      </c>
      <c r="B1108" t="s">
        <v>1424</v>
      </c>
      <c r="C1108" t="s">
        <v>11</v>
      </c>
      <c r="D1108" s="77" t="s">
        <v>2147</v>
      </c>
      <c r="E1108" t="s">
        <v>736</v>
      </c>
      <c r="F1108" t="s">
        <v>2148</v>
      </c>
      <c r="G1108" s="92"/>
      <c r="H1108" s="92"/>
      <c r="I1108" s="92"/>
      <c r="J1108" s="92"/>
      <c r="K1108" s="92"/>
      <c r="L1108" s="9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15">
      <c r="A1109">
        <v>1109</v>
      </c>
      <c r="B1109" t="s">
        <v>1424</v>
      </c>
      <c r="C1109" t="s">
        <v>11</v>
      </c>
      <c r="D1109" s="77" t="s">
        <v>2149</v>
      </c>
      <c r="E1109" t="s">
        <v>702</v>
      </c>
      <c r="F1109" t="s">
        <v>2150</v>
      </c>
      <c r="G1109" s="92"/>
      <c r="H1109" s="92"/>
      <c r="I1109" s="92"/>
      <c r="J1109" s="92"/>
      <c r="K1109" s="92"/>
      <c r="L1109" s="9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15">
      <c r="A1110">
        <v>1110</v>
      </c>
      <c r="B1110" t="s">
        <v>1424</v>
      </c>
      <c r="C1110" t="s">
        <v>11</v>
      </c>
      <c r="D1110" s="77" t="s">
        <v>2151</v>
      </c>
      <c r="E1110" t="s">
        <v>702</v>
      </c>
      <c r="F1110" t="s">
        <v>2152</v>
      </c>
      <c r="G1110" s="92"/>
      <c r="H1110" s="92"/>
      <c r="I1110" s="92"/>
      <c r="J1110" s="92"/>
      <c r="K1110" s="92"/>
      <c r="L1110" s="9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15">
      <c r="A1111">
        <v>1111</v>
      </c>
      <c r="B1111" t="s">
        <v>1424</v>
      </c>
      <c r="C1111" t="s">
        <v>11</v>
      </c>
      <c r="D1111" s="77" t="s">
        <v>1187</v>
      </c>
      <c r="E1111" t="s">
        <v>61</v>
      </c>
      <c r="F1111" t="s">
        <v>100</v>
      </c>
      <c r="G1111" s="92"/>
      <c r="H1111" s="92"/>
      <c r="I1111" s="92"/>
      <c r="J1111" s="92"/>
      <c r="K1111" s="92"/>
      <c r="L1111" s="9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15">
      <c r="A1112">
        <v>1112</v>
      </c>
      <c r="B1112" t="s">
        <v>1424</v>
      </c>
      <c r="C1112" t="s">
        <v>11</v>
      </c>
      <c r="D1112" s="77" t="s">
        <v>2153</v>
      </c>
      <c r="E1112" t="s">
        <v>736</v>
      </c>
      <c r="F1112" t="s">
        <v>2154</v>
      </c>
      <c r="G1112" s="92"/>
      <c r="H1112" s="92"/>
      <c r="I1112" s="92"/>
      <c r="J1112" s="92"/>
      <c r="K1112" s="92"/>
      <c r="L1112" s="9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15">
      <c r="A1113">
        <v>1113</v>
      </c>
      <c r="B1113" t="s">
        <v>1424</v>
      </c>
      <c r="C1113" t="s">
        <v>11</v>
      </c>
      <c r="D1113" s="77" t="s">
        <v>242</v>
      </c>
      <c r="E1113" t="s">
        <v>736</v>
      </c>
      <c r="F1113" t="s">
        <v>243</v>
      </c>
      <c r="G1113" s="92"/>
      <c r="H1113" s="92"/>
      <c r="I1113" s="92"/>
      <c r="J1113" s="92"/>
      <c r="K1113" s="92"/>
      <c r="L1113" s="9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15">
      <c r="A1114">
        <v>1114</v>
      </c>
      <c r="B1114" t="s">
        <v>1424</v>
      </c>
      <c r="C1114" t="s">
        <v>11</v>
      </c>
      <c r="D1114" s="77" t="s">
        <v>936</v>
      </c>
      <c r="E1114" t="s">
        <v>736</v>
      </c>
      <c r="F1114" t="s">
        <v>937</v>
      </c>
      <c r="G1114" s="92"/>
      <c r="H1114" s="92"/>
      <c r="I1114" s="92"/>
      <c r="J1114" s="92"/>
      <c r="K1114" s="92"/>
      <c r="L1114" s="9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15">
      <c r="A1115">
        <v>1115</v>
      </c>
      <c r="B1115" t="s">
        <v>1424</v>
      </c>
      <c r="C1115" t="s">
        <v>11</v>
      </c>
      <c r="D1115" s="77" t="s">
        <v>2155</v>
      </c>
      <c r="E1115" t="s">
        <v>702</v>
      </c>
      <c r="F1115" t="s">
        <v>2156</v>
      </c>
      <c r="G1115" s="92"/>
      <c r="H1115" s="92"/>
      <c r="I1115" s="92"/>
      <c r="J1115" s="92"/>
      <c r="K1115" s="92"/>
      <c r="L1115" s="9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15">
      <c r="A1116">
        <v>1116</v>
      </c>
      <c r="B1116" t="s">
        <v>1424</v>
      </c>
      <c r="C1116" t="s">
        <v>11</v>
      </c>
      <c r="D1116" s="77" t="s">
        <v>2157</v>
      </c>
      <c r="E1116" t="s">
        <v>702</v>
      </c>
      <c r="F1116" t="s">
        <v>2158</v>
      </c>
      <c r="G1116" s="92"/>
      <c r="H1116" s="92"/>
      <c r="I1116" s="92"/>
      <c r="J1116" s="92"/>
      <c r="K1116" s="92"/>
      <c r="L1116" s="9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15">
      <c r="A1117">
        <v>1117</v>
      </c>
      <c r="B1117" t="s">
        <v>1424</v>
      </c>
      <c r="C1117" t="s">
        <v>11</v>
      </c>
      <c r="D1117" s="77" t="s">
        <v>2159</v>
      </c>
      <c r="E1117" t="s">
        <v>38</v>
      </c>
      <c r="F1117" t="s">
        <v>2160</v>
      </c>
      <c r="G1117" s="92"/>
      <c r="H1117" s="92"/>
      <c r="I1117" s="92"/>
      <c r="J1117" s="92"/>
      <c r="K1117" s="92"/>
      <c r="L1117" s="9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15">
      <c r="A1118">
        <v>1118</v>
      </c>
      <c r="B1118" t="s">
        <v>1424</v>
      </c>
      <c r="C1118" t="s">
        <v>11</v>
      </c>
      <c r="D1118" s="77" t="s">
        <v>2161</v>
      </c>
      <c r="E1118" t="s">
        <v>157</v>
      </c>
      <c r="F1118" t="s">
        <v>2162</v>
      </c>
      <c r="G1118" s="92"/>
      <c r="H1118" s="92"/>
      <c r="I1118" s="92"/>
      <c r="J1118" s="92"/>
      <c r="K1118" s="92"/>
      <c r="L1118" s="9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15">
      <c r="A1119">
        <v>1119</v>
      </c>
      <c r="B1119" t="s">
        <v>1424</v>
      </c>
      <c r="C1119" t="s">
        <v>11</v>
      </c>
      <c r="D1119" s="77" t="s">
        <v>1117</v>
      </c>
      <c r="E1119" t="s">
        <v>36</v>
      </c>
      <c r="F1119" t="s">
        <v>2163</v>
      </c>
      <c r="G1119" s="92"/>
      <c r="H1119" s="92"/>
      <c r="I1119" s="92"/>
      <c r="J1119" s="92"/>
      <c r="K1119" s="92"/>
      <c r="L1119" s="9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15">
      <c r="A1120">
        <v>1120</v>
      </c>
      <c r="B1120" t="s">
        <v>1424</v>
      </c>
      <c r="C1120" t="s">
        <v>11</v>
      </c>
      <c r="D1120" s="77" t="s">
        <v>1115</v>
      </c>
      <c r="E1120" t="s">
        <v>36</v>
      </c>
      <c r="F1120" t="s">
        <v>1116</v>
      </c>
      <c r="G1120" s="92"/>
      <c r="H1120" s="92"/>
      <c r="I1120" s="92"/>
      <c r="J1120" s="92"/>
      <c r="K1120" s="92"/>
      <c r="L1120" s="9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15">
      <c r="A1121">
        <v>1121</v>
      </c>
      <c r="B1121" t="s">
        <v>1424</v>
      </c>
      <c r="C1121" t="s">
        <v>11</v>
      </c>
      <c r="D1121" s="77" t="s">
        <v>2164</v>
      </c>
      <c r="E1121" t="s">
        <v>736</v>
      </c>
      <c r="F1121" t="s">
        <v>2165</v>
      </c>
      <c r="G1121" s="92"/>
      <c r="H1121" s="92"/>
      <c r="I1121" s="92"/>
      <c r="J1121" s="92"/>
      <c r="K1121" s="92"/>
      <c r="L1121" s="9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15">
      <c r="A1122">
        <v>1122</v>
      </c>
      <c r="B1122" t="s">
        <v>1424</v>
      </c>
      <c r="C1122" t="s">
        <v>11</v>
      </c>
      <c r="D1122" s="77" t="s">
        <v>2166</v>
      </c>
      <c r="E1122" t="s">
        <v>736</v>
      </c>
      <c r="F1122" t="s">
        <v>2167</v>
      </c>
      <c r="G1122" s="92"/>
      <c r="H1122" s="92"/>
      <c r="I1122" s="92"/>
      <c r="J1122" s="92"/>
      <c r="K1122" s="92"/>
      <c r="L1122" s="9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15">
      <c r="A1123">
        <v>1123</v>
      </c>
      <c r="B1123" t="s">
        <v>1424</v>
      </c>
      <c r="C1123" t="s">
        <v>11</v>
      </c>
      <c r="D1123" s="77" t="s">
        <v>2168</v>
      </c>
      <c r="E1123" t="s">
        <v>36</v>
      </c>
      <c r="F1123" t="s">
        <v>2169</v>
      </c>
      <c r="G1123" s="92"/>
      <c r="H1123" s="92"/>
      <c r="I1123" s="92"/>
      <c r="J1123" s="92"/>
      <c r="K1123" s="92"/>
      <c r="L1123" s="9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15">
      <c r="A1124">
        <v>1124</v>
      </c>
      <c r="B1124" t="s">
        <v>1424</v>
      </c>
      <c r="C1124" t="s">
        <v>11</v>
      </c>
      <c r="D1124" s="77" t="s">
        <v>2170</v>
      </c>
      <c r="E1124" t="s">
        <v>36</v>
      </c>
      <c r="F1124" t="s">
        <v>2171</v>
      </c>
      <c r="G1124" s="92"/>
      <c r="H1124" s="92"/>
      <c r="I1124" s="92"/>
      <c r="J1124" s="92"/>
      <c r="K1124" s="92"/>
      <c r="L1124" s="9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15">
      <c r="A1125">
        <v>1125</v>
      </c>
      <c r="B1125" t="s">
        <v>1424</v>
      </c>
      <c r="C1125" t="s">
        <v>11</v>
      </c>
      <c r="D1125" s="77" t="s">
        <v>2172</v>
      </c>
      <c r="E1125" t="s">
        <v>702</v>
      </c>
      <c r="F1125" t="s">
        <v>2173</v>
      </c>
      <c r="G1125" s="92"/>
      <c r="H1125" s="92"/>
      <c r="I1125" s="92"/>
      <c r="J1125" s="92"/>
      <c r="K1125" s="92"/>
      <c r="L1125" s="9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15">
      <c r="A1126">
        <v>1126</v>
      </c>
      <c r="B1126" t="s">
        <v>1424</v>
      </c>
      <c r="C1126" t="s">
        <v>11</v>
      </c>
      <c r="D1126" s="77" t="s">
        <v>2174</v>
      </c>
      <c r="E1126" t="s">
        <v>36</v>
      </c>
      <c r="F1126" t="s">
        <v>2175</v>
      </c>
      <c r="G1126" s="92"/>
      <c r="H1126" s="92"/>
      <c r="I1126" s="92"/>
      <c r="J1126" s="92"/>
      <c r="K1126" s="92"/>
      <c r="L1126" s="9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15">
      <c r="A1127">
        <v>1127</v>
      </c>
      <c r="B1127" t="s">
        <v>1424</v>
      </c>
      <c r="C1127" t="s">
        <v>11</v>
      </c>
      <c r="D1127" s="77" t="s">
        <v>2176</v>
      </c>
      <c r="E1127" t="s">
        <v>36</v>
      </c>
      <c r="F1127" t="s">
        <v>2177</v>
      </c>
      <c r="G1127" s="92"/>
      <c r="H1127" s="92"/>
      <c r="I1127" s="92"/>
      <c r="J1127" s="92"/>
      <c r="K1127" s="92"/>
      <c r="L1127" s="9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15">
      <c r="A1128">
        <v>1128</v>
      </c>
      <c r="B1128" t="s">
        <v>1424</v>
      </c>
      <c r="C1128" t="s">
        <v>11</v>
      </c>
      <c r="D1128" s="77" t="s">
        <v>2178</v>
      </c>
      <c r="E1128" t="s">
        <v>1019</v>
      </c>
      <c r="F1128" t="s">
        <v>2179</v>
      </c>
      <c r="G1128" s="92"/>
      <c r="H1128" s="92"/>
      <c r="I1128" s="92"/>
      <c r="J1128" s="92"/>
      <c r="K1128" s="92"/>
      <c r="L1128" s="9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15">
      <c r="A1129">
        <v>1129</v>
      </c>
      <c r="B1129" t="s">
        <v>1424</v>
      </c>
      <c r="C1129" t="s">
        <v>11</v>
      </c>
      <c r="D1129" s="77" t="s">
        <v>2180</v>
      </c>
      <c r="E1129" t="s">
        <v>1019</v>
      </c>
      <c r="F1129" t="s">
        <v>2181</v>
      </c>
      <c r="G1129" s="92"/>
      <c r="H1129" s="92"/>
      <c r="I1129" s="92"/>
      <c r="J1129" s="92"/>
      <c r="K1129" s="92"/>
      <c r="L1129" s="9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15">
      <c r="A1130">
        <v>1130</v>
      </c>
      <c r="B1130" t="s">
        <v>1424</v>
      </c>
      <c r="C1130" t="s">
        <v>11</v>
      </c>
      <c r="D1130" s="77" t="s">
        <v>283</v>
      </c>
      <c r="E1130" t="s">
        <v>61</v>
      </c>
      <c r="F1130" t="s">
        <v>1751</v>
      </c>
      <c r="G1130" s="92"/>
      <c r="H1130" s="92"/>
      <c r="I1130" s="92"/>
      <c r="J1130" s="92"/>
      <c r="K1130" s="92"/>
      <c r="L1130" s="9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15">
      <c r="A1131">
        <v>1131</v>
      </c>
      <c r="B1131" t="s">
        <v>1424</v>
      </c>
      <c r="C1131" t="s">
        <v>11</v>
      </c>
      <c r="D1131" s="77" t="s">
        <v>2182</v>
      </c>
      <c r="E1131" t="s">
        <v>61</v>
      </c>
      <c r="F1131" t="s">
        <v>2183</v>
      </c>
      <c r="G1131" s="92"/>
      <c r="H1131" s="92"/>
      <c r="I1131" s="92"/>
      <c r="J1131" s="92"/>
      <c r="K1131" s="92"/>
      <c r="L1131" s="9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15">
      <c r="A1132">
        <v>1132</v>
      </c>
      <c r="B1132" t="s">
        <v>1424</v>
      </c>
      <c r="C1132" t="s">
        <v>11</v>
      </c>
      <c r="D1132" s="77" t="s">
        <v>234</v>
      </c>
      <c r="E1132" t="s">
        <v>36</v>
      </c>
      <c r="F1132" t="s">
        <v>235</v>
      </c>
      <c r="G1132" s="92"/>
      <c r="H1132" s="92"/>
      <c r="I1132" s="92"/>
      <c r="J1132" s="92"/>
      <c r="K1132" s="92"/>
      <c r="L1132" s="9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15">
      <c r="A1133">
        <v>1133</v>
      </c>
      <c r="B1133" t="s">
        <v>1424</v>
      </c>
      <c r="C1133" t="s">
        <v>11</v>
      </c>
      <c r="D1133" s="77" t="s">
        <v>2184</v>
      </c>
      <c r="E1133" t="s">
        <v>73</v>
      </c>
      <c r="F1133" t="s">
        <v>2185</v>
      </c>
      <c r="G1133" s="92"/>
      <c r="H1133" s="92"/>
      <c r="I1133" s="92"/>
      <c r="J1133" s="92"/>
      <c r="K1133" s="92"/>
      <c r="L1133" s="9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15">
      <c r="A1134">
        <v>1134</v>
      </c>
      <c r="B1134" t="s">
        <v>1424</v>
      </c>
      <c r="C1134" t="s">
        <v>11</v>
      </c>
      <c r="D1134" s="77" t="s">
        <v>2186</v>
      </c>
      <c r="E1134" t="s">
        <v>36</v>
      </c>
      <c r="F1134" t="s">
        <v>2187</v>
      </c>
      <c r="G1134" s="92"/>
      <c r="H1134" s="92"/>
      <c r="I1134" s="92"/>
      <c r="J1134" s="92"/>
      <c r="K1134" s="92"/>
      <c r="L1134" s="9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15">
      <c r="A1135">
        <v>1135</v>
      </c>
      <c r="B1135" t="s">
        <v>1424</v>
      </c>
      <c r="C1135" t="s">
        <v>11</v>
      </c>
      <c r="D1135" s="77" t="s">
        <v>2188</v>
      </c>
      <c r="E1135" t="s">
        <v>73</v>
      </c>
      <c r="F1135" t="s">
        <v>2189</v>
      </c>
      <c r="G1135" s="92"/>
      <c r="H1135" s="92"/>
      <c r="I1135" s="92"/>
      <c r="J1135" s="92"/>
      <c r="K1135" s="92"/>
      <c r="L1135" s="9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15">
      <c r="A1136">
        <v>1136</v>
      </c>
      <c r="B1136" t="s">
        <v>1424</v>
      </c>
      <c r="C1136" t="s">
        <v>11</v>
      </c>
      <c r="D1136" s="77" t="s">
        <v>2190</v>
      </c>
      <c r="E1136" t="s">
        <v>73</v>
      </c>
      <c r="F1136" t="s">
        <v>2191</v>
      </c>
      <c r="G1136" s="92"/>
      <c r="H1136" s="92"/>
      <c r="I1136" s="92"/>
      <c r="J1136" s="92"/>
      <c r="K1136" s="92"/>
      <c r="L1136" s="9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15">
      <c r="A1137">
        <v>1137</v>
      </c>
      <c r="B1137" t="s">
        <v>1424</v>
      </c>
      <c r="C1137" t="s">
        <v>11</v>
      </c>
      <c r="D1137" s="77" t="s">
        <v>2192</v>
      </c>
      <c r="E1137" t="s">
        <v>73</v>
      </c>
      <c r="F1137" t="s">
        <v>2193</v>
      </c>
      <c r="G1137" s="92"/>
      <c r="H1137" s="92"/>
      <c r="I1137" s="92"/>
      <c r="J1137" s="92"/>
      <c r="K1137" s="92"/>
      <c r="L1137" s="9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15">
      <c r="A1138">
        <v>1138</v>
      </c>
      <c r="B1138" t="s">
        <v>1424</v>
      </c>
      <c r="C1138" t="s">
        <v>11</v>
      </c>
      <c r="D1138" s="77" t="s">
        <v>2194</v>
      </c>
      <c r="E1138" t="s">
        <v>36</v>
      </c>
      <c r="F1138" t="s">
        <v>2195</v>
      </c>
      <c r="G1138" s="92"/>
      <c r="H1138" s="92"/>
      <c r="I1138" s="92"/>
      <c r="J1138" s="92"/>
      <c r="K1138" s="92"/>
      <c r="L1138" s="9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15">
      <c r="A1139">
        <v>1139</v>
      </c>
      <c r="B1139" t="s">
        <v>1424</v>
      </c>
      <c r="C1139" t="s">
        <v>11</v>
      </c>
      <c r="D1139" s="77" t="s">
        <v>1331</v>
      </c>
      <c r="E1139" t="s">
        <v>36</v>
      </c>
      <c r="F1139" t="s">
        <v>2196</v>
      </c>
      <c r="G1139" s="92"/>
      <c r="H1139" s="92"/>
      <c r="I1139" s="92"/>
      <c r="J1139" s="92"/>
      <c r="K1139" s="92"/>
      <c r="L1139" s="9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15">
      <c r="A1140">
        <v>1140</v>
      </c>
      <c r="B1140" t="s">
        <v>1424</v>
      </c>
      <c r="C1140" t="s">
        <v>11</v>
      </c>
      <c r="D1140" s="77" t="s">
        <v>2197</v>
      </c>
      <c r="E1140" t="s">
        <v>36</v>
      </c>
      <c r="F1140" t="s">
        <v>2198</v>
      </c>
      <c r="G1140" s="92"/>
      <c r="H1140" s="92"/>
      <c r="I1140" s="92"/>
      <c r="J1140" s="92"/>
      <c r="K1140" s="92"/>
      <c r="L1140" s="9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15">
      <c r="A1141">
        <v>1141</v>
      </c>
      <c r="B1141" t="s">
        <v>1424</v>
      </c>
      <c r="C1141" t="s">
        <v>11</v>
      </c>
      <c r="D1141" s="77" t="s">
        <v>2199</v>
      </c>
      <c r="E1141" t="s">
        <v>36</v>
      </c>
      <c r="F1141" t="s">
        <v>2200</v>
      </c>
      <c r="G1141" s="92"/>
      <c r="H1141" s="92"/>
      <c r="I1141" s="92"/>
      <c r="J1141" s="92"/>
      <c r="K1141" s="92"/>
      <c r="L1141" s="9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15">
      <c r="A1142">
        <v>1142</v>
      </c>
      <c r="B1142" t="s">
        <v>1424</v>
      </c>
      <c r="C1142" t="s">
        <v>11</v>
      </c>
      <c r="D1142" s="77" t="s">
        <v>2201</v>
      </c>
      <c r="E1142" t="s">
        <v>1019</v>
      </c>
      <c r="F1142" t="s">
        <v>2202</v>
      </c>
      <c r="G1142" s="92"/>
      <c r="H1142" s="92"/>
      <c r="I1142" s="92"/>
      <c r="J1142" s="92"/>
      <c r="K1142" s="92"/>
      <c r="L1142" s="9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15">
      <c r="A1143">
        <v>1143</v>
      </c>
      <c r="B1143" t="s">
        <v>1424</v>
      </c>
      <c r="C1143" t="s">
        <v>11</v>
      </c>
      <c r="D1143" s="77" t="s">
        <v>2203</v>
      </c>
      <c r="E1143" t="s">
        <v>73</v>
      </c>
      <c r="F1143" t="s">
        <v>2204</v>
      </c>
      <c r="G1143" s="92"/>
      <c r="H1143" s="92"/>
      <c r="I1143" s="92"/>
      <c r="J1143" s="92"/>
      <c r="K1143" s="92"/>
      <c r="L1143" s="9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15">
      <c r="A1144">
        <v>1144</v>
      </c>
      <c r="B1144" t="s">
        <v>1424</v>
      </c>
      <c r="C1144" t="s">
        <v>11</v>
      </c>
      <c r="D1144" s="77" t="s">
        <v>2205</v>
      </c>
      <c r="E1144" t="s">
        <v>61</v>
      </c>
      <c r="F1144" t="s">
        <v>2206</v>
      </c>
      <c r="G1144" s="92"/>
      <c r="H1144" s="92"/>
      <c r="I1144" s="92"/>
      <c r="J1144" s="92"/>
      <c r="K1144" s="92"/>
      <c r="L1144" s="9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15">
      <c r="A1145">
        <v>1145</v>
      </c>
      <c r="B1145" t="s">
        <v>1424</v>
      </c>
      <c r="C1145" t="s">
        <v>11</v>
      </c>
      <c r="D1145" s="77" t="s">
        <v>2207</v>
      </c>
      <c r="E1145" t="s">
        <v>36</v>
      </c>
      <c r="F1145" t="s">
        <v>2208</v>
      </c>
      <c r="G1145" s="92"/>
      <c r="H1145" s="92"/>
      <c r="I1145" s="92"/>
      <c r="J1145" s="92"/>
      <c r="K1145" s="92"/>
      <c r="L1145" s="9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15">
      <c r="A1146">
        <v>1146</v>
      </c>
      <c r="B1146" t="s">
        <v>1424</v>
      </c>
      <c r="C1146" t="s">
        <v>11</v>
      </c>
      <c r="D1146" s="77" t="s">
        <v>2209</v>
      </c>
      <c r="E1146" t="s">
        <v>36</v>
      </c>
      <c r="F1146" t="s">
        <v>2210</v>
      </c>
      <c r="G1146" s="92"/>
      <c r="H1146" s="92"/>
      <c r="I1146" s="92"/>
      <c r="J1146" s="92"/>
      <c r="K1146" s="92"/>
      <c r="L1146" s="9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15">
      <c r="A1147">
        <v>1147</v>
      </c>
      <c r="B1147" t="s">
        <v>1424</v>
      </c>
      <c r="C1147" t="s">
        <v>11</v>
      </c>
      <c r="D1147" s="77" t="s">
        <v>2211</v>
      </c>
      <c r="E1147" t="s">
        <v>36</v>
      </c>
      <c r="F1147" t="s">
        <v>2212</v>
      </c>
      <c r="G1147" s="92"/>
      <c r="H1147" s="92"/>
      <c r="I1147" s="92"/>
      <c r="J1147" s="92"/>
      <c r="K1147" s="92"/>
      <c r="L1147" s="9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15">
      <c r="A1148">
        <v>1148</v>
      </c>
      <c r="B1148" t="s">
        <v>1424</v>
      </c>
      <c r="C1148" t="s">
        <v>11</v>
      </c>
      <c r="D1148" s="77" t="s">
        <v>2213</v>
      </c>
      <c r="E1148" t="s">
        <v>702</v>
      </c>
      <c r="F1148" t="s">
        <v>2214</v>
      </c>
      <c r="G1148" s="92"/>
      <c r="H1148" s="92"/>
      <c r="I1148" s="92"/>
      <c r="J1148" s="92"/>
      <c r="K1148" s="92"/>
      <c r="L1148" s="9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15">
      <c r="A1149">
        <v>1149</v>
      </c>
      <c r="B1149" t="s">
        <v>1424</v>
      </c>
      <c r="C1149" t="s">
        <v>11</v>
      </c>
      <c r="D1149" s="77" t="s">
        <v>2215</v>
      </c>
      <c r="E1149" t="s">
        <v>36</v>
      </c>
      <c r="F1149" t="s">
        <v>2216</v>
      </c>
      <c r="G1149" s="92"/>
      <c r="H1149" s="92"/>
      <c r="I1149" s="92"/>
      <c r="J1149" s="92"/>
      <c r="K1149" s="92"/>
      <c r="L1149" s="9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15">
      <c r="A1150">
        <v>1150</v>
      </c>
      <c r="B1150" t="s">
        <v>1424</v>
      </c>
      <c r="C1150" t="s">
        <v>11</v>
      </c>
      <c r="D1150" s="77" t="s">
        <v>2217</v>
      </c>
      <c r="E1150" t="s">
        <v>36</v>
      </c>
      <c r="F1150" t="s">
        <v>2218</v>
      </c>
      <c r="G1150" s="92"/>
      <c r="H1150" s="92"/>
      <c r="I1150" s="92"/>
      <c r="J1150" s="92"/>
      <c r="K1150" s="92"/>
      <c r="L1150" s="9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15">
      <c r="A1151">
        <v>1151</v>
      </c>
      <c r="B1151" t="s">
        <v>1424</v>
      </c>
      <c r="C1151" t="s">
        <v>11</v>
      </c>
      <c r="D1151" s="77" t="s">
        <v>303</v>
      </c>
      <c r="E1151" t="s">
        <v>36</v>
      </c>
      <c r="F1151" t="s">
        <v>304</v>
      </c>
      <c r="G1151" s="92"/>
      <c r="H1151" s="92"/>
      <c r="I1151" s="92"/>
      <c r="J1151" s="92"/>
      <c r="K1151" s="92"/>
      <c r="L1151" s="9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15">
      <c r="A1152">
        <v>1152</v>
      </c>
      <c r="B1152" t="s">
        <v>1424</v>
      </c>
      <c r="C1152" t="s">
        <v>11</v>
      </c>
      <c r="D1152" s="77" t="s">
        <v>2224</v>
      </c>
      <c r="E1152" t="s">
        <v>38</v>
      </c>
      <c r="F1152" t="s">
        <v>2219</v>
      </c>
      <c r="G1152" s="92"/>
      <c r="H1152" s="92"/>
      <c r="I1152" s="92"/>
      <c r="J1152" s="92"/>
      <c r="K1152" s="92"/>
      <c r="L1152" s="9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15">
      <c r="A1153">
        <v>1153</v>
      </c>
      <c r="B1153" t="s">
        <v>1424</v>
      </c>
      <c r="C1153" t="s">
        <v>11</v>
      </c>
      <c r="D1153" s="77" t="s">
        <v>2220</v>
      </c>
      <c r="E1153" t="s">
        <v>73</v>
      </c>
      <c r="F1153" t="s">
        <v>2221</v>
      </c>
      <c r="G1153" s="92"/>
      <c r="H1153" s="92"/>
      <c r="I1153" s="92"/>
      <c r="J1153" s="92"/>
      <c r="K1153" s="92"/>
      <c r="L1153" s="9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15">
      <c r="A1154">
        <v>1154</v>
      </c>
      <c r="B1154" t="s">
        <v>1424</v>
      </c>
      <c r="C1154" t="s">
        <v>11</v>
      </c>
      <c r="D1154" s="77" t="s">
        <v>2222</v>
      </c>
      <c r="E1154" t="s">
        <v>702</v>
      </c>
      <c r="F1154" t="s">
        <v>2223</v>
      </c>
      <c r="G1154" s="92"/>
      <c r="H1154" s="92"/>
      <c r="I1154" s="92"/>
      <c r="J1154" s="92"/>
      <c r="K1154" s="92"/>
      <c r="L1154" s="9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15">
      <c r="A1155">
        <v>1155</v>
      </c>
      <c r="B1155" t="s">
        <v>1424</v>
      </c>
      <c r="C1155" t="s">
        <v>12</v>
      </c>
      <c r="D1155" s="78" t="s">
        <v>2227</v>
      </c>
      <c r="E1155" t="s">
        <v>36</v>
      </c>
      <c r="F1155" t="s">
        <v>2228</v>
      </c>
      <c r="G1155" s="92"/>
      <c r="H1155" s="92"/>
      <c r="I1155" s="92"/>
      <c r="J1155" s="92"/>
      <c r="K1155" s="92"/>
      <c r="L1155" s="9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9"/>
    </row>
    <row r="1156" spans="1:14" hidden="1" x14ac:dyDescent="0.15">
      <c r="A1156">
        <v>1156</v>
      </c>
      <c r="B1156" t="s">
        <v>1424</v>
      </c>
      <c r="C1156" t="s">
        <v>12</v>
      </c>
      <c r="D1156" s="72" t="s">
        <v>2229</v>
      </c>
      <c r="E1156" t="s">
        <v>702</v>
      </c>
      <c r="F1156" t="s">
        <v>2230</v>
      </c>
      <c r="G1156" s="92"/>
      <c r="H1156" s="92"/>
      <c r="I1156" s="92"/>
      <c r="J1156" s="92"/>
      <c r="K1156" s="92"/>
      <c r="L1156" s="9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9"/>
    </row>
    <row r="1157" spans="1:14" hidden="1" x14ac:dyDescent="0.15">
      <c r="A1157">
        <v>1157</v>
      </c>
      <c r="B1157" t="s">
        <v>1424</v>
      </c>
      <c r="C1157" t="s">
        <v>12</v>
      </c>
      <c r="D1157" s="72" t="s">
        <v>2231</v>
      </c>
      <c r="E1157" t="s">
        <v>73</v>
      </c>
      <c r="F1157" t="s">
        <v>2232</v>
      </c>
      <c r="G1157" s="92"/>
      <c r="H1157" s="92"/>
      <c r="I1157" s="92"/>
      <c r="J1157" s="92"/>
      <c r="K1157" s="92"/>
      <c r="L1157" s="9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9"/>
    </row>
    <row r="1158" spans="1:14" hidden="1" x14ac:dyDescent="0.15">
      <c r="A1158">
        <v>1158</v>
      </c>
      <c r="B1158" t="s">
        <v>1424</v>
      </c>
      <c r="C1158" t="s">
        <v>12</v>
      </c>
      <c r="D1158" s="72" t="s">
        <v>2233</v>
      </c>
      <c r="E1158" t="s">
        <v>36</v>
      </c>
      <c r="F1158" t="s">
        <v>2234</v>
      </c>
      <c r="G1158" s="92"/>
      <c r="H1158" s="92"/>
      <c r="I1158" s="92"/>
      <c r="J1158" s="92"/>
      <c r="K1158" s="92"/>
      <c r="L1158" s="9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9"/>
    </row>
    <row r="1159" spans="1:14" hidden="1" x14ac:dyDescent="0.15">
      <c r="A1159">
        <v>1159</v>
      </c>
      <c r="B1159" t="s">
        <v>1424</v>
      </c>
      <c r="C1159" t="s">
        <v>12</v>
      </c>
      <c r="D1159" s="72" t="s">
        <v>830</v>
      </c>
      <c r="E1159" t="s">
        <v>1021</v>
      </c>
      <c r="F1159" t="s">
        <v>2235</v>
      </c>
      <c r="G1159" s="92"/>
      <c r="H1159" s="92"/>
      <c r="I1159" s="92"/>
      <c r="J1159" s="92"/>
      <c r="K1159" s="92"/>
      <c r="L1159" s="9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9"/>
    </row>
    <row r="1160" spans="1:14" hidden="1" x14ac:dyDescent="0.15">
      <c r="A1160">
        <v>1160</v>
      </c>
      <c r="B1160" t="s">
        <v>1424</v>
      </c>
      <c r="C1160" t="s">
        <v>12</v>
      </c>
      <c r="D1160" s="72" t="s">
        <v>2236</v>
      </c>
      <c r="E1160" t="s">
        <v>36</v>
      </c>
      <c r="F1160" t="s">
        <v>2237</v>
      </c>
      <c r="G1160" s="92"/>
      <c r="H1160" s="92"/>
      <c r="I1160" s="92"/>
      <c r="J1160" s="92"/>
      <c r="K1160" s="92"/>
      <c r="L1160" s="9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9"/>
    </row>
    <row r="1161" spans="1:14" hidden="1" x14ac:dyDescent="0.15">
      <c r="A1161">
        <v>1161</v>
      </c>
      <c r="B1161" t="s">
        <v>1424</v>
      </c>
      <c r="C1161" t="s">
        <v>12</v>
      </c>
      <c r="D1161" s="72" t="s">
        <v>2238</v>
      </c>
      <c r="E1161" t="s">
        <v>1019</v>
      </c>
      <c r="F1161" t="s">
        <v>2239</v>
      </c>
      <c r="G1161" s="92"/>
      <c r="H1161" s="92"/>
      <c r="I1161" s="92"/>
      <c r="J1161" s="92"/>
      <c r="K1161" s="92"/>
      <c r="L1161" s="9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9"/>
    </row>
    <row r="1162" spans="1:14" hidden="1" x14ac:dyDescent="0.15">
      <c r="A1162">
        <v>1162</v>
      </c>
      <c r="B1162" t="s">
        <v>1424</v>
      </c>
      <c r="C1162" t="s">
        <v>12</v>
      </c>
      <c r="D1162" s="72" t="s">
        <v>2240</v>
      </c>
      <c r="E1162" t="s">
        <v>1019</v>
      </c>
      <c r="F1162" t="s">
        <v>2241</v>
      </c>
      <c r="G1162" s="92"/>
      <c r="H1162" s="92"/>
      <c r="I1162" s="92"/>
      <c r="J1162" s="92"/>
      <c r="K1162" s="92"/>
      <c r="L1162" s="9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9"/>
    </row>
    <row r="1163" spans="1:14" hidden="1" x14ac:dyDescent="0.15">
      <c r="A1163">
        <v>1163</v>
      </c>
      <c r="B1163" t="s">
        <v>1424</v>
      </c>
      <c r="C1163" t="s">
        <v>12</v>
      </c>
      <c r="D1163" s="72" t="s">
        <v>2242</v>
      </c>
      <c r="E1163" t="s">
        <v>36</v>
      </c>
      <c r="F1163" t="s">
        <v>2243</v>
      </c>
      <c r="G1163" s="92"/>
      <c r="H1163" s="92"/>
      <c r="I1163" s="92"/>
      <c r="J1163" s="92"/>
      <c r="K1163" s="92"/>
      <c r="L1163" s="9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9"/>
    </row>
    <row r="1164" spans="1:14" hidden="1" x14ac:dyDescent="0.15">
      <c r="A1164">
        <v>1164</v>
      </c>
      <c r="B1164" t="s">
        <v>1424</v>
      </c>
      <c r="C1164" t="s">
        <v>12</v>
      </c>
      <c r="D1164" s="72" t="s">
        <v>954</v>
      </c>
      <c r="E1164" t="s">
        <v>36</v>
      </c>
      <c r="F1164" t="s">
        <v>2244</v>
      </c>
      <c r="G1164" s="92"/>
      <c r="H1164" s="92"/>
      <c r="I1164" s="92"/>
      <c r="J1164" s="92"/>
      <c r="K1164" s="92"/>
      <c r="L1164" s="9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9"/>
    </row>
    <row r="1165" spans="1:14" hidden="1" x14ac:dyDescent="0.15">
      <c r="A1165">
        <v>1165</v>
      </c>
      <c r="B1165" t="s">
        <v>1424</v>
      </c>
      <c r="C1165" t="s">
        <v>12</v>
      </c>
      <c r="D1165" s="72" t="s">
        <v>479</v>
      </c>
      <c r="E1165" t="s">
        <v>736</v>
      </c>
      <c r="F1165" t="s">
        <v>2245</v>
      </c>
      <c r="G1165" s="92"/>
      <c r="H1165" s="92"/>
      <c r="I1165" s="92"/>
      <c r="J1165" s="92"/>
      <c r="K1165" s="92"/>
      <c r="L1165" s="9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9"/>
    </row>
    <row r="1166" spans="1:14" hidden="1" x14ac:dyDescent="0.15">
      <c r="A1166">
        <v>1166</v>
      </c>
      <c r="B1166" t="s">
        <v>1424</v>
      </c>
      <c r="C1166" t="s">
        <v>12</v>
      </c>
      <c r="D1166" s="72" t="s">
        <v>2246</v>
      </c>
      <c r="E1166" t="s">
        <v>61</v>
      </c>
      <c r="F1166" t="s">
        <v>1926</v>
      </c>
      <c r="G1166" s="92"/>
      <c r="H1166" s="92"/>
      <c r="I1166" s="92"/>
      <c r="J1166" s="92"/>
      <c r="K1166" s="92"/>
      <c r="L1166" s="9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9"/>
    </row>
    <row r="1167" spans="1:14" hidden="1" x14ac:dyDescent="0.15">
      <c r="A1167">
        <v>1167</v>
      </c>
      <c r="B1167" t="s">
        <v>1424</v>
      </c>
      <c r="C1167" t="s">
        <v>12</v>
      </c>
      <c r="D1167" s="72" t="s">
        <v>2247</v>
      </c>
      <c r="E1167" t="s">
        <v>1019</v>
      </c>
      <c r="F1167" t="s">
        <v>2248</v>
      </c>
      <c r="G1167" s="92"/>
      <c r="H1167" s="92"/>
      <c r="I1167" s="92"/>
      <c r="J1167" s="92"/>
      <c r="K1167" s="92"/>
      <c r="L1167" s="9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9"/>
    </row>
    <row r="1168" spans="1:14" hidden="1" x14ac:dyDescent="0.15">
      <c r="A1168">
        <v>1168</v>
      </c>
      <c r="B1168" t="s">
        <v>1424</v>
      </c>
      <c r="C1168" t="s">
        <v>12</v>
      </c>
      <c r="D1168" s="72" t="s">
        <v>2249</v>
      </c>
      <c r="E1168" t="s">
        <v>736</v>
      </c>
      <c r="F1168" t="s">
        <v>2250</v>
      </c>
      <c r="G1168" s="92"/>
      <c r="H1168" s="92"/>
      <c r="I1168" s="92"/>
      <c r="J1168" s="92"/>
      <c r="K1168" s="92"/>
      <c r="L1168" s="9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9"/>
    </row>
    <row r="1169" spans="1:14" hidden="1" x14ac:dyDescent="0.15">
      <c r="A1169">
        <v>1169</v>
      </c>
      <c r="B1169" t="s">
        <v>1424</v>
      </c>
      <c r="C1169" t="s">
        <v>12</v>
      </c>
      <c r="D1169" s="72" t="s">
        <v>2251</v>
      </c>
      <c r="E1169" t="s">
        <v>61</v>
      </c>
      <c r="F1169" t="s">
        <v>2252</v>
      </c>
      <c r="G1169" s="92"/>
      <c r="H1169" s="92"/>
      <c r="I1169" s="92"/>
      <c r="J1169" s="92"/>
      <c r="K1169" s="92"/>
      <c r="L1169" s="9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9"/>
    </row>
    <row r="1170" spans="1:14" hidden="1" x14ac:dyDescent="0.15">
      <c r="A1170">
        <v>1170</v>
      </c>
      <c r="B1170" t="s">
        <v>1424</v>
      </c>
      <c r="C1170" t="s">
        <v>12</v>
      </c>
      <c r="D1170" s="72" t="s">
        <v>1099</v>
      </c>
      <c r="E1170" t="s">
        <v>61</v>
      </c>
      <c r="F1170" t="s">
        <v>1074</v>
      </c>
      <c r="G1170" s="92"/>
      <c r="H1170" s="92"/>
      <c r="I1170" s="92"/>
      <c r="J1170" s="92"/>
      <c r="K1170" s="92"/>
      <c r="L1170" s="9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9"/>
    </row>
    <row r="1171" spans="1:14" hidden="1" x14ac:dyDescent="0.15">
      <c r="A1171">
        <v>1171</v>
      </c>
      <c r="B1171" t="s">
        <v>1424</v>
      </c>
      <c r="C1171" t="s">
        <v>12</v>
      </c>
      <c r="D1171" s="72" t="s">
        <v>2253</v>
      </c>
      <c r="E1171" t="s">
        <v>36</v>
      </c>
      <c r="F1171" t="s">
        <v>230</v>
      </c>
      <c r="G1171" s="92"/>
      <c r="H1171" s="92"/>
      <c r="I1171" s="92"/>
      <c r="J1171" s="92"/>
      <c r="K1171" s="92"/>
      <c r="L1171" s="9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9"/>
    </row>
    <row r="1172" spans="1:14" hidden="1" x14ac:dyDescent="0.15">
      <c r="A1172">
        <v>1172</v>
      </c>
      <c r="B1172" t="s">
        <v>1424</v>
      </c>
      <c r="C1172" t="s">
        <v>12</v>
      </c>
      <c r="D1172" s="72" t="s">
        <v>2254</v>
      </c>
      <c r="E1172" t="s">
        <v>36</v>
      </c>
      <c r="F1172" t="s">
        <v>2255</v>
      </c>
      <c r="G1172" s="92"/>
      <c r="H1172" s="92"/>
      <c r="I1172" s="92"/>
      <c r="J1172" s="92"/>
      <c r="K1172" s="92"/>
      <c r="L1172" s="9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9"/>
    </row>
    <row r="1173" spans="1:14" hidden="1" x14ac:dyDescent="0.15">
      <c r="A1173">
        <v>1173</v>
      </c>
      <c r="B1173" t="s">
        <v>1424</v>
      </c>
      <c r="C1173" t="s">
        <v>12</v>
      </c>
      <c r="D1173" s="72" t="s">
        <v>2256</v>
      </c>
      <c r="E1173" t="s">
        <v>702</v>
      </c>
      <c r="F1173" t="s">
        <v>2257</v>
      </c>
      <c r="G1173" s="92"/>
      <c r="H1173" s="92"/>
      <c r="I1173" s="92"/>
      <c r="J1173" s="92"/>
      <c r="K1173" s="92"/>
      <c r="L1173" s="9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9"/>
    </row>
    <row r="1174" spans="1:14" hidden="1" x14ac:dyDescent="0.15">
      <c r="A1174">
        <v>1174</v>
      </c>
      <c r="B1174" t="s">
        <v>1424</v>
      </c>
      <c r="C1174" t="s">
        <v>12</v>
      </c>
      <c r="D1174" s="72" t="s">
        <v>2258</v>
      </c>
      <c r="E1174" t="s">
        <v>36</v>
      </c>
      <c r="F1174" t="s">
        <v>2259</v>
      </c>
      <c r="G1174" s="92"/>
      <c r="H1174" s="92"/>
      <c r="I1174" s="92"/>
      <c r="J1174" s="92"/>
      <c r="K1174" s="92"/>
      <c r="L1174" s="9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9"/>
    </row>
    <row r="1175" spans="1:14" hidden="1" x14ac:dyDescent="0.15">
      <c r="A1175">
        <v>1175</v>
      </c>
      <c r="B1175" t="s">
        <v>1424</v>
      </c>
      <c r="C1175" t="s">
        <v>12</v>
      </c>
      <c r="D1175" s="72" t="s">
        <v>2260</v>
      </c>
      <c r="E1175" t="s">
        <v>36</v>
      </c>
      <c r="F1175" t="s">
        <v>2261</v>
      </c>
      <c r="G1175" s="92"/>
      <c r="H1175" s="92"/>
      <c r="I1175" s="92"/>
      <c r="J1175" s="92"/>
      <c r="K1175" s="92"/>
      <c r="L1175" s="9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9"/>
    </row>
    <row r="1176" spans="1:14" hidden="1" x14ac:dyDescent="0.15">
      <c r="A1176">
        <v>1176</v>
      </c>
      <c r="B1176" t="s">
        <v>1424</v>
      </c>
      <c r="C1176" t="s">
        <v>12</v>
      </c>
      <c r="D1176" s="72" t="s">
        <v>2262</v>
      </c>
      <c r="E1176" t="s">
        <v>1019</v>
      </c>
      <c r="F1176" t="s">
        <v>2263</v>
      </c>
      <c r="G1176" s="92"/>
      <c r="H1176" s="92"/>
      <c r="I1176" s="92"/>
      <c r="J1176" s="92"/>
      <c r="K1176" s="92"/>
      <c r="L1176" s="9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9"/>
    </row>
    <row r="1177" spans="1:14" hidden="1" x14ac:dyDescent="0.15">
      <c r="A1177">
        <v>1177</v>
      </c>
      <c r="B1177" t="s">
        <v>1424</v>
      </c>
      <c r="C1177" t="s">
        <v>12</v>
      </c>
      <c r="D1177" s="72" t="s">
        <v>2264</v>
      </c>
      <c r="E1177" t="s">
        <v>157</v>
      </c>
      <c r="F1177" t="s">
        <v>1787</v>
      </c>
      <c r="G1177" s="92"/>
      <c r="H1177" s="92"/>
      <c r="I1177" s="92"/>
      <c r="J1177" s="92"/>
      <c r="K1177" s="92"/>
      <c r="L1177" s="9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9"/>
    </row>
    <row r="1178" spans="1:14" hidden="1" x14ac:dyDescent="0.15">
      <c r="A1178">
        <v>1178</v>
      </c>
      <c r="B1178" t="s">
        <v>1424</v>
      </c>
      <c r="C1178" t="s">
        <v>12</v>
      </c>
      <c r="D1178" s="72" t="s">
        <v>2265</v>
      </c>
      <c r="E1178" t="s">
        <v>702</v>
      </c>
      <c r="F1178" t="s">
        <v>2266</v>
      </c>
      <c r="G1178" s="92"/>
      <c r="H1178" s="92"/>
      <c r="I1178" s="92"/>
      <c r="J1178" s="92"/>
      <c r="K1178" s="92"/>
      <c r="L1178" s="9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9"/>
    </row>
    <row r="1179" spans="1:14" hidden="1" x14ac:dyDescent="0.15">
      <c r="A1179">
        <v>1179</v>
      </c>
      <c r="B1179" t="s">
        <v>1424</v>
      </c>
      <c r="C1179" t="s">
        <v>12</v>
      </c>
      <c r="D1179" s="72" t="s">
        <v>2267</v>
      </c>
      <c r="E1179" t="s">
        <v>36</v>
      </c>
      <c r="F1179" t="s">
        <v>2268</v>
      </c>
      <c r="G1179" s="92"/>
      <c r="H1179" s="92"/>
      <c r="I1179" s="92"/>
      <c r="J1179" s="92"/>
      <c r="K1179" s="92"/>
      <c r="L1179" s="9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9"/>
    </row>
    <row r="1180" spans="1:14" hidden="1" x14ac:dyDescent="0.15">
      <c r="A1180">
        <v>1180</v>
      </c>
      <c r="B1180" t="s">
        <v>1424</v>
      </c>
      <c r="C1180" t="s">
        <v>12</v>
      </c>
      <c r="D1180" s="72" t="s">
        <v>2269</v>
      </c>
      <c r="E1180" t="s">
        <v>36</v>
      </c>
      <c r="F1180" t="s">
        <v>2270</v>
      </c>
      <c r="G1180" s="92"/>
      <c r="H1180" s="92"/>
      <c r="I1180" s="92"/>
      <c r="J1180" s="92"/>
      <c r="K1180" s="92"/>
      <c r="L1180" s="9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9"/>
    </row>
    <row r="1181" spans="1:14" hidden="1" x14ac:dyDescent="0.15">
      <c r="A1181">
        <v>1181</v>
      </c>
      <c r="B1181" t="s">
        <v>1424</v>
      </c>
      <c r="C1181" t="s">
        <v>12</v>
      </c>
      <c r="D1181" s="72" t="s">
        <v>2184</v>
      </c>
      <c r="E1181" t="s">
        <v>36</v>
      </c>
      <c r="F1181" t="s">
        <v>2271</v>
      </c>
      <c r="G1181" s="92"/>
      <c r="H1181" s="92"/>
      <c r="I1181" s="92"/>
      <c r="J1181" s="92"/>
      <c r="K1181" s="92"/>
      <c r="L1181" s="9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9"/>
    </row>
    <row r="1182" spans="1:14" hidden="1" x14ac:dyDescent="0.15">
      <c r="A1182">
        <v>1182</v>
      </c>
      <c r="B1182" t="s">
        <v>1424</v>
      </c>
      <c r="C1182" t="s">
        <v>12</v>
      </c>
      <c r="D1182" s="72" t="s">
        <v>2272</v>
      </c>
      <c r="E1182" t="s">
        <v>36</v>
      </c>
      <c r="F1182" t="s">
        <v>2273</v>
      </c>
      <c r="G1182" s="92"/>
      <c r="H1182" s="92"/>
      <c r="I1182" s="92"/>
      <c r="J1182" s="92"/>
      <c r="K1182" s="92"/>
      <c r="L1182" s="9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9"/>
    </row>
    <row r="1183" spans="1:14" hidden="1" x14ac:dyDescent="0.15">
      <c r="A1183">
        <v>1183</v>
      </c>
      <c r="B1183" t="s">
        <v>1424</v>
      </c>
      <c r="C1183" t="s">
        <v>12</v>
      </c>
      <c r="D1183" s="72" t="s">
        <v>2274</v>
      </c>
      <c r="E1183" t="s">
        <v>36</v>
      </c>
      <c r="F1183" t="s">
        <v>2275</v>
      </c>
      <c r="G1183" s="92"/>
      <c r="H1183" s="92"/>
      <c r="I1183" s="92"/>
      <c r="J1183" s="92"/>
      <c r="K1183" s="92"/>
      <c r="L1183" s="9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9"/>
    </row>
    <row r="1184" spans="1:14" hidden="1" x14ac:dyDescent="0.15">
      <c r="A1184">
        <v>1184</v>
      </c>
      <c r="B1184" t="s">
        <v>1424</v>
      </c>
      <c r="C1184" t="s">
        <v>12</v>
      </c>
      <c r="D1184" s="72" t="s">
        <v>2276</v>
      </c>
      <c r="E1184" t="s">
        <v>36</v>
      </c>
      <c r="F1184" t="s">
        <v>2277</v>
      </c>
      <c r="G1184" s="92"/>
      <c r="H1184" s="92"/>
      <c r="I1184" s="92"/>
      <c r="J1184" s="92"/>
      <c r="K1184" s="92"/>
      <c r="L1184" s="9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9"/>
    </row>
    <row r="1185" spans="1:14" hidden="1" x14ac:dyDescent="0.15">
      <c r="A1185">
        <v>1185</v>
      </c>
      <c r="B1185" t="s">
        <v>1424</v>
      </c>
      <c r="C1185" t="s">
        <v>12</v>
      </c>
      <c r="D1185" s="72" t="s">
        <v>68</v>
      </c>
      <c r="E1185" t="s">
        <v>36</v>
      </c>
      <c r="F1185" t="s">
        <v>2278</v>
      </c>
      <c r="G1185" s="92"/>
      <c r="H1185" s="92"/>
      <c r="I1185" s="92"/>
      <c r="J1185" s="92"/>
      <c r="K1185" s="92"/>
      <c r="L1185" s="9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9"/>
    </row>
    <row r="1186" spans="1:14" hidden="1" x14ac:dyDescent="0.15">
      <c r="A1186">
        <v>1186</v>
      </c>
      <c r="B1186" t="s">
        <v>1424</v>
      </c>
      <c r="C1186" t="s">
        <v>12</v>
      </c>
      <c r="D1186" s="72" t="s">
        <v>2279</v>
      </c>
      <c r="E1186" t="s">
        <v>36</v>
      </c>
      <c r="F1186" t="s">
        <v>2280</v>
      </c>
      <c r="G1186" s="92"/>
      <c r="H1186" s="92"/>
      <c r="I1186" s="92"/>
      <c r="J1186" s="92"/>
      <c r="K1186" s="92"/>
      <c r="L1186" s="9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9"/>
    </row>
    <row r="1187" spans="1:14" hidden="1" x14ac:dyDescent="0.15">
      <c r="A1187">
        <v>1187</v>
      </c>
      <c r="B1187" t="s">
        <v>1424</v>
      </c>
      <c r="C1187" t="s">
        <v>12</v>
      </c>
      <c r="D1187" s="72" t="s">
        <v>2281</v>
      </c>
      <c r="E1187" t="s">
        <v>702</v>
      </c>
      <c r="F1187" t="s">
        <v>2282</v>
      </c>
      <c r="G1187" s="92"/>
      <c r="H1187" s="92"/>
      <c r="I1187" s="92"/>
      <c r="J1187" s="92"/>
      <c r="K1187" s="92"/>
      <c r="L1187" s="9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9"/>
    </row>
    <row r="1188" spans="1:14" hidden="1" x14ac:dyDescent="0.15">
      <c r="A1188">
        <v>1188</v>
      </c>
      <c r="B1188" t="s">
        <v>1424</v>
      </c>
      <c r="C1188" t="s">
        <v>12</v>
      </c>
      <c r="D1188" s="72" t="s">
        <v>2283</v>
      </c>
      <c r="E1188" t="s">
        <v>36</v>
      </c>
      <c r="F1188" t="s">
        <v>2284</v>
      </c>
      <c r="G1188" s="92"/>
      <c r="H1188" s="92"/>
      <c r="I1188" s="92"/>
      <c r="J1188" s="92"/>
      <c r="K1188" s="92"/>
      <c r="L1188" s="9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9"/>
    </row>
    <row r="1189" spans="1:14" hidden="1" x14ac:dyDescent="0.15">
      <c r="A1189">
        <v>1189</v>
      </c>
      <c r="B1189" t="s">
        <v>1424</v>
      </c>
      <c r="C1189" t="s">
        <v>12</v>
      </c>
      <c r="D1189" s="72" t="s">
        <v>2285</v>
      </c>
      <c r="E1189" t="s">
        <v>36</v>
      </c>
      <c r="F1189" t="s">
        <v>2286</v>
      </c>
      <c r="G1189" s="92"/>
      <c r="H1189" s="92"/>
      <c r="I1189" s="92"/>
      <c r="J1189" s="92"/>
      <c r="K1189" s="92"/>
      <c r="L1189" s="9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9"/>
    </row>
    <row r="1190" spans="1:14" hidden="1" x14ac:dyDescent="0.15">
      <c r="A1190">
        <v>1190</v>
      </c>
      <c r="B1190" t="s">
        <v>1424</v>
      </c>
      <c r="C1190" t="s">
        <v>12</v>
      </c>
      <c r="D1190" s="72" t="s">
        <v>2287</v>
      </c>
      <c r="E1190" t="s">
        <v>36</v>
      </c>
      <c r="F1190" t="s">
        <v>2288</v>
      </c>
      <c r="G1190" s="92"/>
      <c r="H1190" s="92"/>
      <c r="I1190" s="92"/>
      <c r="J1190" s="92"/>
      <c r="K1190" s="92"/>
      <c r="L1190" s="9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9"/>
    </row>
    <row r="1191" spans="1:14" hidden="1" x14ac:dyDescent="0.15">
      <c r="A1191">
        <v>1191</v>
      </c>
      <c r="B1191" t="s">
        <v>1424</v>
      </c>
      <c r="C1191" t="s">
        <v>12</v>
      </c>
      <c r="D1191" s="72" t="s">
        <v>2289</v>
      </c>
      <c r="E1191" t="s">
        <v>157</v>
      </c>
      <c r="F1191" t="s">
        <v>2290</v>
      </c>
      <c r="G1191" s="92"/>
      <c r="H1191" s="92"/>
      <c r="I1191" s="92"/>
      <c r="J1191" s="92"/>
      <c r="K1191" s="92"/>
      <c r="L1191" s="9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9"/>
    </row>
    <row r="1192" spans="1:14" hidden="1" x14ac:dyDescent="0.15">
      <c r="A1192">
        <v>1192</v>
      </c>
      <c r="B1192" t="s">
        <v>1424</v>
      </c>
      <c r="C1192" t="s">
        <v>12</v>
      </c>
      <c r="D1192" s="72" t="s">
        <v>2291</v>
      </c>
      <c r="E1192" t="s">
        <v>36</v>
      </c>
      <c r="F1192" t="s">
        <v>2292</v>
      </c>
      <c r="G1192" s="92"/>
      <c r="H1192" s="92"/>
      <c r="I1192" s="92"/>
      <c r="J1192" s="92"/>
      <c r="K1192" s="92"/>
      <c r="L1192" s="9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9"/>
    </row>
    <row r="1193" spans="1:14" hidden="1" x14ac:dyDescent="0.15">
      <c r="A1193">
        <v>1193</v>
      </c>
      <c r="B1193" t="s">
        <v>1424</v>
      </c>
      <c r="C1193" t="s">
        <v>12</v>
      </c>
      <c r="D1193" s="72" t="s">
        <v>292</v>
      </c>
      <c r="E1193" t="s">
        <v>157</v>
      </c>
      <c r="F1193" t="s">
        <v>293</v>
      </c>
      <c r="G1193" s="92"/>
      <c r="H1193" s="92"/>
      <c r="I1193" s="92"/>
      <c r="J1193" s="92"/>
      <c r="K1193" s="92"/>
      <c r="L1193" s="9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9"/>
    </row>
    <row r="1194" spans="1:14" hidden="1" x14ac:dyDescent="0.15">
      <c r="A1194">
        <v>1194</v>
      </c>
      <c r="B1194" t="s">
        <v>1424</v>
      </c>
      <c r="C1194" t="s">
        <v>12</v>
      </c>
      <c r="D1194" s="72" t="s">
        <v>72</v>
      </c>
      <c r="E1194" t="s">
        <v>73</v>
      </c>
      <c r="F1194" t="s">
        <v>74</v>
      </c>
      <c r="G1194" s="92"/>
      <c r="H1194" s="92"/>
      <c r="I1194" s="92"/>
      <c r="J1194" s="92"/>
      <c r="K1194" s="92"/>
      <c r="L1194" s="9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9"/>
    </row>
    <row r="1195" spans="1:14" hidden="1" x14ac:dyDescent="0.15">
      <c r="A1195">
        <v>1195</v>
      </c>
      <c r="B1195" t="s">
        <v>1424</v>
      </c>
      <c r="C1195" t="s">
        <v>12</v>
      </c>
      <c r="D1195" s="72" t="s">
        <v>2293</v>
      </c>
      <c r="E1195" t="s">
        <v>1019</v>
      </c>
      <c r="F1195" t="s">
        <v>2294</v>
      </c>
      <c r="G1195" s="92"/>
      <c r="H1195" s="92"/>
      <c r="I1195" s="92"/>
      <c r="J1195" s="92"/>
      <c r="K1195" s="92"/>
      <c r="L1195" s="9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9"/>
    </row>
    <row r="1196" spans="1:14" hidden="1" x14ac:dyDescent="0.15">
      <c r="A1196">
        <v>1196</v>
      </c>
      <c r="B1196" t="s">
        <v>1424</v>
      </c>
      <c r="C1196" t="s">
        <v>12</v>
      </c>
      <c r="D1196" s="72" t="s">
        <v>2295</v>
      </c>
      <c r="E1196" t="s">
        <v>1019</v>
      </c>
      <c r="F1196" t="s">
        <v>2296</v>
      </c>
      <c r="G1196" s="92"/>
      <c r="H1196" s="92"/>
      <c r="I1196" s="92"/>
      <c r="J1196" s="92"/>
      <c r="K1196" s="92"/>
      <c r="L1196" s="9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9"/>
    </row>
    <row r="1197" spans="1:14" hidden="1" x14ac:dyDescent="0.15">
      <c r="A1197">
        <v>1197</v>
      </c>
      <c r="B1197" t="s">
        <v>1424</v>
      </c>
      <c r="C1197" t="s">
        <v>12</v>
      </c>
      <c r="D1197" s="72" t="s">
        <v>2297</v>
      </c>
      <c r="E1197" t="s">
        <v>702</v>
      </c>
      <c r="F1197" t="s">
        <v>2298</v>
      </c>
      <c r="G1197" s="92"/>
      <c r="H1197" s="92"/>
      <c r="I1197" s="92"/>
      <c r="J1197" s="92"/>
      <c r="K1197" s="92"/>
      <c r="L1197" s="9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9"/>
    </row>
    <row r="1198" spans="1:14" hidden="1" x14ac:dyDescent="0.15">
      <c r="A1198">
        <v>1198</v>
      </c>
      <c r="B1198" t="s">
        <v>1424</v>
      </c>
      <c r="C1198" t="s">
        <v>12</v>
      </c>
      <c r="D1198" s="72" t="s">
        <v>5640</v>
      </c>
      <c r="E1198" t="s">
        <v>1019</v>
      </c>
      <c r="F1198" t="s">
        <v>2299</v>
      </c>
      <c r="G1198" s="92"/>
      <c r="H1198" s="92"/>
      <c r="I1198" s="92"/>
      <c r="J1198" s="92"/>
      <c r="K1198" s="92"/>
      <c r="L1198" s="9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9"/>
    </row>
    <row r="1199" spans="1:14" hidden="1" x14ac:dyDescent="0.15">
      <c r="A1199">
        <v>1199</v>
      </c>
      <c r="B1199" t="s">
        <v>1424</v>
      </c>
      <c r="C1199" t="s">
        <v>12</v>
      </c>
      <c r="D1199" s="72" t="s">
        <v>2300</v>
      </c>
      <c r="E1199" t="s">
        <v>36</v>
      </c>
      <c r="F1199" t="s">
        <v>2301</v>
      </c>
      <c r="G1199" s="92"/>
      <c r="H1199" s="92"/>
      <c r="I1199" s="92"/>
      <c r="J1199" s="92"/>
      <c r="K1199" s="92"/>
      <c r="L1199" s="9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9"/>
    </row>
    <row r="1200" spans="1:14" hidden="1" x14ac:dyDescent="0.15">
      <c r="A1200">
        <v>1200</v>
      </c>
      <c r="B1200" t="s">
        <v>1424</v>
      </c>
      <c r="C1200" t="s">
        <v>12</v>
      </c>
      <c r="D1200" s="72" t="s">
        <v>2302</v>
      </c>
      <c r="E1200" t="s">
        <v>702</v>
      </c>
      <c r="F1200" t="s">
        <v>2303</v>
      </c>
      <c r="G1200" s="92"/>
      <c r="H1200" s="92"/>
      <c r="I1200" s="92"/>
      <c r="J1200" s="92"/>
      <c r="K1200" s="92"/>
      <c r="L1200" s="9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9"/>
    </row>
    <row r="1201" spans="1:14" hidden="1" x14ac:dyDescent="0.15">
      <c r="A1201">
        <v>1201</v>
      </c>
      <c r="B1201" t="s">
        <v>1424</v>
      </c>
      <c r="C1201" t="s">
        <v>12</v>
      </c>
      <c r="D1201" s="72" t="s">
        <v>2304</v>
      </c>
      <c r="E1201" t="s">
        <v>36</v>
      </c>
      <c r="F1201" t="s">
        <v>2305</v>
      </c>
      <c r="G1201" s="92"/>
      <c r="H1201" s="92"/>
      <c r="I1201" s="92"/>
      <c r="J1201" s="92"/>
      <c r="K1201" s="92"/>
      <c r="L1201" s="9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9"/>
    </row>
    <row r="1202" spans="1:14" hidden="1" x14ac:dyDescent="0.15">
      <c r="A1202">
        <v>1202</v>
      </c>
      <c r="B1202" t="s">
        <v>1424</v>
      </c>
      <c r="C1202" t="s">
        <v>12</v>
      </c>
      <c r="D1202" s="72" t="s">
        <v>2306</v>
      </c>
      <c r="E1202" t="s">
        <v>61</v>
      </c>
      <c r="F1202" t="s">
        <v>2307</v>
      </c>
      <c r="G1202" s="92"/>
      <c r="H1202" s="92"/>
      <c r="I1202" s="92"/>
      <c r="J1202" s="92"/>
      <c r="K1202" s="92"/>
      <c r="L1202" s="9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9"/>
    </row>
    <row r="1203" spans="1:14" hidden="1" x14ac:dyDescent="0.15">
      <c r="A1203">
        <v>1203</v>
      </c>
      <c r="B1203" t="s">
        <v>1424</v>
      </c>
      <c r="C1203" t="s">
        <v>12</v>
      </c>
      <c r="D1203" s="72" t="s">
        <v>2308</v>
      </c>
      <c r="E1203" t="s">
        <v>702</v>
      </c>
      <c r="F1203" t="s">
        <v>2309</v>
      </c>
      <c r="G1203" s="92"/>
      <c r="H1203" s="92"/>
      <c r="I1203" s="92"/>
      <c r="J1203" s="92"/>
      <c r="K1203" s="92"/>
      <c r="L1203" s="9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9"/>
    </row>
    <row r="1204" spans="1:14" hidden="1" x14ac:dyDescent="0.15">
      <c r="A1204">
        <v>1204</v>
      </c>
      <c r="B1204" t="s">
        <v>1424</v>
      </c>
      <c r="C1204" t="s">
        <v>12</v>
      </c>
      <c r="D1204" s="72" t="s">
        <v>2310</v>
      </c>
      <c r="E1204" t="s">
        <v>702</v>
      </c>
      <c r="F1204" t="s">
        <v>2311</v>
      </c>
      <c r="G1204" s="92"/>
      <c r="H1204" s="92"/>
      <c r="I1204" s="92"/>
      <c r="J1204" s="92"/>
      <c r="K1204" s="92"/>
      <c r="L1204" s="9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9"/>
    </row>
    <row r="1205" spans="1:14" hidden="1" x14ac:dyDescent="0.15">
      <c r="A1205">
        <v>1205</v>
      </c>
      <c r="B1205" t="s">
        <v>1424</v>
      </c>
      <c r="C1205" t="s">
        <v>12</v>
      </c>
      <c r="D1205" s="72" t="s">
        <v>2312</v>
      </c>
      <c r="E1205" t="s">
        <v>73</v>
      </c>
      <c r="F1205" t="s">
        <v>2313</v>
      </c>
      <c r="G1205" s="92"/>
      <c r="H1205" s="92"/>
      <c r="I1205" s="92"/>
      <c r="J1205" s="92"/>
      <c r="K1205" s="92"/>
      <c r="L1205" s="9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9"/>
    </row>
    <row r="1206" spans="1:14" hidden="1" x14ac:dyDescent="0.15">
      <c r="A1206">
        <v>1206</v>
      </c>
      <c r="B1206" t="s">
        <v>1424</v>
      </c>
      <c r="C1206" t="s">
        <v>12</v>
      </c>
      <c r="D1206" s="72" t="s">
        <v>2314</v>
      </c>
      <c r="E1206" t="s">
        <v>36</v>
      </c>
      <c r="F1206" t="s">
        <v>2315</v>
      </c>
      <c r="G1206" s="92"/>
      <c r="H1206" s="92"/>
      <c r="I1206" s="92"/>
      <c r="J1206" s="92"/>
      <c r="K1206" s="92"/>
      <c r="L1206" s="9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9"/>
    </row>
    <row r="1207" spans="1:14" hidden="1" x14ac:dyDescent="0.15">
      <c r="A1207">
        <v>1207</v>
      </c>
      <c r="B1207" t="s">
        <v>1424</v>
      </c>
      <c r="C1207" t="s">
        <v>12</v>
      </c>
      <c r="D1207" s="72" t="s">
        <v>2316</v>
      </c>
      <c r="E1207" t="s">
        <v>36</v>
      </c>
      <c r="F1207" t="s">
        <v>2317</v>
      </c>
      <c r="G1207" s="92"/>
      <c r="H1207" s="92"/>
      <c r="I1207" s="92"/>
      <c r="J1207" s="92"/>
      <c r="K1207" s="92"/>
      <c r="L1207" s="9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9"/>
    </row>
    <row r="1208" spans="1:14" hidden="1" x14ac:dyDescent="0.15">
      <c r="A1208">
        <v>1208</v>
      </c>
      <c r="B1208" t="s">
        <v>1424</v>
      </c>
      <c r="C1208" t="s">
        <v>12</v>
      </c>
      <c r="D1208" s="72" t="s">
        <v>2318</v>
      </c>
      <c r="E1208" t="s">
        <v>61</v>
      </c>
      <c r="F1208" t="s">
        <v>2319</v>
      </c>
      <c r="G1208" s="92"/>
      <c r="H1208" s="92"/>
      <c r="I1208" s="92"/>
      <c r="J1208" s="92"/>
      <c r="K1208" s="92"/>
      <c r="L1208" s="9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9"/>
    </row>
    <row r="1209" spans="1:14" hidden="1" x14ac:dyDescent="0.15">
      <c r="A1209">
        <v>1209</v>
      </c>
      <c r="B1209" t="s">
        <v>1424</v>
      </c>
      <c r="C1209" t="s">
        <v>12</v>
      </c>
      <c r="D1209" s="72" t="s">
        <v>2320</v>
      </c>
      <c r="E1209" t="s">
        <v>157</v>
      </c>
      <c r="F1209" t="s">
        <v>2321</v>
      </c>
      <c r="G1209" s="92"/>
      <c r="H1209" s="92"/>
      <c r="I1209" s="92"/>
      <c r="J1209" s="92"/>
      <c r="K1209" s="92"/>
      <c r="L1209" s="9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9"/>
    </row>
    <row r="1210" spans="1:14" hidden="1" x14ac:dyDescent="0.15">
      <c r="A1210">
        <v>1210</v>
      </c>
      <c r="B1210" t="s">
        <v>1424</v>
      </c>
      <c r="C1210" t="s">
        <v>12</v>
      </c>
      <c r="D1210" s="72" t="s">
        <v>2322</v>
      </c>
      <c r="E1210" t="s">
        <v>61</v>
      </c>
      <c r="F1210" t="s">
        <v>190</v>
      </c>
      <c r="G1210" s="92"/>
      <c r="H1210" s="92"/>
      <c r="I1210" s="92"/>
      <c r="J1210" s="92"/>
      <c r="K1210" s="92"/>
      <c r="L1210" s="9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9"/>
    </row>
    <row r="1211" spans="1:14" hidden="1" x14ac:dyDescent="0.15">
      <c r="A1211">
        <v>1211</v>
      </c>
      <c r="B1211" t="s">
        <v>1424</v>
      </c>
      <c r="C1211" t="s">
        <v>12</v>
      </c>
      <c r="D1211" s="72" t="s">
        <v>1850</v>
      </c>
      <c r="E1211" t="s">
        <v>36</v>
      </c>
      <c r="F1211" t="s">
        <v>2323</v>
      </c>
      <c r="G1211" s="92"/>
      <c r="H1211" s="92"/>
      <c r="I1211" s="92"/>
      <c r="J1211" s="92"/>
      <c r="K1211" s="92"/>
      <c r="L1211" s="9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9"/>
    </row>
    <row r="1212" spans="1:14" hidden="1" x14ac:dyDescent="0.15">
      <c r="A1212">
        <v>1212</v>
      </c>
      <c r="B1212" t="s">
        <v>1424</v>
      </c>
      <c r="C1212" t="s">
        <v>12</v>
      </c>
      <c r="D1212" s="72" t="s">
        <v>2324</v>
      </c>
      <c r="E1212" t="s">
        <v>36</v>
      </c>
      <c r="F1212" t="s">
        <v>2325</v>
      </c>
      <c r="G1212" s="92"/>
      <c r="H1212" s="92"/>
      <c r="I1212" s="92"/>
      <c r="J1212" s="92"/>
      <c r="K1212" s="92"/>
      <c r="L1212" s="9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9"/>
    </row>
    <row r="1213" spans="1:14" hidden="1" x14ac:dyDescent="0.15">
      <c r="A1213">
        <v>1213</v>
      </c>
      <c r="B1213" t="s">
        <v>1424</v>
      </c>
      <c r="C1213" t="s">
        <v>12</v>
      </c>
      <c r="D1213" s="72" t="s">
        <v>2326</v>
      </c>
      <c r="E1213" t="s">
        <v>36</v>
      </c>
      <c r="F1213" t="s">
        <v>2327</v>
      </c>
      <c r="G1213" s="92"/>
      <c r="H1213" s="92"/>
      <c r="I1213" s="92"/>
      <c r="J1213" s="92"/>
      <c r="K1213" s="92"/>
      <c r="L1213" s="9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9"/>
    </row>
    <row r="1214" spans="1:14" hidden="1" x14ac:dyDescent="0.15">
      <c r="A1214">
        <v>1214</v>
      </c>
      <c r="B1214" t="s">
        <v>1424</v>
      </c>
      <c r="C1214" t="s">
        <v>12</v>
      </c>
      <c r="D1214" s="72" t="s">
        <v>2328</v>
      </c>
      <c r="E1214" t="s">
        <v>36</v>
      </c>
      <c r="F1214" t="s">
        <v>2329</v>
      </c>
      <c r="G1214" s="92"/>
      <c r="H1214" s="92"/>
      <c r="I1214" s="92"/>
      <c r="J1214" s="92"/>
      <c r="K1214" s="92"/>
      <c r="L1214" s="9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9"/>
    </row>
    <row r="1215" spans="1:14" hidden="1" x14ac:dyDescent="0.15">
      <c r="A1215">
        <v>1215</v>
      </c>
      <c r="B1215" t="s">
        <v>1424</v>
      </c>
      <c r="C1215" t="s">
        <v>12</v>
      </c>
      <c r="D1215" s="72" t="s">
        <v>2330</v>
      </c>
      <c r="E1215" t="s">
        <v>73</v>
      </c>
      <c r="F1215" t="s">
        <v>2331</v>
      </c>
      <c r="G1215" s="92"/>
      <c r="H1215" s="92"/>
      <c r="I1215" s="92"/>
      <c r="J1215" s="92"/>
      <c r="K1215" s="92"/>
      <c r="L1215" s="9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9"/>
    </row>
    <row r="1216" spans="1:14" hidden="1" x14ac:dyDescent="0.15">
      <c r="A1216">
        <v>1216</v>
      </c>
      <c r="B1216" t="s">
        <v>1424</v>
      </c>
      <c r="C1216" t="s">
        <v>12</v>
      </c>
      <c r="D1216" s="72" t="s">
        <v>2332</v>
      </c>
      <c r="E1216" t="s">
        <v>702</v>
      </c>
      <c r="F1216" t="s">
        <v>2333</v>
      </c>
      <c r="G1216" s="92"/>
      <c r="H1216" s="92"/>
      <c r="I1216" s="92"/>
      <c r="J1216" s="92"/>
      <c r="K1216" s="92"/>
      <c r="L1216" s="9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9"/>
    </row>
    <row r="1217" spans="1:14" hidden="1" x14ac:dyDescent="0.15">
      <c r="A1217">
        <v>1217</v>
      </c>
      <c r="B1217" t="s">
        <v>1424</v>
      </c>
      <c r="C1217" t="s">
        <v>13</v>
      </c>
      <c r="D1217" s="72" t="s">
        <v>90</v>
      </c>
      <c r="E1217" t="s">
        <v>36</v>
      </c>
      <c r="F1217" t="s">
        <v>91</v>
      </c>
      <c r="G1217" s="92"/>
      <c r="H1217" s="92"/>
      <c r="I1217" s="92"/>
      <c r="J1217" s="92"/>
      <c r="K1217" s="92"/>
      <c r="L1217" s="9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9"/>
    </row>
    <row r="1218" spans="1:14" hidden="1" x14ac:dyDescent="0.15">
      <c r="A1218">
        <v>1218</v>
      </c>
      <c r="B1218" t="s">
        <v>1424</v>
      </c>
      <c r="C1218" t="s">
        <v>13</v>
      </c>
      <c r="D1218" s="72" t="s">
        <v>2334</v>
      </c>
      <c r="E1218" t="s">
        <v>36</v>
      </c>
      <c r="F1218" t="s">
        <v>2335</v>
      </c>
      <c r="G1218" s="92"/>
      <c r="H1218" s="92"/>
      <c r="I1218" s="92"/>
      <c r="J1218" s="92"/>
      <c r="K1218" s="92"/>
      <c r="L1218" s="9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9"/>
    </row>
    <row r="1219" spans="1:14" hidden="1" x14ac:dyDescent="0.15">
      <c r="A1219">
        <v>1219</v>
      </c>
      <c r="B1219" t="s">
        <v>1424</v>
      </c>
      <c r="C1219" t="s">
        <v>13</v>
      </c>
      <c r="D1219" s="72" t="s">
        <v>2336</v>
      </c>
      <c r="E1219" t="s">
        <v>36</v>
      </c>
      <c r="F1219" t="s">
        <v>2337</v>
      </c>
      <c r="G1219" s="92"/>
      <c r="H1219" s="92"/>
      <c r="I1219" s="92"/>
      <c r="J1219" s="92"/>
      <c r="K1219" s="92"/>
      <c r="L1219" s="9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9"/>
    </row>
    <row r="1220" spans="1:14" hidden="1" x14ac:dyDescent="0.15">
      <c r="A1220">
        <v>1220</v>
      </c>
      <c r="B1220" t="s">
        <v>1424</v>
      </c>
      <c r="C1220" t="s">
        <v>13</v>
      </c>
      <c r="D1220" s="72" t="s">
        <v>2338</v>
      </c>
      <c r="E1220" t="s">
        <v>36</v>
      </c>
      <c r="F1220" t="s">
        <v>2339</v>
      </c>
      <c r="G1220" s="92"/>
      <c r="H1220" s="92"/>
      <c r="I1220" s="92"/>
      <c r="J1220" s="92"/>
      <c r="K1220" s="92"/>
      <c r="L1220" s="9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9"/>
    </row>
    <row r="1221" spans="1:14" hidden="1" x14ac:dyDescent="0.15">
      <c r="A1221">
        <v>1221</v>
      </c>
      <c r="B1221" t="s">
        <v>1424</v>
      </c>
      <c r="C1221" t="s">
        <v>13</v>
      </c>
      <c r="D1221" s="72" t="s">
        <v>2340</v>
      </c>
      <c r="E1221" t="s">
        <v>36</v>
      </c>
      <c r="F1221" t="s">
        <v>2341</v>
      </c>
      <c r="G1221" s="92"/>
      <c r="H1221" s="92"/>
      <c r="I1221" s="92"/>
      <c r="J1221" s="92"/>
      <c r="K1221" s="92"/>
      <c r="L1221" s="9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9"/>
    </row>
    <row r="1222" spans="1:14" hidden="1" x14ac:dyDescent="0.15">
      <c r="A1222">
        <v>1222</v>
      </c>
      <c r="B1222" t="s">
        <v>1424</v>
      </c>
      <c r="C1222" t="s">
        <v>13</v>
      </c>
      <c r="D1222" s="72" t="s">
        <v>1061</v>
      </c>
      <c r="E1222" t="s">
        <v>36</v>
      </c>
      <c r="F1222" t="s">
        <v>2342</v>
      </c>
      <c r="G1222" s="92"/>
      <c r="H1222" s="92"/>
      <c r="I1222" s="92"/>
      <c r="J1222" s="92"/>
      <c r="K1222" s="92"/>
      <c r="L1222" s="9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9"/>
    </row>
    <row r="1223" spans="1:14" hidden="1" x14ac:dyDescent="0.15">
      <c r="A1223">
        <v>1223</v>
      </c>
      <c r="B1223" t="s">
        <v>1424</v>
      </c>
      <c r="C1223" t="s">
        <v>13</v>
      </c>
      <c r="D1223" s="72" t="s">
        <v>2343</v>
      </c>
      <c r="E1223" t="s">
        <v>36</v>
      </c>
      <c r="F1223" t="s">
        <v>2344</v>
      </c>
      <c r="G1223" s="92"/>
      <c r="H1223" s="92"/>
      <c r="I1223" s="92"/>
      <c r="J1223" s="92"/>
      <c r="K1223" s="92"/>
      <c r="L1223" s="9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9"/>
    </row>
    <row r="1224" spans="1:14" hidden="1" x14ac:dyDescent="0.15">
      <c r="A1224">
        <v>1224</v>
      </c>
      <c r="B1224" t="s">
        <v>1424</v>
      </c>
      <c r="C1224" t="s">
        <v>13</v>
      </c>
      <c r="D1224" s="72" t="s">
        <v>371</v>
      </c>
      <c r="E1224" t="s">
        <v>36</v>
      </c>
      <c r="F1224" t="s">
        <v>372</v>
      </c>
      <c r="G1224" s="92"/>
      <c r="H1224" s="92"/>
      <c r="I1224" s="92"/>
      <c r="J1224" s="92"/>
      <c r="K1224" s="92"/>
      <c r="L1224" s="9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9"/>
    </row>
    <row r="1225" spans="1:14" hidden="1" x14ac:dyDescent="0.15">
      <c r="A1225">
        <v>1225</v>
      </c>
      <c r="B1225" t="s">
        <v>1424</v>
      </c>
      <c r="C1225" t="s">
        <v>13</v>
      </c>
      <c r="D1225" s="72" t="s">
        <v>2345</v>
      </c>
      <c r="E1225" t="s">
        <v>736</v>
      </c>
      <c r="F1225" t="s">
        <v>2346</v>
      </c>
      <c r="G1225" s="92"/>
      <c r="H1225" s="92"/>
      <c r="I1225" s="92"/>
      <c r="J1225" s="92"/>
      <c r="K1225" s="92"/>
      <c r="L1225" s="9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9"/>
    </row>
    <row r="1226" spans="1:14" hidden="1" x14ac:dyDescent="0.15">
      <c r="A1226">
        <v>1226</v>
      </c>
      <c r="B1226" t="s">
        <v>1424</v>
      </c>
      <c r="C1226" t="s">
        <v>13</v>
      </c>
      <c r="D1226" s="72" t="s">
        <v>2347</v>
      </c>
      <c r="E1226" t="s">
        <v>702</v>
      </c>
      <c r="F1226" t="s">
        <v>2348</v>
      </c>
      <c r="G1226" s="92"/>
      <c r="H1226" s="92"/>
      <c r="I1226" s="92"/>
      <c r="J1226" s="92"/>
      <c r="K1226" s="92"/>
      <c r="L1226" s="9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9"/>
    </row>
    <row r="1227" spans="1:14" hidden="1" x14ac:dyDescent="0.15">
      <c r="A1227">
        <v>1227</v>
      </c>
      <c r="B1227" t="s">
        <v>1424</v>
      </c>
      <c r="C1227" t="s">
        <v>13</v>
      </c>
      <c r="D1227" s="72" t="s">
        <v>2349</v>
      </c>
      <c r="E1227" t="s">
        <v>36</v>
      </c>
      <c r="F1227" t="s">
        <v>2350</v>
      </c>
      <c r="G1227" s="92"/>
      <c r="H1227" s="92"/>
      <c r="I1227" s="92"/>
      <c r="J1227" s="92"/>
      <c r="K1227" s="92"/>
      <c r="L1227" s="9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9"/>
    </row>
    <row r="1228" spans="1:14" hidden="1" x14ac:dyDescent="0.15">
      <c r="A1228">
        <v>1228</v>
      </c>
      <c r="B1228" t="s">
        <v>1424</v>
      </c>
      <c r="C1228" t="s">
        <v>13</v>
      </c>
      <c r="D1228" s="72" t="s">
        <v>537</v>
      </c>
      <c r="E1228" t="s">
        <v>36</v>
      </c>
      <c r="F1228" t="s">
        <v>2351</v>
      </c>
      <c r="G1228" s="92"/>
      <c r="H1228" s="92"/>
      <c r="I1228" s="92"/>
      <c r="J1228" s="92"/>
      <c r="K1228" s="92"/>
      <c r="L1228" s="9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9"/>
    </row>
    <row r="1229" spans="1:14" hidden="1" x14ac:dyDescent="0.15">
      <c r="A1229">
        <v>1229</v>
      </c>
      <c r="B1229" t="s">
        <v>1424</v>
      </c>
      <c r="C1229" t="s">
        <v>13</v>
      </c>
      <c r="D1229" s="72" t="s">
        <v>166</v>
      </c>
      <c r="E1229" t="s">
        <v>36</v>
      </c>
      <c r="F1229" t="s">
        <v>167</v>
      </c>
      <c r="G1229" s="92"/>
      <c r="H1229" s="92"/>
      <c r="I1229" s="92"/>
      <c r="J1229" s="92"/>
      <c r="K1229" s="92"/>
      <c r="L1229" s="9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9"/>
    </row>
    <row r="1230" spans="1:14" hidden="1" x14ac:dyDescent="0.15">
      <c r="A1230">
        <v>1230</v>
      </c>
      <c r="B1230" t="s">
        <v>1424</v>
      </c>
      <c r="C1230" t="s">
        <v>13</v>
      </c>
      <c r="D1230" s="72" t="s">
        <v>2352</v>
      </c>
      <c r="E1230" t="s">
        <v>702</v>
      </c>
      <c r="F1230" t="s">
        <v>2353</v>
      </c>
      <c r="G1230" s="92"/>
      <c r="H1230" s="92"/>
      <c r="I1230" s="92"/>
      <c r="J1230" s="92"/>
      <c r="K1230" s="92"/>
      <c r="L1230" s="9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9"/>
    </row>
    <row r="1231" spans="1:14" hidden="1" x14ac:dyDescent="0.15">
      <c r="A1231">
        <v>1231</v>
      </c>
      <c r="B1231" t="s">
        <v>1424</v>
      </c>
      <c r="C1231" t="s">
        <v>13</v>
      </c>
      <c r="D1231" s="72" t="s">
        <v>2354</v>
      </c>
      <c r="E1231" t="s">
        <v>36</v>
      </c>
      <c r="F1231" t="s">
        <v>2355</v>
      </c>
      <c r="G1231" s="92"/>
      <c r="H1231" s="92"/>
      <c r="I1231" s="92"/>
      <c r="J1231" s="92"/>
      <c r="K1231" s="92"/>
      <c r="L1231" s="9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9"/>
    </row>
    <row r="1232" spans="1:14" hidden="1" x14ac:dyDescent="0.15">
      <c r="A1232">
        <v>1232</v>
      </c>
      <c r="B1232" t="s">
        <v>1424</v>
      </c>
      <c r="C1232" t="s">
        <v>13</v>
      </c>
      <c r="D1232" s="72" t="s">
        <v>2356</v>
      </c>
      <c r="E1232" t="s">
        <v>73</v>
      </c>
      <c r="F1232" t="s">
        <v>2357</v>
      </c>
      <c r="G1232" s="92"/>
      <c r="H1232" s="92"/>
      <c r="I1232" s="92"/>
      <c r="J1232" s="92"/>
      <c r="K1232" s="92"/>
      <c r="L1232" s="9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9"/>
    </row>
    <row r="1233" spans="1:14" hidden="1" x14ac:dyDescent="0.15">
      <c r="A1233">
        <v>1233</v>
      </c>
      <c r="B1233" t="s">
        <v>1424</v>
      </c>
      <c r="C1233" t="s">
        <v>13</v>
      </c>
      <c r="D1233" s="72" t="s">
        <v>2358</v>
      </c>
      <c r="E1233" t="s">
        <v>36</v>
      </c>
      <c r="F1233" t="s">
        <v>2359</v>
      </c>
      <c r="G1233" s="92"/>
      <c r="H1233" s="92"/>
      <c r="I1233" s="92"/>
      <c r="J1233" s="92"/>
      <c r="K1233" s="92"/>
      <c r="L1233" s="9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9"/>
    </row>
    <row r="1234" spans="1:14" hidden="1" x14ac:dyDescent="0.15">
      <c r="A1234">
        <v>1234</v>
      </c>
      <c r="B1234" t="s">
        <v>1424</v>
      </c>
      <c r="C1234" t="s">
        <v>13</v>
      </c>
      <c r="D1234" s="72" t="s">
        <v>2360</v>
      </c>
      <c r="E1234" t="s">
        <v>36</v>
      </c>
      <c r="F1234" t="s">
        <v>2361</v>
      </c>
      <c r="G1234" s="92"/>
      <c r="H1234" s="92"/>
      <c r="I1234" s="92"/>
      <c r="J1234" s="92"/>
      <c r="K1234" s="92"/>
      <c r="L1234" s="9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9"/>
    </row>
    <row r="1235" spans="1:14" hidden="1" x14ac:dyDescent="0.15">
      <c r="A1235">
        <v>1235</v>
      </c>
      <c r="B1235" t="s">
        <v>1424</v>
      </c>
      <c r="C1235" t="s">
        <v>13</v>
      </c>
      <c r="D1235" s="72" t="s">
        <v>2360</v>
      </c>
      <c r="E1235" t="s">
        <v>61</v>
      </c>
      <c r="F1235" t="s">
        <v>2361</v>
      </c>
      <c r="G1235" s="92"/>
      <c r="H1235" s="92"/>
      <c r="I1235" s="92"/>
      <c r="J1235" s="92"/>
      <c r="K1235" s="92"/>
      <c r="L1235" s="9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9"/>
    </row>
    <row r="1236" spans="1:14" hidden="1" x14ac:dyDescent="0.15">
      <c r="A1236">
        <v>1236</v>
      </c>
      <c r="B1236" t="s">
        <v>1424</v>
      </c>
      <c r="C1236" t="s">
        <v>13</v>
      </c>
      <c r="D1236" s="72" t="s">
        <v>2362</v>
      </c>
      <c r="E1236" t="s">
        <v>36</v>
      </c>
      <c r="F1236" t="s">
        <v>2363</v>
      </c>
      <c r="G1236" s="92"/>
      <c r="H1236" s="92"/>
      <c r="I1236" s="92"/>
      <c r="J1236" s="92"/>
      <c r="K1236" s="92"/>
      <c r="L1236" s="9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9"/>
    </row>
    <row r="1237" spans="1:14" hidden="1" x14ac:dyDescent="0.15">
      <c r="A1237">
        <v>1237</v>
      </c>
      <c r="B1237" t="s">
        <v>1424</v>
      </c>
      <c r="C1237" t="s">
        <v>13</v>
      </c>
      <c r="D1237" s="72" t="s">
        <v>2364</v>
      </c>
      <c r="E1237" t="s">
        <v>36</v>
      </c>
      <c r="F1237" t="s">
        <v>2365</v>
      </c>
      <c r="G1237" s="92"/>
      <c r="H1237" s="92"/>
      <c r="I1237" s="92"/>
      <c r="J1237" s="92"/>
      <c r="K1237" s="92"/>
      <c r="L1237" s="9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9"/>
    </row>
    <row r="1238" spans="1:14" hidden="1" x14ac:dyDescent="0.15">
      <c r="A1238">
        <v>1238</v>
      </c>
      <c r="B1238" t="s">
        <v>1424</v>
      </c>
      <c r="C1238" t="s">
        <v>13</v>
      </c>
      <c r="D1238" s="72" t="s">
        <v>2366</v>
      </c>
      <c r="E1238" t="s">
        <v>36</v>
      </c>
      <c r="F1238" t="s">
        <v>5505</v>
      </c>
      <c r="G1238" s="92"/>
      <c r="H1238" s="92"/>
      <c r="I1238" s="92"/>
      <c r="J1238" s="92"/>
      <c r="K1238" s="92"/>
      <c r="L1238" s="9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9"/>
    </row>
    <row r="1239" spans="1:14" hidden="1" x14ac:dyDescent="0.15">
      <c r="A1239">
        <v>1239</v>
      </c>
      <c r="B1239" t="s">
        <v>1424</v>
      </c>
      <c r="C1239" t="s">
        <v>13</v>
      </c>
      <c r="D1239" s="72" t="s">
        <v>2367</v>
      </c>
      <c r="E1239" t="s">
        <v>36</v>
      </c>
      <c r="F1239" t="s">
        <v>2368</v>
      </c>
      <c r="G1239" s="92"/>
      <c r="H1239" s="92"/>
      <c r="I1239" s="92"/>
      <c r="J1239" s="92"/>
      <c r="K1239" s="92"/>
      <c r="L1239" s="9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9"/>
    </row>
    <row r="1240" spans="1:14" hidden="1" x14ac:dyDescent="0.15">
      <c r="A1240">
        <v>1240</v>
      </c>
      <c r="B1240" t="s">
        <v>1424</v>
      </c>
      <c r="C1240" t="s">
        <v>13</v>
      </c>
      <c r="D1240" s="72" t="s">
        <v>2369</v>
      </c>
      <c r="E1240" t="s">
        <v>36</v>
      </c>
      <c r="F1240" t="s">
        <v>2370</v>
      </c>
      <c r="G1240" s="92"/>
      <c r="H1240" s="92"/>
      <c r="I1240" s="92"/>
      <c r="J1240" s="92"/>
      <c r="K1240" s="92"/>
      <c r="L1240" s="9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9"/>
    </row>
    <row r="1241" spans="1:14" hidden="1" x14ac:dyDescent="0.15">
      <c r="A1241">
        <v>1241</v>
      </c>
      <c r="B1241" t="s">
        <v>1424</v>
      </c>
      <c r="C1241" t="s">
        <v>13</v>
      </c>
      <c r="D1241" s="72" t="s">
        <v>560</v>
      </c>
      <c r="E1241" t="s">
        <v>36</v>
      </c>
      <c r="F1241" t="s">
        <v>2371</v>
      </c>
      <c r="G1241" s="92"/>
      <c r="H1241" s="92"/>
      <c r="I1241" s="92"/>
      <c r="J1241" s="92"/>
      <c r="K1241" s="92"/>
      <c r="L1241" s="9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9"/>
    </row>
    <row r="1242" spans="1:14" hidden="1" x14ac:dyDescent="0.15">
      <c r="A1242">
        <v>1242</v>
      </c>
      <c r="B1242" t="s">
        <v>1424</v>
      </c>
      <c r="C1242" t="s">
        <v>13</v>
      </c>
      <c r="D1242" s="72" t="s">
        <v>2372</v>
      </c>
      <c r="E1242" t="s">
        <v>36</v>
      </c>
      <c r="F1242" t="s">
        <v>2373</v>
      </c>
      <c r="G1242" s="92"/>
      <c r="H1242" s="92"/>
      <c r="I1242" s="92"/>
      <c r="J1242" s="92"/>
      <c r="K1242" s="92"/>
      <c r="L1242" s="9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9"/>
    </row>
    <row r="1243" spans="1:14" hidden="1" x14ac:dyDescent="0.15">
      <c r="A1243">
        <v>1243</v>
      </c>
      <c r="B1243" t="s">
        <v>1424</v>
      </c>
      <c r="C1243" t="s">
        <v>13</v>
      </c>
      <c r="D1243" s="72" t="s">
        <v>314</v>
      </c>
      <c r="E1243" t="s">
        <v>36</v>
      </c>
      <c r="F1243" t="s">
        <v>2374</v>
      </c>
      <c r="G1243" s="92"/>
      <c r="H1243" s="92"/>
      <c r="I1243" s="92"/>
      <c r="J1243" s="92"/>
      <c r="K1243" s="92"/>
      <c r="L1243" s="9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9"/>
    </row>
    <row r="1244" spans="1:14" hidden="1" x14ac:dyDescent="0.15">
      <c r="A1244">
        <v>1244</v>
      </c>
      <c r="B1244" t="s">
        <v>1424</v>
      </c>
      <c r="C1244" t="s">
        <v>13</v>
      </c>
      <c r="D1244" s="72" t="s">
        <v>2375</v>
      </c>
      <c r="E1244" t="s">
        <v>702</v>
      </c>
      <c r="F1244" t="s">
        <v>2376</v>
      </c>
      <c r="G1244" s="92"/>
      <c r="H1244" s="92"/>
      <c r="I1244" s="92"/>
      <c r="J1244" s="92"/>
      <c r="K1244" s="92"/>
      <c r="L1244" s="9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9"/>
    </row>
    <row r="1245" spans="1:14" hidden="1" x14ac:dyDescent="0.15">
      <c r="A1245">
        <v>1245</v>
      </c>
      <c r="B1245" t="s">
        <v>1424</v>
      </c>
      <c r="C1245" t="s">
        <v>13</v>
      </c>
      <c r="D1245" s="72" t="s">
        <v>338</v>
      </c>
      <c r="E1245" t="s">
        <v>36</v>
      </c>
      <c r="F1245" t="s">
        <v>2377</v>
      </c>
      <c r="G1245" s="92"/>
      <c r="H1245" s="92"/>
      <c r="I1245" s="92"/>
      <c r="J1245" s="92"/>
      <c r="K1245" s="92"/>
      <c r="L1245" s="9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9"/>
    </row>
    <row r="1246" spans="1:14" hidden="1" x14ac:dyDescent="0.15">
      <c r="A1246">
        <v>1246</v>
      </c>
      <c r="B1246" t="s">
        <v>1424</v>
      </c>
      <c r="C1246" t="s">
        <v>13</v>
      </c>
      <c r="D1246" s="72" t="s">
        <v>2378</v>
      </c>
      <c r="E1246" t="s">
        <v>157</v>
      </c>
      <c r="F1246" t="s">
        <v>2379</v>
      </c>
      <c r="G1246" s="92"/>
      <c r="H1246" s="92"/>
      <c r="I1246" s="92"/>
      <c r="J1246" s="92"/>
      <c r="K1246" s="92"/>
      <c r="L1246" s="9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9"/>
    </row>
    <row r="1247" spans="1:14" hidden="1" x14ac:dyDescent="0.15">
      <c r="A1247">
        <v>1247</v>
      </c>
      <c r="B1247" t="s">
        <v>1424</v>
      </c>
      <c r="C1247" t="s">
        <v>13</v>
      </c>
      <c r="D1247" s="72" t="s">
        <v>2380</v>
      </c>
      <c r="E1247" t="s">
        <v>736</v>
      </c>
      <c r="F1247" t="s">
        <v>2381</v>
      </c>
      <c r="G1247" s="92"/>
      <c r="H1247" s="92"/>
      <c r="I1247" s="92"/>
      <c r="J1247" s="92"/>
      <c r="K1247" s="92"/>
      <c r="L1247" s="9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9"/>
    </row>
    <row r="1248" spans="1:14" hidden="1" x14ac:dyDescent="0.15">
      <c r="A1248">
        <v>1248</v>
      </c>
      <c r="B1248" t="s">
        <v>1424</v>
      </c>
      <c r="C1248" t="s">
        <v>13</v>
      </c>
      <c r="D1248" s="72" t="s">
        <v>2382</v>
      </c>
      <c r="E1248" t="s">
        <v>702</v>
      </c>
      <c r="F1248" t="s">
        <v>2383</v>
      </c>
      <c r="G1248" s="92"/>
      <c r="H1248" s="92"/>
      <c r="I1248" s="92"/>
      <c r="J1248" s="92"/>
      <c r="K1248" s="92"/>
      <c r="L1248" s="9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9"/>
    </row>
    <row r="1249" spans="1:14" hidden="1" x14ac:dyDescent="0.15">
      <c r="A1249">
        <v>1249</v>
      </c>
      <c r="B1249" t="s">
        <v>1424</v>
      </c>
      <c r="C1249" t="s">
        <v>13</v>
      </c>
      <c r="D1249" s="72" t="s">
        <v>1177</v>
      </c>
      <c r="E1249" t="s">
        <v>36</v>
      </c>
      <c r="F1249" t="s">
        <v>2384</v>
      </c>
      <c r="G1249" s="92"/>
      <c r="H1249" s="92"/>
      <c r="I1249" s="92"/>
      <c r="J1249" s="92"/>
      <c r="K1249" s="92"/>
      <c r="L1249" s="9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9"/>
    </row>
    <row r="1250" spans="1:14" hidden="1" x14ac:dyDescent="0.15">
      <c r="A1250">
        <v>1250</v>
      </c>
      <c r="B1250" t="s">
        <v>1424</v>
      </c>
      <c r="C1250" t="s">
        <v>13</v>
      </c>
      <c r="D1250" s="72" t="s">
        <v>2385</v>
      </c>
      <c r="E1250" t="s">
        <v>36</v>
      </c>
      <c r="F1250" t="s">
        <v>2386</v>
      </c>
      <c r="G1250" s="92"/>
      <c r="H1250" s="92"/>
      <c r="I1250" s="92"/>
      <c r="J1250" s="92"/>
      <c r="K1250" s="92"/>
      <c r="L1250" s="9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9"/>
    </row>
    <row r="1251" spans="1:14" hidden="1" x14ac:dyDescent="0.15">
      <c r="A1251">
        <v>1251</v>
      </c>
      <c r="B1251" t="s">
        <v>1424</v>
      </c>
      <c r="C1251" t="s">
        <v>13</v>
      </c>
      <c r="D1251" s="72" t="s">
        <v>2387</v>
      </c>
      <c r="E1251" t="s">
        <v>157</v>
      </c>
      <c r="F1251" t="s">
        <v>2388</v>
      </c>
      <c r="G1251" s="92"/>
      <c r="H1251" s="92"/>
      <c r="I1251" s="92"/>
      <c r="J1251" s="92"/>
      <c r="K1251" s="92"/>
      <c r="L1251" s="9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9"/>
    </row>
    <row r="1252" spans="1:14" hidden="1" x14ac:dyDescent="0.15">
      <c r="A1252">
        <v>1252</v>
      </c>
      <c r="B1252" t="s">
        <v>1424</v>
      </c>
      <c r="C1252" t="s">
        <v>13</v>
      </c>
      <c r="D1252" s="72" t="s">
        <v>2389</v>
      </c>
      <c r="E1252" t="s">
        <v>36</v>
      </c>
      <c r="F1252" t="s">
        <v>2390</v>
      </c>
      <c r="G1252" s="92"/>
      <c r="H1252" s="92"/>
      <c r="I1252" s="92"/>
      <c r="J1252" s="92"/>
      <c r="K1252" s="92"/>
      <c r="L1252" s="9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9"/>
    </row>
    <row r="1253" spans="1:14" hidden="1" x14ac:dyDescent="0.15">
      <c r="A1253">
        <v>1253</v>
      </c>
      <c r="B1253" t="s">
        <v>1424</v>
      </c>
      <c r="C1253" t="s">
        <v>13</v>
      </c>
      <c r="D1253" s="72" t="s">
        <v>2391</v>
      </c>
      <c r="E1253" t="s">
        <v>1019</v>
      </c>
      <c r="F1253" t="s">
        <v>2392</v>
      </c>
      <c r="G1253" s="92"/>
      <c r="H1253" s="92"/>
      <c r="I1253" s="92"/>
      <c r="J1253" s="92"/>
      <c r="K1253" s="92"/>
      <c r="L1253" s="9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9"/>
    </row>
    <row r="1254" spans="1:14" hidden="1" x14ac:dyDescent="0.15">
      <c r="A1254">
        <v>1254</v>
      </c>
      <c r="B1254" t="s">
        <v>1424</v>
      </c>
      <c r="C1254" t="s">
        <v>13</v>
      </c>
      <c r="D1254" s="72" t="s">
        <v>2393</v>
      </c>
      <c r="E1254" t="s">
        <v>61</v>
      </c>
      <c r="F1254" t="s">
        <v>2394</v>
      </c>
      <c r="G1254" s="92"/>
      <c r="H1254" s="92"/>
      <c r="I1254" s="92"/>
      <c r="J1254" s="92"/>
      <c r="K1254" s="92"/>
      <c r="L1254" s="9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9"/>
    </row>
    <row r="1255" spans="1:14" hidden="1" x14ac:dyDescent="0.15">
      <c r="A1255">
        <v>1255</v>
      </c>
      <c r="B1255" t="s">
        <v>1424</v>
      </c>
      <c r="C1255" t="s">
        <v>13</v>
      </c>
      <c r="D1255" s="72" t="s">
        <v>2395</v>
      </c>
      <c r="E1255" t="s">
        <v>36</v>
      </c>
      <c r="F1255" t="s">
        <v>2396</v>
      </c>
      <c r="G1255" s="92"/>
      <c r="H1255" s="92"/>
      <c r="I1255" s="92"/>
      <c r="J1255" s="92"/>
      <c r="K1255" s="92"/>
      <c r="L1255" s="9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9"/>
    </row>
    <row r="1256" spans="1:14" hidden="1" x14ac:dyDescent="0.15">
      <c r="A1256">
        <v>1256</v>
      </c>
      <c r="B1256" t="s">
        <v>1424</v>
      </c>
      <c r="C1256" t="s">
        <v>13</v>
      </c>
      <c r="D1256" s="72" t="s">
        <v>2397</v>
      </c>
      <c r="E1256" t="s">
        <v>36</v>
      </c>
      <c r="F1256" t="s">
        <v>2398</v>
      </c>
      <c r="G1256" s="92"/>
      <c r="H1256" s="92"/>
      <c r="I1256" s="92"/>
      <c r="J1256" s="92"/>
      <c r="K1256" s="92"/>
      <c r="L1256" s="9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9"/>
    </row>
    <row r="1257" spans="1:14" hidden="1" x14ac:dyDescent="0.15">
      <c r="A1257">
        <v>1257</v>
      </c>
      <c r="B1257" t="s">
        <v>1424</v>
      </c>
      <c r="C1257" t="s">
        <v>13</v>
      </c>
      <c r="D1257" s="72" t="s">
        <v>2399</v>
      </c>
      <c r="E1257" t="s">
        <v>73</v>
      </c>
      <c r="F1257" t="s">
        <v>2400</v>
      </c>
      <c r="G1257" s="92"/>
      <c r="H1257" s="92"/>
      <c r="I1257" s="92"/>
      <c r="J1257" s="92"/>
      <c r="K1257" s="92"/>
      <c r="L1257" s="9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9"/>
    </row>
    <row r="1258" spans="1:14" hidden="1" x14ac:dyDescent="0.15">
      <c r="A1258">
        <v>1258</v>
      </c>
      <c r="B1258" t="s">
        <v>1424</v>
      </c>
      <c r="C1258" t="s">
        <v>13</v>
      </c>
      <c r="D1258" s="72" t="s">
        <v>2401</v>
      </c>
      <c r="E1258" t="s">
        <v>36</v>
      </c>
      <c r="F1258" t="s">
        <v>2402</v>
      </c>
      <c r="G1258" s="92"/>
      <c r="H1258" s="92"/>
      <c r="I1258" s="92"/>
      <c r="J1258" s="92"/>
      <c r="K1258" s="92"/>
      <c r="L1258" s="9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9"/>
    </row>
    <row r="1259" spans="1:14" hidden="1" x14ac:dyDescent="0.15">
      <c r="A1259">
        <v>1259</v>
      </c>
      <c r="B1259" t="s">
        <v>1424</v>
      </c>
      <c r="C1259" t="s">
        <v>13</v>
      </c>
      <c r="D1259" s="72" t="s">
        <v>2403</v>
      </c>
      <c r="E1259" t="s">
        <v>736</v>
      </c>
      <c r="F1259" t="s">
        <v>2404</v>
      </c>
      <c r="G1259" s="92"/>
      <c r="H1259" s="92"/>
      <c r="I1259" s="92"/>
      <c r="J1259" s="92"/>
      <c r="K1259" s="92"/>
      <c r="L1259" s="9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9"/>
    </row>
    <row r="1260" spans="1:14" hidden="1" x14ac:dyDescent="0.15">
      <c r="A1260">
        <v>1260</v>
      </c>
      <c r="B1260" t="s">
        <v>1424</v>
      </c>
      <c r="C1260" t="s">
        <v>13</v>
      </c>
      <c r="D1260" s="72" t="s">
        <v>2405</v>
      </c>
      <c r="E1260" t="s">
        <v>702</v>
      </c>
      <c r="F1260" t="s">
        <v>2406</v>
      </c>
      <c r="G1260" s="92"/>
      <c r="H1260" s="92"/>
      <c r="I1260" s="92"/>
      <c r="J1260" s="92"/>
      <c r="K1260" s="92"/>
      <c r="L1260" s="9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9"/>
    </row>
    <row r="1261" spans="1:14" hidden="1" x14ac:dyDescent="0.15">
      <c r="A1261">
        <v>1261</v>
      </c>
      <c r="B1261" t="s">
        <v>1424</v>
      </c>
      <c r="C1261" t="s">
        <v>13</v>
      </c>
      <c r="D1261" s="72" t="s">
        <v>2407</v>
      </c>
      <c r="E1261" t="s">
        <v>36</v>
      </c>
      <c r="F1261" t="s">
        <v>2408</v>
      </c>
      <c r="G1261" s="92"/>
      <c r="H1261" s="92"/>
      <c r="I1261" s="92"/>
      <c r="J1261" s="92"/>
      <c r="K1261" s="92"/>
      <c r="L1261" s="9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9"/>
    </row>
    <row r="1262" spans="1:14" hidden="1" x14ac:dyDescent="0.15">
      <c r="A1262">
        <v>1262</v>
      </c>
      <c r="B1262" t="s">
        <v>1424</v>
      </c>
      <c r="C1262" t="s">
        <v>13</v>
      </c>
      <c r="D1262" s="72" t="s">
        <v>2409</v>
      </c>
      <c r="E1262" t="s">
        <v>36</v>
      </c>
      <c r="F1262" t="s">
        <v>2410</v>
      </c>
      <c r="G1262" s="92"/>
      <c r="H1262" s="92"/>
      <c r="I1262" s="92"/>
      <c r="J1262" s="92"/>
      <c r="K1262" s="92"/>
      <c r="L1262" s="9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9"/>
    </row>
    <row r="1263" spans="1:14" hidden="1" x14ac:dyDescent="0.15">
      <c r="A1263">
        <v>1263</v>
      </c>
      <c r="B1263" t="s">
        <v>1424</v>
      </c>
      <c r="C1263" t="s">
        <v>13</v>
      </c>
      <c r="D1263" s="72" t="s">
        <v>709</v>
      </c>
      <c r="E1263" t="s">
        <v>157</v>
      </c>
      <c r="F1263" t="s">
        <v>2411</v>
      </c>
      <c r="G1263" s="92"/>
      <c r="H1263" s="92"/>
      <c r="I1263" s="92"/>
      <c r="J1263" s="92"/>
      <c r="K1263" s="92"/>
      <c r="L1263" s="9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9"/>
    </row>
    <row r="1264" spans="1:14" hidden="1" x14ac:dyDescent="0.15">
      <c r="A1264">
        <v>1264</v>
      </c>
      <c r="B1264" t="s">
        <v>1424</v>
      </c>
      <c r="C1264" t="s">
        <v>13</v>
      </c>
      <c r="D1264" s="72" t="s">
        <v>2412</v>
      </c>
      <c r="E1264" t="s">
        <v>36</v>
      </c>
      <c r="F1264" t="s">
        <v>2413</v>
      </c>
      <c r="G1264" s="92"/>
      <c r="H1264" s="92"/>
      <c r="I1264" s="92"/>
      <c r="J1264" s="92"/>
      <c r="K1264" s="92"/>
      <c r="L1264" s="9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9"/>
    </row>
    <row r="1265" spans="1:14" hidden="1" x14ac:dyDescent="0.15">
      <c r="A1265">
        <v>1265</v>
      </c>
      <c r="B1265" t="s">
        <v>1424</v>
      </c>
      <c r="C1265" t="s">
        <v>13</v>
      </c>
      <c r="D1265" s="72" t="s">
        <v>2414</v>
      </c>
      <c r="E1265" t="s">
        <v>36</v>
      </c>
      <c r="F1265" t="s">
        <v>2415</v>
      </c>
      <c r="G1265" s="92"/>
      <c r="H1265" s="92"/>
      <c r="I1265" s="92"/>
      <c r="J1265" s="92"/>
      <c r="K1265" s="92"/>
      <c r="L1265" s="9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9"/>
    </row>
    <row r="1266" spans="1:14" hidden="1" x14ac:dyDescent="0.15">
      <c r="A1266">
        <v>1266</v>
      </c>
      <c r="B1266" t="s">
        <v>1424</v>
      </c>
      <c r="C1266" t="s">
        <v>13</v>
      </c>
      <c r="D1266" s="72" t="s">
        <v>330</v>
      </c>
      <c r="E1266" t="s">
        <v>36</v>
      </c>
      <c r="F1266" t="s">
        <v>2416</v>
      </c>
      <c r="G1266" s="92"/>
      <c r="H1266" s="92"/>
      <c r="I1266" s="92"/>
      <c r="J1266" s="92"/>
      <c r="K1266" s="92"/>
      <c r="L1266" s="9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9"/>
    </row>
    <row r="1267" spans="1:14" hidden="1" x14ac:dyDescent="0.15">
      <c r="A1267">
        <v>1267</v>
      </c>
      <c r="B1267" t="s">
        <v>1424</v>
      </c>
      <c r="C1267" t="s">
        <v>13</v>
      </c>
      <c r="D1267" s="72" t="s">
        <v>2417</v>
      </c>
      <c r="E1267" t="s">
        <v>36</v>
      </c>
      <c r="F1267" t="s">
        <v>2418</v>
      </c>
      <c r="G1267" s="92"/>
      <c r="H1267" s="92"/>
      <c r="I1267" s="92"/>
      <c r="J1267" s="92"/>
      <c r="K1267" s="92"/>
      <c r="L1267" s="9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9"/>
    </row>
    <row r="1268" spans="1:14" hidden="1" x14ac:dyDescent="0.15">
      <c r="A1268">
        <v>1268</v>
      </c>
      <c r="B1268" t="s">
        <v>1424</v>
      </c>
      <c r="C1268" t="s">
        <v>13</v>
      </c>
      <c r="D1268" s="72" t="s">
        <v>334</v>
      </c>
      <c r="E1268" t="s">
        <v>36</v>
      </c>
      <c r="F1268" t="s">
        <v>335</v>
      </c>
      <c r="G1268" s="92"/>
      <c r="H1268" s="92"/>
      <c r="I1268" s="92"/>
      <c r="J1268" s="92"/>
      <c r="K1268" s="92"/>
      <c r="L1268" s="9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9"/>
    </row>
    <row r="1269" spans="1:14" hidden="1" x14ac:dyDescent="0.15">
      <c r="A1269">
        <v>1269</v>
      </c>
      <c r="B1269" t="s">
        <v>1424</v>
      </c>
      <c r="C1269" t="s">
        <v>13</v>
      </c>
      <c r="D1269" s="72" t="s">
        <v>2419</v>
      </c>
      <c r="E1269" t="s">
        <v>36</v>
      </c>
      <c r="F1269" t="s">
        <v>2420</v>
      </c>
      <c r="G1269" s="92"/>
      <c r="H1269" s="92"/>
      <c r="I1269" s="92"/>
      <c r="J1269" s="92"/>
      <c r="K1269" s="92"/>
      <c r="L1269" s="9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9"/>
    </row>
    <row r="1270" spans="1:14" hidden="1" x14ac:dyDescent="0.15">
      <c r="A1270">
        <v>1270</v>
      </c>
      <c r="B1270" t="s">
        <v>1424</v>
      </c>
      <c r="C1270" t="s">
        <v>13</v>
      </c>
      <c r="D1270" s="72" t="s">
        <v>2421</v>
      </c>
      <c r="E1270" t="s">
        <v>73</v>
      </c>
      <c r="F1270" t="s">
        <v>2422</v>
      </c>
      <c r="G1270" s="92"/>
      <c r="H1270" s="92"/>
      <c r="I1270" s="92"/>
      <c r="J1270" s="92"/>
      <c r="K1270" s="92"/>
      <c r="L1270" s="9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9"/>
    </row>
    <row r="1271" spans="1:14" hidden="1" x14ac:dyDescent="0.15">
      <c r="A1271">
        <v>1271</v>
      </c>
      <c r="B1271" t="s">
        <v>1424</v>
      </c>
      <c r="C1271" t="s">
        <v>13</v>
      </c>
      <c r="D1271" s="72" t="s">
        <v>2423</v>
      </c>
      <c r="E1271" t="s">
        <v>36</v>
      </c>
      <c r="F1271" t="s">
        <v>2424</v>
      </c>
      <c r="G1271" s="92"/>
      <c r="H1271" s="92"/>
      <c r="I1271" s="92"/>
      <c r="J1271" s="92"/>
      <c r="K1271" s="92"/>
      <c r="L1271" s="9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9"/>
    </row>
    <row r="1272" spans="1:14" hidden="1" x14ac:dyDescent="0.15">
      <c r="A1272">
        <v>1272</v>
      </c>
      <c r="B1272" t="s">
        <v>1424</v>
      </c>
      <c r="C1272" t="s">
        <v>13</v>
      </c>
      <c r="D1272" s="72" t="s">
        <v>2425</v>
      </c>
      <c r="E1272" t="s">
        <v>702</v>
      </c>
      <c r="F1272" t="s">
        <v>2426</v>
      </c>
      <c r="G1272" s="92"/>
      <c r="H1272" s="92"/>
      <c r="I1272" s="92"/>
      <c r="J1272" s="92"/>
      <c r="K1272" s="92"/>
      <c r="L1272" s="9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9"/>
    </row>
    <row r="1273" spans="1:14" hidden="1" x14ac:dyDescent="0.15">
      <c r="A1273">
        <v>1273</v>
      </c>
      <c r="B1273" t="s">
        <v>1424</v>
      </c>
      <c r="C1273" t="s">
        <v>13</v>
      </c>
      <c r="D1273" s="72" t="s">
        <v>2427</v>
      </c>
      <c r="E1273" t="s">
        <v>36</v>
      </c>
      <c r="F1273" t="s">
        <v>2428</v>
      </c>
      <c r="G1273" s="92"/>
      <c r="H1273" s="92"/>
      <c r="I1273" s="92"/>
      <c r="J1273" s="92"/>
      <c r="K1273" s="92"/>
      <c r="L1273" s="9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9"/>
    </row>
    <row r="1274" spans="1:14" hidden="1" x14ac:dyDescent="0.15">
      <c r="A1274">
        <v>1274</v>
      </c>
      <c r="B1274" t="s">
        <v>1424</v>
      </c>
      <c r="C1274" t="s">
        <v>13</v>
      </c>
      <c r="D1274" s="72" t="s">
        <v>2429</v>
      </c>
      <c r="E1274" t="s">
        <v>36</v>
      </c>
      <c r="F1274" t="s">
        <v>2430</v>
      </c>
      <c r="G1274" s="92"/>
      <c r="H1274" s="92"/>
      <c r="I1274" s="92"/>
      <c r="J1274" s="92"/>
      <c r="K1274" s="92"/>
      <c r="L1274" s="9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9"/>
    </row>
    <row r="1275" spans="1:14" hidden="1" x14ac:dyDescent="0.15">
      <c r="A1275">
        <v>1275</v>
      </c>
      <c r="B1275" t="s">
        <v>1424</v>
      </c>
      <c r="C1275" t="s">
        <v>13</v>
      </c>
      <c r="D1275" s="72" t="s">
        <v>2431</v>
      </c>
      <c r="E1275" t="s">
        <v>702</v>
      </c>
      <c r="F1275" t="s">
        <v>2432</v>
      </c>
      <c r="G1275" s="92"/>
      <c r="H1275" s="92"/>
      <c r="I1275" s="92"/>
      <c r="J1275" s="92"/>
      <c r="K1275" s="92"/>
      <c r="L1275" s="9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9"/>
    </row>
    <row r="1276" spans="1:14" hidden="1" x14ac:dyDescent="0.15">
      <c r="A1276">
        <v>1276</v>
      </c>
      <c r="B1276" t="s">
        <v>1424</v>
      </c>
      <c r="C1276" t="s">
        <v>13</v>
      </c>
      <c r="D1276" s="72" t="s">
        <v>2433</v>
      </c>
      <c r="E1276" t="s">
        <v>73</v>
      </c>
      <c r="F1276" t="s">
        <v>2434</v>
      </c>
      <c r="G1276" s="92"/>
      <c r="H1276" s="92"/>
      <c r="I1276" s="92"/>
      <c r="J1276" s="92"/>
      <c r="K1276" s="92"/>
      <c r="L1276" s="9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9"/>
    </row>
    <row r="1277" spans="1:14" hidden="1" x14ac:dyDescent="0.15">
      <c r="A1277">
        <v>1277</v>
      </c>
      <c r="B1277" t="s">
        <v>1424</v>
      </c>
      <c r="C1277" t="s">
        <v>13</v>
      </c>
      <c r="D1277" s="72" t="s">
        <v>2435</v>
      </c>
      <c r="E1277" t="s">
        <v>36</v>
      </c>
      <c r="F1277" t="s">
        <v>2436</v>
      </c>
      <c r="G1277" s="92"/>
      <c r="H1277" s="92"/>
      <c r="I1277" s="92"/>
      <c r="J1277" s="92"/>
      <c r="K1277" s="92"/>
      <c r="L1277" s="9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9"/>
    </row>
    <row r="1278" spans="1:14" hidden="1" x14ac:dyDescent="0.15">
      <c r="A1278">
        <v>1278</v>
      </c>
      <c r="B1278" t="s">
        <v>1424</v>
      </c>
      <c r="C1278" t="s">
        <v>13</v>
      </c>
      <c r="D1278" s="72" t="s">
        <v>2437</v>
      </c>
      <c r="E1278" t="s">
        <v>61</v>
      </c>
      <c r="F1278" t="s">
        <v>2438</v>
      </c>
      <c r="G1278" s="92"/>
      <c r="H1278" s="92"/>
      <c r="I1278" s="92"/>
      <c r="J1278" s="92"/>
      <c r="K1278" s="92"/>
      <c r="L1278" s="9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9"/>
    </row>
    <row r="1279" spans="1:14" hidden="1" x14ac:dyDescent="0.15">
      <c r="A1279">
        <v>1279</v>
      </c>
      <c r="B1279" t="s">
        <v>1424</v>
      </c>
      <c r="C1279" t="s">
        <v>13</v>
      </c>
      <c r="D1279" s="72" t="s">
        <v>2439</v>
      </c>
      <c r="E1279" t="s">
        <v>36</v>
      </c>
      <c r="F1279" t="s">
        <v>2440</v>
      </c>
      <c r="G1279" s="92"/>
      <c r="H1279" s="92"/>
      <c r="I1279" s="92"/>
      <c r="J1279" s="92"/>
      <c r="K1279" s="92"/>
      <c r="L1279" s="9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9"/>
    </row>
    <row r="1280" spans="1:14" hidden="1" x14ac:dyDescent="0.15">
      <c r="A1280">
        <v>1280</v>
      </c>
      <c r="B1280" t="s">
        <v>1424</v>
      </c>
      <c r="C1280" t="s">
        <v>14</v>
      </c>
      <c r="D1280" s="72" t="s">
        <v>2441</v>
      </c>
      <c r="E1280" t="s">
        <v>36</v>
      </c>
      <c r="F1280" t="s">
        <v>2442</v>
      </c>
      <c r="G1280" s="92"/>
      <c r="H1280" s="92"/>
      <c r="I1280" s="92"/>
      <c r="J1280" s="92"/>
      <c r="K1280" s="92"/>
      <c r="L1280" s="9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9"/>
    </row>
    <row r="1281" spans="1:14" hidden="1" x14ac:dyDescent="0.15">
      <c r="A1281">
        <v>1281</v>
      </c>
      <c r="B1281" t="s">
        <v>1424</v>
      </c>
      <c r="C1281" t="s">
        <v>14</v>
      </c>
      <c r="D1281" s="72" t="s">
        <v>2443</v>
      </c>
      <c r="E1281" t="s">
        <v>36</v>
      </c>
      <c r="F1281" t="s">
        <v>2444</v>
      </c>
      <c r="G1281" s="92"/>
      <c r="H1281" s="92"/>
      <c r="I1281" s="92"/>
      <c r="J1281" s="92"/>
      <c r="K1281" s="92"/>
      <c r="L1281" s="9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9"/>
    </row>
    <row r="1282" spans="1:14" hidden="1" x14ac:dyDescent="0.15">
      <c r="A1282">
        <v>1282</v>
      </c>
      <c r="B1282" t="s">
        <v>1424</v>
      </c>
      <c r="C1282" t="s">
        <v>14</v>
      </c>
      <c r="D1282" s="72" t="s">
        <v>2445</v>
      </c>
      <c r="E1282" t="s">
        <v>702</v>
      </c>
      <c r="F1282" t="s">
        <v>2446</v>
      </c>
      <c r="G1282" s="92"/>
      <c r="H1282" s="92"/>
      <c r="I1282" s="92"/>
      <c r="J1282" s="92"/>
      <c r="K1282" s="92"/>
      <c r="L1282" s="9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9"/>
    </row>
    <row r="1283" spans="1:14" hidden="1" x14ac:dyDescent="0.15">
      <c r="A1283">
        <v>1283</v>
      </c>
      <c r="B1283" t="s">
        <v>1424</v>
      </c>
      <c r="C1283" t="s">
        <v>14</v>
      </c>
      <c r="D1283" s="72" t="s">
        <v>1198</v>
      </c>
      <c r="E1283" t="s">
        <v>36</v>
      </c>
      <c r="F1283" t="s">
        <v>994</v>
      </c>
      <c r="G1283" s="92"/>
      <c r="H1283" s="92"/>
      <c r="I1283" s="92"/>
      <c r="J1283" s="92"/>
      <c r="K1283" s="92"/>
      <c r="L1283" s="9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9"/>
    </row>
    <row r="1284" spans="1:14" hidden="1" x14ac:dyDescent="0.15">
      <c r="A1284">
        <v>1284</v>
      </c>
      <c r="B1284" t="s">
        <v>1424</v>
      </c>
      <c r="C1284" t="s">
        <v>14</v>
      </c>
      <c r="D1284" s="72" t="s">
        <v>2447</v>
      </c>
      <c r="E1284" t="s">
        <v>36</v>
      </c>
      <c r="F1284" t="s">
        <v>2448</v>
      </c>
      <c r="G1284" s="92"/>
      <c r="H1284" s="92"/>
      <c r="I1284" s="92"/>
      <c r="J1284" s="92"/>
      <c r="K1284" s="92"/>
      <c r="L1284" s="9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9"/>
    </row>
    <row r="1285" spans="1:14" hidden="1" x14ac:dyDescent="0.15">
      <c r="A1285">
        <v>1285</v>
      </c>
      <c r="B1285" t="s">
        <v>1424</v>
      </c>
      <c r="C1285" t="s">
        <v>14</v>
      </c>
      <c r="D1285" s="72" t="s">
        <v>2449</v>
      </c>
      <c r="E1285" t="s">
        <v>702</v>
      </c>
      <c r="F1285" t="s">
        <v>2450</v>
      </c>
      <c r="G1285" s="92"/>
      <c r="H1285" s="92"/>
      <c r="I1285" s="92"/>
      <c r="J1285" s="92"/>
      <c r="K1285" s="92"/>
      <c r="L1285" s="9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9"/>
    </row>
    <row r="1286" spans="1:14" hidden="1" x14ac:dyDescent="0.15">
      <c r="A1286">
        <v>1286</v>
      </c>
      <c r="B1286" t="s">
        <v>1424</v>
      </c>
      <c r="C1286" t="s">
        <v>14</v>
      </c>
      <c r="D1286" s="72" t="s">
        <v>2451</v>
      </c>
      <c r="E1286" t="s">
        <v>36</v>
      </c>
      <c r="F1286" t="s">
        <v>2452</v>
      </c>
      <c r="G1286" s="92"/>
      <c r="H1286" s="92"/>
      <c r="I1286" s="92"/>
      <c r="J1286" s="92"/>
      <c r="K1286" s="92"/>
      <c r="L1286" s="9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9"/>
    </row>
    <row r="1287" spans="1:14" hidden="1" x14ac:dyDescent="0.15">
      <c r="A1287">
        <v>1287</v>
      </c>
      <c r="B1287" t="s">
        <v>1424</v>
      </c>
      <c r="C1287" t="s">
        <v>14</v>
      </c>
      <c r="D1287" s="72" t="s">
        <v>2453</v>
      </c>
      <c r="E1287" t="s">
        <v>36</v>
      </c>
      <c r="F1287" t="s">
        <v>2454</v>
      </c>
      <c r="G1287" s="92"/>
      <c r="H1287" s="92"/>
      <c r="I1287" s="92"/>
      <c r="J1287" s="92"/>
      <c r="K1287" s="92"/>
      <c r="L1287" s="9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9"/>
    </row>
    <row r="1288" spans="1:14" hidden="1" x14ac:dyDescent="0.15">
      <c r="A1288">
        <v>1288</v>
      </c>
      <c r="B1288" t="s">
        <v>1424</v>
      </c>
      <c r="C1288" t="s">
        <v>14</v>
      </c>
      <c r="D1288" s="72" t="s">
        <v>2455</v>
      </c>
      <c r="E1288" t="s">
        <v>702</v>
      </c>
      <c r="F1288" t="s">
        <v>2456</v>
      </c>
      <c r="G1288" s="92"/>
      <c r="H1288" s="92"/>
      <c r="I1288" s="92"/>
      <c r="J1288" s="92"/>
      <c r="K1288" s="92"/>
      <c r="L1288" s="9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9"/>
    </row>
    <row r="1289" spans="1:14" hidden="1" x14ac:dyDescent="0.15">
      <c r="A1289">
        <v>1289</v>
      </c>
      <c r="B1289" t="s">
        <v>1424</v>
      </c>
      <c r="C1289" t="s">
        <v>14</v>
      </c>
      <c r="D1289" s="72" t="s">
        <v>2457</v>
      </c>
      <c r="E1289" t="s">
        <v>61</v>
      </c>
      <c r="F1289" t="s">
        <v>2458</v>
      </c>
      <c r="G1289" s="92"/>
      <c r="H1289" s="92"/>
      <c r="I1289" s="92"/>
      <c r="J1289" s="92"/>
      <c r="K1289" s="92"/>
      <c r="L1289" s="9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9"/>
    </row>
    <row r="1290" spans="1:14" hidden="1" x14ac:dyDescent="0.15">
      <c r="A1290">
        <v>1290</v>
      </c>
      <c r="B1290" t="s">
        <v>1424</v>
      </c>
      <c r="C1290" t="s">
        <v>14</v>
      </c>
      <c r="D1290" s="72" t="s">
        <v>2459</v>
      </c>
      <c r="E1290" t="s">
        <v>73</v>
      </c>
      <c r="F1290" t="s">
        <v>2460</v>
      </c>
      <c r="G1290" s="92"/>
      <c r="H1290" s="92"/>
      <c r="I1290" s="92"/>
      <c r="J1290" s="92"/>
      <c r="K1290" s="92"/>
      <c r="L1290" s="9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9"/>
    </row>
    <row r="1291" spans="1:14" hidden="1" x14ac:dyDescent="0.15">
      <c r="A1291">
        <v>1291</v>
      </c>
      <c r="B1291" t="s">
        <v>1424</v>
      </c>
      <c r="C1291" t="s">
        <v>14</v>
      </c>
      <c r="D1291" s="72" t="s">
        <v>2461</v>
      </c>
      <c r="E1291" t="s">
        <v>36</v>
      </c>
      <c r="F1291" t="s">
        <v>2462</v>
      </c>
      <c r="G1291" s="92"/>
      <c r="H1291" s="92"/>
      <c r="I1291" s="92"/>
      <c r="J1291" s="92"/>
      <c r="K1291" s="92"/>
      <c r="L1291" s="9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9"/>
    </row>
    <row r="1292" spans="1:14" hidden="1" x14ac:dyDescent="0.15">
      <c r="A1292">
        <v>1292</v>
      </c>
      <c r="B1292" t="s">
        <v>1424</v>
      </c>
      <c r="C1292" t="s">
        <v>14</v>
      </c>
      <c r="D1292" s="72" t="s">
        <v>948</v>
      </c>
      <c r="E1292" t="s">
        <v>36</v>
      </c>
      <c r="F1292" t="s">
        <v>949</v>
      </c>
      <c r="G1292" s="92"/>
      <c r="H1292" s="92"/>
      <c r="I1292" s="92"/>
      <c r="J1292" s="92"/>
      <c r="K1292" s="92"/>
      <c r="L1292" s="9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9"/>
    </row>
    <row r="1293" spans="1:14" hidden="1" x14ac:dyDescent="0.15">
      <c r="A1293">
        <v>1293</v>
      </c>
      <c r="B1293" t="s">
        <v>1424</v>
      </c>
      <c r="C1293" t="s">
        <v>14</v>
      </c>
      <c r="D1293" s="72" t="s">
        <v>2463</v>
      </c>
      <c r="E1293" t="s">
        <v>36</v>
      </c>
      <c r="F1293" t="s">
        <v>2464</v>
      </c>
      <c r="G1293" s="92"/>
      <c r="H1293" s="92"/>
      <c r="I1293" s="92"/>
      <c r="J1293" s="92"/>
      <c r="K1293" s="92"/>
      <c r="L1293" s="9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9"/>
    </row>
    <row r="1294" spans="1:14" hidden="1" x14ac:dyDescent="0.15">
      <c r="A1294">
        <v>1294</v>
      </c>
      <c r="B1294" t="s">
        <v>1424</v>
      </c>
      <c r="C1294" t="s">
        <v>14</v>
      </c>
      <c r="D1294" s="72" t="s">
        <v>233</v>
      </c>
      <c r="E1294" t="s">
        <v>36</v>
      </c>
      <c r="F1294" t="s">
        <v>2465</v>
      </c>
      <c r="G1294" s="92"/>
      <c r="H1294" s="92"/>
      <c r="I1294" s="92"/>
      <c r="J1294" s="92"/>
      <c r="K1294" s="92"/>
      <c r="L1294" s="9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9"/>
    </row>
    <row r="1295" spans="1:14" hidden="1" x14ac:dyDescent="0.15">
      <c r="A1295">
        <v>1295</v>
      </c>
      <c r="B1295" t="s">
        <v>1424</v>
      </c>
      <c r="C1295" t="s">
        <v>14</v>
      </c>
      <c r="D1295" s="72" t="s">
        <v>2466</v>
      </c>
      <c r="E1295" t="s">
        <v>36</v>
      </c>
      <c r="F1295" t="s">
        <v>2467</v>
      </c>
      <c r="G1295" s="92"/>
      <c r="H1295" s="92"/>
      <c r="I1295" s="92"/>
      <c r="J1295" s="92"/>
      <c r="K1295" s="92"/>
      <c r="L1295" s="9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9"/>
    </row>
    <row r="1296" spans="1:14" hidden="1" x14ac:dyDescent="0.15">
      <c r="A1296">
        <v>1296</v>
      </c>
      <c r="B1296" t="s">
        <v>1424</v>
      </c>
      <c r="C1296" t="s">
        <v>14</v>
      </c>
      <c r="D1296" s="72" t="s">
        <v>2468</v>
      </c>
      <c r="E1296" t="s">
        <v>36</v>
      </c>
      <c r="F1296" t="s">
        <v>2469</v>
      </c>
      <c r="G1296" s="92"/>
      <c r="H1296" s="92"/>
      <c r="I1296" s="92"/>
      <c r="J1296" s="92"/>
      <c r="K1296" s="92"/>
      <c r="L1296" s="9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9"/>
    </row>
    <row r="1297" spans="1:14" hidden="1" x14ac:dyDescent="0.15">
      <c r="A1297">
        <v>1297</v>
      </c>
      <c r="B1297" t="s">
        <v>1424</v>
      </c>
      <c r="C1297" t="s">
        <v>14</v>
      </c>
      <c r="D1297" s="72" t="s">
        <v>2470</v>
      </c>
      <c r="E1297" t="s">
        <v>702</v>
      </c>
      <c r="F1297" t="s">
        <v>2471</v>
      </c>
      <c r="G1297" s="92"/>
      <c r="H1297" s="92"/>
      <c r="I1297" s="92"/>
      <c r="J1297" s="92"/>
      <c r="K1297" s="92"/>
      <c r="L1297" s="9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9"/>
    </row>
    <row r="1298" spans="1:14" hidden="1" x14ac:dyDescent="0.15">
      <c r="A1298">
        <v>1298</v>
      </c>
      <c r="B1298" t="s">
        <v>1424</v>
      </c>
      <c r="C1298" t="s">
        <v>14</v>
      </c>
      <c r="D1298" s="72" t="s">
        <v>2472</v>
      </c>
      <c r="E1298" t="s">
        <v>36</v>
      </c>
      <c r="F1298" t="s">
        <v>2473</v>
      </c>
      <c r="G1298" s="92"/>
      <c r="H1298" s="92"/>
      <c r="I1298" s="92"/>
      <c r="J1298" s="92"/>
      <c r="K1298" s="92"/>
      <c r="L1298" s="9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9"/>
    </row>
    <row r="1299" spans="1:14" hidden="1" x14ac:dyDescent="0.15">
      <c r="A1299">
        <v>1299</v>
      </c>
      <c r="B1299" t="s">
        <v>1424</v>
      </c>
      <c r="C1299" t="s">
        <v>14</v>
      </c>
      <c r="D1299" s="72" t="s">
        <v>796</v>
      </c>
      <c r="E1299" t="s">
        <v>36</v>
      </c>
      <c r="F1299" t="s">
        <v>797</v>
      </c>
      <c r="G1299" s="92"/>
      <c r="H1299" s="92"/>
      <c r="I1299" s="92"/>
      <c r="J1299" s="92"/>
      <c r="K1299" s="92"/>
      <c r="L1299" s="9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9"/>
    </row>
    <row r="1300" spans="1:14" hidden="1" x14ac:dyDescent="0.15">
      <c r="A1300">
        <v>1300</v>
      </c>
      <c r="B1300" t="s">
        <v>1424</v>
      </c>
      <c r="C1300" t="s">
        <v>14</v>
      </c>
      <c r="D1300" s="72" t="s">
        <v>2474</v>
      </c>
      <c r="E1300" t="s">
        <v>36</v>
      </c>
      <c r="F1300" t="s">
        <v>2475</v>
      </c>
      <c r="G1300" s="92"/>
      <c r="H1300" s="92"/>
      <c r="I1300" s="92"/>
      <c r="J1300" s="92"/>
      <c r="K1300" s="92"/>
      <c r="L1300" s="9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9"/>
    </row>
    <row r="1301" spans="1:14" hidden="1" x14ac:dyDescent="0.15">
      <c r="A1301">
        <v>1301</v>
      </c>
      <c r="B1301" t="s">
        <v>1424</v>
      </c>
      <c r="C1301" t="s">
        <v>14</v>
      </c>
      <c r="D1301" s="72" t="s">
        <v>2476</v>
      </c>
      <c r="E1301" t="s">
        <v>73</v>
      </c>
      <c r="F1301" t="s">
        <v>2477</v>
      </c>
      <c r="G1301" s="92"/>
      <c r="H1301" s="92"/>
      <c r="I1301" s="92"/>
      <c r="J1301" s="92"/>
      <c r="K1301" s="92"/>
      <c r="L1301" s="9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9"/>
    </row>
    <row r="1302" spans="1:14" hidden="1" x14ac:dyDescent="0.15">
      <c r="A1302">
        <v>1302</v>
      </c>
      <c r="B1302" t="s">
        <v>1424</v>
      </c>
      <c r="C1302" t="s">
        <v>14</v>
      </c>
      <c r="D1302" s="72" t="s">
        <v>2478</v>
      </c>
      <c r="E1302" t="s">
        <v>73</v>
      </c>
      <c r="F1302" t="s">
        <v>2479</v>
      </c>
      <c r="G1302" s="92"/>
      <c r="H1302" s="92"/>
      <c r="I1302" s="92"/>
      <c r="J1302" s="92"/>
      <c r="K1302" s="92"/>
      <c r="L1302" s="9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9"/>
    </row>
    <row r="1303" spans="1:14" hidden="1" x14ac:dyDescent="0.15">
      <c r="A1303">
        <v>1303</v>
      </c>
      <c r="B1303" t="s">
        <v>1424</v>
      </c>
      <c r="C1303" t="s">
        <v>14</v>
      </c>
      <c r="D1303" s="72" t="s">
        <v>2480</v>
      </c>
      <c r="E1303" t="s">
        <v>73</v>
      </c>
      <c r="F1303" t="s">
        <v>2481</v>
      </c>
      <c r="G1303" s="92"/>
      <c r="H1303" s="92"/>
      <c r="I1303" s="92"/>
      <c r="J1303" s="92"/>
      <c r="K1303" s="92"/>
      <c r="L1303" s="9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9"/>
    </row>
    <row r="1304" spans="1:14" hidden="1" x14ac:dyDescent="0.15">
      <c r="A1304">
        <v>1304</v>
      </c>
      <c r="B1304" t="s">
        <v>1424</v>
      </c>
      <c r="C1304" t="s">
        <v>14</v>
      </c>
      <c r="D1304" s="72" t="s">
        <v>2482</v>
      </c>
      <c r="E1304" t="s">
        <v>73</v>
      </c>
      <c r="F1304" t="s">
        <v>2483</v>
      </c>
      <c r="G1304" s="92"/>
      <c r="H1304" s="92"/>
      <c r="I1304" s="92"/>
      <c r="J1304" s="92"/>
      <c r="K1304" s="92"/>
      <c r="L1304" s="9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9"/>
    </row>
    <row r="1305" spans="1:14" hidden="1" x14ac:dyDescent="0.15">
      <c r="A1305">
        <v>1305</v>
      </c>
      <c r="B1305" t="s">
        <v>1424</v>
      </c>
      <c r="C1305" t="s">
        <v>14</v>
      </c>
      <c r="D1305" s="72" t="s">
        <v>2484</v>
      </c>
      <c r="E1305" t="s">
        <v>73</v>
      </c>
      <c r="F1305" t="s">
        <v>2485</v>
      </c>
      <c r="G1305" s="92"/>
      <c r="H1305" s="92"/>
      <c r="I1305" s="92"/>
      <c r="J1305" s="92"/>
      <c r="K1305" s="92"/>
      <c r="L1305" s="9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9"/>
    </row>
    <row r="1306" spans="1:14" hidden="1" x14ac:dyDescent="0.15">
      <c r="A1306">
        <v>1306</v>
      </c>
      <c r="B1306" t="s">
        <v>1424</v>
      </c>
      <c r="C1306" t="s">
        <v>14</v>
      </c>
      <c r="D1306" s="72" t="s">
        <v>2486</v>
      </c>
      <c r="E1306" t="s">
        <v>61</v>
      </c>
      <c r="F1306" t="s">
        <v>2487</v>
      </c>
      <c r="G1306" s="92"/>
      <c r="H1306" s="92"/>
      <c r="I1306" s="92"/>
      <c r="J1306" s="92"/>
      <c r="K1306" s="92"/>
      <c r="L1306" s="9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9"/>
    </row>
    <row r="1307" spans="1:14" hidden="1" x14ac:dyDescent="0.15">
      <c r="A1307">
        <v>1307</v>
      </c>
      <c r="B1307" t="s">
        <v>1424</v>
      </c>
      <c r="C1307" t="s">
        <v>14</v>
      </c>
      <c r="D1307" s="72" t="s">
        <v>2488</v>
      </c>
      <c r="E1307" t="s">
        <v>702</v>
      </c>
      <c r="F1307" t="s">
        <v>2489</v>
      </c>
      <c r="G1307" s="92"/>
      <c r="H1307" s="92"/>
      <c r="I1307" s="92"/>
      <c r="J1307" s="92"/>
      <c r="K1307" s="92"/>
      <c r="L1307" s="9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9"/>
    </row>
    <row r="1308" spans="1:14" hidden="1" x14ac:dyDescent="0.15">
      <c r="A1308">
        <v>1308</v>
      </c>
      <c r="B1308" t="s">
        <v>1424</v>
      </c>
      <c r="C1308" t="s">
        <v>14</v>
      </c>
      <c r="D1308" s="72" t="s">
        <v>2490</v>
      </c>
      <c r="E1308" t="s">
        <v>702</v>
      </c>
      <c r="F1308" t="s">
        <v>2491</v>
      </c>
      <c r="G1308" s="92"/>
      <c r="H1308" s="92"/>
      <c r="I1308" s="92"/>
      <c r="J1308" s="92"/>
      <c r="K1308" s="92"/>
      <c r="L1308" s="9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9"/>
    </row>
    <row r="1309" spans="1:14" hidden="1" x14ac:dyDescent="0.15">
      <c r="A1309">
        <v>1309</v>
      </c>
      <c r="B1309" t="s">
        <v>1424</v>
      </c>
      <c r="C1309" t="s">
        <v>14</v>
      </c>
      <c r="D1309" s="72" t="s">
        <v>2492</v>
      </c>
      <c r="E1309" t="s">
        <v>702</v>
      </c>
      <c r="F1309" t="s">
        <v>2493</v>
      </c>
      <c r="G1309" s="92"/>
      <c r="H1309" s="92"/>
      <c r="I1309" s="92"/>
      <c r="J1309" s="92"/>
      <c r="K1309" s="92"/>
      <c r="L1309" s="9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9"/>
    </row>
    <row r="1310" spans="1:14" hidden="1" x14ac:dyDescent="0.15">
      <c r="A1310">
        <v>1310</v>
      </c>
      <c r="B1310" t="s">
        <v>1424</v>
      </c>
      <c r="C1310" t="s">
        <v>14</v>
      </c>
      <c r="D1310" s="72" t="s">
        <v>2494</v>
      </c>
      <c r="E1310" t="s">
        <v>36</v>
      </c>
      <c r="F1310" t="s">
        <v>2495</v>
      </c>
      <c r="G1310" s="92"/>
      <c r="H1310" s="92"/>
      <c r="I1310" s="92"/>
      <c r="J1310" s="92"/>
      <c r="K1310" s="92"/>
      <c r="L1310" s="9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9"/>
    </row>
    <row r="1311" spans="1:14" hidden="1" x14ac:dyDescent="0.15">
      <c r="A1311">
        <v>1311</v>
      </c>
      <c r="B1311" t="s">
        <v>1424</v>
      </c>
      <c r="C1311" t="s">
        <v>14</v>
      </c>
      <c r="D1311" s="72" t="s">
        <v>2496</v>
      </c>
      <c r="E1311" t="s">
        <v>702</v>
      </c>
      <c r="F1311" t="s">
        <v>2497</v>
      </c>
      <c r="G1311" s="92"/>
      <c r="H1311" s="92"/>
      <c r="I1311" s="92"/>
      <c r="J1311" s="92"/>
      <c r="K1311" s="92"/>
      <c r="L1311" s="9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9"/>
    </row>
    <row r="1312" spans="1:14" hidden="1" x14ac:dyDescent="0.15">
      <c r="A1312">
        <v>1312</v>
      </c>
      <c r="B1312" t="s">
        <v>1424</v>
      </c>
      <c r="C1312" t="s">
        <v>14</v>
      </c>
      <c r="D1312" s="72" t="s">
        <v>2498</v>
      </c>
      <c r="E1312" t="s">
        <v>36</v>
      </c>
      <c r="F1312" t="s">
        <v>2499</v>
      </c>
      <c r="G1312" s="92"/>
      <c r="H1312" s="92"/>
      <c r="I1312" s="92"/>
      <c r="J1312" s="92"/>
      <c r="K1312" s="92"/>
      <c r="L1312" s="9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9"/>
    </row>
    <row r="1313" spans="1:14" hidden="1" x14ac:dyDescent="0.15">
      <c r="A1313">
        <v>1313</v>
      </c>
      <c r="B1313" t="s">
        <v>1424</v>
      </c>
      <c r="C1313" t="s">
        <v>14</v>
      </c>
      <c r="D1313" s="72" t="s">
        <v>2500</v>
      </c>
      <c r="E1313" t="s">
        <v>36</v>
      </c>
      <c r="F1313" t="s">
        <v>2501</v>
      </c>
      <c r="G1313" s="92"/>
      <c r="H1313" s="92"/>
      <c r="I1313" s="92"/>
      <c r="J1313" s="92"/>
      <c r="K1313" s="92"/>
      <c r="L1313" s="9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9"/>
    </row>
    <row r="1314" spans="1:14" hidden="1" x14ac:dyDescent="0.15">
      <c r="A1314">
        <v>1314</v>
      </c>
      <c r="B1314" t="s">
        <v>1424</v>
      </c>
      <c r="C1314" t="s">
        <v>14</v>
      </c>
      <c r="D1314" s="72" t="s">
        <v>2502</v>
      </c>
      <c r="E1314" t="s">
        <v>36</v>
      </c>
      <c r="F1314" t="s">
        <v>2503</v>
      </c>
      <c r="G1314" s="92"/>
      <c r="H1314" s="92"/>
      <c r="I1314" s="92"/>
      <c r="J1314" s="92"/>
      <c r="K1314" s="92"/>
      <c r="L1314" s="9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9"/>
    </row>
    <row r="1315" spans="1:14" hidden="1" x14ac:dyDescent="0.15">
      <c r="A1315">
        <v>1315</v>
      </c>
      <c r="B1315" t="s">
        <v>1424</v>
      </c>
      <c r="C1315" t="s">
        <v>14</v>
      </c>
      <c r="D1315" s="72" t="s">
        <v>2504</v>
      </c>
      <c r="E1315" t="s">
        <v>36</v>
      </c>
      <c r="F1315" t="s">
        <v>2505</v>
      </c>
      <c r="G1315" s="92"/>
      <c r="H1315" s="92"/>
      <c r="I1315" s="92"/>
      <c r="J1315" s="92"/>
      <c r="K1315" s="92"/>
      <c r="L1315" s="9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9"/>
    </row>
    <row r="1316" spans="1:14" hidden="1" x14ac:dyDescent="0.15">
      <c r="A1316">
        <v>1316</v>
      </c>
      <c r="B1316" t="s">
        <v>1424</v>
      </c>
      <c r="C1316" t="s">
        <v>14</v>
      </c>
      <c r="D1316" s="72" t="s">
        <v>2506</v>
      </c>
      <c r="E1316" t="s">
        <v>36</v>
      </c>
      <c r="F1316" t="s">
        <v>2507</v>
      </c>
      <c r="G1316" s="92"/>
      <c r="H1316" s="92"/>
      <c r="I1316" s="92"/>
      <c r="J1316" s="92"/>
      <c r="K1316" s="92"/>
      <c r="L1316" s="9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9"/>
    </row>
    <row r="1317" spans="1:14" hidden="1" x14ac:dyDescent="0.15">
      <c r="A1317">
        <v>1317</v>
      </c>
      <c r="B1317" t="s">
        <v>1424</v>
      </c>
      <c r="C1317" t="s">
        <v>14</v>
      </c>
      <c r="D1317" s="72" t="s">
        <v>2508</v>
      </c>
      <c r="E1317" t="s">
        <v>1019</v>
      </c>
      <c r="F1317" t="s">
        <v>2509</v>
      </c>
      <c r="G1317" s="92"/>
      <c r="H1317" s="92"/>
      <c r="I1317" s="92"/>
      <c r="J1317" s="92"/>
      <c r="K1317" s="92"/>
      <c r="L1317" s="9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9"/>
    </row>
    <row r="1318" spans="1:14" hidden="1" x14ac:dyDescent="0.15">
      <c r="A1318">
        <v>1318</v>
      </c>
      <c r="B1318" t="s">
        <v>1424</v>
      </c>
      <c r="C1318" t="s">
        <v>14</v>
      </c>
      <c r="D1318" s="72" t="s">
        <v>2510</v>
      </c>
      <c r="E1318" t="s">
        <v>702</v>
      </c>
      <c r="F1318" t="s">
        <v>2511</v>
      </c>
      <c r="G1318" s="92"/>
      <c r="H1318" s="92"/>
      <c r="I1318" s="92"/>
      <c r="J1318" s="92"/>
      <c r="K1318" s="92"/>
      <c r="L1318" s="9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9"/>
    </row>
    <row r="1319" spans="1:14" hidden="1" x14ac:dyDescent="0.15">
      <c r="A1319">
        <v>1319</v>
      </c>
      <c r="B1319" t="s">
        <v>1424</v>
      </c>
      <c r="C1319" t="s">
        <v>14</v>
      </c>
      <c r="D1319" s="72" t="s">
        <v>2512</v>
      </c>
      <c r="E1319" t="s">
        <v>702</v>
      </c>
      <c r="F1319" t="s">
        <v>2513</v>
      </c>
      <c r="G1319" s="92"/>
      <c r="H1319" s="92"/>
      <c r="I1319" s="92"/>
      <c r="J1319" s="92"/>
      <c r="K1319" s="92"/>
      <c r="L1319" s="9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9"/>
    </row>
    <row r="1320" spans="1:14" hidden="1" x14ac:dyDescent="0.15">
      <c r="A1320">
        <v>1320</v>
      </c>
      <c r="B1320" t="s">
        <v>1424</v>
      </c>
      <c r="C1320" t="s">
        <v>14</v>
      </c>
      <c r="D1320" s="72" t="s">
        <v>2514</v>
      </c>
      <c r="E1320" t="s">
        <v>702</v>
      </c>
      <c r="F1320" t="s">
        <v>2515</v>
      </c>
      <c r="G1320" s="92"/>
      <c r="H1320" s="92"/>
      <c r="I1320" s="92"/>
      <c r="J1320" s="92"/>
      <c r="K1320" s="92"/>
      <c r="L1320" s="9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9"/>
    </row>
    <row r="1321" spans="1:14" hidden="1" x14ac:dyDescent="0.15">
      <c r="A1321">
        <v>1321</v>
      </c>
      <c r="B1321" t="s">
        <v>1424</v>
      </c>
      <c r="C1321" t="s">
        <v>14</v>
      </c>
      <c r="D1321" s="72" t="s">
        <v>2516</v>
      </c>
      <c r="E1321" t="s">
        <v>36</v>
      </c>
      <c r="F1321" t="s">
        <v>2517</v>
      </c>
      <c r="G1321" s="92"/>
      <c r="H1321" s="92"/>
      <c r="I1321" s="92"/>
      <c r="J1321" s="92"/>
      <c r="K1321" s="92"/>
      <c r="L1321" s="9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9"/>
    </row>
    <row r="1322" spans="1:14" hidden="1" x14ac:dyDescent="0.15">
      <c r="A1322">
        <v>1322</v>
      </c>
      <c r="B1322" t="s">
        <v>1424</v>
      </c>
      <c r="C1322" t="s">
        <v>14</v>
      </c>
      <c r="D1322" s="72" t="s">
        <v>2518</v>
      </c>
      <c r="E1322" t="s">
        <v>702</v>
      </c>
      <c r="F1322" t="s">
        <v>2519</v>
      </c>
      <c r="G1322" s="92"/>
      <c r="H1322" s="92"/>
      <c r="I1322" s="92"/>
      <c r="J1322" s="92"/>
      <c r="K1322" s="92"/>
      <c r="L1322" s="9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9"/>
    </row>
    <row r="1323" spans="1:14" hidden="1" x14ac:dyDescent="0.15">
      <c r="A1323">
        <v>1323</v>
      </c>
      <c r="B1323" t="s">
        <v>1424</v>
      </c>
      <c r="C1323" t="s">
        <v>14</v>
      </c>
      <c r="D1323" s="72" t="s">
        <v>2520</v>
      </c>
      <c r="E1323" t="s">
        <v>702</v>
      </c>
      <c r="F1323" t="s">
        <v>2521</v>
      </c>
      <c r="G1323" s="92"/>
      <c r="H1323" s="92"/>
      <c r="I1323" s="92"/>
      <c r="J1323" s="92"/>
      <c r="K1323" s="92"/>
      <c r="L1323" s="9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9"/>
    </row>
    <row r="1324" spans="1:14" hidden="1" x14ac:dyDescent="0.15">
      <c r="A1324">
        <v>1324</v>
      </c>
      <c r="B1324" t="s">
        <v>1424</v>
      </c>
      <c r="C1324" t="s">
        <v>14</v>
      </c>
      <c r="D1324" s="72" t="s">
        <v>2522</v>
      </c>
      <c r="E1324" t="s">
        <v>36</v>
      </c>
      <c r="F1324" t="s">
        <v>2523</v>
      </c>
      <c r="G1324" s="92"/>
      <c r="H1324" s="92"/>
      <c r="I1324" s="92"/>
      <c r="J1324" s="92"/>
      <c r="K1324" s="92"/>
      <c r="L1324" s="9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9"/>
    </row>
    <row r="1325" spans="1:14" hidden="1" x14ac:dyDescent="0.15">
      <c r="A1325">
        <v>1325</v>
      </c>
      <c r="B1325" t="s">
        <v>1424</v>
      </c>
      <c r="C1325" t="s">
        <v>14</v>
      </c>
      <c r="D1325" s="72" t="s">
        <v>650</v>
      </c>
      <c r="E1325" t="s">
        <v>36</v>
      </c>
      <c r="F1325" t="s">
        <v>2524</v>
      </c>
      <c r="G1325" s="92"/>
      <c r="H1325" s="92"/>
      <c r="I1325" s="92"/>
      <c r="J1325" s="92"/>
      <c r="K1325" s="92"/>
      <c r="L1325" s="9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9"/>
    </row>
    <row r="1326" spans="1:14" hidden="1" x14ac:dyDescent="0.15">
      <c r="A1326">
        <v>1326</v>
      </c>
      <c r="B1326" t="s">
        <v>1424</v>
      </c>
      <c r="C1326" t="s">
        <v>14</v>
      </c>
      <c r="D1326" s="72" t="s">
        <v>2525</v>
      </c>
      <c r="E1326" t="s">
        <v>61</v>
      </c>
      <c r="F1326" t="s">
        <v>2526</v>
      </c>
      <c r="G1326" s="92"/>
      <c r="H1326" s="92"/>
      <c r="I1326" s="92"/>
      <c r="J1326" s="92"/>
      <c r="K1326" s="92"/>
      <c r="L1326" s="9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9"/>
    </row>
    <row r="1327" spans="1:14" hidden="1" x14ac:dyDescent="0.15">
      <c r="A1327">
        <v>1327</v>
      </c>
      <c r="B1327" t="s">
        <v>1424</v>
      </c>
      <c r="C1327" t="s">
        <v>14</v>
      </c>
      <c r="D1327" s="72" t="s">
        <v>2527</v>
      </c>
      <c r="E1327" t="s">
        <v>36</v>
      </c>
      <c r="F1327" t="s">
        <v>2528</v>
      </c>
      <c r="G1327" s="92"/>
      <c r="H1327" s="92"/>
      <c r="I1327" s="92"/>
      <c r="J1327" s="92"/>
      <c r="K1327" s="92"/>
      <c r="L1327" s="9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9"/>
    </row>
    <row r="1328" spans="1:14" hidden="1" x14ac:dyDescent="0.15">
      <c r="A1328">
        <v>1328</v>
      </c>
      <c r="B1328" t="s">
        <v>1424</v>
      </c>
      <c r="C1328" t="s">
        <v>14</v>
      </c>
      <c r="D1328" s="72" t="s">
        <v>244</v>
      </c>
      <c r="E1328" t="s">
        <v>61</v>
      </c>
      <c r="F1328" t="s">
        <v>2529</v>
      </c>
      <c r="G1328" s="92"/>
      <c r="H1328" s="92"/>
      <c r="I1328" s="92"/>
      <c r="J1328" s="92"/>
      <c r="K1328" s="92"/>
      <c r="L1328" s="9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9"/>
    </row>
    <row r="1329" spans="1:14" hidden="1" x14ac:dyDescent="0.15">
      <c r="A1329">
        <v>1329</v>
      </c>
      <c r="B1329" t="s">
        <v>1424</v>
      </c>
      <c r="C1329" t="s">
        <v>14</v>
      </c>
      <c r="D1329" s="72" t="s">
        <v>2530</v>
      </c>
      <c r="E1329" t="s">
        <v>36</v>
      </c>
      <c r="F1329" t="s">
        <v>2531</v>
      </c>
      <c r="G1329" s="92"/>
      <c r="H1329" s="92"/>
      <c r="I1329" s="92"/>
      <c r="J1329" s="92"/>
      <c r="K1329" s="92"/>
      <c r="L1329" s="9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9"/>
    </row>
    <row r="1330" spans="1:14" hidden="1" x14ac:dyDescent="0.15">
      <c r="A1330">
        <v>1330</v>
      </c>
      <c r="B1330" t="s">
        <v>1424</v>
      </c>
      <c r="C1330" t="s">
        <v>14</v>
      </c>
      <c r="D1330" s="72" t="s">
        <v>642</v>
      </c>
      <c r="E1330" t="s">
        <v>36</v>
      </c>
      <c r="F1330" t="s">
        <v>2532</v>
      </c>
      <c r="G1330" s="92"/>
      <c r="H1330" s="92"/>
      <c r="I1330" s="92"/>
      <c r="J1330" s="92"/>
      <c r="K1330" s="92"/>
      <c r="L1330" s="9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9"/>
    </row>
    <row r="1331" spans="1:14" hidden="1" x14ac:dyDescent="0.15">
      <c r="A1331">
        <v>1331</v>
      </c>
      <c r="B1331" t="s">
        <v>1424</v>
      </c>
      <c r="C1331" t="s">
        <v>14</v>
      </c>
      <c r="D1331" s="72" t="s">
        <v>2533</v>
      </c>
      <c r="E1331" t="s">
        <v>702</v>
      </c>
      <c r="F1331" t="s">
        <v>2534</v>
      </c>
      <c r="G1331" s="92"/>
      <c r="H1331" s="92"/>
      <c r="I1331" s="92"/>
      <c r="J1331" s="92"/>
      <c r="K1331" s="92"/>
      <c r="L1331" s="9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9"/>
    </row>
    <row r="1332" spans="1:14" hidden="1" x14ac:dyDescent="0.15">
      <c r="A1332">
        <v>1332</v>
      </c>
      <c r="B1332" t="s">
        <v>1424</v>
      </c>
      <c r="C1332" t="s">
        <v>14</v>
      </c>
      <c r="D1332" s="72" t="s">
        <v>2535</v>
      </c>
      <c r="E1332" t="s">
        <v>36</v>
      </c>
      <c r="F1332" t="s">
        <v>2536</v>
      </c>
      <c r="G1332" s="92"/>
      <c r="H1332" s="92"/>
      <c r="I1332" s="92"/>
      <c r="J1332" s="92"/>
      <c r="K1332" s="92"/>
      <c r="L1332" s="9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9"/>
    </row>
    <row r="1333" spans="1:14" hidden="1" x14ac:dyDescent="0.15">
      <c r="A1333">
        <v>1333</v>
      </c>
      <c r="B1333" t="s">
        <v>1424</v>
      </c>
      <c r="C1333" t="s">
        <v>14</v>
      </c>
      <c r="D1333" s="72" t="s">
        <v>246</v>
      </c>
      <c r="E1333" t="s">
        <v>61</v>
      </c>
      <c r="F1333" t="s">
        <v>247</v>
      </c>
      <c r="G1333" s="92"/>
      <c r="H1333" s="92"/>
      <c r="I1333" s="92"/>
      <c r="J1333" s="92"/>
      <c r="K1333" s="92"/>
      <c r="L1333" s="9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9"/>
    </row>
    <row r="1334" spans="1:14" hidden="1" x14ac:dyDescent="0.15">
      <c r="A1334">
        <v>1334</v>
      </c>
      <c r="B1334" t="s">
        <v>1424</v>
      </c>
      <c r="C1334" t="s">
        <v>14</v>
      </c>
      <c r="D1334" s="72" t="s">
        <v>2537</v>
      </c>
      <c r="E1334" t="s">
        <v>36</v>
      </c>
      <c r="F1334" t="s">
        <v>2538</v>
      </c>
      <c r="G1334" s="92"/>
      <c r="H1334" s="92"/>
      <c r="I1334" s="92"/>
      <c r="J1334" s="92"/>
      <c r="K1334" s="92"/>
      <c r="L1334" s="9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9"/>
    </row>
    <row r="1335" spans="1:14" hidden="1" x14ac:dyDescent="0.15">
      <c r="A1335">
        <v>1335</v>
      </c>
      <c r="B1335" t="s">
        <v>1424</v>
      </c>
      <c r="C1335" t="s">
        <v>15</v>
      </c>
      <c r="D1335" s="72" t="s">
        <v>2539</v>
      </c>
      <c r="E1335" t="s">
        <v>36</v>
      </c>
      <c r="F1335" t="s">
        <v>2540</v>
      </c>
      <c r="G1335" s="92"/>
      <c r="H1335" s="92"/>
      <c r="I1335" s="92"/>
      <c r="J1335" s="92"/>
      <c r="K1335" s="92"/>
      <c r="L1335" s="9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9"/>
    </row>
    <row r="1336" spans="1:14" hidden="1" x14ac:dyDescent="0.15">
      <c r="A1336">
        <v>1336</v>
      </c>
      <c r="B1336" t="s">
        <v>1424</v>
      </c>
      <c r="C1336" t="s">
        <v>15</v>
      </c>
      <c r="D1336" s="72" t="s">
        <v>2541</v>
      </c>
      <c r="E1336" t="s">
        <v>36</v>
      </c>
      <c r="F1336" t="s">
        <v>2542</v>
      </c>
      <c r="G1336" s="92"/>
      <c r="H1336" s="92"/>
      <c r="I1336" s="92"/>
      <c r="J1336" s="92"/>
      <c r="K1336" s="92"/>
      <c r="L1336" s="9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9"/>
    </row>
    <row r="1337" spans="1:14" hidden="1" x14ac:dyDescent="0.15">
      <c r="A1337">
        <v>1337</v>
      </c>
      <c r="B1337" t="s">
        <v>1424</v>
      </c>
      <c r="C1337" t="s">
        <v>15</v>
      </c>
      <c r="D1337" s="72" t="s">
        <v>1071</v>
      </c>
      <c r="E1337" t="s">
        <v>36</v>
      </c>
      <c r="F1337" t="s">
        <v>2543</v>
      </c>
      <c r="G1337" s="92"/>
      <c r="H1337" s="92"/>
      <c r="I1337" s="92"/>
      <c r="J1337" s="92"/>
      <c r="K1337" s="92"/>
      <c r="L1337" s="9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9"/>
    </row>
    <row r="1338" spans="1:14" hidden="1" x14ac:dyDescent="0.15">
      <c r="A1338">
        <v>1338</v>
      </c>
      <c r="B1338" t="s">
        <v>1424</v>
      </c>
      <c r="C1338" t="s">
        <v>15</v>
      </c>
      <c r="D1338" s="72" t="s">
        <v>1067</v>
      </c>
      <c r="E1338" t="s">
        <v>36</v>
      </c>
      <c r="F1338" t="s">
        <v>1068</v>
      </c>
      <c r="G1338" s="92"/>
      <c r="H1338" s="92"/>
      <c r="I1338" s="92"/>
      <c r="J1338" s="92"/>
      <c r="K1338" s="92"/>
      <c r="L1338" s="9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9"/>
    </row>
    <row r="1339" spans="1:14" hidden="1" x14ac:dyDescent="0.15">
      <c r="A1339">
        <v>1339</v>
      </c>
      <c r="B1339" t="s">
        <v>1424</v>
      </c>
      <c r="C1339" t="s">
        <v>15</v>
      </c>
      <c r="D1339" s="72" t="s">
        <v>2544</v>
      </c>
      <c r="E1339" t="s">
        <v>36</v>
      </c>
      <c r="F1339" t="s">
        <v>2545</v>
      </c>
      <c r="G1339" s="92"/>
      <c r="H1339" s="92"/>
      <c r="I1339" s="92"/>
      <c r="J1339" s="92"/>
      <c r="K1339" s="92"/>
      <c r="L1339" s="9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9"/>
    </row>
    <row r="1340" spans="1:14" hidden="1" x14ac:dyDescent="0.15">
      <c r="A1340">
        <v>1340</v>
      </c>
      <c r="B1340" t="s">
        <v>1424</v>
      </c>
      <c r="C1340" t="s">
        <v>15</v>
      </c>
      <c r="D1340" s="72" t="s">
        <v>2546</v>
      </c>
      <c r="E1340" t="s">
        <v>36</v>
      </c>
      <c r="F1340" t="s">
        <v>2547</v>
      </c>
      <c r="G1340" s="92"/>
      <c r="H1340" s="92"/>
      <c r="I1340" s="92"/>
      <c r="J1340" s="92"/>
      <c r="K1340" s="92"/>
      <c r="L1340" s="9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9"/>
    </row>
    <row r="1341" spans="1:14" hidden="1" x14ac:dyDescent="0.15">
      <c r="A1341">
        <v>1341</v>
      </c>
      <c r="B1341" t="s">
        <v>1424</v>
      </c>
      <c r="C1341" t="s">
        <v>15</v>
      </c>
      <c r="D1341" s="72" t="s">
        <v>578</v>
      </c>
      <c r="E1341" t="s">
        <v>36</v>
      </c>
      <c r="F1341" t="s">
        <v>2548</v>
      </c>
      <c r="G1341" s="92"/>
      <c r="H1341" s="92"/>
      <c r="I1341" s="92"/>
      <c r="J1341" s="92"/>
      <c r="K1341" s="92"/>
      <c r="L1341" s="9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9"/>
    </row>
    <row r="1342" spans="1:14" hidden="1" x14ac:dyDescent="0.15">
      <c r="A1342">
        <v>1342</v>
      </c>
      <c r="B1342" t="s">
        <v>1424</v>
      </c>
      <c r="C1342" t="s">
        <v>15</v>
      </c>
      <c r="D1342" s="72" t="s">
        <v>2549</v>
      </c>
      <c r="E1342" t="s">
        <v>36</v>
      </c>
      <c r="F1342" t="s">
        <v>2550</v>
      </c>
      <c r="G1342" s="92"/>
      <c r="H1342" s="92"/>
      <c r="I1342" s="92"/>
      <c r="J1342" s="92"/>
      <c r="K1342" s="92"/>
      <c r="L1342" s="9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9"/>
    </row>
    <row r="1343" spans="1:14" hidden="1" x14ac:dyDescent="0.15">
      <c r="A1343">
        <v>1343</v>
      </c>
      <c r="B1343" t="s">
        <v>1424</v>
      </c>
      <c r="C1343" t="s">
        <v>15</v>
      </c>
      <c r="D1343" s="72" t="s">
        <v>2551</v>
      </c>
      <c r="E1343" t="s">
        <v>36</v>
      </c>
      <c r="F1343" t="s">
        <v>2552</v>
      </c>
      <c r="G1343" s="92"/>
      <c r="H1343" s="92"/>
      <c r="I1343" s="92"/>
      <c r="J1343" s="92"/>
      <c r="K1343" s="92"/>
      <c r="L1343" s="9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9"/>
    </row>
    <row r="1344" spans="1:14" hidden="1" x14ac:dyDescent="0.15">
      <c r="A1344">
        <v>1344</v>
      </c>
      <c r="B1344" t="s">
        <v>1424</v>
      </c>
      <c r="C1344" t="s">
        <v>15</v>
      </c>
      <c r="D1344" s="72" t="s">
        <v>1093</v>
      </c>
      <c r="E1344" t="s">
        <v>36</v>
      </c>
      <c r="F1344" t="s">
        <v>1094</v>
      </c>
      <c r="G1344" s="92"/>
      <c r="H1344" s="92"/>
      <c r="I1344" s="92"/>
      <c r="J1344" s="92"/>
      <c r="K1344" s="92"/>
      <c r="L1344" s="9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9"/>
    </row>
    <row r="1345" spans="1:14" hidden="1" x14ac:dyDescent="0.15">
      <c r="A1345">
        <v>1345</v>
      </c>
      <c r="B1345" t="s">
        <v>1424</v>
      </c>
      <c r="C1345" t="s">
        <v>15</v>
      </c>
      <c r="D1345" s="72" t="s">
        <v>1095</v>
      </c>
      <c r="E1345" t="s">
        <v>36</v>
      </c>
      <c r="F1345" t="s">
        <v>2553</v>
      </c>
      <c r="G1345" s="92"/>
      <c r="H1345" s="92"/>
      <c r="I1345" s="92"/>
      <c r="J1345" s="92"/>
      <c r="K1345" s="92"/>
      <c r="L1345" s="9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9"/>
    </row>
    <row r="1346" spans="1:14" hidden="1" x14ac:dyDescent="0.15">
      <c r="A1346">
        <v>1346</v>
      </c>
      <c r="B1346" t="s">
        <v>1424</v>
      </c>
      <c r="C1346" t="s">
        <v>15</v>
      </c>
      <c r="D1346" s="72" t="s">
        <v>2554</v>
      </c>
      <c r="E1346" t="s">
        <v>36</v>
      </c>
      <c r="F1346" t="s">
        <v>2555</v>
      </c>
      <c r="G1346" s="92"/>
      <c r="H1346" s="92"/>
      <c r="I1346" s="92"/>
      <c r="J1346" s="92"/>
      <c r="K1346" s="92"/>
      <c r="L1346" s="9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9"/>
    </row>
    <row r="1347" spans="1:14" hidden="1" x14ac:dyDescent="0.15">
      <c r="A1347">
        <v>1347</v>
      </c>
      <c r="B1347" t="s">
        <v>1424</v>
      </c>
      <c r="C1347" t="s">
        <v>15</v>
      </c>
      <c r="D1347" s="72" t="s">
        <v>2556</v>
      </c>
      <c r="E1347" t="s">
        <v>36</v>
      </c>
      <c r="F1347" t="s">
        <v>2557</v>
      </c>
      <c r="G1347" s="92"/>
      <c r="H1347" s="92"/>
      <c r="I1347" s="92"/>
      <c r="J1347" s="92"/>
      <c r="K1347" s="92"/>
      <c r="L1347" s="9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9"/>
    </row>
    <row r="1348" spans="1:14" hidden="1" x14ac:dyDescent="0.15">
      <c r="A1348">
        <v>1348</v>
      </c>
      <c r="B1348" t="s">
        <v>1424</v>
      </c>
      <c r="C1348" t="s">
        <v>15</v>
      </c>
      <c r="D1348" s="72" t="s">
        <v>54</v>
      </c>
      <c r="E1348" t="s">
        <v>36</v>
      </c>
      <c r="F1348" t="s">
        <v>2558</v>
      </c>
      <c r="G1348" s="92"/>
      <c r="H1348" s="92"/>
      <c r="I1348" s="92"/>
      <c r="J1348" s="92"/>
      <c r="K1348" s="92"/>
      <c r="L1348" s="9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9"/>
    </row>
    <row r="1349" spans="1:14" hidden="1" x14ac:dyDescent="0.15">
      <c r="A1349">
        <v>1349</v>
      </c>
      <c r="B1349" t="s">
        <v>1424</v>
      </c>
      <c r="C1349" t="s">
        <v>15</v>
      </c>
      <c r="D1349" s="72" t="s">
        <v>2559</v>
      </c>
      <c r="E1349" t="s">
        <v>36</v>
      </c>
      <c r="F1349" t="s">
        <v>2560</v>
      </c>
      <c r="G1349" s="92"/>
      <c r="H1349" s="92"/>
      <c r="I1349" s="92"/>
      <c r="J1349" s="92"/>
      <c r="K1349" s="92"/>
      <c r="L1349" s="9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9"/>
    </row>
    <row r="1350" spans="1:14" hidden="1" x14ac:dyDescent="0.15">
      <c r="A1350">
        <v>1350</v>
      </c>
      <c r="B1350" t="s">
        <v>1424</v>
      </c>
      <c r="C1350" t="s">
        <v>15</v>
      </c>
      <c r="D1350" s="72" t="s">
        <v>781</v>
      </c>
      <c r="E1350" t="s">
        <v>36</v>
      </c>
      <c r="F1350" t="s">
        <v>782</v>
      </c>
      <c r="G1350" s="92"/>
      <c r="H1350" s="92"/>
      <c r="I1350" s="92"/>
      <c r="J1350" s="92"/>
      <c r="K1350" s="92"/>
      <c r="L1350" s="9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9"/>
    </row>
    <row r="1351" spans="1:14" hidden="1" x14ac:dyDescent="0.15">
      <c r="A1351">
        <v>1351</v>
      </c>
      <c r="B1351" t="s">
        <v>1424</v>
      </c>
      <c r="C1351" t="s">
        <v>15</v>
      </c>
      <c r="D1351" s="72" t="s">
        <v>2561</v>
      </c>
      <c r="E1351" t="s">
        <v>36</v>
      </c>
      <c r="F1351" t="s">
        <v>2558</v>
      </c>
      <c r="G1351" s="92"/>
      <c r="H1351" s="92"/>
      <c r="I1351" s="92"/>
      <c r="J1351" s="92"/>
      <c r="K1351" s="92"/>
      <c r="L1351" s="9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9"/>
    </row>
    <row r="1352" spans="1:14" hidden="1" x14ac:dyDescent="0.15">
      <c r="A1352">
        <v>1352</v>
      </c>
      <c r="B1352" t="s">
        <v>1424</v>
      </c>
      <c r="C1352" t="s">
        <v>15</v>
      </c>
      <c r="D1352" s="72" t="s">
        <v>2562</v>
      </c>
      <c r="E1352" t="s">
        <v>61</v>
      </c>
      <c r="F1352" t="s">
        <v>2563</v>
      </c>
      <c r="G1352" s="92"/>
      <c r="H1352" s="92"/>
      <c r="I1352" s="92"/>
      <c r="J1352" s="92"/>
      <c r="K1352" s="92"/>
      <c r="L1352" s="9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9"/>
    </row>
    <row r="1353" spans="1:14" hidden="1" x14ac:dyDescent="0.15">
      <c r="A1353">
        <v>1353</v>
      </c>
      <c r="B1353" t="s">
        <v>1424</v>
      </c>
      <c r="C1353" t="s">
        <v>15</v>
      </c>
      <c r="D1353" s="72" t="s">
        <v>2564</v>
      </c>
      <c r="E1353" t="s">
        <v>36</v>
      </c>
      <c r="F1353" t="s">
        <v>2565</v>
      </c>
      <c r="G1353" s="92"/>
      <c r="H1353" s="92"/>
      <c r="I1353" s="92"/>
      <c r="J1353" s="92"/>
      <c r="K1353" s="92"/>
      <c r="L1353" s="9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9"/>
    </row>
    <row r="1354" spans="1:14" hidden="1" x14ac:dyDescent="0.15">
      <c r="A1354">
        <v>1354</v>
      </c>
      <c r="B1354" t="s">
        <v>1424</v>
      </c>
      <c r="C1354" t="s">
        <v>15</v>
      </c>
      <c r="D1354" s="72" t="s">
        <v>2566</v>
      </c>
      <c r="E1354" t="s">
        <v>36</v>
      </c>
      <c r="F1354" t="s">
        <v>2567</v>
      </c>
      <c r="G1354" s="92"/>
      <c r="H1354" s="92"/>
      <c r="I1354" s="92"/>
      <c r="J1354" s="92"/>
      <c r="K1354" s="92"/>
      <c r="L1354" s="9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9"/>
    </row>
    <row r="1355" spans="1:14" hidden="1" x14ac:dyDescent="0.15">
      <c r="A1355">
        <v>1355</v>
      </c>
      <c r="B1355" t="s">
        <v>1424</v>
      </c>
      <c r="C1355" t="s">
        <v>15</v>
      </c>
      <c r="D1355" s="72" t="s">
        <v>1069</v>
      </c>
      <c r="E1355" t="s">
        <v>36</v>
      </c>
      <c r="F1355" t="s">
        <v>1070</v>
      </c>
      <c r="G1355" s="92"/>
      <c r="H1355" s="92"/>
      <c r="I1355" s="92"/>
      <c r="J1355" s="92"/>
      <c r="K1355" s="92"/>
      <c r="L1355" s="9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9"/>
    </row>
    <row r="1356" spans="1:14" hidden="1" x14ac:dyDescent="0.15">
      <c r="A1356">
        <v>1356</v>
      </c>
      <c r="B1356" t="s">
        <v>1424</v>
      </c>
      <c r="C1356" t="s">
        <v>15</v>
      </c>
      <c r="D1356" s="72" t="s">
        <v>1327</v>
      </c>
      <c r="E1356" t="s">
        <v>36</v>
      </c>
      <c r="F1356" t="s">
        <v>1328</v>
      </c>
      <c r="G1356" s="92"/>
      <c r="H1356" s="92"/>
      <c r="I1356" s="92"/>
      <c r="J1356" s="92"/>
      <c r="K1356" s="92"/>
      <c r="L1356" s="9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9"/>
    </row>
    <row r="1357" spans="1:14" hidden="1" x14ac:dyDescent="0.15">
      <c r="A1357">
        <v>1357</v>
      </c>
      <c r="B1357" t="s">
        <v>1424</v>
      </c>
      <c r="C1357" t="s">
        <v>15</v>
      </c>
      <c r="D1357" s="72" t="s">
        <v>2568</v>
      </c>
      <c r="E1357" t="s">
        <v>36</v>
      </c>
      <c r="F1357" t="s">
        <v>2569</v>
      </c>
      <c r="G1357" s="92"/>
      <c r="H1357" s="92"/>
      <c r="I1357" s="92"/>
      <c r="J1357" s="92"/>
      <c r="K1357" s="92"/>
      <c r="L1357" s="9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9"/>
    </row>
    <row r="1358" spans="1:14" hidden="1" x14ac:dyDescent="0.15">
      <c r="A1358">
        <v>1358</v>
      </c>
      <c r="B1358" t="s">
        <v>1424</v>
      </c>
      <c r="C1358" t="s">
        <v>15</v>
      </c>
      <c r="D1358" s="72" t="s">
        <v>2570</v>
      </c>
      <c r="E1358" t="s">
        <v>36</v>
      </c>
      <c r="F1358" t="s">
        <v>2571</v>
      </c>
      <c r="G1358" s="92"/>
      <c r="H1358" s="92"/>
      <c r="I1358" s="92"/>
      <c r="J1358" s="92"/>
      <c r="K1358" s="92"/>
      <c r="L1358" s="9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9"/>
    </row>
    <row r="1359" spans="1:14" hidden="1" x14ac:dyDescent="0.15">
      <c r="A1359">
        <v>1359</v>
      </c>
      <c r="B1359" t="s">
        <v>1424</v>
      </c>
      <c r="C1359" t="s">
        <v>15</v>
      </c>
      <c r="D1359" s="72" t="s">
        <v>2572</v>
      </c>
      <c r="E1359" t="s">
        <v>36</v>
      </c>
      <c r="F1359" t="s">
        <v>2573</v>
      </c>
      <c r="G1359" s="92"/>
      <c r="H1359" s="92"/>
      <c r="I1359" s="92"/>
      <c r="J1359" s="92"/>
      <c r="K1359" s="92"/>
      <c r="L1359" s="9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9"/>
    </row>
    <row r="1360" spans="1:14" hidden="1" x14ac:dyDescent="0.15">
      <c r="A1360">
        <v>1360</v>
      </c>
      <c r="B1360" t="s">
        <v>1424</v>
      </c>
      <c r="C1360" t="s">
        <v>15</v>
      </c>
      <c r="D1360" s="72" t="s">
        <v>2574</v>
      </c>
      <c r="E1360" t="s">
        <v>36</v>
      </c>
      <c r="F1360" t="s">
        <v>2575</v>
      </c>
      <c r="G1360" s="92"/>
      <c r="H1360" s="92"/>
      <c r="I1360" s="92"/>
      <c r="J1360" s="92"/>
      <c r="K1360" s="92"/>
      <c r="L1360" s="9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9"/>
    </row>
    <row r="1361" spans="1:14" hidden="1" x14ac:dyDescent="0.15">
      <c r="A1361">
        <v>1361</v>
      </c>
      <c r="B1361" t="s">
        <v>1424</v>
      </c>
      <c r="C1361" t="s">
        <v>15</v>
      </c>
      <c r="D1361" s="72" t="s">
        <v>2576</v>
      </c>
      <c r="E1361" t="s">
        <v>73</v>
      </c>
      <c r="F1361" t="s">
        <v>2577</v>
      </c>
      <c r="G1361" s="92"/>
      <c r="H1361" s="92"/>
      <c r="I1361" s="92"/>
      <c r="J1361" s="92"/>
      <c r="K1361" s="92"/>
      <c r="L1361" s="9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9"/>
    </row>
    <row r="1362" spans="1:14" hidden="1" x14ac:dyDescent="0.15">
      <c r="A1362">
        <v>1362</v>
      </c>
      <c r="B1362" t="s">
        <v>1424</v>
      </c>
      <c r="C1362" t="s">
        <v>15</v>
      </c>
      <c r="D1362" s="72" t="s">
        <v>2578</v>
      </c>
      <c r="E1362" t="s">
        <v>36</v>
      </c>
      <c r="F1362" t="s">
        <v>2579</v>
      </c>
      <c r="G1362" s="92"/>
      <c r="H1362" s="92"/>
      <c r="I1362" s="92"/>
      <c r="J1362" s="92"/>
      <c r="K1362" s="92"/>
      <c r="L1362" s="9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9"/>
    </row>
    <row r="1363" spans="1:14" hidden="1" x14ac:dyDescent="0.15">
      <c r="A1363">
        <v>1363</v>
      </c>
      <c r="B1363" t="s">
        <v>1424</v>
      </c>
      <c r="C1363" t="s">
        <v>15</v>
      </c>
      <c r="D1363" s="72" t="s">
        <v>2580</v>
      </c>
      <c r="E1363" t="s">
        <v>702</v>
      </c>
      <c r="F1363" t="s">
        <v>2581</v>
      </c>
      <c r="G1363" s="92"/>
      <c r="H1363" s="92"/>
      <c r="I1363" s="92"/>
      <c r="J1363" s="92"/>
      <c r="K1363" s="92"/>
      <c r="L1363" s="9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9"/>
    </row>
    <row r="1364" spans="1:14" hidden="1" x14ac:dyDescent="0.15">
      <c r="A1364">
        <v>1364</v>
      </c>
      <c r="B1364" t="s">
        <v>1424</v>
      </c>
      <c r="C1364" t="s">
        <v>15</v>
      </c>
      <c r="D1364" s="72" t="s">
        <v>2582</v>
      </c>
      <c r="E1364" t="s">
        <v>36</v>
      </c>
      <c r="F1364" t="s">
        <v>2583</v>
      </c>
      <c r="G1364" s="92"/>
      <c r="H1364" s="92"/>
      <c r="I1364" s="92"/>
      <c r="J1364" s="92"/>
      <c r="K1364" s="92"/>
      <c r="L1364" s="9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9"/>
    </row>
    <row r="1365" spans="1:14" hidden="1" x14ac:dyDescent="0.15">
      <c r="A1365">
        <v>1365</v>
      </c>
      <c r="B1365" t="s">
        <v>1424</v>
      </c>
      <c r="C1365" t="s">
        <v>15</v>
      </c>
      <c r="D1365" s="72" t="s">
        <v>103</v>
      </c>
      <c r="E1365" t="s">
        <v>61</v>
      </c>
      <c r="F1365" t="s">
        <v>104</v>
      </c>
      <c r="G1365" s="92"/>
      <c r="H1365" s="92"/>
      <c r="I1365" s="92"/>
      <c r="J1365" s="92"/>
      <c r="K1365" s="92"/>
      <c r="L1365" s="9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9"/>
    </row>
    <row r="1366" spans="1:14" hidden="1" x14ac:dyDescent="0.15">
      <c r="A1366">
        <v>1366</v>
      </c>
      <c r="B1366" t="s">
        <v>1424</v>
      </c>
      <c r="C1366" t="s">
        <v>15</v>
      </c>
      <c r="D1366" s="72" t="s">
        <v>2584</v>
      </c>
      <c r="E1366" t="s">
        <v>36</v>
      </c>
      <c r="F1366" t="s">
        <v>2585</v>
      </c>
      <c r="G1366" s="92"/>
      <c r="H1366" s="92"/>
      <c r="I1366" s="92"/>
      <c r="J1366" s="92"/>
      <c r="K1366" s="92"/>
      <c r="L1366" s="9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9"/>
    </row>
    <row r="1367" spans="1:14" hidden="1" x14ac:dyDescent="0.15">
      <c r="A1367">
        <v>1367</v>
      </c>
      <c r="B1367" t="s">
        <v>1424</v>
      </c>
      <c r="C1367" t="s">
        <v>15</v>
      </c>
      <c r="D1367" s="72" t="s">
        <v>2586</v>
      </c>
      <c r="E1367" t="s">
        <v>73</v>
      </c>
      <c r="F1367" t="s">
        <v>2587</v>
      </c>
      <c r="G1367" s="92"/>
      <c r="H1367" s="92"/>
      <c r="I1367" s="92"/>
      <c r="J1367" s="92"/>
      <c r="K1367" s="92"/>
      <c r="L1367" s="9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9"/>
    </row>
    <row r="1368" spans="1:14" hidden="1" x14ac:dyDescent="0.15">
      <c r="A1368">
        <v>1368</v>
      </c>
      <c r="B1368" t="s">
        <v>1424</v>
      </c>
      <c r="C1368" t="s">
        <v>15</v>
      </c>
      <c r="D1368" s="72" t="s">
        <v>1218</v>
      </c>
      <c r="E1368" t="s">
        <v>36</v>
      </c>
      <c r="F1368" t="s">
        <v>2588</v>
      </c>
      <c r="G1368" s="92"/>
      <c r="H1368" s="92"/>
      <c r="I1368" s="92"/>
      <c r="J1368" s="92"/>
      <c r="K1368" s="92"/>
      <c r="L1368" s="9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9"/>
    </row>
    <row r="1369" spans="1:14" hidden="1" x14ac:dyDescent="0.15">
      <c r="A1369">
        <v>1369</v>
      </c>
      <c r="B1369" t="s">
        <v>1424</v>
      </c>
      <c r="C1369" t="s">
        <v>15</v>
      </c>
      <c r="D1369" s="72" t="s">
        <v>2589</v>
      </c>
      <c r="E1369" t="s">
        <v>61</v>
      </c>
      <c r="F1369" t="s">
        <v>2590</v>
      </c>
      <c r="G1369" s="92"/>
      <c r="H1369" s="92"/>
      <c r="I1369" s="92"/>
      <c r="J1369" s="92"/>
      <c r="K1369" s="92"/>
      <c r="L1369" s="9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9"/>
    </row>
    <row r="1370" spans="1:14" hidden="1" x14ac:dyDescent="0.15">
      <c r="A1370">
        <v>1370</v>
      </c>
      <c r="B1370" t="s">
        <v>1424</v>
      </c>
      <c r="C1370" t="s">
        <v>15</v>
      </c>
      <c r="D1370" s="72" t="s">
        <v>2591</v>
      </c>
      <c r="E1370" t="s">
        <v>736</v>
      </c>
      <c r="F1370" t="s">
        <v>2592</v>
      </c>
      <c r="G1370" s="92"/>
      <c r="H1370" s="92"/>
      <c r="I1370" s="92"/>
      <c r="J1370" s="92"/>
      <c r="K1370" s="92"/>
      <c r="L1370" s="9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9"/>
    </row>
    <row r="1371" spans="1:14" hidden="1" x14ac:dyDescent="0.15">
      <c r="A1371">
        <v>1371</v>
      </c>
      <c r="B1371" t="s">
        <v>1424</v>
      </c>
      <c r="C1371" t="s">
        <v>15</v>
      </c>
      <c r="D1371" s="72" t="s">
        <v>2593</v>
      </c>
      <c r="E1371" t="s">
        <v>73</v>
      </c>
      <c r="F1371" t="s">
        <v>2594</v>
      </c>
      <c r="G1371" s="92"/>
      <c r="H1371" s="92"/>
      <c r="I1371" s="92"/>
      <c r="J1371" s="92"/>
      <c r="K1371" s="92"/>
      <c r="L1371" s="9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9"/>
    </row>
    <row r="1372" spans="1:14" hidden="1" x14ac:dyDescent="0.15">
      <c r="A1372">
        <v>1372</v>
      </c>
      <c r="B1372" t="s">
        <v>1424</v>
      </c>
      <c r="C1372" t="s">
        <v>15</v>
      </c>
      <c r="D1372" s="72" t="s">
        <v>2595</v>
      </c>
      <c r="E1372" t="s">
        <v>36</v>
      </c>
      <c r="F1372" t="s">
        <v>2596</v>
      </c>
      <c r="G1372" s="92"/>
      <c r="H1372" s="92"/>
      <c r="I1372" s="92"/>
      <c r="J1372" s="92"/>
      <c r="K1372" s="92"/>
      <c r="L1372" s="9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9"/>
    </row>
    <row r="1373" spans="1:14" hidden="1" x14ac:dyDescent="0.15">
      <c r="A1373">
        <v>1373</v>
      </c>
      <c r="B1373" t="s">
        <v>1424</v>
      </c>
      <c r="C1373" t="s">
        <v>15</v>
      </c>
      <c r="D1373" s="72" t="s">
        <v>322</v>
      </c>
      <c r="E1373" t="s">
        <v>36</v>
      </c>
      <c r="F1373" t="s">
        <v>2597</v>
      </c>
      <c r="G1373" s="92"/>
      <c r="H1373" s="92"/>
      <c r="I1373" s="92"/>
      <c r="J1373" s="92"/>
      <c r="K1373" s="92"/>
      <c r="L1373" s="9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9"/>
    </row>
    <row r="1374" spans="1:14" hidden="1" x14ac:dyDescent="0.15">
      <c r="A1374">
        <v>1374</v>
      </c>
      <c r="B1374" t="s">
        <v>1424</v>
      </c>
      <c r="C1374" t="s">
        <v>15</v>
      </c>
      <c r="D1374" s="72" t="s">
        <v>2598</v>
      </c>
      <c r="E1374" t="s">
        <v>36</v>
      </c>
      <c r="F1374" t="s">
        <v>2599</v>
      </c>
      <c r="G1374" s="92"/>
      <c r="H1374" s="92"/>
      <c r="I1374" s="92"/>
      <c r="J1374" s="92"/>
      <c r="K1374" s="92"/>
      <c r="L1374" s="9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9"/>
    </row>
    <row r="1375" spans="1:14" hidden="1" x14ac:dyDescent="0.15">
      <c r="A1375">
        <v>1375</v>
      </c>
      <c r="B1375" t="s">
        <v>1424</v>
      </c>
      <c r="C1375" t="s">
        <v>15</v>
      </c>
      <c r="D1375" s="72" t="s">
        <v>2600</v>
      </c>
      <c r="E1375" t="s">
        <v>61</v>
      </c>
      <c r="F1375" t="s">
        <v>2601</v>
      </c>
      <c r="G1375" s="92"/>
      <c r="H1375" s="92"/>
      <c r="I1375" s="92"/>
      <c r="J1375" s="92"/>
      <c r="K1375" s="92"/>
      <c r="L1375" s="9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9"/>
    </row>
    <row r="1376" spans="1:14" hidden="1" x14ac:dyDescent="0.15">
      <c r="A1376">
        <v>1376</v>
      </c>
      <c r="B1376" t="s">
        <v>1424</v>
      </c>
      <c r="C1376" t="s">
        <v>15</v>
      </c>
      <c r="D1376" s="72" t="s">
        <v>2602</v>
      </c>
      <c r="E1376" t="s">
        <v>702</v>
      </c>
      <c r="F1376" t="s">
        <v>2603</v>
      </c>
      <c r="G1376" s="92"/>
      <c r="H1376" s="92"/>
      <c r="I1376" s="92"/>
      <c r="J1376" s="92"/>
      <c r="K1376" s="92"/>
      <c r="L1376" s="9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9"/>
    </row>
    <row r="1377" spans="1:14" hidden="1" x14ac:dyDescent="0.15">
      <c r="A1377">
        <v>1377</v>
      </c>
      <c r="B1377" t="s">
        <v>1424</v>
      </c>
      <c r="C1377" t="s">
        <v>15</v>
      </c>
      <c r="D1377" s="72" t="s">
        <v>2604</v>
      </c>
      <c r="E1377" t="s">
        <v>36</v>
      </c>
      <c r="F1377" t="s">
        <v>2605</v>
      </c>
      <c r="G1377" s="92"/>
      <c r="H1377" s="92"/>
      <c r="I1377" s="92"/>
      <c r="J1377" s="92"/>
      <c r="K1377" s="92"/>
      <c r="L1377" s="9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9"/>
    </row>
    <row r="1378" spans="1:14" hidden="1" x14ac:dyDescent="0.15">
      <c r="A1378">
        <v>1378</v>
      </c>
      <c r="B1378" t="s">
        <v>1424</v>
      </c>
      <c r="C1378" t="s">
        <v>15</v>
      </c>
      <c r="D1378" s="72" t="s">
        <v>2606</v>
      </c>
      <c r="E1378" t="s">
        <v>36</v>
      </c>
      <c r="F1378" t="s">
        <v>2607</v>
      </c>
      <c r="G1378" s="92"/>
      <c r="H1378" s="92"/>
      <c r="I1378" s="92"/>
      <c r="J1378" s="92"/>
      <c r="K1378" s="92"/>
      <c r="L1378" s="9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9"/>
    </row>
    <row r="1379" spans="1:14" hidden="1" x14ac:dyDescent="0.15">
      <c r="A1379">
        <v>1379</v>
      </c>
      <c r="B1379" t="s">
        <v>1424</v>
      </c>
      <c r="C1379" t="s">
        <v>15</v>
      </c>
      <c r="D1379" s="72" t="s">
        <v>2608</v>
      </c>
      <c r="E1379" t="s">
        <v>36</v>
      </c>
      <c r="F1379" t="s">
        <v>2609</v>
      </c>
      <c r="G1379" s="92"/>
      <c r="H1379" s="92"/>
      <c r="I1379" s="92"/>
      <c r="J1379" s="92"/>
      <c r="K1379" s="92"/>
      <c r="L1379" s="9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9"/>
    </row>
    <row r="1380" spans="1:14" hidden="1" x14ac:dyDescent="0.15">
      <c r="A1380">
        <v>1380</v>
      </c>
      <c r="B1380" t="s">
        <v>1424</v>
      </c>
      <c r="C1380" t="s">
        <v>15</v>
      </c>
      <c r="D1380" s="72" t="s">
        <v>1086</v>
      </c>
      <c r="E1380" t="s">
        <v>73</v>
      </c>
      <c r="F1380" t="s">
        <v>2610</v>
      </c>
      <c r="G1380" s="92"/>
      <c r="H1380" s="92"/>
      <c r="I1380" s="92"/>
      <c r="J1380" s="92"/>
      <c r="K1380" s="92"/>
      <c r="L1380" s="9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9"/>
    </row>
    <row r="1381" spans="1:14" hidden="1" x14ac:dyDescent="0.15">
      <c r="A1381">
        <v>1381</v>
      </c>
      <c r="B1381" t="s">
        <v>1424</v>
      </c>
      <c r="C1381" t="s">
        <v>15</v>
      </c>
      <c r="D1381" s="72" t="s">
        <v>2611</v>
      </c>
      <c r="E1381" t="s">
        <v>36</v>
      </c>
      <c r="F1381" t="s">
        <v>2612</v>
      </c>
      <c r="G1381" s="92"/>
      <c r="H1381" s="92"/>
      <c r="I1381" s="92"/>
      <c r="J1381" s="92"/>
      <c r="K1381" s="92"/>
      <c r="L1381" s="9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9"/>
    </row>
    <row r="1382" spans="1:14" hidden="1" x14ac:dyDescent="0.15">
      <c r="A1382">
        <v>1382</v>
      </c>
      <c r="B1382" t="s">
        <v>1424</v>
      </c>
      <c r="C1382" t="s">
        <v>15</v>
      </c>
      <c r="D1382" s="72" t="s">
        <v>2613</v>
      </c>
      <c r="E1382" t="s">
        <v>36</v>
      </c>
      <c r="F1382" t="s">
        <v>2614</v>
      </c>
      <c r="G1382" s="92"/>
      <c r="H1382" s="92"/>
      <c r="I1382" s="92"/>
      <c r="J1382" s="92"/>
      <c r="K1382" s="92"/>
      <c r="L1382" s="9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9"/>
    </row>
    <row r="1383" spans="1:14" hidden="1" x14ac:dyDescent="0.15">
      <c r="A1383">
        <v>1383</v>
      </c>
      <c r="B1383" t="s">
        <v>1424</v>
      </c>
      <c r="C1383" t="s">
        <v>15</v>
      </c>
      <c r="D1383" s="72" t="s">
        <v>2615</v>
      </c>
      <c r="E1383" t="s">
        <v>36</v>
      </c>
      <c r="F1383" t="s">
        <v>2616</v>
      </c>
      <c r="G1383" s="92"/>
      <c r="H1383" s="92"/>
      <c r="I1383" s="92"/>
      <c r="J1383" s="92"/>
      <c r="K1383" s="92"/>
      <c r="L1383" s="9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9"/>
    </row>
    <row r="1384" spans="1:14" hidden="1" x14ac:dyDescent="0.15">
      <c r="A1384">
        <v>1384</v>
      </c>
      <c r="B1384" t="s">
        <v>1424</v>
      </c>
      <c r="C1384" t="s">
        <v>15</v>
      </c>
      <c r="D1384" s="72" t="s">
        <v>2617</v>
      </c>
      <c r="E1384" t="s">
        <v>36</v>
      </c>
      <c r="F1384" t="s">
        <v>2618</v>
      </c>
      <c r="G1384" s="92"/>
      <c r="H1384" s="92"/>
      <c r="I1384" s="92"/>
      <c r="J1384" s="92"/>
      <c r="K1384" s="92"/>
      <c r="L1384" s="9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9"/>
    </row>
    <row r="1385" spans="1:14" hidden="1" x14ac:dyDescent="0.15">
      <c r="A1385">
        <v>1385</v>
      </c>
      <c r="B1385" t="s">
        <v>1424</v>
      </c>
      <c r="C1385" t="s">
        <v>15</v>
      </c>
      <c r="D1385" s="72" t="s">
        <v>2619</v>
      </c>
      <c r="E1385" t="s">
        <v>702</v>
      </c>
      <c r="F1385" t="s">
        <v>2620</v>
      </c>
      <c r="G1385" s="92"/>
      <c r="H1385" s="92"/>
      <c r="I1385" s="92"/>
      <c r="J1385" s="92"/>
      <c r="K1385" s="92"/>
      <c r="L1385" s="9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9"/>
    </row>
    <row r="1386" spans="1:14" hidden="1" x14ac:dyDescent="0.15">
      <c r="A1386">
        <v>1386</v>
      </c>
      <c r="B1386" t="s">
        <v>1424</v>
      </c>
      <c r="C1386" t="s">
        <v>15</v>
      </c>
      <c r="D1386" s="72" t="s">
        <v>124</v>
      </c>
      <c r="E1386" t="s">
        <v>36</v>
      </c>
      <c r="F1386" t="s">
        <v>2621</v>
      </c>
      <c r="G1386" s="92"/>
      <c r="H1386" s="92"/>
      <c r="I1386" s="92"/>
      <c r="J1386" s="92"/>
      <c r="K1386" s="92"/>
      <c r="L1386" s="9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9"/>
    </row>
    <row r="1387" spans="1:14" hidden="1" x14ac:dyDescent="0.15">
      <c r="A1387">
        <v>1387</v>
      </c>
      <c r="B1387" t="s">
        <v>1424</v>
      </c>
      <c r="C1387" t="s">
        <v>15</v>
      </c>
      <c r="D1387" s="72" t="s">
        <v>305</v>
      </c>
      <c r="E1387" t="s">
        <v>36</v>
      </c>
      <c r="F1387" t="s">
        <v>612</v>
      </c>
      <c r="G1387" s="92"/>
      <c r="H1387" s="92"/>
      <c r="I1387" s="92"/>
      <c r="J1387" s="92"/>
      <c r="K1387" s="92"/>
      <c r="L1387" s="9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9"/>
    </row>
    <row r="1388" spans="1:14" hidden="1" x14ac:dyDescent="0.15">
      <c r="A1388">
        <v>1388</v>
      </c>
      <c r="B1388" t="s">
        <v>1424</v>
      </c>
      <c r="C1388" t="s">
        <v>15</v>
      </c>
      <c r="D1388" s="72" t="s">
        <v>2622</v>
      </c>
      <c r="E1388" t="s">
        <v>61</v>
      </c>
      <c r="F1388" t="s">
        <v>2623</v>
      </c>
      <c r="G1388" s="92"/>
      <c r="H1388" s="92"/>
      <c r="I1388" s="92"/>
      <c r="J1388" s="92"/>
      <c r="K1388" s="92"/>
      <c r="L1388" s="9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9"/>
    </row>
    <row r="1389" spans="1:14" hidden="1" x14ac:dyDescent="0.15">
      <c r="A1389">
        <v>1389</v>
      </c>
      <c r="B1389" t="s">
        <v>1424</v>
      </c>
      <c r="C1389" t="s">
        <v>15</v>
      </c>
      <c r="D1389" s="72" t="s">
        <v>2624</v>
      </c>
      <c r="E1389" t="s">
        <v>702</v>
      </c>
      <c r="F1389" t="s">
        <v>2625</v>
      </c>
      <c r="G1389" s="92"/>
      <c r="H1389" s="92"/>
      <c r="I1389" s="92"/>
      <c r="J1389" s="92"/>
      <c r="K1389" s="92"/>
      <c r="L1389" s="9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9"/>
    </row>
    <row r="1390" spans="1:14" hidden="1" x14ac:dyDescent="0.15">
      <c r="A1390">
        <v>1390</v>
      </c>
      <c r="B1390" t="s">
        <v>1424</v>
      </c>
      <c r="C1390" t="s">
        <v>15</v>
      </c>
      <c r="D1390" s="72" t="s">
        <v>2626</v>
      </c>
      <c r="E1390" t="s">
        <v>36</v>
      </c>
      <c r="F1390" t="s">
        <v>2627</v>
      </c>
      <c r="G1390" s="92"/>
      <c r="H1390" s="92"/>
      <c r="I1390" s="92"/>
      <c r="J1390" s="92"/>
      <c r="K1390" s="92"/>
      <c r="L1390" s="9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9"/>
    </row>
    <row r="1391" spans="1:14" hidden="1" x14ac:dyDescent="0.15">
      <c r="A1391">
        <v>1391</v>
      </c>
      <c r="B1391" t="s">
        <v>1424</v>
      </c>
      <c r="C1391" t="s">
        <v>15</v>
      </c>
      <c r="D1391" s="72" t="s">
        <v>2628</v>
      </c>
      <c r="E1391" t="s">
        <v>157</v>
      </c>
      <c r="F1391" t="s">
        <v>2629</v>
      </c>
      <c r="G1391" s="92"/>
      <c r="H1391" s="92"/>
      <c r="I1391" s="92"/>
      <c r="J1391" s="92"/>
      <c r="K1391" s="92"/>
      <c r="L1391" s="9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9"/>
    </row>
    <row r="1392" spans="1:14" hidden="1" x14ac:dyDescent="0.15">
      <c r="A1392">
        <v>1392</v>
      </c>
      <c r="B1392" t="s">
        <v>1424</v>
      </c>
      <c r="C1392" t="s">
        <v>15</v>
      </c>
      <c r="D1392" s="72" t="s">
        <v>2630</v>
      </c>
      <c r="E1392" t="s">
        <v>36</v>
      </c>
      <c r="F1392" t="s">
        <v>2631</v>
      </c>
      <c r="G1392" s="92"/>
      <c r="H1392" s="92"/>
      <c r="I1392" s="92"/>
      <c r="J1392" s="92"/>
      <c r="K1392" s="92"/>
      <c r="L1392" s="9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9"/>
    </row>
    <row r="1393" spans="1:14" hidden="1" x14ac:dyDescent="0.15">
      <c r="A1393">
        <v>1393</v>
      </c>
      <c r="B1393" t="s">
        <v>1424</v>
      </c>
      <c r="C1393" t="s">
        <v>15</v>
      </c>
      <c r="D1393" s="72" t="s">
        <v>2632</v>
      </c>
      <c r="E1393" t="s">
        <v>36</v>
      </c>
      <c r="F1393" t="s">
        <v>2633</v>
      </c>
      <c r="G1393" s="92"/>
      <c r="H1393" s="92"/>
      <c r="I1393" s="92"/>
      <c r="J1393" s="92"/>
      <c r="K1393" s="92"/>
      <c r="L1393" s="9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9"/>
    </row>
    <row r="1394" spans="1:14" hidden="1" x14ac:dyDescent="0.15">
      <c r="A1394">
        <v>1394</v>
      </c>
      <c r="B1394" t="s">
        <v>1424</v>
      </c>
      <c r="C1394" t="s">
        <v>15</v>
      </c>
      <c r="D1394" s="72" t="s">
        <v>2634</v>
      </c>
      <c r="E1394" t="s">
        <v>36</v>
      </c>
      <c r="F1394" t="s">
        <v>2635</v>
      </c>
      <c r="G1394" s="92"/>
      <c r="H1394" s="92"/>
      <c r="I1394" s="92"/>
      <c r="J1394" s="92"/>
      <c r="K1394" s="92"/>
      <c r="L1394" s="9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9"/>
    </row>
    <row r="1395" spans="1:14" hidden="1" x14ac:dyDescent="0.15">
      <c r="A1395">
        <v>1395</v>
      </c>
      <c r="B1395" t="s">
        <v>1424</v>
      </c>
      <c r="C1395" t="s">
        <v>15</v>
      </c>
      <c r="D1395" s="72" t="s">
        <v>2636</v>
      </c>
      <c r="E1395" t="s">
        <v>702</v>
      </c>
      <c r="F1395" t="s">
        <v>2637</v>
      </c>
      <c r="G1395" s="92"/>
      <c r="H1395" s="92"/>
      <c r="I1395" s="92"/>
      <c r="J1395" s="92"/>
      <c r="K1395" s="92"/>
      <c r="L1395" s="9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9"/>
    </row>
    <row r="1396" spans="1:14" hidden="1" x14ac:dyDescent="0.15">
      <c r="A1396">
        <v>1396</v>
      </c>
      <c r="B1396" t="s">
        <v>1424</v>
      </c>
      <c r="C1396" t="s">
        <v>15</v>
      </c>
      <c r="D1396" s="72" t="s">
        <v>2638</v>
      </c>
      <c r="E1396" t="s">
        <v>36</v>
      </c>
      <c r="F1396" t="s">
        <v>2639</v>
      </c>
      <c r="G1396" s="92"/>
      <c r="H1396" s="92"/>
      <c r="I1396" s="92"/>
      <c r="J1396" s="92"/>
      <c r="K1396" s="92"/>
      <c r="L1396" s="9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9"/>
    </row>
    <row r="1397" spans="1:14" hidden="1" x14ac:dyDescent="0.15">
      <c r="A1397">
        <v>1397</v>
      </c>
      <c r="B1397" t="s">
        <v>1424</v>
      </c>
      <c r="C1397" t="s">
        <v>15</v>
      </c>
      <c r="D1397" s="72" t="s">
        <v>2640</v>
      </c>
      <c r="E1397" t="s">
        <v>61</v>
      </c>
      <c r="F1397" t="s">
        <v>2059</v>
      </c>
      <c r="G1397" s="92"/>
      <c r="H1397" s="92"/>
      <c r="I1397" s="92"/>
      <c r="J1397" s="92"/>
      <c r="K1397" s="92"/>
      <c r="L1397" s="9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9"/>
    </row>
    <row r="1398" spans="1:14" hidden="1" x14ac:dyDescent="0.15">
      <c r="A1398">
        <v>1398</v>
      </c>
      <c r="B1398" t="s">
        <v>1424</v>
      </c>
      <c r="C1398" t="s">
        <v>16</v>
      </c>
      <c r="D1398" s="72" t="s">
        <v>2641</v>
      </c>
      <c r="E1398" t="s">
        <v>36</v>
      </c>
      <c r="F1398" t="s">
        <v>2642</v>
      </c>
      <c r="G1398" s="92"/>
      <c r="H1398" s="92"/>
      <c r="I1398" s="92"/>
      <c r="J1398" s="92"/>
      <c r="K1398" s="92"/>
      <c r="L1398" s="9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9"/>
    </row>
    <row r="1399" spans="1:14" hidden="1" x14ac:dyDescent="0.15">
      <c r="A1399">
        <v>1399</v>
      </c>
      <c r="B1399" t="s">
        <v>1424</v>
      </c>
      <c r="C1399" t="s">
        <v>16</v>
      </c>
      <c r="D1399" s="72" t="s">
        <v>2643</v>
      </c>
      <c r="E1399" t="s">
        <v>36</v>
      </c>
      <c r="F1399" t="s">
        <v>2644</v>
      </c>
      <c r="G1399" s="92"/>
      <c r="H1399" s="92"/>
      <c r="I1399" s="92"/>
      <c r="J1399" s="92"/>
      <c r="K1399" s="92"/>
      <c r="L1399" s="9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9"/>
    </row>
    <row r="1400" spans="1:14" hidden="1" x14ac:dyDescent="0.15">
      <c r="A1400">
        <v>1400</v>
      </c>
      <c r="B1400" t="s">
        <v>1424</v>
      </c>
      <c r="C1400" t="s">
        <v>16</v>
      </c>
      <c r="D1400" s="72" t="s">
        <v>2645</v>
      </c>
      <c r="E1400" t="s">
        <v>702</v>
      </c>
      <c r="F1400" t="s">
        <v>2646</v>
      </c>
      <c r="G1400" s="92"/>
      <c r="H1400" s="92"/>
      <c r="I1400" s="92"/>
      <c r="J1400" s="92"/>
      <c r="K1400" s="92"/>
      <c r="L1400" s="9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9"/>
    </row>
    <row r="1401" spans="1:14" hidden="1" x14ac:dyDescent="0.15">
      <c r="A1401">
        <v>1401</v>
      </c>
      <c r="B1401" t="s">
        <v>1424</v>
      </c>
      <c r="C1401" t="s">
        <v>16</v>
      </c>
      <c r="D1401" s="72" t="s">
        <v>2647</v>
      </c>
      <c r="E1401" t="s">
        <v>702</v>
      </c>
      <c r="F1401" t="s">
        <v>2648</v>
      </c>
      <c r="G1401" s="92"/>
      <c r="H1401" s="92"/>
      <c r="I1401" s="92"/>
      <c r="J1401" s="92"/>
      <c r="K1401" s="92"/>
      <c r="L1401" s="9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9"/>
    </row>
    <row r="1402" spans="1:14" hidden="1" x14ac:dyDescent="0.15">
      <c r="A1402">
        <v>1402</v>
      </c>
      <c r="B1402" t="s">
        <v>1424</v>
      </c>
      <c r="C1402" t="s">
        <v>16</v>
      </c>
      <c r="D1402" s="72" t="s">
        <v>2649</v>
      </c>
      <c r="E1402" t="s">
        <v>73</v>
      </c>
      <c r="F1402" t="s">
        <v>2650</v>
      </c>
      <c r="G1402" s="92"/>
      <c r="H1402" s="92"/>
      <c r="I1402" s="92"/>
      <c r="J1402" s="92"/>
      <c r="K1402" s="92"/>
      <c r="L1402" s="9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9"/>
    </row>
    <row r="1403" spans="1:14" hidden="1" x14ac:dyDescent="0.15">
      <c r="A1403">
        <v>1403</v>
      </c>
      <c r="B1403" t="s">
        <v>1424</v>
      </c>
      <c r="C1403" t="s">
        <v>16</v>
      </c>
      <c r="D1403" s="72" t="s">
        <v>2651</v>
      </c>
      <c r="E1403" t="s">
        <v>36</v>
      </c>
      <c r="F1403" t="s">
        <v>2652</v>
      </c>
      <c r="G1403" s="92"/>
      <c r="H1403" s="92"/>
      <c r="I1403" s="92"/>
      <c r="J1403" s="92"/>
      <c r="K1403" s="92"/>
      <c r="L1403" s="9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9"/>
    </row>
    <row r="1404" spans="1:14" hidden="1" x14ac:dyDescent="0.15">
      <c r="A1404">
        <v>1404</v>
      </c>
      <c r="B1404" t="s">
        <v>1424</v>
      </c>
      <c r="C1404" t="s">
        <v>16</v>
      </c>
      <c r="D1404" s="72" t="s">
        <v>2653</v>
      </c>
      <c r="E1404" t="s">
        <v>36</v>
      </c>
      <c r="F1404" t="s">
        <v>2654</v>
      </c>
      <c r="G1404" s="92"/>
      <c r="H1404" s="92"/>
      <c r="I1404" s="92"/>
      <c r="J1404" s="92"/>
      <c r="K1404" s="92"/>
      <c r="L1404" s="9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9"/>
    </row>
    <row r="1405" spans="1:14" hidden="1" x14ac:dyDescent="0.15">
      <c r="A1405">
        <v>1405</v>
      </c>
      <c r="B1405" t="s">
        <v>1424</v>
      </c>
      <c r="C1405" t="s">
        <v>16</v>
      </c>
      <c r="D1405" s="72" t="s">
        <v>2655</v>
      </c>
      <c r="E1405" t="s">
        <v>36</v>
      </c>
      <c r="F1405" t="s">
        <v>2656</v>
      </c>
      <c r="G1405" s="92"/>
      <c r="H1405" s="92"/>
      <c r="I1405" s="92"/>
      <c r="J1405" s="92"/>
      <c r="K1405" s="92"/>
      <c r="L1405" s="9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9"/>
    </row>
    <row r="1406" spans="1:14" hidden="1" x14ac:dyDescent="0.15">
      <c r="A1406">
        <v>1406</v>
      </c>
      <c r="B1406" t="s">
        <v>1424</v>
      </c>
      <c r="C1406" t="s">
        <v>16</v>
      </c>
      <c r="D1406" s="72" t="s">
        <v>2657</v>
      </c>
      <c r="E1406" t="s">
        <v>36</v>
      </c>
      <c r="F1406" t="s">
        <v>2658</v>
      </c>
      <c r="G1406" s="92"/>
      <c r="H1406" s="92"/>
      <c r="I1406" s="92"/>
      <c r="J1406" s="92"/>
      <c r="K1406" s="92"/>
      <c r="L1406" s="9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9"/>
    </row>
    <row r="1407" spans="1:14" hidden="1" x14ac:dyDescent="0.15">
      <c r="A1407">
        <v>1407</v>
      </c>
      <c r="B1407" t="s">
        <v>1424</v>
      </c>
      <c r="C1407" t="s">
        <v>16</v>
      </c>
      <c r="D1407" s="72" t="s">
        <v>2659</v>
      </c>
      <c r="E1407" t="s">
        <v>36</v>
      </c>
      <c r="F1407" t="s">
        <v>2660</v>
      </c>
      <c r="G1407" s="92"/>
      <c r="H1407" s="92"/>
      <c r="I1407" s="92"/>
      <c r="J1407" s="92"/>
      <c r="K1407" s="92"/>
      <c r="L1407" s="9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9"/>
    </row>
    <row r="1408" spans="1:14" hidden="1" x14ac:dyDescent="0.15">
      <c r="A1408">
        <v>1408</v>
      </c>
      <c r="B1408" t="s">
        <v>1424</v>
      </c>
      <c r="C1408" t="s">
        <v>16</v>
      </c>
      <c r="D1408" s="72" t="s">
        <v>2661</v>
      </c>
      <c r="E1408" t="s">
        <v>36</v>
      </c>
      <c r="F1408" t="s">
        <v>2662</v>
      </c>
      <c r="G1408" s="92"/>
      <c r="H1408" s="92"/>
      <c r="I1408" s="92"/>
      <c r="J1408" s="92"/>
      <c r="K1408" s="92"/>
      <c r="L1408" s="9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9"/>
    </row>
    <row r="1409" spans="1:14" hidden="1" x14ac:dyDescent="0.15">
      <c r="A1409">
        <v>1409</v>
      </c>
      <c r="B1409" t="s">
        <v>1424</v>
      </c>
      <c r="C1409" t="s">
        <v>16</v>
      </c>
      <c r="D1409" s="72" t="s">
        <v>2663</v>
      </c>
      <c r="E1409" t="s">
        <v>36</v>
      </c>
      <c r="F1409" t="s">
        <v>2664</v>
      </c>
      <c r="G1409" s="92"/>
      <c r="H1409" s="92"/>
      <c r="I1409" s="92"/>
      <c r="J1409" s="92"/>
      <c r="K1409" s="92"/>
      <c r="L1409" s="9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9"/>
    </row>
    <row r="1410" spans="1:14" hidden="1" x14ac:dyDescent="0.15">
      <c r="A1410">
        <v>1410</v>
      </c>
      <c r="B1410" t="s">
        <v>1424</v>
      </c>
      <c r="C1410" t="s">
        <v>16</v>
      </c>
      <c r="D1410" s="72" t="s">
        <v>2665</v>
      </c>
      <c r="E1410" t="s">
        <v>36</v>
      </c>
      <c r="F1410" t="s">
        <v>2666</v>
      </c>
      <c r="G1410" s="92"/>
      <c r="H1410" s="92"/>
      <c r="I1410" s="92"/>
      <c r="J1410" s="92"/>
      <c r="K1410" s="92"/>
      <c r="L1410" s="9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9"/>
    </row>
    <row r="1411" spans="1:14" hidden="1" x14ac:dyDescent="0.15">
      <c r="A1411">
        <v>1411</v>
      </c>
      <c r="B1411" t="s">
        <v>1424</v>
      </c>
      <c r="C1411" t="s">
        <v>16</v>
      </c>
      <c r="D1411" s="72" t="s">
        <v>2667</v>
      </c>
      <c r="E1411" t="s">
        <v>359</v>
      </c>
      <c r="F1411" t="s">
        <v>2668</v>
      </c>
      <c r="G1411" s="92"/>
      <c r="H1411" s="92"/>
      <c r="I1411" s="92"/>
      <c r="J1411" s="92"/>
      <c r="K1411" s="92"/>
      <c r="L1411" s="9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9"/>
    </row>
    <row r="1412" spans="1:14" hidden="1" x14ac:dyDescent="0.15">
      <c r="A1412">
        <v>1412</v>
      </c>
      <c r="B1412" t="s">
        <v>1424</v>
      </c>
      <c r="C1412" t="s">
        <v>16</v>
      </c>
      <c r="D1412" s="72" t="s">
        <v>2669</v>
      </c>
      <c r="E1412" t="s">
        <v>359</v>
      </c>
      <c r="F1412" t="s">
        <v>2670</v>
      </c>
      <c r="G1412" s="92"/>
      <c r="H1412" s="92"/>
      <c r="I1412" s="92"/>
      <c r="J1412" s="92"/>
      <c r="K1412" s="92"/>
      <c r="L1412" s="9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9"/>
    </row>
    <row r="1413" spans="1:14" hidden="1" x14ac:dyDescent="0.15">
      <c r="A1413">
        <v>1413</v>
      </c>
      <c r="B1413" t="s">
        <v>1424</v>
      </c>
      <c r="C1413" t="s">
        <v>16</v>
      </c>
      <c r="D1413" s="72" t="s">
        <v>2671</v>
      </c>
      <c r="E1413" t="s">
        <v>359</v>
      </c>
      <c r="F1413" t="s">
        <v>2672</v>
      </c>
      <c r="G1413" s="92"/>
      <c r="H1413" s="92"/>
      <c r="I1413" s="92"/>
      <c r="J1413" s="92"/>
      <c r="K1413" s="92"/>
      <c r="L1413" s="9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9"/>
    </row>
    <row r="1414" spans="1:14" hidden="1" x14ac:dyDescent="0.15">
      <c r="A1414">
        <v>1414</v>
      </c>
      <c r="B1414" t="s">
        <v>1424</v>
      </c>
      <c r="C1414" t="s">
        <v>16</v>
      </c>
      <c r="D1414" s="72" t="s">
        <v>2673</v>
      </c>
      <c r="E1414" t="s">
        <v>359</v>
      </c>
      <c r="F1414" t="s">
        <v>2674</v>
      </c>
      <c r="G1414" s="92"/>
      <c r="H1414" s="92"/>
      <c r="I1414" s="92"/>
      <c r="J1414" s="92"/>
      <c r="K1414" s="92"/>
      <c r="L1414" s="9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9"/>
    </row>
    <row r="1415" spans="1:14" hidden="1" x14ac:dyDescent="0.15">
      <c r="A1415">
        <v>1415</v>
      </c>
      <c r="B1415" t="s">
        <v>1424</v>
      </c>
      <c r="C1415" t="s">
        <v>16</v>
      </c>
      <c r="D1415" s="72" t="s">
        <v>2675</v>
      </c>
      <c r="E1415" t="s">
        <v>702</v>
      </c>
      <c r="F1415" t="s">
        <v>2676</v>
      </c>
      <c r="G1415" s="92"/>
      <c r="H1415" s="92"/>
      <c r="I1415" s="92"/>
      <c r="J1415" s="92"/>
      <c r="K1415" s="92"/>
      <c r="L1415" s="9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9"/>
    </row>
    <row r="1416" spans="1:14" hidden="1" x14ac:dyDescent="0.15">
      <c r="A1416">
        <v>1416</v>
      </c>
      <c r="B1416" t="s">
        <v>1424</v>
      </c>
      <c r="C1416" t="s">
        <v>16</v>
      </c>
      <c r="D1416" s="72" t="s">
        <v>2677</v>
      </c>
      <c r="E1416" t="s">
        <v>61</v>
      </c>
      <c r="F1416" t="s">
        <v>2678</v>
      </c>
      <c r="G1416" s="92"/>
      <c r="H1416" s="92"/>
      <c r="I1416" s="92"/>
      <c r="J1416" s="92"/>
      <c r="K1416" s="92"/>
      <c r="L1416" s="9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9"/>
    </row>
    <row r="1417" spans="1:14" hidden="1" x14ac:dyDescent="0.15">
      <c r="A1417">
        <v>1417</v>
      </c>
      <c r="B1417" t="s">
        <v>1424</v>
      </c>
      <c r="C1417" t="s">
        <v>16</v>
      </c>
      <c r="D1417" s="72" t="s">
        <v>2679</v>
      </c>
      <c r="E1417" t="s">
        <v>36</v>
      </c>
      <c r="F1417" t="s">
        <v>2680</v>
      </c>
      <c r="G1417" s="92"/>
      <c r="H1417" s="92"/>
      <c r="I1417" s="92"/>
      <c r="J1417" s="92"/>
      <c r="K1417" s="92"/>
      <c r="L1417" s="9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9"/>
    </row>
    <row r="1418" spans="1:14" hidden="1" x14ac:dyDescent="0.15">
      <c r="A1418">
        <v>1418</v>
      </c>
      <c r="B1418" t="s">
        <v>1424</v>
      </c>
      <c r="C1418" t="s">
        <v>16</v>
      </c>
      <c r="D1418" s="72" t="s">
        <v>432</v>
      </c>
      <c r="E1418" t="s">
        <v>36</v>
      </c>
      <c r="F1418" t="s">
        <v>433</v>
      </c>
      <c r="G1418" s="92"/>
      <c r="H1418" s="92"/>
      <c r="I1418" s="92"/>
      <c r="J1418" s="92"/>
      <c r="K1418" s="92"/>
      <c r="L1418" s="9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9"/>
    </row>
    <row r="1419" spans="1:14" hidden="1" x14ac:dyDescent="0.15">
      <c r="A1419">
        <v>1419</v>
      </c>
      <c r="B1419" t="s">
        <v>1424</v>
      </c>
      <c r="C1419" t="s">
        <v>16</v>
      </c>
      <c r="D1419" s="72" t="s">
        <v>2681</v>
      </c>
      <c r="E1419" t="s">
        <v>73</v>
      </c>
      <c r="F1419" t="s">
        <v>2682</v>
      </c>
      <c r="G1419" s="92"/>
      <c r="H1419" s="92"/>
      <c r="I1419" s="92"/>
      <c r="J1419" s="92"/>
      <c r="K1419" s="92"/>
      <c r="L1419" s="9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9"/>
    </row>
    <row r="1420" spans="1:14" hidden="1" x14ac:dyDescent="0.15">
      <c r="A1420">
        <v>1420</v>
      </c>
      <c r="B1420" t="s">
        <v>1424</v>
      </c>
      <c r="C1420" t="s">
        <v>16</v>
      </c>
      <c r="D1420" s="72" t="s">
        <v>1168</v>
      </c>
      <c r="E1420" t="s">
        <v>73</v>
      </c>
      <c r="F1420" t="s">
        <v>1169</v>
      </c>
      <c r="G1420" s="92"/>
      <c r="H1420" s="92"/>
      <c r="I1420" s="92"/>
      <c r="J1420" s="92"/>
      <c r="K1420" s="92"/>
      <c r="L1420" s="9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9"/>
    </row>
    <row r="1421" spans="1:14" hidden="1" x14ac:dyDescent="0.15">
      <c r="A1421">
        <v>1421</v>
      </c>
      <c r="B1421" t="s">
        <v>1424</v>
      </c>
      <c r="C1421" t="s">
        <v>16</v>
      </c>
      <c r="D1421" s="72" t="s">
        <v>2683</v>
      </c>
      <c r="E1421" t="s">
        <v>36</v>
      </c>
      <c r="F1421" t="s">
        <v>2684</v>
      </c>
      <c r="G1421" s="92"/>
      <c r="H1421" s="92"/>
      <c r="I1421" s="92"/>
      <c r="J1421" s="92"/>
      <c r="K1421" s="92"/>
      <c r="L1421" s="9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9"/>
    </row>
    <row r="1422" spans="1:14" hidden="1" x14ac:dyDescent="0.15">
      <c r="A1422">
        <v>1422</v>
      </c>
      <c r="B1422" t="s">
        <v>1424</v>
      </c>
      <c r="C1422" t="s">
        <v>16</v>
      </c>
      <c r="D1422" s="72" t="s">
        <v>2685</v>
      </c>
      <c r="E1422" t="s">
        <v>73</v>
      </c>
      <c r="F1422" t="s">
        <v>2686</v>
      </c>
      <c r="G1422" s="92"/>
      <c r="H1422" s="92"/>
      <c r="I1422" s="92"/>
      <c r="J1422" s="92"/>
      <c r="K1422" s="92"/>
      <c r="L1422" s="9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9"/>
    </row>
    <row r="1423" spans="1:14" hidden="1" x14ac:dyDescent="0.15">
      <c r="A1423">
        <v>1423</v>
      </c>
      <c r="B1423" t="s">
        <v>1424</v>
      </c>
      <c r="C1423" t="s">
        <v>16</v>
      </c>
      <c r="D1423" s="72" t="s">
        <v>2687</v>
      </c>
      <c r="E1423" t="s">
        <v>73</v>
      </c>
      <c r="F1423" t="s">
        <v>2688</v>
      </c>
      <c r="G1423" s="92"/>
      <c r="H1423" s="92"/>
      <c r="I1423" s="92"/>
      <c r="J1423" s="92"/>
      <c r="K1423" s="92"/>
      <c r="L1423" s="9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9"/>
    </row>
    <row r="1424" spans="1:14" hidden="1" x14ac:dyDescent="0.15">
      <c r="A1424">
        <v>1424</v>
      </c>
      <c r="B1424" t="s">
        <v>1424</v>
      </c>
      <c r="C1424" t="s">
        <v>16</v>
      </c>
      <c r="D1424" s="72" t="s">
        <v>428</v>
      </c>
      <c r="E1424" t="s">
        <v>36</v>
      </c>
      <c r="F1424" t="s">
        <v>2689</v>
      </c>
      <c r="G1424" s="92"/>
      <c r="H1424" s="92"/>
      <c r="I1424" s="92"/>
      <c r="J1424" s="92"/>
      <c r="K1424" s="92"/>
      <c r="L1424" s="9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9"/>
    </row>
    <row r="1425" spans="1:14" hidden="1" x14ac:dyDescent="0.15">
      <c r="A1425">
        <v>1425</v>
      </c>
      <c r="B1425" t="s">
        <v>1424</v>
      </c>
      <c r="C1425" t="s">
        <v>16</v>
      </c>
      <c r="D1425" s="72" t="s">
        <v>2690</v>
      </c>
      <c r="E1425" t="s">
        <v>1019</v>
      </c>
      <c r="F1425" t="s">
        <v>2691</v>
      </c>
      <c r="G1425" s="92"/>
      <c r="H1425" s="92"/>
      <c r="I1425" s="92"/>
      <c r="J1425" s="92"/>
      <c r="K1425" s="92"/>
      <c r="L1425" s="9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9"/>
    </row>
    <row r="1426" spans="1:14" hidden="1" x14ac:dyDescent="0.15">
      <c r="A1426">
        <v>1426</v>
      </c>
      <c r="B1426" t="s">
        <v>1424</v>
      </c>
      <c r="C1426" t="s">
        <v>16</v>
      </c>
      <c r="D1426" s="72" t="s">
        <v>966</v>
      </c>
      <c r="E1426" t="s">
        <v>61</v>
      </c>
      <c r="F1426" t="s">
        <v>2692</v>
      </c>
      <c r="G1426" s="92"/>
      <c r="H1426" s="92"/>
      <c r="I1426" s="92"/>
      <c r="J1426" s="92"/>
      <c r="K1426" s="92"/>
      <c r="L1426" s="9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9"/>
    </row>
    <row r="1427" spans="1:14" hidden="1" x14ac:dyDescent="0.15">
      <c r="A1427">
        <v>1427</v>
      </c>
      <c r="B1427" t="s">
        <v>1424</v>
      </c>
      <c r="C1427" t="s">
        <v>16</v>
      </c>
      <c r="D1427" s="72" t="s">
        <v>2693</v>
      </c>
      <c r="E1427" t="s">
        <v>736</v>
      </c>
      <c r="F1427" t="s">
        <v>2694</v>
      </c>
      <c r="G1427" s="92"/>
      <c r="H1427" s="92"/>
      <c r="I1427" s="92"/>
      <c r="J1427" s="92"/>
      <c r="K1427" s="92"/>
      <c r="L1427" s="9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9"/>
    </row>
    <row r="1428" spans="1:14" hidden="1" x14ac:dyDescent="0.15">
      <c r="A1428">
        <v>1428</v>
      </c>
      <c r="B1428" t="s">
        <v>1424</v>
      </c>
      <c r="C1428" t="s">
        <v>16</v>
      </c>
      <c r="D1428" s="72" t="s">
        <v>2695</v>
      </c>
      <c r="E1428" t="s">
        <v>61</v>
      </c>
      <c r="F1428" t="s">
        <v>2696</v>
      </c>
      <c r="G1428" s="92"/>
      <c r="H1428" s="92"/>
      <c r="I1428" s="92"/>
      <c r="J1428" s="92"/>
      <c r="K1428" s="92"/>
      <c r="L1428" s="9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9"/>
    </row>
    <row r="1429" spans="1:14" hidden="1" x14ac:dyDescent="0.15">
      <c r="A1429">
        <v>1429</v>
      </c>
      <c r="B1429" t="s">
        <v>1424</v>
      </c>
      <c r="C1429" t="s">
        <v>16</v>
      </c>
      <c r="D1429" s="72" t="s">
        <v>2697</v>
      </c>
      <c r="E1429" t="s">
        <v>36</v>
      </c>
      <c r="F1429" t="s">
        <v>2698</v>
      </c>
      <c r="G1429" s="92"/>
      <c r="H1429" s="92"/>
      <c r="I1429" s="92"/>
      <c r="J1429" s="92"/>
      <c r="K1429" s="92"/>
      <c r="L1429" s="9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9"/>
    </row>
    <row r="1430" spans="1:14" hidden="1" x14ac:dyDescent="0.15">
      <c r="A1430">
        <v>1430</v>
      </c>
      <c r="B1430" t="s">
        <v>1424</v>
      </c>
      <c r="C1430" t="s">
        <v>16</v>
      </c>
      <c r="D1430" s="72" t="s">
        <v>2699</v>
      </c>
      <c r="E1430" t="s">
        <v>36</v>
      </c>
      <c r="F1430" t="s">
        <v>2700</v>
      </c>
      <c r="G1430" s="92"/>
      <c r="H1430" s="92"/>
      <c r="I1430" s="92"/>
      <c r="J1430" s="92"/>
      <c r="K1430" s="92"/>
      <c r="L1430" s="9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9"/>
    </row>
    <row r="1431" spans="1:14" hidden="1" x14ac:dyDescent="0.15">
      <c r="A1431">
        <v>1431</v>
      </c>
      <c r="B1431" t="s">
        <v>1424</v>
      </c>
      <c r="C1431" t="s">
        <v>16</v>
      </c>
      <c r="D1431" s="72" t="s">
        <v>2701</v>
      </c>
      <c r="E1431" t="s">
        <v>61</v>
      </c>
      <c r="F1431" t="s">
        <v>2702</v>
      </c>
      <c r="G1431" s="92"/>
      <c r="H1431" s="92"/>
      <c r="I1431" s="92"/>
      <c r="J1431" s="92"/>
      <c r="K1431" s="92"/>
      <c r="L1431" s="9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9"/>
    </row>
    <row r="1432" spans="1:14" hidden="1" x14ac:dyDescent="0.15">
      <c r="A1432">
        <v>1432</v>
      </c>
      <c r="B1432" t="s">
        <v>1424</v>
      </c>
      <c r="C1432" t="s">
        <v>16</v>
      </c>
      <c r="D1432" s="72" t="s">
        <v>2703</v>
      </c>
      <c r="E1432" t="s">
        <v>73</v>
      </c>
      <c r="F1432" t="s">
        <v>2704</v>
      </c>
      <c r="G1432" s="92"/>
      <c r="H1432" s="92"/>
      <c r="I1432" s="92"/>
      <c r="J1432" s="92"/>
      <c r="K1432" s="92"/>
      <c r="L1432" s="9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9"/>
    </row>
    <row r="1433" spans="1:14" hidden="1" x14ac:dyDescent="0.15">
      <c r="A1433">
        <v>1433</v>
      </c>
      <c r="B1433" t="s">
        <v>1424</v>
      </c>
      <c r="C1433" t="s">
        <v>16</v>
      </c>
      <c r="D1433" s="72" t="s">
        <v>2705</v>
      </c>
      <c r="E1433" t="s">
        <v>36</v>
      </c>
      <c r="F1433" t="s">
        <v>2706</v>
      </c>
      <c r="G1433" s="92"/>
      <c r="H1433" s="92"/>
      <c r="I1433" s="92"/>
      <c r="J1433" s="92"/>
      <c r="K1433" s="92"/>
      <c r="L1433" s="9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9"/>
    </row>
    <row r="1434" spans="1:14" hidden="1" x14ac:dyDescent="0.15">
      <c r="A1434">
        <v>1434</v>
      </c>
      <c r="B1434" t="s">
        <v>1424</v>
      </c>
      <c r="C1434" t="s">
        <v>16</v>
      </c>
      <c r="D1434" s="72" t="s">
        <v>2707</v>
      </c>
      <c r="E1434" t="s">
        <v>736</v>
      </c>
      <c r="F1434" t="s">
        <v>2708</v>
      </c>
      <c r="G1434" s="92"/>
      <c r="H1434" s="92"/>
      <c r="I1434" s="92"/>
      <c r="J1434" s="92"/>
      <c r="K1434" s="92"/>
      <c r="L1434" s="9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9"/>
    </row>
    <row r="1435" spans="1:14" hidden="1" x14ac:dyDescent="0.15">
      <c r="A1435">
        <v>1435</v>
      </c>
      <c r="B1435" t="s">
        <v>1424</v>
      </c>
      <c r="C1435" t="s">
        <v>16</v>
      </c>
      <c r="D1435" s="72" t="s">
        <v>2709</v>
      </c>
      <c r="E1435" t="s">
        <v>702</v>
      </c>
      <c r="F1435" t="s">
        <v>2710</v>
      </c>
      <c r="G1435" s="92"/>
      <c r="H1435" s="92"/>
      <c r="I1435" s="92"/>
      <c r="J1435" s="92"/>
      <c r="K1435" s="92"/>
      <c r="L1435" s="9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9"/>
    </row>
    <row r="1436" spans="1:14" hidden="1" x14ac:dyDescent="0.15">
      <c r="A1436">
        <v>1436</v>
      </c>
      <c r="B1436" t="s">
        <v>1424</v>
      </c>
      <c r="C1436" t="s">
        <v>16</v>
      </c>
      <c r="D1436" s="72" t="s">
        <v>2711</v>
      </c>
      <c r="E1436" t="s">
        <v>702</v>
      </c>
      <c r="F1436" t="s">
        <v>2712</v>
      </c>
      <c r="G1436" s="92"/>
      <c r="H1436" s="92"/>
      <c r="I1436" s="92"/>
      <c r="J1436" s="92"/>
      <c r="K1436" s="92"/>
      <c r="L1436" s="9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9"/>
    </row>
    <row r="1437" spans="1:14" hidden="1" x14ac:dyDescent="0.15">
      <c r="A1437">
        <v>1437</v>
      </c>
      <c r="B1437" t="s">
        <v>1424</v>
      </c>
      <c r="C1437" t="s">
        <v>16</v>
      </c>
      <c r="D1437" s="72" t="s">
        <v>2713</v>
      </c>
      <c r="E1437" t="s">
        <v>702</v>
      </c>
      <c r="F1437" t="s">
        <v>2714</v>
      </c>
      <c r="G1437" s="92"/>
      <c r="H1437" s="92"/>
      <c r="I1437" s="92"/>
      <c r="J1437" s="92"/>
      <c r="K1437" s="92"/>
      <c r="L1437" s="9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9"/>
    </row>
    <row r="1438" spans="1:14" hidden="1" x14ac:dyDescent="0.15">
      <c r="A1438">
        <v>1438</v>
      </c>
      <c r="B1438" t="s">
        <v>1424</v>
      </c>
      <c r="C1438" t="s">
        <v>16</v>
      </c>
      <c r="D1438" s="72" t="s">
        <v>2715</v>
      </c>
      <c r="E1438" t="s">
        <v>73</v>
      </c>
      <c r="F1438" t="s">
        <v>2716</v>
      </c>
      <c r="G1438" s="92"/>
      <c r="H1438" s="92"/>
      <c r="I1438" s="92"/>
      <c r="J1438" s="92"/>
      <c r="K1438" s="92"/>
      <c r="L1438" s="9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9"/>
    </row>
    <row r="1439" spans="1:14" hidden="1" x14ac:dyDescent="0.15">
      <c r="A1439">
        <v>1439</v>
      </c>
      <c r="B1439" t="s">
        <v>1424</v>
      </c>
      <c r="C1439" t="s">
        <v>16</v>
      </c>
      <c r="D1439" s="72" t="s">
        <v>2717</v>
      </c>
      <c r="E1439" t="s">
        <v>36</v>
      </c>
      <c r="F1439" t="s">
        <v>2718</v>
      </c>
      <c r="G1439" s="92"/>
      <c r="H1439" s="92"/>
      <c r="I1439" s="92"/>
      <c r="J1439" s="92"/>
      <c r="K1439" s="92"/>
      <c r="L1439" s="9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9"/>
    </row>
    <row r="1440" spans="1:14" hidden="1" x14ac:dyDescent="0.15">
      <c r="A1440">
        <v>1440</v>
      </c>
      <c r="B1440" t="s">
        <v>1424</v>
      </c>
      <c r="C1440" t="s">
        <v>16</v>
      </c>
      <c r="D1440" s="72" t="s">
        <v>2719</v>
      </c>
      <c r="E1440" t="s">
        <v>36</v>
      </c>
      <c r="F1440" t="s">
        <v>2720</v>
      </c>
      <c r="G1440" s="92"/>
      <c r="H1440" s="92"/>
      <c r="I1440" s="92"/>
      <c r="J1440" s="92"/>
      <c r="K1440" s="92"/>
      <c r="L1440" s="9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9"/>
    </row>
    <row r="1441" spans="1:14" hidden="1" x14ac:dyDescent="0.15">
      <c r="A1441">
        <v>1441</v>
      </c>
      <c r="B1441" t="s">
        <v>1424</v>
      </c>
      <c r="C1441" t="s">
        <v>16</v>
      </c>
      <c r="D1441" s="72" t="s">
        <v>2721</v>
      </c>
      <c r="E1441" t="s">
        <v>36</v>
      </c>
      <c r="F1441" t="s">
        <v>2722</v>
      </c>
      <c r="G1441" s="92"/>
      <c r="H1441" s="92"/>
      <c r="I1441" s="92"/>
      <c r="J1441" s="92"/>
      <c r="K1441" s="92"/>
      <c r="L1441" s="9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9"/>
    </row>
    <row r="1442" spans="1:14" hidden="1" x14ac:dyDescent="0.15">
      <c r="A1442">
        <v>1442</v>
      </c>
      <c r="B1442" t="s">
        <v>1424</v>
      </c>
      <c r="C1442" t="s">
        <v>16</v>
      </c>
      <c r="D1442" s="72" t="s">
        <v>2723</v>
      </c>
      <c r="E1442" t="s">
        <v>702</v>
      </c>
      <c r="F1442" t="s">
        <v>2724</v>
      </c>
      <c r="G1442" s="92"/>
      <c r="H1442" s="92"/>
      <c r="I1442" s="92"/>
      <c r="J1442" s="92"/>
      <c r="K1442" s="92"/>
      <c r="L1442" s="9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9"/>
    </row>
    <row r="1443" spans="1:14" hidden="1" x14ac:dyDescent="0.15">
      <c r="A1443">
        <v>1443</v>
      </c>
      <c r="B1443" t="s">
        <v>1424</v>
      </c>
      <c r="C1443" t="s">
        <v>16</v>
      </c>
      <c r="D1443" s="72" t="s">
        <v>1109</v>
      </c>
      <c r="E1443" t="s">
        <v>36</v>
      </c>
      <c r="F1443" t="s">
        <v>2725</v>
      </c>
      <c r="G1443" s="92"/>
      <c r="H1443" s="92"/>
      <c r="I1443" s="92"/>
      <c r="J1443" s="92"/>
      <c r="K1443" s="92"/>
      <c r="L1443" s="9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9"/>
    </row>
    <row r="1444" spans="1:14" hidden="1" x14ac:dyDescent="0.15">
      <c r="A1444">
        <v>1444</v>
      </c>
      <c r="B1444" t="s">
        <v>1424</v>
      </c>
      <c r="C1444" t="s">
        <v>16</v>
      </c>
      <c r="D1444" s="72" t="s">
        <v>2726</v>
      </c>
      <c r="E1444" t="s">
        <v>73</v>
      </c>
      <c r="F1444" t="s">
        <v>2727</v>
      </c>
      <c r="G1444" s="92"/>
      <c r="H1444" s="92"/>
      <c r="I1444" s="92"/>
      <c r="J1444" s="92"/>
      <c r="K1444" s="92"/>
      <c r="L1444" s="9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9"/>
    </row>
    <row r="1445" spans="1:14" hidden="1" x14ac:dyDescent="0.15">
      <c r="A1445">
        <v>1445</v>
      </c>
      <c r="B1445" t="s">
        <v>1424</v>
      </c>
      <c r="C1445" t="s">
        <v>16</v>
      </c>
      <c r="D1445" s="72" t="s">
        <v>2728</v>
      </c>
      <c r="E1445" t="s">
        <v>73</v>
      </c>
      <c r="F1445" t="s">
        <v>2729</v>
      </c>
      <c r="G1445" s="92"/>
      <c r="H1445" s="92"/>
      <c r="I1445" s="92"/>
      <c r="J1445" s="92"/>
      <c r="K1445" s="92"/>
      <c r="L1445" s="9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9"/>
    </row>
    <row r="1446" spans="1:14" hidden="1" x14ac:dyDescent="0.15">
      <c r="A1446">
        <v>1446</v>
      </c>
      <c r="B1446" t="s">
        <v>1424</v>
      </c>
      <c r="C1446" t="s">
        <v>16</v>
      </c>
      <c r="D1446" s="72" t="s">
        <v>2730</v>
      </c>
      <c r="E1446" t="s">
        <v>36</v>
      </c>
      <c r="F1446" t="s">
        <v>2731</v>
      </c>
      <c r="G1446" s="92"/>
      <c r="H1446" s="92"/>
      <c r="I1446" s="92"/>
      <c r="J1446" s="92"/>
      <c r="K1446" s="92"/>
      <c r="L1446" s="9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9"/>
    </row>
    <row r="1447" spans="1:14" hidden="1" x14ac:dyDescent="0.15">
      <c r="A1447">
        <v>1447</v>
      </c>
      <c r="B1447" t="s">
        <v>1424</v>
      </c>
      <c r="C1447" t="s">
        <v>16</v>
      </c>
      <c r="D1447" s="72" t="s">
        <v>2732</v>
      </c>
      <c r="E1447" t="s">
        <v>36</v>
      </c>
      <c r="F1447" t="s">
        <v>2733</v>
      </c>
      <c r="G1447" s="92"/>
      <c r="H1447" s="92"/>
      <c r="I1447" s="92"/>
      <c r="J1447" s="92"/>
      <c r="K1447" s="92"/>
      <c r="L1447" s="9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9"/>
    </row>
    <row r="1448" spans="1:14" hidden="1" x14ac:dyDescent="0.15">
      <c r="A1448">
        <v>1448</v>
      </c>
      <c r="B1448" t="s">
        <v>1424</v>
      </c>
      <c r="C1448" t="s">
        <v>16</v>
      </c>
      <c r="D1448" s="72" t="s">
        <v>2734</v>
      </c>
      <c r="E1448" t="s">
        <v>36</v>
      </c>
      <c r="F1448" t="s">
        <v>2735</v>
      </c>
      <c r="G1448" s="92"/>
      <c r="H1448" s="92"/>
      <c r="I1448" s="92"/>
      <c r="J1448" s="92"/>
      <c r="K1448" s="92"/>
      <c r="L1448" s="9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9"/>
    </row>
    <row r="1449" spans="1:14" hidden="1" x14ac:dyDescent="0.15">
      <c r="A1449">
        <v>1449</v>
      </c>
      <c r="B1449" t="s">
        <v>1424</v>
      </c>
      <c r="C1449" t="s">
        <v>16</v>
      </c>
      <c r="D1449" s="72" t="s">
        <v>2736</v>
      </c>
      <c r="E1449" t="s">
        <v>73</v>
      </c>
      <c r="F1449" t="s">
        <v>2737</v>
      </c>
      <c r="G1449" s="92"/>
      <c r="H1449" s="92"/>
      <c r="I1449" s="92"/>
      <c r="J1449" s="92"/>
      <c r="K1449" s="92"/>
      <c r="L1449" s="9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9"/>
    </row>
    <row r="1450" spans="1:14" hidden="1" x14ac:dyDescent="0.15">
      <c r="A1450">
        <v>1450</v>
      </c>
      <c r="B1450" t="s">
        <v>1424</v>
      </c>
      <c r="C1450" t="s">
        <v>16</v>
      </c>
      <c r="D1450" s="72" t="s">
        <v>2738</v>
      </c>
      <c r="E1450" t="s">
        <v>36</v>
      </c>
      <c r="F1450" t="s">
        <v>2739</v>
      </c>
      <c r="G1450" s="92"/>
      <c r="H1450" s="92"/>
      <c r="I1450" s="92"/>
      <c r="J1450" s="92"/>
      <c r="K1450" s="92"/>
      <c r="L1450" s="9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9"/>
    </row>
    <row r="1451" spans="1:14" hidden="1" x14ac:dyDescent="0.15">
      <c r="A1451">
        <v>1451</v>
      </c>
      <c r="B1451" t="s">
        <v>1424</v>
      </c>
      <c r="C1451" t="s">
        <v>16</v>
      </c>
      <c r="D1451" s="72" t="s">
        <v>2740</v>
      </c>
      <c r="E1451" t="s">
        <v>36</v>
      </c>
      <c r="F1451" t="s">
        <v>2741</v>
      </c>
      <c r="G1451" s="92"/>
      <c r="H1451" s="92"/>
      <c r="I1451" s="92"/>
      <c r="J1451" s="92"/>
      <c r="K1451" s="92"/>
      <c r="L1451" s="9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9"/>
    </row>
    <row r="1452" spans="1:14" hidden="1" x14ac:dyDescent="0.15">
      <c r="A1452">
        <v>1452</v>
      </c>
      <c r="B1452" t="s">
        <v>1424</v>
      </c>
      <c r="C1452" t="s">
        <v>16</v>
      </c>
      <c r="D1452" s="72" t="s">
        <v>2742</v>
      </c>
      <c r="E1452" t="s">
        <v>73</v>
      </c>
      <c r="F1452" t="s">
        <v>2743</v>
      </c>
      <c r="G1452" s="92"/>
      <c r="H1452" s="92"/>
      <c r="I1452" s="92"/>
      <c r="J1452" s="92"/>
      <c r="K1452" s="92"/>
      <c r="L1452" s="9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9"/>
    </row>
    <row r="1453" spans="1:14" hidden="1" x14ac:dyDescent="0.15">
      <c r="A1453">
        <v>1453</v>
      </c>
      <c r="B1453" t="s">
        <v>1424</v>
      </c>
      <c r="C1453" t="s">
        <v>16</v>
      </c>
      <c r="D1453" s="72" t="s">
        <v>168</v>
      </c>
      <c r="E1453" t="s">
        <v>36</v>
      </c>
      <c r="F1453" t="s">
        <v>169</v>
      </c>
      <c r="G1453" s="92"/>
      <c r="H1453" s="92"/>
      <c r="I1453" s="92"/>
      <c r="J1453" s="92"/>
      <c r="K1453" s="92"/>
      <c r="L1453" s="9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9"/>
    </row>
    <row r="1454" spans="1:14" hidden="1" x14ac:dyDescent="0.15">
      <c r="A1454">
        <v>1454</v>
      </c>
      <c r="B1454" t="s">
        <v>1424</v>
      </c>
      <c r="C1454" t="s">
        <v>16</v>
      </c>
      <c r="D1454" s="72" t="s">
        <v>2744</v>
      </c>
      <c r="E1454" t="s">
        <v>36</v>
      </c>
      <c r="F1454" t="s">
        <v>2745</v>
      </c>
      <c r="G1454" s="92"/>
      <c r="H1454" s="92"/>
      <c r="I1454" s="92"/>
      <c r="J1454" s="92"/>
      <c r="K1454" s="92"/>
      <c r="L1454" s="9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9"/>
    </row>
    <row r="1455" spans="1:14" hidden="1" x14ac:dyDescent="0.15">
      <c r="A1455">
        <v>1455</v>
      </c>
      <c r="B1455" t="s">
        <v>1424</v>
      </c>
      <c r="C1455" t="s">
        <v>16</v>
      </c>
      <c r="D1455" s="72" t="s">
        <v>2746</v>
      </c>
      <c r="E1455" t="s">
        <v>36</v>
      </c>
      <c r="F1455" t="s">
        <v>2747</v>
      </c>
      <c r="G1455" s="92"/>
      <c r="H1455" s="92"/>
      <c r="I1455" s="92"/>
      <c r="J1455" s="92"/>
      <c r="K1455" s="92"/>
      <c r="L1455" s="9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9"/>
    </row>
    <row r="1456" spans="1:14" hidden="1" x14ac:dyDescent="0.15">
      <c r="A1456">
        <v>1456</v>
      </c>
      <c r="B1456" t="s">
        <v>1424</v>
      </c>
      <c r="C1456" t="s">
        <v>16</v>
      </c>
      <c r="D1456" s="72" t="s">
        <v>2748</v>
      </c>
      <c r="E1456" t="s">
        <v>702</v>
      </c>
      <c r="F1456" t="s">
        <v>2749</v>
      </c>
      <c r="G1456" s="92"/>
      <c r="H1456" s="92"/>
      <c r="I1456" s="92"/>
      <c r="J1456" s="92"/>
      <c r="K1456" s="92"/>
      <c r="L1456" s="9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9"/>
    </row>
    <row r="1457" spans="1:14" hidden="1" x14ac:dyDescent="0.15">
      <c r="A1457">
        <v>1457</v>
      </c>
      <c r="B1457" t="s">
        <v>1424</v>
      </c>
      <c r="C1457" t="s">
        <v>17</v>
      </c>
      <c r="D1457" s="72" t="s">
        <v>2750</v>
      </c>
      <c r="E1457" t="s">
        <v>73</v>
      </c>
      <c r="F1457" t="s">
        <v>2751</v>
      </c>
      <c r="G1457" s="92"/>
      <c r="H1457" s="92"/>
      <c r="I1457" s="92"/>
      <c r="J1457" s="92"/>
      <c r="K1457" s="92"/>
      <c r="L1457" s="9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9"/>
    </row>
    <row r="1458" spans="1:14" hidden="1" x14ac:dyDescent="0.15">
      <c r="A1458">
        <v>1458</v>
      </c>
      <c r="B1458" t="s">
        <v>1424</v>
      </c>
      <c r="C1458" t="s">
        <v>17</v>
      </c>
      <c r="D1458" s="72" t="s">
        <v>2752</v>
      </c>
      <c r="E1458" t="s">
        <v>73</v>
      </c>
      <c r="F1458" t="s">
        <v>2753</v>
      </c>
      <c r="G1458" s="92"/>
      <c r="H1458" s="92"/>
      <c r="I1458" s="92"/>
      <c r="J1458" s="92"/>
      <c r="K1458" s="92"/>
      <c r="L1458" s="9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9"/>
    </row>
    <row r="1459" spans="1:14" hidden="1" x14ac:dyDescent="0.15">
      <c r="A1459">
        <v>1459</v>
      </c>
      <c r="B1459" t="s">
        <v>1424</v>
      </c>
      <c r="C1459" t="s">
        <v>17</v>
      </c>
      <c r="D1459" s="72" t="s">
        <v>2754</v>
      </c>
      <c r="E1459" t="s">
        <v>73</v>
      </c>
      <c r="F1459" t="s">
        <v>2755</v>
      </c>
      <c r="G1459" s="92"/>
      <c r="H1459" s="92"/>
      <c r="I1459" s="92"/>
      <c r="J1459" s="92"/>
      <c r="K1459" s="92"/>
      <c r="L1459" s="9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9"/>
    </row>
    <row r="1460" spans="1:14" hidden="1" x14ac:dyDescent="0.15">
      <c r="A1460">
        <v>1460</v>
      </c>
      <c r="B1460" t="s">
        <v>1424</v>
      </c>
      <c r="C1460" t="s">
        <v>17</v>
      </c>
      <c r="D1460" s="72" t="s">
        <v>2756</v>
      </c>
      <c r="E1460" t="s">
        <v>73</v>
      </c>
      <c r="F1460" t="s">
        <v>2757</v>
      </c>
      <c r="G1460" s="92"/>
      <c r="H1460" s="92"/>
      <c r="I1460" s="92"/>
      <c r="J1460" s="92"/>
      <c r="K1460" s="92"/>
      <c r="L1460" s="9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9"/>
    </row>
    <row r="1461" spans="1:14" hidden="1" x14ac:dyDescent="0.15">
      <c r="A1461">
        <v>1461</v>
      </c>
      <c r="B1461" t="s">
        <v>1424</v>
      </c>
      <c r="C1461" t="s">
        <v>17</v>
      </c>
      <c r="D1461" s="72" t="s">
        <v>2758</v>
      </c>
      <c r="E1461" t="s">
        <v>736</v>
      </c>
      <c r="F1461" t="s">
        <v>2759</v>
      </c>
      <c r="G1461" s="92"/>
      <c r="H1461" s="92"/>
      <c r="I1461" s="92"/>
      <c r="J1461" s="92"/>
      <c r="K1461" s="92"/>
      <c r="L1461" s="9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9"/>
    </row>
    <row r="1462" spans="1:14" hidden="1" x14ac:dyDescent="0.15">
      <c r="A1462">
        <v>1462</v>
      </c>
      <c r="B1462" t="s">
        <v>1424</v>
      </c>
      <c r="C1462" t="s">
        <v>17</v>
      </c>
      <c r="D1462" s="72" t="s">
        <v>2760</v>
      </c>
      <c r="E1462" t="s">
        <v>36</v>
      </c>
      <c r="F1462" t="s">
        <v>2761</v>
      </c>
      <c r="G1462" s="92"/>
      <c r="H1462" s="92"/>
      <c r="I1462" s="92"/>
      <c r="J1462" s="92"/>
      <c r="K1462" s="92"/>
      <c r="L1462" s="9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9"/>
    </row>
    <row r="1463" spans="1:14" hidden="1" x14ac:dyDescent="0.15">
      <c r="A1463">
        <v>1463</v>
      </c>
      <c r="B1463" t="s">
        <v>1424</v>
      </c>
      <c r="C1463" t="s">
        <v>17</v>
      </c>
      <c r="D1463" s="72" t="s">
        <v>2762</v>
      </c>
      <c r="E1463" t="s">
        <v>36</v>
      </c>
      <c r="F1463" t="s">
        <v>2763</v>
      </c>
      <c r="G1463" s="92"/>
      <c r="H1463" s="92"/>
      <c r="I1463" s="92"/>
      <c r="J1463" s="92"/>
      <c r="K1463" s="92"/>
      <c r="L1463" s="9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9"/>
    </row>
    <row r="1464" spans="1:14" hidden="1" x14ac:dyDescent="0.15">
      <c r="A1464">
        <v>1464</v>
      </c>
      <c r="B1464" t="s">
        <v>1424</v>
      </c>
      <c r="C1464" t="s">
        <v>17</v>
      </c>
      <c r="D1464" s="72" t="s">
        <v>2764</v>
      </c>
      <c r="E1464" t="s">
        <v>36</v>
      </c>
      <c r="F1464" t="s">
        <v>2765</v>
      </c>
      <c r="G1464" s="92"/>
      <c r="H1464" s="92"/>
      <c r="I1464" s="92"/>
      <c r="J1464" s="92"/>
      <c r="K1464" s="92"/>
      <c r="L1464" s="9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9"/>
    </row>
    <row r="1465" spans="1:14" hidden="1" x14ac:dyDescent="0.15">
      <c r="A1465">
        <v>1465</v>
      </c>
      <c r="B1465" t="s">
        <v>1424</v>
      </c>
      <c r="C1465" t="s">
        <v>17</v>
      </c>
      <c r="D1465" s="72" t="s">
        <v>2766</v>
      </c>
      <c r="E1465" t="s">
        <v>36</v>
      </c>
      <c r="F1465" t="s">
        <v>2767</v>
      </c>
      <c r="G1465" s="92"/>
      <c r="H1465" s="92"/>
      <c r="I1465" s="92"/>
      <c r="J1465" s="92"/>
      <c r="K1465" s="92"/>
      <c r="L1465" s="9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9"/>
    </row>
    <row r="1466" spans="1:14" hidden="1" x14ac:dyDescent="0.15">
      <c r="A1466">
        <v>1466</v>
      </c>
      <c r="B1466" t="s">
        <v>1424</v>
      </c>
      <c r="C1466" t="s">
        <v>17</v>
      </c>
      <c r="D1466" s="72" t="s">
        <v>412</v>
      </c>
      <c r="E1466" t="s">
        <v>61</v>
      </c>
      <c r="F1466" t="s">
        <v>2768</v>
      </c>
      <c r="G1466" s="92"/>
      <c r="H1466" s="92"/>
      <c r="I1466" s="92"/>
      <c r="J1466" s="92"/>
      <c r="K1466" s="92"/>
      <c r="L1466" s="9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9"/>
    </row>
    <row r="1467" spans="1:14" hidden="1" x14ac:dyDescent="0.15">
      <c r="A1467">
        <v>1467</v>
      </c>
      <c r="B1467" t="s">
        <v>1424</v>
      </c>
      <c r="C1467" t="s">
        <v>17</v>
      </c>
      <c r="D1467" s="72" t="s">
        <v>2769</v>
      </c>
      <c r="E1467" t="s">
        <v>702</v>
      </c>
      <c r="F1467" t="s">
        <v>2770</v>
      </c>
      <c r="G1467" s="92"/>
      <c r="H1467" s="92"/>
      <c r="I1467" s="92"/>
      <c r="J1467" s="92"/>
      <c r="K1467" s="92"/>
      <c r="L1467" s="9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9"/>
    </row>
    <row r="1468" spans="1:14" hidden="1" x14ac:dyDescent="0.15">
      <c r="A1468">
        <v>1468</v>
      </c>
      <c r="B1468" t="s">
        <v>1424</v>
      </c>
      <c r="C1468" t="s">
        <v>17</v>
      </c>
      <c r="D1468" s="72" t="s">
        <v>2771</v>
      </c>
      <c r="E1468" t="s">
        <v>36</v>
      </c>
      <c r="F1468" t="s">
        <v>2772</v>
      </c>
      <c r="G1468" s="92"/>
      <c r="H1468" s="92"/>
      <c r="I1468" s="92"/>
      <c r="J1468" s="92"/>
      <c r="K1468" s="92"/>
      <c r="L1468" s="9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9"/>
    </row>
    <row r="1469" spans="1:14" hidden="1" x14ac:dyDescent="0.15">
      <c r="A1469">
        <v>1469</v>
      </c>
      <c r="B1469" t="s">
        <v>1424</v>
      </c>
      <c r="C1469" t="s">
        <v>17</v>
      </c>
      <c r="D1469" s="72" t="s">
        <v>2773</v>
      </c>
      <c r="E1469" t="s">
        <v>36</v>
      </c>
      <c r="F1469" t="s">
        <v>2774</v>
      </c>
      <c r="G1469" s="92"/>
      <c r="H1469" s="92"/>
      <c r="I1469" s="92"/>
      <c r="J1469" s="92"/>
      <c r="K1469" s="92"/>
      <c r="L1469" s="9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9"/>
    </row>
    <row r="1470" spans="1:14" hidden="1" x14ac:dyDescent="0.15">
      <c r="A1470">
        <v>1470</v>
      </c>
      <c r="B1470" t="s">
        <v>1424</v>
      </c>
      <c r="C1470" t="s">
        <v>17</v>
      </c>
      <c r="D1470" s="72" t="s">
        <v>2775</v>
      </c>
      <c r="E1470" t="s">
        <v>702</v>
      </c>
      <c r="F1470" t="s">
        <v>2776</v>
      </c>
      <c r="G1470" s="92"/>
      <c r="H1470" s="92"/>
      <c r="I1470" s="92"/>
      <c r="J1470" s="92"/>
      <c r="K1470" s="92"/>
      <c r="L1470" s="9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9"/>
    </row>
    <row r="1471" spans="1:14" hidden="1" x14ac:dyDescent="0.15">
      <c r="A1471">
        <v>1471</v>
      </c>
      <c r="B1471" t="s">
        <v>1424</v>
      </c>
      <c r="C1471" t="s">
        <v>17</v>
      </c>
      <c r="D1471" s="72" t="s">
        <v>2777</v>
      </c>
      <c r="E1471" t="s">
        <v>702</v>
      </c>
      <c r="F1471" t="s">
        <v>2778</v>
      </c>
      <c r="G1471" s="92"/>
      <c r="H1471" s="92"/>
      <c r="I1471" s="92"/>
      <c r="J1471" s="92"/>
      <c r="K1471" s="92"/>
      <c r="L1471" s="9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9"/>
    </row>
    <row r="1472" spans="1:14" hidden="1" x14ac:dyDescent="0.15">
      <c r="A1472">
        <v>1472</v>
      </c>
      <c r="B1472" t="s">
        <v>1424</v>
      </c>
      <c r="C1472" t="s">
        <v>17</v>
      </c>
      <c r="D1472" s="72" t="s">
        <v>2779</v>
      </c>
      <c r="E1472" t="s">
        <v>36</v>
      </c>
      <c r="F1472" t="s">
        <v>2780</v>
      </c>
      <c r="G1472" s="92"/>
      <c r="H1472" s="92"/>
      <c r="I1472" s="92"/>
      <c r="J1472" s="92"/>
      <c r="K1472" s="92"/>
      <c r="L1472" s="9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9"/>
    </row>
    <row r="1473" spans="1:14" hidden="1" x14ac:dyDescent="0.15">
      <c r="A1473">
        <v>1473</v>
      </c>
      <c r="B1473" t="s">
        <v>1424</v>
      </c>
      <c r="C1473" t="s">
        <v>17</v>
      </c>
      <c r="D1473" s="72" t="s">
        <v>2781</v>
      </c>
      <c r="E1473" t="s">
        <v>702</v>
      </c>
      <c r="F1473" t="s">
        <v>2782</v>
      </c>
      <c r="G1473" s="92"/>
      <c r="H1473" s="92"/>
      <c r="I1473" s="92"/>
      <c r="J1473" s="92"/>
      <c r="K1473" s="92"/>
      <c r="L1473" s="9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9"/>
    </row>
    <row r="1474" spans="1:14" hidden="1" x14ac:dyDescent="0.15">
      <c r="A1474">
        <v>1474</v>
      </c>
      <c r="B1474" t="s">
        <v>1424</v>
      </c>
      <c r="C1474" t="s">
        <v>17</v>
      </c>
      <c r="D1474" s="72" t="s">
        <v>2783</v>
      </c>
      <c r="E1474" t="s">
        <v>36</v>
      </c>
      <c r="F1474" t="s">
        <v>2784</v>
      </c>
      <c r="G1474" s="92"/>
      <c r="H1474" s="92"/>
      <c r="I1474" s="92"/>
      <c r="J1474" s="92"/>
      <c r="K1474" s="92"/>
      <c r="L1474" s="9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9"/>
    </row>
    <row r="1475" spans="1:14" hidden="1" x14ac:dyDescent="0.15">
      <c r="A1475">
        <v>1475</v>
      </c>
      <c r="B1475" t="s">
        <v>1424</v>
      </c>
      <c r="C1475" t="s">
        <v>17</v>
      </c>
      <c r="D1475" s="72" t="s">
        <v>2785</v>
      </c>
      <c r="E1475" t="s">
        <v>702</v>
      </c>
      <c r="F1475" t="s">
        <v>2786</v>
      </c>
      <c r="G1475" s="92"/>
      <c r="H1475" s="92"/>
      <c r="I1475" s="92"/>
      <c r="J1475" s="92"/>
      <c r="K1475" s="92"/>
      <c r="L1475" s="9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9"/>
    </row>
    <row r="1476" spans="1:14" hidden="1" x14ac:dyDescent="0.15">
      <c r="A1476">
        <v>1476</v>
      </c>
      <c r="B1476" t="s">
        <v>1424</v>
      </c>
      <c r="C1476" t="s">
        <v>17</v>
      </c>
      <c r="D1476" s="72" t="s">
        <v>2787</v>
      </c>
      <c r="E1476" t="s">
        <v>36</v>
      </c>
      <c r="F1476" t="s">
        <v>2788</v>
      </c>
      <c r="G1476" s="92"/>
      <c r="H1476" s="92"/>
      <c r="I1476" s="92"/>
      <c r="J1476" s="92"/>
      <c r="K1476" s="92"/>
      <c r="L1476" s="9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9"/>
    </row>
    <row r="1477" spans="1:14" hidden="1" x14ac:dyDescent="0.15">
      <c r="A1477">
        <v>1477</v>
      </c>
      <c r="B1477" t="s">
        <v>1424</v>
      </c>
      <c r="C1477" t="s">
        <v>17</v>
      </c>
      <c r="D1477" s="72" t="s">
        <v>2789</v>
      </c>
      <c r="E1477" t="s">
        <v>36</v>
      </c>
      <c r="F1477" t="s">
        <v>2790</v>
      </c>
      <c r="G1477" s="92"/>
      <c r="H1477" s="92"/>
      <c r="I1477" s="92"/>
      <c r="J1477" s="92"/>
      <c r="K1477" s="92"/>
      <c r="L1477" s="9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9"/>
    </row>
    <row r="1478" spans="1:14" hidden="1" x14ac:dyDescent="0.15">
      <c r="A1478">
        <v>1478</v>
      </c>
      <c r="B1478" t="s">
        <v>1424</v>
      </c>
      <c r="C1478" t="s">
        <v>17</v>
      </c>
      <c r="D1478" s="72" t="s">
        <v>2791</v>
      </c>
      <c r="E1478" t="s">
        <v>36</v>
      </c>
      <c r="F1478" t="s">
        <v>2792</v>
      </c>
      <c r="G1478" s="92"/>
      <c r="H1478" s="92"/>
      <c r="I1478" s="92"/>
      <c r="J1478" s="92"/>
      <c r="K1478" s="92"/>
      <c r="L1478" s="9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9"/>
    </row>
    <row r="1479" spans="1:14" hidden="1" x14ac:dyDescent="0.15">
      <c r="A1479">
        <v>1479</v>
      </c>
      <c r="B1479" t="s">
        <v>1424</v>
      </c>
      <c r="C1479" t="s">
        <v>17</v>
      </c>
      <c r="D1479" s="72" t="s">
        <v>2793</v>
      </c>
      <c r="E1479" t="s">
        <v>73</v>
      </c>
      <c r="F1479" t="s">
        <v>2794</v>
      </c>
      <c r="G1479" s="92"/>
      <c r="H1479" s="92"/>
      <c r="I1479" s="92"/>
      <c r="J1479" s="92"/>
      <c r="K1479" s="92"/>
      <c r="L1479" s="9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9"/>
    </row>
    <row r="1480" spans="1:14" hidden="1" x14ac:dyDescent="0.15">
      <c r="A1480">
        <v>1480</v>
      </c>
      <c r="B1480" t="s">
        <v>1424</v>
      </c>
      <c r="C1480" t="s">
        <v>17</v>
      </c>
      <c r="D1480" s="72" t="s">
        <v>2795</v>
      </c>
      <c r="E1480" t="s">
        <v>73</v>
      </c>
      <c r="F1480" t="s">
        <v>2796</v>
      </c>
      <c r="G1480" s="92"/>
      <c r="H1480" s="92"/>
      <c r="I1480" s="92"/>
      <c r="J1480" s="92"/>
      <c r="K1480" s="92"/>
      <c r="L1480" s="9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9"/>
    </row>
    <row r="1481" spans="1:14" hidden="1" x14ac:dyDescent="0.15">
      <c r="A1481">
        <v>1481</v>
      </c>
      <c r="B1481" t="s">
        <v>1424</v>
      </c>
      <c r="C1481" t="s">
        <v>17</v>
      </c>
      <c r="D1481" s="72" t="s">
        <v>2797</v>
      </c>
      <c r="E1481" t="s">
        <v>702</v>
      </c>
      <c r="F1481" t="s">
        <v>2798</v>
      </c>
      <c r="G1481" s="92"/>
      <c r="H1481" s="92"/>
      <c r="I1481" s="92"/>
      <c r="J1481" s="92"/>
      <c r="K1481" s="92"/>
      <c r="L1481" s="9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9"/>
    </row>
    <row r="1482" spans="1:14" hidden="1" x14ac:dyDescent="0.15">
      <c r="A1482">
        <v>1482</v>
      </c>
      <c r="B1482" t="s">
        <v>1424</v>
      </c>
      <c r="C1482" t="s">
        <v>17</v>
      </c>
      <c r="D1482" s="72" t="s">
        <v>2799</v>
      </c>
      <c r="E1482" t="s">
        <v>61</v>
      </c>
      <c r="F1482" t="s">
        <v>2800</v>
      </c>
      <c r="G1482" s="92"/>
      <c r="H1482" s="92"/>
      <c r="I1482" s="92"/>
      <c r="J1482" s="92"/>
      <c r="K1482" s="92"/>
      <c r="L1482" s="9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9"/>
    </row>
    <row r="1483" spans="1:14" hidden="1" x14ac:dyDescent="0.15">
      <c r="A1483">
        <v>1483</v>
      </c>
      <c r="B1483" t="s">
        <v>1424</v>
      </c>
      <c r="C1483" t="s">
        <v>17</v>
      </c>
      <c r="D1483" s="72" t="s">
        <v>2801</v>
      </c>
      <c r="E1483" t="s">
        <v>36</v>
      </c>
      <c r="F1483" t="s">
        <v>2802</v>
      </c>
      <c r="G1483" s="92"/>
      <c r="H1483" s="92"/>
      <c r="I1483" s="92"/>
      <c r="J1483" s="92"/>
      <c r="K1483" s="92"/>
      <c r="L1483" s="9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9"/>
    </row>
    <row r="1484" spans="1:14" hidden="1" x14ac:dyDescent="0.15">
      <c r="A1484">
        <v>1484</v>
      </c>
      <c r="B1484" t="s">
        <v>1424</v>
      </c>
      <c r="C1484" t="s">
        <v>17</v>
      </c>
      <c r="D1484" s="72" t="s">
        <v>2803</v>
      </c>
      <c r="E1484" t="s">
        <v>73</v>
      </c>
      <c r="F1484" t="s">
        <v>2804</v>
      </c>
      <c r="G1484" s="92"/>
      <c r="H1484" s="92"/>
      <c r="I1484" s="92"/>
      <c r="J1484" s="92"/>
      <c r="K1484" s="92"/>
      <c r="L1484" s="9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9"/>
    </row>
    <row r="1485" spans="1:14" hidden="1" x14ac:dyDescent="0.15">
      <c r="A1485">
        <v>1485</v>
      </c>
      <c r="B1485" t="s">
        <v>1424</v>
      </c>
      <c r="C1485" t="s">
        <v>17</v>
      </c>
      <c r="D1485" s="72" t="s">
        <v>2805</v>
      </c>
      <c r="E1485" t="s">
        <v>702</v>
      </c>
      <c r="F1485" t="s">
        <v>2806</v>
      </c>
      <c r="G1485" s="92"/>
      <c r="H1485" s="92"/>
      <c r="I1485" s="92"/>
      <c r="J1485" s="92"/>
      <c r="K1485" s="92"/>
      <c r="L1485" s="9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9"/>
    </row>
    <row r="1486" spans="1:14" hidden="1" x14ac:dyDescent="0.15">
      <c r="A1486">
        <v>1486</v>
      </c>
      <c r="B1486" t="s">
        <v>1424</v>
      </c>
      <c r="C1486" t="s">
        <v>17</v>
      </c>
      <c r="D1486" s="72" t="s">
        <v>2807</v>
      </c>
      <c r="E1486" t="s">
        <v>38</v>
      </c>
      <c r="F1486" t="s">
        <v>2808</v>
      </c>
      <c r="G1486" s="92"/>
      <c r="H1486" s="92"/>
      <c r="I1486" s="92"/>
      <c r="J1486" s="92"/>
      <c r="K1486" s="92"/>
      <c r="L1486" s="9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9"/>
    </row>
    <row r="1487" spans="1:14" hidden="1" x14ac:dyDescent="0.15">
      <c r="A1487">
        <v>1487</v>
      </c>
      <c r="B1487" t="s">
        <v>1424</v>
      </c>
      <c r="C1487" t="s">
        <v>17</v>
      </c>
      <c r="D1487" s="72" t="s">
        <v>2809</v>
      </c>
      <c r="E1487" t="s">
        <v>736</v>
      </c>
      <c r="F1487" t="s">
        <v>2810</v>
      </c>
      <c r="G1487" s="92"/>
      <c r="H1487" s="92"/>
      <c r="I1487" s="92"/>
      <c r="J1487" s="92"/>
      <c r="K1487" s="92"/>
      <c r="L1487" s="9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9"/>
    </row>
    <row r="1488" spans="1:14" hidden="1" x14ac:dyDescent="0.15">
      <c r="A1488">
        <v>1488</v>
      </c>
      <c r="B1488" t="s">
        <v>1424</v>
      </c>
      <c r="C1488" t="s">
        <v>17</v>
      </c>
      <c r="D1488" s="72" t="s">
        <v>2811</v>
      </c>
      <c r="E1488" t="s">
        <v>73</v>
      </c>
      <c r="F1488" t="s">
        <v>2812</v>
      </c>
      <c r="G1488" s="92"/>
      <c r="H1488" s="92"/>
      <c r="I1488" s="92"/>
      <c r="J1488" s="92"/>
      <c r="K1488" s="92"/>
      <c r="L1488" s="9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9"/>
    </row>
    <row r="1489" spans="1:14" hidden="1" x14ac:dyDescent="0.15">
      <c r="A1489">
        <v>1489</v>
      </c>
      <c r="B1489" t="s">
        <v>1424</v>
      </c>
      <c r="C1489" t="s">
        <v>17</v>
      </c>
      <c r="D1489" s="72" t="s">
        <v>439</v>
      </c>
      <c r="E1489" t="s">
        <v>36</v>
      </c>
      <c r="F1489" t="s">
        <v>440</v>
      </c>
      <c r="G1489" s="92"/>
      <c r="H1489" s="92"/>
      <c r="I1489" s="92"/>
      <c r="J1489" s="92"/>
      <c r="K1489" s="92"/>
      <c r="L1489" s="9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9"/>
    </row>
    <row r="1490" spans="1:14" hidden="1" x14ac:dyDescent="0.15">
      <c r="A1490">
        <v>1490</v>
      </c>
      <c r="B1490" t="s">
        <v>1424</v>
      </c>
      <c r="C1490" t="s">
        <v>17</v>
      </c>
      <c r="D1490" s="72" t="s">
        <v>2813</v>
      </c>
      <c r="E1490" t="s">
        <v>736</v>
      </c>
      <c r="F1490" t="s">
        <v>2814</v>
      </c>
      <c r="G1490" s="92"/>
      <c r="H1490" s="92"/>
      <c r="I1490" s="92"/>
      <c r="J1490" s="92"/>
      <c r="K1490" s="92"/>
      <c r="L1490" s="9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9"/>
    </row>
    <row r="1491" spans="1:14" hidden="1" x14ac:dyDescent="0.15">
      <c r="A1491">
        <v>1491</v>
      </c>
      <c r="B1491" t="s">
        <v>1424</v>
      </c>
      <c r="C1491" t="s">
        <v>17</v>
      </c>
      <c r="D1491" s="72" t="s">
        <v>812</v>
      </c>
      <c r="E1491" t="s">
        <v>36</v>
      </c>
      <c r="F1491" t="s">
        <v>813</v>
      </c>
      <c r="G1491" s="92"/>
      <c r="H1491" s="92"/>
      <c r="I1491" s="92"/>
      <c r="J1491" s="92"/>
      <c r="K1491" s="92"/>
      <c r="L1491" s="9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9"/>
    </row>
    <row r="1492" spans="1:14" hidden="1" x14ac:dyDescent="0.15">
      <c r="A1492">
        <v>1492</v>
      </c>
      <c r="B1492" t="s">
        <v>1424</v>
      </c>
      <c r="C1492" t="s">
        <v>17</v>
      </c>
      <c r="D1492" s="72" t="s">
        <v>2815</v>
      </c>
      <c r="E1492" t="s">
        <v>73</v>
      </c>
      <c r="F1492" t="s">
        <v>720</v>
      </c>
      <c r="G1492" s="92"/>
      <c r="H1492" s="92"/>
      <c r="I1492" s="92"/>
      <c r="J1492" s="92"/>
      <c r="K1492" s="92"/>
      <c r="L1492" s="9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9"/>
    </row>
    <row r="1493" spans="1:14" hidden="1" x14ac:dyDescent="0.15">
      <c r="A1493">
        <v>1493</v>
      </c>
      <c r="B1493" t="s">
        <v>1424</v>
      </c>
      <c r="C1493" t="s">
        <v>17</v>
      </c>
      <c r="D1493" s="72" t="s">
        <v>2816</v>
      </c>
      <c r="E1493" t="s">
        <v>36</v>
      </c>
      <c r="F1493" t="s">
        <v>2817</v>
      </c>
      <c r="G1493" s="92"/>
      <c r="H1493" s="92"/>
      <c r="I1493" s="92"/>
      <c r="J1493" s="92"/>
      <c r="K1493" s="92"/>
      <c r="L1493" s="9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9"/>
    </row>
    <row r="1494" spans="1:14" hidden="1" x14ac:dyDescent="0.15">
      <c r="A1494">
        <v>1494</v>
      </c>
      <c r="B1494" t="s">
        <v>1424</v>
      </c>
      <c r="C1494" t="s">
        <v>17</v>
      </c>
      <c r="D1494" s="72" t="s">
        <v>2818</v>
      </c>
      <c r="E1494" t="s">
        <v>36</v>
      </c>
      <c r="F1494" t="s">
        <v>2819</v>
      </c>
      <c r="G1494" s="92"/>
      <c r="H1494" s="92"/>
      <c r="I1494" s="92"/>
      <c r="J1494" s="92"/>
      <c r="K1494" s="92"/>
      <c r="L1494" s="9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9"/>
    </row>
    <row r="1495" spans="1:14" hidden="1" x14ac:dyDescent="0.15">
      <c r="A1495">
        <v>1495</v>
      </c>
      <c r="B1495" t="s">
        <v>1424</v>
      </c>
      <c r="C1495" t="s">
        <v>17</v>
      </c>
      <c r="D1495" s="72" t="s">
        <v>2820</v>
      </c>
      <c r="E1495" t="s">
        <v>36</v>
      </c>
      <c r="F1495" t="s">
        <v>2821</v>
      </c>
      <c r="G1495" s="92"/>
      <c r="H1495" s="92"/>
      <c r="I1495" s="92"/>
      <c r="J1495" s="92"/>
      <c r="K1495" s="92"/>
      <c r="L1495" s="9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9"/>
    </row>
    <row r="1496" spans="1:14" hidden="1" x14ac:dyDescent="0.15">
      <c r="A1496">
        <v>1496</v>
      </c>
      <c r="B1496" t="s">
        <v>1424</v>
      </c>
      <c r="C1496" t="s">
        <v>17</v>
      </c>
      <c r="D1496" s="72" t="s">
        <v>290</v>
      </c>
      <c r="E1496" t="s">
        <v>1019</v>
      </c>
      <c r="F1496" t="s">
        <v>2822</v>
      </c>
      <c r="G1496" s="92"/>
      <c r="H1496" s="92"/>
      <c r="I1496" s="92"/>
      <c r="J1496" s="92"/>
      <c r="K1496" s="92"/>
      <c r="L1496" s="9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9"/>
    </row>
    <row r="1497" spans="1:14" hidden="1" x14ac:dyDescent="0.15">
      <c r="A1497">
        <v>1497</v>
      </c>
      <c r="B1497" t="s">
        <v>1424</v>
      </c>
      <c r="C1497" t="s">
        <v>17</v>
      </c>
      <c r="D1497" s="72" t="s">
        <v>2823</v>
      </c>
      <c r="E1497" t="s">
        <v>36</v>
      </c>
      <c r="F1497" t="s">
        <v>2824</v>
      </c>
      <c r="G1497" s="92"/>
      <c r="H1497" s="92"/>
      <c r="I1497" s="92"/>
      <c r="J1497" s="92"/>
      <c r="K1497" s="92"/>
      <c r="L1497" s="9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9"/>
    </row>
    <row r="1498" spans="1:14" hidden="1" x14ac:dyDescent="0.15">
      <c r="A1498">
        <v>1498</v>
      </c>
      <c r="B1498" t="s">
        <v>1424</v>
      </c>
      <c r="C1498" t="s">
        <v>18</v>
      </c>
      <c r="D1498" s="72" t="s">
        <v>1722</v>
      </c>
      <c r="E1498" t="s">
        <v>36</v>
      </c>
      <c r="F1498" t="s">
        <v>2825</v>
      </c>
      <c r="G1498" s="92"/>
      <c r="H1498" s="92"/>
      <c r="I1498" s="92"/>
      <c r="J1498" s="92"/>
      <c r="K1498" s="92"/>
      <c r="L1498" s="9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9"/>
    </row>
    <row r="1499" spans="1:14" hidden="1" x14ac:dyDescent="0.15">
      <c r="A1499">
        <v>1499</v>
      </c>
      <c r="B1499" t="s">
        <v>1424</v>
      </c>
      <c r="C1499" t="s">
        <v>18</v>
      </c>
      <c r="D1499" s="72" t="s">
        <v>2826</v>
      </c>
      <c r="E1499" t="s">
        <v>702</v>
      </c>
      <c r="F1499" t="s">
        <v>2827</v>
      </c>
      <c r="G1499" s="92"/>
      <c r="H1499" s="92"/>
      <c r="I1499" s="92"/>
      <c r="J1499" s="92"/>
      <c r="K1499" s="92"/>
      <c r="L1499" s="9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9"/>
    </row>
    <row r="1500" spans="1:14" hidden="1" x14ac:dyDescent="0.15">
      <c r="A1500">
        <v>1500</v>
      </c>
      <c r="B1500" t="s">
        <v>1424</v>
      </c>
      <c r="C1500" t="s">
        <v>18</v>
      </c>
      <c r="D1500" s="72" t="s">
        <v>2828</v>
      </c>
      <c r="E1500" t="s">
        <v>702</v>
      </c>
      <c r="F1500" t="s">
        <v>2829</v>
      </c>
      <c r="G1500" s="92"/>
      <c r="H1500" s="92"/>
      <c r="I1500" s="92"/>
      <c r="J1500" s="92"/>
      <c r="K1500" s="92"/>
      <c r="L1500" s="9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9"/>
    </row>
    <row r="1501" spans="1:14" hidden="1" x14ac:dyDescent="0.15">
      <c r="A1501">
        <v>1501</v>
      </c>
      <c r="B1501" t="s">
        <v>1424</v>
      </c>
      <c r="C1501" t="s">
        <v>18</v>
      </c>
      <c r="D1501" s="72" t="s">
        <v>2830</v>
      </c>
      <c r="E1501" t="s">
        <v>702</v>
      </c>
      <c r="F1501" t="s">
        <v>2831</v>
      </c>
      <c r="G1501" s="92"/>
      <c r="H1501" s="92"/>
      <c r="I1501" s="92"/>
      <c r="J1501" s="92"/>
      <c r="K1501" s="92"/>
      <c r="L1501" s="9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9"/>
    </row>
    <row r="1502" spans="1:14" hidden="1" x14ac:dyDescent="0.15">
      <c r="A1502">
        <v>1502</v>
      </c>
      <c r="B1502" t="s">
        <v>1424</v>
      </c>
      <c r="C1502" t="s">
        <v>18</v>
      </c>
      <c r="D1502" s="72" t="s">
        <v>2832</v>
      </c>
      <c r="E1502" t="s">
        <v>702</v>
      </c>
      <c r="F1502" t="s">
        <v>2833</v>
      </c>
      <c r="G1502" s="92"/>
      <c r="H1502" s="92"/>
      <c r="I1502" s="92"/>
      <c r="J1502" s="92"/>
      <c r="K1502" s="92"/>
      <c r="L1502" s="9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9"/>
    </row>
    <row r="1503" spans="1:14" hidden="1" x14ac:dyDescent="0.15">
      <c r="A1503">
        <v>1503</v>
      </c>
      <c r="B1503" t="s">
        <v>1424</v>
      </c>
      <c r="C1503" t="s">
        <v>18</v>
      </c>
      <c r="D1503" s="72" t="s">
        <v>2834</v>
      </c>
      <c r="E1503" t="s">
        <v>702</v>
      </c>
      <c r="F1503" t="s">
        <v>2835</v>
      </c>
      <c r="G1503" s="92"/>
      <c r="H1503" s="92"/>
      <c r="I1503" s="92"/>
      <c r="J1503" s="92"/>
      <c r="K1503" s="92"/>
      <c r="L1503" s="9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9"/>
    </row>
    <row r="1504" spans="1:14" hidden="1" x14ac:dyDescent="0.15">
      <c r="A1504">
        <v>1504</v>
      </c>
      <c r="B1504" t="s">
        <v>1424</v>
      </c>
      <c r="C1504" t="s">
        <v>18</v>
      </c>
      <c r="D1504" s="72" t="s">
        <v>2836</v>
      </c>
      <c r="E1504" t="s">
        <v>36</v>
      </c>
      <c r="F1504" t="s">
        <v>2837</v>
      </c>
      <c r="G1504" s="92"/>
      <c r="H1504" s="92"/>
      <c r="I1504" s="92"/>
      <c r="J1504" s="92"/>
      <c r="K1504" s="92"/>
      <c r="L1504" s="9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9"/>
    </row>
    <row r="1505" spans="1:14" hidden="1" x14ac:dyDescent="0.15">
      <c r="A1505">
        <v>1505</v>
      </c>
      <c r="B1505" t="s">
        <v>1424</v>
      </c>
      <c r="C1505" t="s">
        <v>18</v>
      </c>
      <c r="D1505" s="72" t="s">
        <v>2838</v>
      </c>
      <c r="E1505" t="s">
        <v>36</v>
      </c>
      <c r="F1505" t="s">
        <v>2839</v>
      </c>
      <c r="G1505" s="92"/>
      <c r="H1505" s="92"/>
      <c r="I1505" s="92"/>
      <c r="J1505" s="92"/>
      <c r="K1505" s="92"/>
      <c r="L1505" s="9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9"/>
    </row>
    <row r="1506" spans="1:14" hidden="1" x14ac:dyDescent="0.15">
      <c r="A1506">
        <v>1506</v>
      </c>
      <c r="B1506" t="s">
        <v>1424</v>
      </c>
      <c r="C1506" t="s">
        <v>18</v>
      </c>
      <c r="D1506" s="72" t="s">
        <v>561</v>
      </c>
      <c r="E1506" t="s">
        <v>73</v>
      </c>
      <c r="F1506" t="s">
        <v>562</v>
      </c>
      <c r="G1506" s="92"/>
      <c r="H1506" s="92"/>
      <c r="I1506" s="92"/>
      <c r="J1506" s="92"/>
      <c r="K1506" s="92"/>
      <c r="L1506" s="9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9"/>
    </row>
    <row r="1507" spans="1:14" hidden="1" x14ac:dyDescent="0.15">
      <c r="A1507">
        <v>1507</v>
      </c>
      <c r="B1507" t="s">
        <v>1424</v>
      </c>
      <c r="C1507" t="s">
        <v>18</v>
      </c>
      <c r="D1507" s="72" t="s">
        <v>2840</v>
      </c>
      <c r="E1507" t="s">
        <v>73</v>
      </c>
      <c r="F1507" t="s">
        <v>2841</v>
      </c>
      <c r="G1507" s="92"/>
      <c r="H1507" s="92"/>
      <c r="I1507" s="92"/>
      <c r="J1507" s="92"/>
      <c r="K1507" s="92"/>
      <c r="L1507" s="9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9"/>
    </row>
    <row r="1508" spans="1:14" hidden="1" x14ac:dyDescent="0.15">
      <c r="A1508">
        <v>1508</v>
      </c>
      <c r="B1508" t="s">
        <v>1424</v>
      </c>
      <c r="C1508" t="s">
        <v>18</v>
      </c>
      <c r="D1508" s="72" t="s">
        <v>2842</v>
      </c>
      <c r="E1508" t="s">
        <v>73</v>
      </c>
      <c r="F1508" t="s">
        <v>2843</v>
      </c>
      <c r="G1508" s="92"/>
      <c r="H1508" s="92"/>
      <c r="I1508" s="92"/>
      <c r="J1508" s="92"/>
      <c r="K1508" s="92"/>
      <c r="L1508" s="9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9"/>
    </row>
    <row r="1509" spans="1:14" hidden="1" x14ac:dyDescent="0.15">
      <c r="A1509">
        <v>1509</v>
      </c>
      <c r="B1509" t="s">
        <v>1424</v>
      </c>
      <c r="C1509" t="s">
        <v>18</v>
      </c>
      <c r="D1509" s="72" t="s">
        <v>2844</v>
      </c>
      <c r="E1509" t="s">
        <v>36</v>
      </c>
      <c r="F1509" t="s">
        <v>2845</v>
      </c>
      <c r="G1509" s="92"/>
      <c r="H1509" s="92"/>
      <c r="I1509" s="92"/>
      <c r="J1509" s="92"/>
      <c r="K1509" s="92"/>
      <c r="L1509" s="9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9"/>
    </row>
    <row r="1510" spans="1:14" hidden="1" x14ac:dyDescent="0.15">
      <c r="A1510">
        <v>1510</v>
      </c>
      <c r="B1510" t="s">
        <v>1424</v>
      </c>
      <c r="C1510" t="s">
        <v>18</v>
      </c>
      <c r="D1510" s="72" t="s">
        <v>2846</v>
      </c>
      <c r="E1510" t="s">
        <v>36</v>
      </c>
      <c r="F1510" t="s">
        <v>2847</v>
      </c>
      <c r="G1510" s="92"/>
      <c r="H1510" s="92"/>
      <c r="I1510" s="92"/>
      <c r="J1510" s="92"/>
      <c r="K1510" s="92"/>
      <c r="L1510" s="9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9"/>
    </row>
    <row r="1511" spans="1:14" hidden="1" x14ac:dyDescent="0.15">
      <c r="A1511">
        <v>1511</v>
      </c>
      <c r="B1511" t="s">
        <v>1424</v>
      </c>
      <c r="C1511" t="s">
        <v>18</v>
      </c>
      <c r="D1511" s="72" t="s">
        <v>367</v>
      </c>
      <c r="E1511" t="s">
        <v>36</v>
      </c>
      <c r="F1511" t="s">
        <v>2848</v>
      </c>
      <c r="G1511" s="92"/>
      <c r="H1511" s="92"/>
      <c r="I1511" s="92"/>
      <c r="J1511" s="92"/>
      <c r="K1511" s="92"/>
      <c r="L1511" s="9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9"/>
    </row>
    <row r="1512" spans="1:14" hidden="1" x14ac:dyDescent="0.15">
      <c r="A1512">
        <v>1512</v>
      </c>
      <c r="B1512" t="s">
        <v>1424</v>
      </c>
      <c r="C1512" t="s">
        <v>18</v>
      </c>
      <c r="D1512" s="72" t="s">
        <v>2849</v>
      </c>
      <c r="E1512" t="s">
        <v>36</v>
      </c>
      <c r="F1512" t="s">
        <v>2850</v>
      </c>
      <c r="G1512" s="92"/>
      <c r="H1512" s="92"/>
      <c r="I1512" s="92"/>
      <c r="J1512" s="92"/>
      <c r="K1512" s="92"/>
      <c r="L1512" s="9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9"/>
    </row>
    <row r="1513" spans="1:14" hidden="1" x14ac:dyDescent="0.15">
      <c r="A1513">
        <v>1513</v>
      </c>
      <c r="B1513" t="s">
        <v>1424</v>
      </c>
      <c r="C1513" t="s">
        <v>18</v>
      </c>
      <c r="D1513" s="72" t="s">
        <v>2851</v>
      </c>
      <c r="E1513" t="s">
        <v>36</v>
      </c>
      <c r="F1513" t="s">
        <v>2852</v>
      </c>
      <c r="G1513" s="92"/>
      <c r="H1513" s="92"/>
      <c r="I1513" s="92"/>
      <c r="J1513" s="92"/>
      <c r="K1513" s="92"/>
      <c r="L1513" s="9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9"/>
    </row>
    <row r="1514" spans="1:14" hidden="1" x14ac:dyDescent="0.15">
      <c r="A1514">
        <v>1514</v>
      </c>
      <c r="B1514" t="s">
        <v>1424</v>
      </c>
      <c r="C1514" t="s">
        <v>18</v>
      </c>
      <c r="D1514" s="72" t="s">
        <v>398</v>
      </c>
      <c r="E1514" t="s">
        <v>36</v>
      </c>
      <c r="F1514" t="s">
        <v>2853</v>
      </c>
      <c r="G1514" s="92"/>
      <c r="H1514" s="92"/>
      <c r="I1514" s="92"/>
      <c r="J1514" s="92"/>
      <c r="K1514" s="92"/>
      <c r="L1514" s="9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9"/>
    </row>
    <row r="1515" spans="1:14" hidden="1" x14ac:dyDescent="0.15">
      <c r="A1515">
        <v>1515</v>
      </c>
      <c r="B1515" t="s">
        <v>1424</v>
      </c>
      <c r="C1515" t="s">
        <v>18</v>
      </c>
      <c r="D1515" s="72" t="s">
        <v>2854</v>
      </c>
      <c r="E1515" t="s">
        <v>36</v>
      </c>
      <c r="F1515" t="s">
        <v>2855</v>
      </c>
      <c r="G1515" s="92"/>
      <c r="H1515" s="92"/>
      <c r="I1515" s="92"/>
      <c r="J1515" s="92"/>
      <c r="K1515" s="92"/>
      <c r="L1515" s="9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9"/>
    </row>
    <row r="1516" spans="1:14" hidden="1" x14ac:dyDescent="0.15">
      <c r="A1516">
        <v>1516</v>
      </c>
      <c r="B1516" t="s">
        <v>1424</v>
      </c>
      <c r="C1516" t="s">
        <v>18</v>
      </c>
      <c r="D1516" s="72" t="s">
        <v>2856</v>
      </c>
      <c r="E1516" t="s">
        <v>2857</v>
      </c>
      <c r="F1516" t="s">
        <v>2858</v>
      </c>
      <c r="G1516" s="92"/>
      <c r="H1516" s="92"/>
      <c r="I1516" s="92"/>
      <c r="J1516" s="92"/>
      <c r="K1516" s="92"/>
      <c r="L1516" s="9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9"/>
    </row>
    <row r="1517" spans="1:14" hidden="1" x14ac:dyDescent="0.15">
      <c r="A1517">
        <v>1517</v>
      </c>
      <c r="B1517" t="s">
        <v>1424</v>
      </c>
      <c r="C1517" t="s">
        <v>18</v>
      </c>
      <c r="D1517" s="72" t="s">
        <v>2859</v>
      </c>
      <c r="E1517" t="s">
        <v>36</v>
      </c>
      <c r="F1517" t="s">
        <v>2860</v>
      </c>
      <c r="G1517" s="92"/>
      <c r="H1517" s="92"/>
      <c r="I1517" s="92"/>
      <c r="J1517" s="92"/>
      <c r="K1517" s="92"/>
      <c r="L1517" s="9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9"/>
    </row>
    <row r="1518" spans="1:14" hidden="1" x14ac:dyDescent="0.15">
      <c r="A1518">
        <v>1518</v>
      </c>
      <c r="B1518" t="s">
        <v>1424</v>
      </c>
      <c r="C1518" t="s">
        <v>18</v>
      </c>
      <c r="D1518" s="72" t="s">
        <v>387</v>
      </c>
      <c r="E1518" t="s">
        <v>73</v>
      </c>
      <c r="F1518" t="s">
        <v>2861</v>
      </c>
      <c r="G1518" s="92"/>
      <c r="H1518" s="92"/>
      <c r="I1518" s="92"/>
      <c r="J1518" s="92"/>
      <c r="K1518" s="92"/>
      <c r="L1518" s="9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9"/>
    </row>
    <row r="1519" spans="1:14" hidden="1" x14ac:dyDescent="0.15">
      <c r="A1519">
        <v>1519</v>
      </c>
      <c r="B1519" t="s">
        <v>1424</v>
      </c>
      <c r="C1519" t="s">
        <v>18</v>
      </c>
      <c r="D1519" s="72" t="s">
        <v>2862</v>
      </c>
      <c r="E1519" t="s">
        <v>36</v>
      </c>
      <c r="F1519" t="s">
        <v>2863</v>
      </c>
      <c r="G1519" s="92"/>
      <c r="H1519" s="92"/>
      <c r="I1519" s="92"/>
      <c r="J1519" s="92"/>
      <c r="K1519" s="92"/>
      <c r="L1519" s="9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9"/>
    </row>
    <row r="1520" spans="1:14" hidden="1" x14ac:dyDescent="0.15">
      <c r="A1520">
        <v>1520</v>
      </c>
      <c r="B1520" t="s">
        <v>1424</v>
      </c>
      <c r="C1520" t="s">
        <v>18</v>
      </c>
      <c r="D1520" s="72" t="s">
        <v>2864</v>
      </c>
      <c r="E1520" t="s">
        <v>36</v>
      </c>
      <c r="F1520" t="s">
        <v>2865</v>
      </c>
      <c r="G1520" s="92"/>
      <c r="H1520" s="92"/>
      <c r="I1520" s="92"/>
      <c r="J1520" s="92"/>
      <c r="K1520" s="92"/>
      <c r="L1520" s="9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9"/>
    </row>
    <row r="1521" spans="1:14" hidden="1" x14ac:dyDescent="0.15">
      <c r="A1521">
        <v>1521</v>
      </c>
      <c r="B1521" t="s">
        <v>1424</v>
      </c>
      <c r="C1521" t="s">
        <v>18</v>
      </c>
      <c r="D1521" s="72" t="s">
        <v>2866</v>
      </c>
      <c r="E1521" t="s">
        <v>36</v>
      </c>
      <c r="F1521" t="s">
        <v>2867</v>
      </c>
      <c r="G1521" s="92"/>
      <c r="H1521" s="92"/>
      <c r="I1521" s="92"/>
      <c r="J1521" s="92"/>
      <c r="K1521" s="92"/>
      <c r="L1521" s="9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9"/>
    </row>
    <row r="1522" spans="1:14" hidden="1" x14ac:dyDescent="0.15">
      <c r="A1522">
        <v>1522</v>
      </c>
      <c r="B1522" t="s">
        <v>1424</v>
      </c>
      <c r="C1522" t="s">
        <v>18</v>
      </c>
      <c r="D1522" s="72" t="s">
        <v>2868</v>
      </c>
      <c r="E1522" t="s">
        <v>36</v>
      </c>
      <c r="F1522" t="s">
        <v>2869</v>
      </c>
      <c r="G1522" s="92"/>
      <c r="H1522" s="92"/>
      <c r="I1522" s="92"/>
      <c r="J1522" s="92"/>
      <c r="K1522" s="92"/>
      <c r="L1522" s="9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9"/>
    </row>
    <row r="1523" spans="1:14" hidden="1" x14ac:dyDescent="0.15">
      <c r="A1523">
        <v>1523</v>
      </c>
      <c r="B1523" t="s">
        <v>1424</v>
      </c>
      <c r="C1523" t="s">
        <v>18</v>
      </c>
      <c r="D1523" s="72" t="s">
        <v>2870</v>
      </c>
      <c r="E1523" t="s">
        <v>36</v>
      </c>
      <c r="F1523" t="s">
        <v>2871</v>
      </c>
      <c r="G1523" s="92"/>
      <c r="H1523" s="92"/>
      <c r="I1523" s="92"/>
      <c r="J1523" s="92"/>
      <c r="K1523" s="92"/>
      <c r="L1523" s="9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9"/>
    </row>
    <row r="1524" spans="1:14" hidden="1" x14ac:dyDescent="0.15">
      <c r="A1524">
        <v>1524</v>
      </c>
      <c r="B1524" t="s">
        <v>1424</v>
      </c>
      <c r="C1524" t="s">
        <v>18</v>
      </c>
      <c r="D1524" s="72" t="s">
        <v>2872</v>
      </c>
      <c r="E1524" t="s">
        <v>36</v>
      </c>
      <c r="F1524" t="s">
        <v>2873</v>
      </c>
      <c r="G1524" s="92"/>
      <c r="H1524" s="92"/>
      <c r="I1524" s="92"/>
      <c r="J1524" s="92"/>
      <c r="K1524" s="92"/>
      <c r="L1524" s="9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9"/>
    </row>
    <row r="1525" spans="1:14" hidden="1" x14ac:dyDescent="0.15">
      <c r="A1525">
        <v>1525</v>
      </c>
      <c r="B1525" t="s">
        <v>1424</v>
      </c>
      <c r="C1525" t="s">
        <v>19</v>
      </c>
      <c r="D1525" s="72" t="s">
        <v>2874</v>
      </c>
      <c r="E1525" t="s">
        <v>36</v>
      </c>
      <c r="F1525" t="s">
        <v>2875</v>
      </c>
      <c r="G1525" s="92"/>
      <c r="H1525" s="92"/>
      <c r="I1525" s="92"/>
      <c r="J1525" s="92"/>
      <c r="K1525" s="92"/>
      <c r="L1525" s="9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9"/>
    </row>
    <row r="1526" spans="1:14" hidden="1" x14ac:dyDescent="0.15">
      <c r="A1526">
        <v>1526</v>
      </c>
      <c r="B1526" t="s">
        <v>1424</v>
      </c>
      <c r="C1526" t="s">
        <v>19</v>
      </c>
      <c r="D1526" s="72" t="s">
        <v>2876</v>
      </c>
      <c r="E1526" t="s">
        <v>36</v>
      </c>
      <c r="F1526" t="s">
        <v>2877</v>
      </c>
      <c r="G1526" s="92"/>
      <c r="H1526" s="92"/>
      <c r="I1526" s="92"/>
      <c r="J1526" s="92"/>
      <c r="K1526" s="92"/>
      <c r="L1526" s="9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9"/>
    </row>
    <row r="1527" spans="1:14" hidden="1" x14ac:dyDescent="0.15">
      <c r="A1527">
        <v>1527</v>
      </c>
      <c r="B1527" t="s">
        <v>1424</v>
      </c>
      <c r="C1527" t="s">
        <v>19</v>
      </c>
      <c r="D1527" s="72" t="s">
        <v>898</v>
      </c>
      <c r="E1527" t="s">
        <v>36</v>
      </c>
      <c r="F1527" t="s">
        <v>2878</v>
      </c>
      <c r="G1527" s="92"/>
      <c r="H1527" s="92"/>
      <c r="I1527" s="92"/>
      <c r="J1527" s="92"/>
      <c r="K1527" s="92"/>
      <c r="L1527" s="9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9"/>
    </row>
    <row r="1528" spans="1:14" hidden="1" x14ac:dyDescent="0.15">
      <c r="A1528">
        <v>1528</v>
      </c>
      <c r="B1528" t="s">
        <v>1424</v>
      </c>
      <c r="C1528" t="s">
        <v>19</v>
      </c>
      <c r="D1528" s="72" t="s">
        <v>2879</v>
      </c>
      <c r="E1528" t="s">
        <v>36</v>
      </c>
      <c r="F1528" t="s">
        <v>2880</v>
      </c>
      <c r="G1528" s="92"/>
      <c r="H1528" s="92"/>
      <c r="I1528" s="92"/>
      <c r="J1528" s="92"/>
      <c r="K1528" s="92"/>
      <c r="L1528" s="9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9"/>
    </row>
    <row r="1529" spans="1:14" hidden="1" x14ac:dyDescent="0.15">
      <c r="A1529">
        <v>1529</v>
      </c>
      <c r="B1529" t="s">
        <v>1424</v>
      </c>
      <c r="C1529" t="s">
        <v>19</v>
      </c>
      <c r="D1529" s="72" t="s">
        <v>2881</v>
      </c>
      <c r="E1529" t="s">
        <v>36</v>
      </c>
      <c r="F1529" t="s">
        <v>2523</v>
      </c>
      <c r="G1529" s="92"/>
      <c r="H1529" s="92"/>
      <c r="I1529" s="92"/>
      <c r="J1529" s="92"/>
      <c r="K1529" s="92"/>
      <c r="L1529" s="9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9"/>
    </row>
    <row r="1530" spans="1:14" hidden="1" x14ac:dyDescent="0.15">
      <c r="A1530">
        <v>1530</v>
      </c>
      <c r="B1530" t="s">
        <v>1424</v>
      </c>
      <c r="C1530" t="s">
        <v>19</v>
      </c>
      <c r="D1530" s="72" t="s">
        <v>2882</v>
      </c>
      <c r="E1530" t="s">
        <v>36</v>
      </c>
      <c r="F1530" t="s">
        <v>2883</v>
      </c>
      <c r="G1530" s="92"/>
      <c r="H1530" s="92"/>
      <c r="I1530" s="92"/>
      <c r="J1530" s="92"/>
      <c r="K1530" s="92"/>
      <c r="L1530" s="9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9"/>
    </row>
    <row r="1531" spans="1:14" hidden="1" x14ac:dyDescent="0.15">
      <c r="A1531">
        <v>1531</v>
      </c>
      <c r="B1531" t="s">
        <v>1424</v>
      </c>
      <c r="C1531" t="s">
        <v>19</v>
      </c>
      <c r="D1531" s="72" t="s">
        <v>2884</v>
      </c>
      <c r="E1531" t="s">
        <v>36</v>
      </c>
      <c r="F1531" t="s">
        <v>2885</v>
      </c>
      <c r="G1531" s="92"/>
      <c r="H1531" s="92"/>
      <c r="I1531" s="92"/>
      <c r="J1531" s="92"/>
      <c r="K1531" s="92"/>
      <c r="L1531" s="9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9"/>
    </row>
    <row r="1532" spans="1:14" hidden="1" x14ac:dyDescent="0.15">
      <c r="A1532">
        <v>1532</v>
      </c>
      <c r="B1532" t="s">
        <v>1424</v>
      </c>
      <c r="C1532" t="s">
        <v>19</v>
      </c>
      <c r="D1532" s="72" t="s">
        <v>2886</v>
      </c>
      <c r="E1532" t="s">
        <v>36</v>
      </c>
      <c r="F1532" t="s">
        <v>2887</v>
      </c>
      <c r="G1532" s="92"/>
      <c r="H1532" s="92"/>
      <c r="I1532" s="92"/>
      <c r="J1532" s="92"/>
      <c r="K1532" s="92"/>
      <c r="L1532" s="9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9"/>
    </row>
    <row r="1533" spans="1:14" hidden="1" x14ac:dyDescent="0.15">
      <c r="A1533">
        <v>1533</v>
      </c>
      <c r="B1533" t="s">
        <v>1424</v>
      </c>
      <c r="C1533" t="s">
        <v>19</v>
      </c>
      <c r="D1533" s="72" t="s">
        <v>2888</v>
      </c>
      <c r="E1533" t="s">
        <v>36</v>
      </c>
      <c r="F1533" t="s">
        <v>2889</v>
      </c>
      <c r="G1533" s="92"/>
      <c r="H1533" s="92"/>
      <c r="I1533" s="92"/>
      <c r="J1533" s="92"/>
      <c r="K1533" s="92"/>
      <c r="L1533" s="9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9"/>
    </row>
    <row r="1534" spans="1:14" hidden="1" x14ac:dyDescent="0.15">
      <c r="A1534">
        <v>1534</v>
      </c>
      <c r="B1534" t="s">
        <v>1424</v>
      </c>
      <c r="C1534" t="s">
        <v>19</v>
      </c>
      <c r="D1534" s="72" t="s">
        <v>309</v>
      </c>
      <c r="E1534" t="s">
        <v>36</v>
      </c>
      <c r="F1534" t="s">
        <v>310</v>
      </c>
      <c r="G1534" s="92"/>
      <c r="H1534" s="92"/>
      <c r="I1534" s="92"/>
      <c r="J1534" s="92"/>
      <c r="K1534" s="92"/>
      <c r="L1534" s="9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9"/>
    </row>
    <row r="1535" spans="1:14" hidden="1" x14ac:dyDescent="0.15">
      <c r="A1535">
        <v>1535</v>
      </c>
      <c r="B1535" t="s">
        <v>1424</v>
      </c>
      <c r="C1535" t="s">
        <v>19</v>
      </c>
      <c r="D1535" s="72" t="s">
        <v>2890</v>
      </c>
      <c r="E1535" t="s">
        <v>36</v>
      </c>
      <c r="F1535" t="s">
        <v>2891</v>
      </c>
      <c r="G1535" s="92"/>
      <c r="H1535" s="92"/>
      <c r="I1535" s="92"/>
      <c r="J1535" s="92"/>
      <c r="K1535" s="92"/>
      <c r="L1535" s="9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9"/>
    </row>
    <row r="1536" spans="1:14" hidden="1" x14ac:dyDescent="0.15">
      <c r="A1536">
        <v>1536</v>
      </c>
      <c r="B1536" t="s">
        <v>1424</v>
      </c>
      <c r="C1536" t="s">
        <v>19</v>
      </c>
      <c r="D1536" s="72" t="s">
        <v>2892</v>
      </c>
      <c r="E1536" t="s">
        <v>61</v>
      </c>
      <c r="F1536" t="s">
        <v>2893</v>
      </c>
      <c r="G1536" s="92"/>
      <c r="H1536" s="92"/>
      <c r="I1536" s="92"/>
      <c r="J1536" s="92"/>
      <c r="K1536" s="92"/>
      <c r="L1536" s="9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9"/>
    </row>
    <row r="1537" spans="1:14" hidden="1" x14ac:dyDescent="0.15">
      <c r="A1537">
        <v>1537</v>
      </c>
      <c r="B1537" t="s">
        <v>1424</v>
      </c>
      <c r="C1537" t="s">
        <v>19</v>
      </c>
      <c r="D1537" s="72" t="s">
        <v>2894</v>
      </c>
      <c r="E1537" t="s">
        <v>73</v>
      </c>
      <c r="F1537" t="s">
        <v>2895</v>
      </c>
      <c r="G1537" s="92"/>
      <c r="H1537" s="92"/>
      <c r="I1537" s="92"/>
      <c r="J1537" s="92"/>
      <c r="K1537" s="92"/>
      <c r="L1537" s="9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9"/>
    </row>
    <row r="1538" spans="1:14" hidden="1" x14ac:dyDescent="0.15">
      <c r="A1538">
        <v>1538</v>
      </c>
      <c r="B1538" t="s">
        <v>1424</v>
      </c>
      <c r="C1538" t="s">
        <v>19</v>
      </c>
      <c r="D1538" s="72" t="s">
        <v>884</v>
      </c>
      <c r="E1538" t="s">
        <v>36</v>
      </c>
      <c r="F1538" t="s">
        <v>2896</v>
      </c>
      <c r="G1538" s="92"/>
      <c r="H1538" s="92"/>
      <c r="I1538" s="92"/>
      <c r="J1538" s="92"/>
      <c r="K1538" s="92"/>
      <c r="L1538" s="9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9"/>
    </row>
    <row r="1539" spans="1:14" hidden="1" x14ac:dyDescent="0.15">
      <c r="A1539">
        <v>1539</v>
      </c>
      <c r="B1539" t="s">
        <v>1424</v>
      </c>
      <c r="C1539" t="s">
        <v>19</v>
      </c>
      <c r="D1539" s="72" t="s">
        <v>2897</v>
      </c>
      <c r="E1539" t="s">
        <v>157</v>
      </c>
      <c r="F1539" t="s">
        <v>2898</v>
      </c>
      <c r="G1539" s="92"/>
      <c r="H1539" s="92"/>
      <c r="I1539" s="92"/>
      <c r="J1539" s="92"/>
      <c r="K1539" s="92"/>
      <c r="L1539" s="9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9"/>
    </row>
    <row r="1540" spans="1:14" hidden="1" x14ac:dyDescent="0.15">
      <c r="A1540">
        <v>1540</v>
      </c>
      <c r="B1540" t="s">
        <v>1424</v>
      </c>
      <c r="C1540" t="s">
        <v>19</v>
      </c>
      <c r="D1540" s="72" t="s">
        <v>2899</v>
      </c>
      <c r="E1540" t="s">
        <v>702</v>
      </c>
      <c r="F1540" t="s">
        <v>2900</v>
      </c>
      <c r="G1540" s="92"/>
      <c r="H1540" s="92"/>
      <c r="I1540" s="92"/>
      <c r="J1540" s="92"/>
      <c r="K1540" s="92"/>
      <c r="L1540" s="9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9"/>
    </row>
    <row r="1541" spans="1:14" hidden="1" x14ac:dyDescent="0.15">
      <c r="A1541">
        <v>1541</v>
      </c>
      <c r="B1541" t="s">
        <v>1424</v>
      </c>
      <c r="C1541" t="s">
        <v>19</v>
      </c>
      <c r="D1541" s="72" t="s">
        <v>2901</v>
      </c>
      <c r="E1541" t="s">
        <v>36</v>
      </c>
      <c r="F1541" t="s">
        <v>2902</v>
      </c>
      <c r="G1541" s="92"/>
      <c r="H1541" s="92"/>
      <c r="I1541" s="92"/>
      <c r="J1541" s="92"/>
      <c r="K1541" s="92"/>
      <c r="L1541" s="9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9"/>
    </row>
    <row r="1542" spans="1:14" hidden="1" x14ac:dyDescent="0.15">
      <c r="A1542">
        <v>1542</v>
      </c>
      <c r="B1542" t="s">
        <v>1424</v>
      </c>
      <c r="C1542" t="s">
        <v>19</v>
      </c>
      <c r="D1542" s="72" t="s">
        <v>2903</v>
      </c>
      <c r="E1542" t="s">
        <v>36</v>
      </c>
      <c r="F1542" t="s">
        <v>2904</v>
      </c>
      <c r="G1542" s="92"/>
      <c r="H1542" s="92"/>
      <c r="I1542" s="92"/>
      <c r="J1542" s="92"/>
      <c r="K1542" s="92"/>
      <c r="L1542" s="9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9"/>
    </row>
    <row r="1543" spans="1:14" hidden="1" x14ac:dyDescent="0.15">
      <c r="A1543">
        <v>1543</v>
      </c>
      <c r="B1543" t="s">
        <v>1424</v>
      </c>
      <c r="C1543" t="s">
        <v>19</v>
      </c>
      <c r="D1543" s="72" t="s">
        <v>2905</v>
      </c>
      <c r="E1543" t="s">
        <v>702</v>
      </c>
      <c r="F1543" t="s">
        <v>2906</v>
      </c>
      <c r="G1543" s="92"/>
      <c r="H1543" s="92"/>
      <c r="I1543" s="92"/>
      <c r="J1543" s="92"/>
      <c r="K1543" s="92"/>
      <c r="L1543" s="9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9"/>
    </row>
    <row r="1544" spans="1:14" hidden="1" x14ac:dyDescent="0.15">
      <c r="A1544">
        <v>1544</v>
      </c>
      <c r="B1544" t="s">
        <v>1424</v>
      </c>
      <c r="C1544" t="s">
        <v>19</v>
      </c>
      <c r="D1544" s="72" t="s">
        <v>2907</v>
      </c>
      <c r="E1544" t="s">
        <v>702</v>
      </c>
      <c r="F1544" t="s">
        <v>2908</v>
      </c>
      <c r="G1544" s="92"/>
      <c r="H1544" s="92"/>
      <c r="I1544" s="92"/>
      <c r="J1544" s="92"/>
      <c r="K1544" s="92"/>
      <c r="L1544" s="9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9"/>
    </row>
    <row r="1545" spans="1:14" hidden="1" x14ac:dyDescent="0.15">
      <c r="A1545">
        <v>1545</v>
      </c>
      <c r="B1545" t="s">
        <v>1424</v>
      </c>
      <c r="C1545" t="s">
        <v>19</v>
      </c>
      <c r="D1545" s="72" t="s">
        <v>450</v>
      </c>
      <c r="E1545" t="s">
        <v>73</v>
      </c>
      <c r="F1545" t="s">
        <v>451</v>
      </c>
      <c r="G1545" s="92"/>
      <c r="H1545" s="92"/>
      <c r="I1545" s="92"/>
      <c r="J1545" s="92"/>
      <c r="K1545" s="92"/>
      <c r="L1545" s="9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9"/>
    </row>
    <row r="1546" spans="1:14" hidden="1" x14ac:dyDescent="0.15">
      <c r="A1546">
        <v>1546</v>
      </c>
      <c r="B1546" t="s">
        <v>1424</v>
      </c>
      <c r="C1546" t="s">
        <v>19</v>
      </c>
      <c r="D1546" s="72" t="s">
        <v>927</v>
      </c>
      <c r="E1546" t="s">
        <v>73</v>
      </c>
      <c r="F1546" t="s">
        <v>2909</v>
      </c>
      <c r="G1546" s="92"/>
      <c r="H1546" s="92"/>
      <c r="I1546" s="92"/>
      <c r="J1546" s="92"/>
      <c r="K1546" s="92"/>
      <c r="L1546" s="9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9"/>
    </row>
    <row r="1547" spans="1:14" hidden="1" x14ac:dyDescent="0.15">
      <c r="A1547">
        <v>1547</v>
      </c>
      <c r="B1547" t="s">
        <v>1424</v>
      </c>
      <c r="C1547" t="s">
        <v>19</v>
      </c>
      <c r="D1547" s="72" t="s">
        <v>2910</v>
      </c>
      <c r="E1547" t="s">
        <v>73</v>
      </c>
      <c r="F1547" t="s">
        <v>2911</v>
      </c>
      <c r="G1547" s="92"/>
      <c r="H1547" s="92"/>
      <c r="I1547" s="92"/>
      <c r="J1547" s="92"/>
      <c r="K1547" s="92"/>
      <c r="L1547" s="9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9"/>
    </row>
    <row r="1548" spans="1:14" hidden="1" x14ac:dyDescent="0.15">
      <c r="A1548">
        <v>1548</v>
      </c>
      <c r="B1548" t="s">
        <v>1424</v>
      </c>
      <c r="C1548" t="s">
        <v>19</v>
      </c>
      <c r="D1548" s="72" t="s">
        <v>2912</v>
      </c>
      <c r="E1548" t="s">
        <v>73</v>
      </c>
      <c r="F1548" t="s">
        <v>2913</v>
      </c>
      <c r="G1548" s="92"/>
      <c r="H1548" s="92"/>
      <c r="I1548" s="92"/>
      <c r="J1548" s="92"/>
      <c r="K1548" s="92"/>
      <c r="L1548" s="9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9"/>
    </row>
    <row r="1549" spans="1:14" hidden="1" x14ac:dyDescent="0.15">
      <c r="A1549">
        <v>1549</v>
      </c>
      <c r="B1549" t="s">
        <v>1424</v>
      </c>
      <c r="C1549" t="s">
        <v>19</v>
      </c>
      <c r="D1549" s="72" t="s">
        <v>404</v>
      </c>
      <c r="E1549" t="s">
        <v>36</v>
      </c>
      <c r="F1549" t="s">
        <v>405</v>
      </c>
      <c r="G1549" s="92"/>
      <c r="H1549" s="92"/>
      <c r="I1549" s="92"/>
      <c r="J1549" s="92"/>
      <c r="K1549" s="92"/>
      <c r="L1549" s="9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9"/>
    </row>
    <row r="1550" spans="1:14" hidden="1" x14ac:dyDescent="0.15">
      <c r="A1550">
        <v>1550</v>
      </c>
      <c r="B1550" t="s">
        <v>1424</v>
      </c>
      <c r="C1550" t="s">
        <v>19</v>
      </c>
      <c r="D1550" s="72" t="s">
        <v>2914</v>
      </c>
      <c r="E1550" t="s">
        <v>36</v>
      </c>
      <c r="F1550" t="s">
        <v>2915</v>
      </c>
      <c r="G1550" s="92"/>
      <c r="H1550" s="92"/>
      <c r="I1550" s="92"/>
      <c r="J1550" s="92"/>
      <c r="K1550" s="92"/>
      <c r="L1550" s="9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9"/>
    </row>
    <row r="1551" spans="1:14" hidden="1" x14ac:dyDescent="0.15">
      <c r="A1551">
        <v>1551</v>
      </c>
      <c r="B1551" t="s">
        <v>1424</v>
      </c>
      <c r="C1551" t="s">
        <v>19</v>
      </c>
      <c r="D1551" s="72" t="s">
        <v>2916</v>
      </c>
      <c r="E1551" t="s">
        <v>36</v>
      </c>
      <c r="F1551" t="s">
        <v>2917</v>
      </c>
      <c r="G1551" s="92"/>
      <c r="H1551" s="92"/>
      <c r="I1551" s="92"/>
      <c r="J1551" s="92"/>
      <c r="K1551" s="92"/>
      <c r="L1551" s="9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9"/>
    </row>
    <row r="1552" spans="1:14" hidden="1" x14ac:dyDescent="0.15">
      <c r="A1552">
        <v>1552</v>
      </c>
      <c r="B1552" t="s">
        <v>1424</v>
      </c>
      <c r="C1552" t="s">
        <v>19</v>
      </c>
      <c r="D1552" s="72" t="s">
        <v>2918</v>
      </c>
      <c r="E1552" t="s">
        <v>36</v>
      </c>
      <c r="F1552" t="s">
        <v>2919</v>
      </c>
      <c r="G1552" s="92"/>
      <c r="H1552" s="92"/>
      <c r="I1552" s="92"/>
      <c r="J1552" s="92"/>
      <c r="K1552" s="92"/>
      <c r="L1552" s="9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9"/>
    </row>
    <row r="1553" spans="1:14" hidden="1" x14ac:dyDescent="0.15">
      <c r="A1553">
        <v>1553</v>
      </c>
      <c r="B1553" t="s">
        <v>1424</v>
      </c>
      <c r="C1553" t="s">
        <v>19</v>
      </c>
      <c r="D1553" s="72" t="s">
        <v>2920</v>
      </c>
      <c r="E1553" t="s">
        <v>36</v>
      </c>
      <c r="F1553" t="s">
        <v>2921</v>
      </c>
      <c r="G1553" s="92"/>
      <c r="H1553" s="92"/>
      <c r="I1553" s="92"/>
      <c r="J1553" s="92"/>
      <c r="K1553" s="92"/>
      <c r="L1553" s="9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9"/>
    </row>
    <row r="1554" spans="1:14" hidden="1" x14ac:dyDescent="0.15">
      <c r="A1554">
        <v>1554</v>
      </c>
      <c r="B1554" t="s">
        <v>1424</v>
      </c>
      <c r="C1554" t="s">
        <v>19</v>
      </c>
      <c r="D1554" s="72" t="s">
        <v>383</v>
      </c>
      <c r="E1554" t="s">
        <v>702</v>
      </c>
      <c r="F1554" t="s">
        <v>2922</v>
      </c>
      <c r="G1554" s="92"/>
      <c r="H1554" s="92"/>
      <c r="I1554" s="92"/>
      <c r="J1554" s="92"/>
      <c r="K1554" s="92"/>
      <c r="L1554" s="9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9"/>
    </row>
    <row r="1555" spans="1:14" hidden="1" x14ac:dyDescent="0.15">
      <c r="A1555">
        <v>1555</v>
      </c>
      <c r="B1555" t="s">
        <v>1424</v>
      </c>
      <c r="C1555" t="s">
        <v>19</v>
      </c>
      <c r="D1555" s="72" t="s">
        <v>2923</v>
      </c>
      <c r="E1555" t="s">
        <v>736</v>
      </c>
      <c r="F1555" t="s">
        <v>2924</v>
      </c>
      <c r="G1555" s="92"/>
      <c r="H1555" s="92"/>
      <c r="I1555" s="92"/>
      <c r="J1555" s="92"/>
      <c r="K1555" s="92"/>
      <c r="L1555" s="9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9"/>
    </row>
    <row r="1556" spans="1:14" hidden="1" x14ac:dyDescent="0.15">
      <c r="A1556">
        <v>1556</v>
      </c>
      <c r="B1556" t="s">
        <v>1424</v>
      </c>
      <c r="C1556" t="s">
        <v>19</v>
      </c>
      <c r="D1556" s="72" t="s">
        <v>2925</v>
      </c>
      <c r="E1556" t="s">
        <v>61</v>
      </c>
      <c r="F1556" t="s">
        <v>2926</v>
      </c>
      <c r="G1556" s="92"/>
      <c r="H1556" s="92"/>
      <c r="I1556" s="92"/>
      <c r="J1556" s="92"/>
      <c r="K1556" s="92"/>
      <c r="L1556" s="9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9"/>
    </row>
    <row r="1557" spans="1:14" hidden="1" x14ac:dyDescent="0.15">
      <c r="A1557">
        <v>1557</v>
      </c>
      <c r="B1557" t="s">
        <v>1424</v>
      </c>
      <c r="C1557" t="s">
        <v>19</v>
      </c>
      <c r="D1557" s="72" t="s">
        <v>2927</v>
      </c>
      <c r="E1557" t="s">
        <v>36</v>
      </c>
      <c r="F1557" t="s">
        <v>2928</v>
      </c>
      <c r="G1557" s="92"/>
      <c r="H1557" s="92"/>
      <c r="I1557" s="92"/>
      <c r="J1557" s="92"/>
      <c r="K1557" s="92"/>
      <c r="L1557" s="9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9"/>
    </row>
    <row r="1558" spans="1:14" hidden="1" x14ac:dyDescent="0.15">
      <c r="A1558">
        <v>1558</v>
      </c>
      <c r="B1558" t="s">
        <v>1424</v>
      </c>
      <c r="C1558" t="s">
        <v>20</v>
      </c>
      <c r="D1558" s="72" t="s">
        <v>183</v>
      </c>
      <c r="E1558" t="s">
        <v>36</v>
      </c>
      <c r="F1558" t="s">
        <v>2076</v>
      </c>
      <c r="G1558" s="92"/>
      <c r="H1558" s="92"/>
      <c r="I1558" s="92"/>
      <c r="J1558" s="92"/>
      <c r="K1558" s="92"/>
      <c r="L1558" s="9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9"/>
    </row>
    <row r="1559" spans="1:14" hidden="1" x14ac:dyDescent="0.15">
      <c r="A1559">
        <v>1559</v>
      </c>
      <c r="B1559" t="s">
        <v>1424</v>
      </c>
      <c r="C1559" t="s">
        <v>20</v>
      </c>
      <c r="D1559" s="72" t="s">
        <v>2929</v>
      </c>
      <c r="E1559" t="s">
        <v>36</v>
      </c>
      <c r="F1559" t="s">
        <v>2930</v>
      </c>
      <c r="G1559" s="92"/>
      <c r="H1559" s="92"/>
      <c r="I1559" s="92"/>
      <c r="J1559" s="92"/>
      <c r="K1559" s="92"/>
      <c r="L1559" s="9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9"/>
    </row>
    <row r="1560" spans="1:14" hidden="1" x14ac:dyDescent="0.15">
      <c r="A1560">
        <v>1560</v>
      </c>
      <c r="B1560" t="s">
        <v>1424</v>
      </c>
      <c r="C1560" t="s">
        <v>20</v>
      </c>
      <c r="D1560" s="72" t="s">
        <v>2931</v>
      </c>
      <c r="E1560" t="s">
        <v>36</v>
      </c>
      <c r="F1560" t="s">
        <v>2932</v>
      </c>
      <c r="G1560" s="92"/>
      <c r="H1560" s="92"/>
      <c r="I1560" s="92"/>
      <c r="J1560" s="92"/>
      <c r="K1560" s="92"/>
      <c r="L1560" s="9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9"/>
    </row>
    <row r="1561" spans="1:14" hidden="1" x14ac:dyDescent="0.15">
      <c r="A1561">
        <v>1561</v>
      </c>
      <c r="B1561" t="s">
        <v>1424</v>
      </c>
      <c r="C1561" t="s">
        <v>20</v>
      </c>
      <c r="D1561" s="72" t="s">
        <v>2933</v>
      </c>
      <c r="E1561" t="s">
        <v>1019</v>
      </c>
      <c r="F1561" t="s">
        <v>2934</v>
      </c>
      <c r="G1561" s="92"/>
      <c r="H1561" s="92"/>
      <c r="I1561" s="92"/>
      <c r="J1561" s="92"/>
      <c r="K1561" s="92"/>
      <c r="L1561" s="9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9"/>
    </row>
    <row r="1562" spans="1:14" hidden="1" x14ac:dyDescent="0.15">
      <c r="A1562">
        <v>1562</v>
      </c>
      <c r="B1562" t="s">
        <v>1424</v>
      </c>
      <c r="C1562" t="s">
        <v>20</v>
      </c>
      <c r="D1562" s="72" t="s">
        <v>2935</v>
      </c>
      <c r="E1562" t="s">
        <v>736</v>
      </c>
      <c r="F1562" t="s">
        <v>2936</v>
      </c>
      <c r="G1562" s="92"/>
      <c r="H1562" s="92"/>
      <c r="I1562" s="92"/>
      <c r="J1562" s="92"/>
      <c r="K1562" s="92"/>
      <c r="L1562" s="9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9"/>
    </row>
    <row r="1563" spans="1:14" hidden="1" x14ac:dyDescent="0.15">
      <c r="A1563">
        <v>1563</v>
      </c>
      <c r="B1563" t="s">
        <v>1424</v>
      </c>
      <c r="C1563" t="s">
        <v>20</v>
      </c>
      <c r="D1563" s="72" t="s">
        <v>2937</v>
      </c>
      <c r="E1563" t="s">
        <v>702</v>
      </c>
      <c r="F1563" t="s">
        <v>2938</v>
      </c>
      <c r="G1563" s="92"/>
      <c r="H1563" s="92"/>
      <c r="I1563" s="92"/>
      <c r="J1563" s="92"/>
      <c r="K1563" s="92"/>
      <c r="L1563" s="9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9"/>
    </row>
    <row r="1564" spans="1:14" hidden="1" x14ac:dyDescent="0.15">
      <c r="A1564">
        <v>1564</v>
      </c>
      <c r="B1564" t="s">
        <v>1424</v>
      </c>
      <c r="C1564" t="s">
        <v>20</v>
      </c>
      <c r="D1564" s="72" t="s">
        <v>2939</v>
      </c>
      <c r="E1564" t="s">
        <v>36</v>
      </c>
      <c r="F1564" t="s">
        <v>2940</v>
      </c>
      <c r="G1564" s="92"/>
      <c r="H1564" s="92"/>
      <c r="I1564" s="92"/>
      <c r="J1564" s="92"/>
      <c r="K1564" s="92"/>
      <c r="L1564" s="9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9"/>
    </row>
    <row r="1565" spans="1:14" hidden="1" x14ac:dyDescent="0.15">
      <c r="A1565">
        <v>1565</v>
      </c>
      <c r="B1565" t="s">
        <v>1424</v>
      </c>
      <c r="C1565" t="s">
        <v>20</v>
      </c>
      <c r="D1565" s="72" t="s">
        <v>2941</v>
      </c>
      <c r="E1565" t="s">
        <v>36</v>
      </c>
      <c r="F1565" t="s">
        <v>2942</v>
      </c>
      <c r="G1565" s="92"/>
      <c r="H1565" s="92"/>
      <c r="I1565" s="92"/>
      <c r="J1565" s="92"/>
      <c r="K1565" s="92"/>
      <c r="L1565" s="9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9"/>
    </row>
    <row r="1566" spans="1:14" hidden="1" x14ac:dyDescent="0.15">
      <c r="A1566">
        <v>1566</v>
      </c>
      <c r="B1566" t="s">
        <v>1424</v>
      </c>
      <c r="C1566" t="s">
        <v>20</v>
      </c>
      <c r="D1566" s="72" t="s">
        <v>578</v>
      </c>
      <c r="E1566" t="s">
        <v>61</v>
      </c>
      <c r="F1566" t="s">
        <v>2943</v>
      </c>
      <c r="G1566" s="92"/>
      <c r="H1566" s="92"/>
      <c r="I1566" s="92"/>
      <c r="J1566" s="92"/>
      <c r="K1566" s="92"/>
      <c r="L1566" s="9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9"/>
    </row>
    <row r="1567" spans="1:14" hidden="1" x14ac:dyDescent="0.15">
      <c r="A1567">
        <v>1567</v>
      </c>
      <c r="B1567" t="s">
        <v>1424</v>
      </c>
      <c r="C1567" t="s">
        <v>20</v>
      </c>
      <c r="D1567" s="72" t="s">
        <v>2944</v>
      </c>
      <c r="E1567" t="s">
        <v>736</v>
      </c>
      <c r="F1567" t="s">
        <v>2945</v>
      </c>
      <c r="G1567" s="92"/>
      <c r="H1567" s="92"/>
      <c r="I1567" s="92"/>
      <c r="J1567" s="92"/>
      <c r="K1567" s="92"/>
      <c r="L1567" s="9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9"/>
    </row>
    <row r="1568" spans="1:14" hidden="1" x14ac:dyDescent="0.15">
      <c r="A1568">
        <v>1568</v>
      </c>
      <c r="B1568" t="s">
        <v>1424</v>
      </c>
      <c r="C1568" t="s">
        <v>20</v>
      </c>
      <c r="D1568" s="72" t="s">
        <v>2946</v>
      </c>
      <c r="E1568" t="s">
        <v>157</v>
      </c>
      <c r="F1568" t="s">
        <v>2947</v>
      </c>
      <c r="G1568" s="92"/>
      <c r="H1568" s="92"/>
      <c r="I1568" s="92"/>
      <c r="J1568" s="92"/>
      <c r="K1568" s="92"/>
      <c r="L1568" s="9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9"/>
    </row>
    <row r="1569" spans="1:14" hidden="1" x14ac:dyDescent="0.15">
      <c r="A1569">
        <v>1569</v>
      </c>
      <c r="B1569" t="s">
        <v>1424</v>
      </c>
      <c r="C1569" t="s">
        <v>20</v>
      </c>
      <c r="D1569" s="72" t="s">
        <v>2948</v>
      </c>
      <c r="E1569" t="s">
        <v>36</v>
      </c>
      <c r="F1569" t="s">
        <v>2949</v>
      </c>
      <c r="G1569" s="92"/>
      <c r="H1569" s="92"/>
      <c r="I1569" s="92"/>
      <c r="J1569" s="92"/>
      <c r="K1569" s="92"/>
      <c r="L1569" s="9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9"/>
    </row>
    <row r="1570" spans="1:14" hidden="1" x14ac:dyDescent="0.15">
      <c r="A1570">
        <v>1570</v>
      </c>
      <c r="B1570" t="s">
        <v>1424</v>
      </c>
      <c r="C1570" t="s">
        <v>20</v>
      </c>
      <c r="D1570" s="72" t="s">
        <v>2950</v>
      </c>
      <c r="E1570" t="s">
        <v>702</v>
      </c>
      <c r="F1570" t="s">
        <v>2951</v>
      </c>
      <c r="G1570" s="92"/>
      <c r="H1570" s="92"/>
      <c r="I1570" s="92"/>
      <c r="J1570" s="92"/>
      <c r="K1570" s="92"/>
      <c r="L1570" s="9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9"/>
    </row>
    <row r="1571" spans="1:14" hidden="1" x14ac:dyDescent="0.15">
      <c r="A1571">
        <v>1571</v>
      </c>
      <c r="B1571" t="s">
        <v>1424</v>
      </c>
      <c r="C1571" t="s">
        <v>20</v>
      </c>
      <c r="D1571" s="72" t="s">
        <v>2952</v>
      </c>
      <c r="E1571" t="s">
        <v>736</v>
      </c>
      <c r="F1571" t="s">
        <v>2953</v>
      </c>
      <c r="G1571" s="92"/>
      <c r="H1571" s="92"/>
      <c r="I1571" s="92"/>
      <c r="J1571" s="92"/>
      <c r="K1571" s="92"/>
      <c r="L1571" s="9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9"/>
    </row>
    <row r="1572" spans="1:14" hidden="1" x14ac:dyDescent="0.15">
      <c r="A1572">
        <v>1572</v>
      </c>
      <c r="B1572" t="s">
        <v>1424</v>
      </c>
      <c r="C1572" t="s">
        <v>20</v>
      </c>
      <c r="D1572" s="72" t="s">
        <v>2954</v>
      </c>
      <c r="E1572" t="s">
        <v>61</v>
      </c>
      <c r="F1572" t="s">
        <v>2955</v>
      </c>
      <c r="G1572" s="92"/>
      <c r="H1572" s="92"/>
      <c r="I1572" s="92"/>
      <c r="J1572" s="92"/>
      <c r="K1572" s="92"/>
      <c r="L1572" s="9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9"/>
    </row>
    <row r="1573" spans="1:14" hidden="1" x14ac:dyDescent="0.15">
      <c r="A1573">
        <v>1573</v>
      </c>
      <c r="B1573" t="s">
        <v>1424</v>
      </c>
      <c r="C1573" t="s">
        <v>20</v>
      </c>
      <c r="D1573" s="72" t="s">
        <v>1216</v>
      </c>
      <c r="E1573" t="s">
        <v>36</v>
      </c>
      <c r="F1573" t="s">
        <v>842</v>
      </c>
      <c r="G1573" s="92"/>
      <c r="H1573" s="92"/>
      <c r="I1573" s="92"/>
      <c r="J1573" s="92"/>
      <c r="K1573" s="92"/>
      <c r="L1573" s="9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9"/>
    </row>
    <row r="1574" spans="1:14" hidden="1" x14ac:dyDescent="0.15">
      <c r="A1574">
        <v>1574</v>
      </c>
      <c r="B1574" t="s">
        <v>1424</v>
      </c>
      <c r="C1574" t="s">
        <v>20</v>
      </c>
      <c r="D1574" s="72" t="s">
        <v>966</v>
      </c>
      <c r="E1574" t="s">
        <v>36</v>
      </c>
      <c r="F1574" t="s">
        <v>2956</v>
      </c>
      <c r="G1574" s="92"/>
      <c r="H1574" s="92"/>
      <c r="I1574" s="92"/>
      <c r="J1574" s="92"/>
      <c r="K1574" s="92"/>
      <c r="L1574" s="9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9"/>
    </row>
    <row r="1575" spans="1:14" hidden="1" x14ac:dyDescent="0.15">
      <c r="A1575">
        <v>1575</v>
      </c>
      <c r="B1575" t="s">
        <v>1424</v>
      </c>
      <c r="C1575" t="s">
        <v>20</v>
      </c>
      <c r="D1575" s="72" t="s">
        <v>2957</v>
      </c>
      <c r="E1575" t="s">
        <v>36</v>
      </c>
      <c r="F1575" t="s">
        <v>2958</v>
      </c>
      <c r="G1575" s="92"/>
      <c r="H1575" s="92"/>
      <c r="I1575" s="92"/>
      <c r="J1575" s="92"/>
      <c r="K1575" s="92"/>
      <c r="L1575" s="9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9"/>
    </row>
    <row r="1576" spans="1:14" hidden="1" x14ac:dyDescent="0.15">
      <c r="A1576">
        <v>1576</v>
      </c>
      <c r="B1576" t="s">
        <v>1424</v>
      </c>
      <c r="C1576" t="s">
        <v>20</v>
      </c>
      <c r="D1576" s="72" t="s">
        <v>2959</v>
      </c>
      <c r="E1576" t="s">
        <v>702</v>
      </c>
      <c r="F1576" t="s">
        <v>2960</v>
      </c>
      <c r="G1576" s="92"/>
      <c r="H1576" s="92"/>
      <c r="I1576" s="92"/>
      <c r="J1576" s="92"/>
      <c r="K1576" s="92"/>
      <c r="L1576" s="9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9"/>
    </row>
    <row r="1577" spans="1:14" hidden="1" x14ac:dyDescent="0.15">
      <c r="A1577">
        <v>1577</v>
      </c>
      <c r="B1577" t="s">
        <v>1424</v>
      </c>
      <c r="C1577" t="s">
        <v>20</v>
      </c>
      <c r="D1577" s="72" t="s">
        <v>580</v>
      </c>
      <c r="E1577" t="s">
        <v>702</v>
      </c>
      <c r="F1577" t="s">
        <v>2961</v>
      </c>
      <c r="G1577" s="92"/>
      <c r="H1577" s="92"/>
      <c r="I1577" s="92"/>
      <c r="J1577" s="92"/>
      <c r="K1577" s="92"/>
      <c r="L1577" s="9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9"/>
    </row>
    <row r="1578" spans="1:14" hidden="1" x14ac:dyDescent="0.15">
      <c r="A1578">
        <v>1578</v>
      </c>
      <c r="B1578" t="s">
        <v>1424</v>
      </c>
      <c r="C1578" t="s">
        <v>20</v>
      </c>
      <c r="D1578" s="72" t="s">
        <v>2962</v>
      </c>
      <c r="E1578" t="s">
        <v>36</v>
      </c>
      <c r="F1578" t="s">
        <v>2428</v>
      </c>
      <c r="G1578" s="92"/>
      <c r="H1578" s="92"/>
      <c r="I1578" s="92"/>
      <c r="J1578" s="92"/>
      <c r="K1578" s="92"/>
      <c r="L1578" s="9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9"/>
    </row>
    <row r="1579" spans="1:14" hidden="1" x14ac:dyDescent="0.15">
      <c r="A1579">
        <v>1579</v>
      </c>
      <c r="B1579" t="s">
        <v>1424</v>
      </c>
      <c r="C1579" t="s">
        <v>20</v>
      </c>
      <c r="D1579" s="72" t="s">
        <v>2963</v>
      </c>
      <c r="E1579" t="s">
        <v>36</v>
      </c>
      <c r="F1579" t="s">
        <v>2964</v>
      </c>
      <c r="G1579" s="92"/>
      <c r="H1579" s="92"/>
      <c r="I1579" s="92"/>
      <c r="J1579" s="92"/>
      <c r="K1579" s="92"/>
      <c r="L1579" s="9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9"/>
    </row>
    <row r="1580" spans="1:14" hidden="1" x14ac:dyDescent="0.15">
      <c r="A1580">
        <v>1580</v>
      </c>
      <c r="B1580" t="s">
        <v>1424</v>
      </c>
      <c r="C1580" t="s">
        <v>20</v>
      </c>
      <c r="D1580" s="72" t="s">
        <v>2965</v>
      </c>
      <c r="E1580" t="s">
        <v>36</v>
      </c>
      <c r="F1580" t="s">
        <v>2966</v>
      </c>
      <c r="G1580" s="92"/>
      <c r="H1580" s="92"/>
      <c r="I1580" s="92"/>
      <c r="J1580" s="92"/>
      <c r="K1580" s="92"/>
      <c r="L1580" s="9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9"/>
    </row>
    <row r="1581" spans="1:14" hidden="1" x14ac:dyDescent="0.15">
      <c r="A1581">
        <v>1581</v>
      </c>
      <c r="B1581" t="s">
        <v>1424</v>
      </c>
      <c r="C1581" t="s">
        <v>20</v>
      </c>
      <c r="D1581" s="72" t="s">
        <v>2967</v>
      </c>
      <c r="E1581" t="s">
        <v>38</v>
      </c>
      <c r="F1581" t="s">
        <v>2968</v>
      </c>
      <c r="G1581" s="92"/>
      <c r="H1581" s="92"/>
      <c r="I1581" s="92"/>
      <c r="J1581" s="92"/>
      <c r="K1581" s="92"/>
      <c r="L1581" s="9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9"/>
    </row>
    <row r="1582" spans="1:14" hidden="1" x14ac:dyDescent="0.15">
      <c r="A1582">
        <v>1582</v>
      </c>
      <c r="B1582" t="s">
        <v>1424</v>
      </c>
      <c r="C1582" t="s">
        <v>20</v>
      </c>
      <c r="D1582" s="72" t="s">
        <v>2969</v>
      </c>
      <c r="E1582" t="s">
        <v>157</v>
      </c>
      <c r="F1582" t="s">
        <v>2970</v>
      </c>
      <c r="G1582" s="92"/>
      <c r="H1582" s="92"/>
      <c r="I1582" s="92"/>
      <c r="J1582" s="92"/>
      <c r="K1582" s="92"/>
      <c r="L1582" s="9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9"/>
    </row>
    <row r="1583" spans="1:14" hidden="1" x14ac:dyDescent="0.15">
      <c r="A1583">
        <v>1583</v>
      </c>
      <c r="B1583" t="s">
        <v>1424</v>
      </c>
      <c r="C1583" t="s">
        <v>20</v>
      </c>
      <c r="D1583" s="72" t="s">
        <v>2971</v>
      </c>
      <c r="E1583" t="s">
        <v>702</v>
      </c>
      <c r="F1583" t="s">
        <v>2972</v>
      </c>
      <c r="G1583" s="92"/>
      <c r="H1583" s="92"/>
      <c r="I1583" s="92"/>
      <c r="J1583" s="92"/>
      <c r="K1583" s="92"/>
      <c r="L1583" s="9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9"/>
    </row>
    <row r="1584" spans="1:14" hidden="1" x14ac:dyDescent="0.15">
      <c r="A1584">
        <v>1584</v>
      </c>
      <c r="B1584" t="s">
        <v>1424</v>
      </c>
      <c r="C1584" t="s">
        <v>20</v>
      </c>
      <c r="D1584" s="72" t="s">
        <v>2973</v>
      </c>
      <c r="E1584" t="s">
        <v>73</v>
      </c>
      <c r="F1584" t="s">
        <v>2974</v>
      </c>
      <c r="G1584" s="92"/>
      <c r="H1584" s="92"/>
      <c r="I1584" s="92"/>
      <c r="J1584" s="92"/>
      <c r="K1584" s="92"/>
      <c r="L1584" s="9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9"/>
    </row>
    <row r="1585" spans="1:14" hidden="1" x14ac:dyDescent="0.15">
      <c r="A1585">
        <v>1585</v>
      </c>
      <c r="B1585" t="s">
        <v>1424</v>
      </c>
      <c r="C1585" t="s">
        <v>20</v>
      </c>
      <c r="D1585" s="72" t="s">
        <v>2975</v>
      </c>
      <c r="E1585" t="s">
        <v>1019</v>
      </c>
      <c r="F1585" t="s">
        <v>2976</v>
      </c>
      <c r="G1585" s="92"/>
      <c r="H1585" s="92"/>
      <c r="I1585" s="92"/>
      <c r="J1585" s="92"/>
      <c r="K1585" s="92"/>
      <c r="L1585" s="9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9"/>
    </row>
    <row r="1586" spans="1:14" hidden="1" x14ac:dyDescent="0.15">
      <c r="A1586">
        <v>1586</v>
      </c>
      <c r="B1586" t="s">
        <v>1424</v>
      </c>
      <c r="C1586" t="s">
        <v>20</v>
      </c>
      <c r="D1586" s="72" t="s">
        <v>2977</v>
      </c>
      <c r="E1586" t="s">
        <v>1016</v>
      </c>
      <c r="F1586" t="s">
        <v>1396</v>
      </c>
      <c r="G1586" s="92"/>
      <c r="H1586" s="92"/>
      <c r="I1586" s="92"/>
      <c r="J1586" s="92"/>
      <c r="K1586" s="92"/>
      <c r="L1586" s="9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9"/>
    </row>
    <row r="1587" spans="1:14" hidden="1" x14ac:dyDescent="0.15">
      <c r="A1587">
        <v>1587</v>
      </c>
      <c r="B1587" t="s">
        <v>1424</v>
      </c>
      <c r="C1587" t="s">
        <v>20</v>
      </c>
      <c r="D1587" s="72" t="s">
        <v>2978</v>
      </c>
      <c r="E1587" t="s">
        <v>61</v>
      </c>
      <c r="F1587" t="s">
        <v>2979</v>
      </c>
      <c r="G1587" s="92"/>
      <c r="H1587" s="92"/>
      <c r="I1587" s="92"/>
      <c r="J1587" s="92"/>
      <c r="K1587" s="92"/>
      <c r="L1587" s="9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9"/>
    </row>
    <row r="1588" spans="1:14" hidden="1" x14ac:dyDescent="0.15">
      <c r="A1588">
        <v>1588</v>
      </c>
      <c r="B1588" t="s">
        <v>1424</v>
      </c>
      <c r="C1588" t="s">
        <v>20</v>
      </c>
      <c r="D1588" s="72" t="s">
        <v>2980</v>
      </c>
      <c r="E1588" t="s">
        <v>36</v>
      </c>
      <c r="F1588" t="s">
        <v>2981</v>
      </c>
      <c r="G1588" s="92"/>
      <c r="H1588" s="92"/>
      <c r="I1588" s="92"/>
      <c r="J1588" s="92"/>
      <c r="K1588" s="92"/>
      <c r="L1588" s="9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9"/>
    </row>
    <row r="1589" spans="1:14" hidden="1" x14ac:dyDescent="0.15">
      <c r="A1589">
        <v>1589</v>
      </c>
      <c r="B1589" t="s">
        <v>1424</v>
      </c>
      <c r="C1589" t="s">
        <v>20</v>
      </c>
      <c r="D1589" s="72" t="s">
        <v>2982</v>
      </c>
      <c r="E1589" t="s">
        <v>36</v>
      </c>
      <c r="F1589" t="s">
        <v>2983</v>
      </c>
      <c r="G1589" s="92"/>
      <c r="H1589" s="92"/>
      <c r="I1589" s="92"/>
      <c r="J1589" s="92"/>
      <c r="K1589" s="92"/>
      <c r="L1589" s="9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9"/>
    </row>
    <row r="1590" spans="1:14" hidden="1" x14ac:dyDescent="0.15">
      <c r="A1590">
        <v>1590</v>
      </c>
      <c r="B1590" t="s">
        <v>1424</v>
      </c>
      <c r="C1590" t="s">
        <v>20</v>
      </c>
      <c r="D1590" s="72" t="s">
        <v>2984</v>
      </c>
      <c r="E1590" t="s">
        <v>36</v>
      </c>
      <c r="F1590" t="s">
        <v>2985</v>
      </c>
      <c r="G1590" s="92"/>
      <c r="H1590" s="92"/>
      <c r="I1590" s="92"/>
      <c r="J1590" s="92"/>
      <c r="K1590" s="92"/>
      <c r="L1590" s="9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9"/>
    </row>
    <row r="1591" spans="1:14" hidden="1" x14ac:dyDescent="0.15">
      <c r="A1591">
        <v>1591</v>
      </c>
      <c r="B1591" t="s">
        <v>1424</v>
      </c>
      <c r="C1591" t="s">
        <v>20</v>
      </c>
      <c r="D1591" s="72" t="s">
        <v>2986</v>
      </c>
      <c r="E1591" t="s">
        <v>36</v>
      </c>
      <c r="F1591" t="s">
        <v>2987</v>
      </c>
      <c r="G1591" s="92"/>
      <c r="H1591" s="92"/>
      <c r="I1591" s="92"/>
      <c r="J1591" s="92"/>
      <c r="K1591" s="92"/>
      <c r="L1591" s="9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9"/>
    </row>
    <row r="1592" spans="1:14" hidden="1" x14ac:dyDescent="0.15">
      <c r="A1592">
        <v>1592</v>
      </c>
      <c r="B1592" t="s">
        <v>1424</v>
      </c>
      <c r="C1592" t="s">
        <v>20</v>
      </c>
      <c r="D1592" s="72" t="s">
        <v>2988</v>
      </c>
      <c r="E1592" t="s">
        <v>702</v>
      </c>
      <c r="F1592" t="s">
        <v>2989</v>
      </c>
      <c r="G1592" s="92"/>
      <c r="H1592" s="92"/>
      <c r="I1592" s="92"/>
      <c r="J1592" s="92"/>
      <c r="K1592" s="92"/>
      <c r="L1592" s="9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9"/>
    </row>
    <row r="1593" spans="1:14" hidden="1" x14ac:dyDescent="0.15">
      <c r="A1593">
        <v>1593</v>
      </c>
      <c r="B1593" t="s">
        <v>1424</v>
      </c>
      <c r="C1593" t="s">
        <v>20</v>
      </c>
      <c r="D1593" s="72" t="s">
        <v>2990</v>
      </c>
      <c r="E1593" t="s">
        <v>36</v>
      </c>
      <c r="F1593" t="s">
        <v>2991</v>
      </c>
      <c r="G1593" s="92"/>
      <c r="H1593" s="92"/>
      <c r="I1593" s="92"/>
      <c r="J1593" s="92"/>
      <c r="K1593" s="92"/>
      <c r="L1593" s="9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9"/>
    </row>
    <row r="1594" spans="1:14" hidden="1" x14ac:dyDescent="0.15">
      <c r="A1594">
        <v>1594</v>
      </c>
      <c r="B1594" t="s">
        <v>1424</v>
      </c>
      <c r="C1594" t="s">
        <v>20</v>
      </c>
      <c r="D1594" s="72" t="s">
        <v>2992</v>
      </c>
      <c r="E1594" t="s">
        <v>36</v>
      </c>
      <c r="F1594" t="s">
        <v>2993</v>
      </c>
      <c r="G1594" s="92"/>
      <c r="H1594" s="92"/>
      <c r="I1594" s="92"/>
      <c r="J1594" s="92"/>
      <c r="K1594" s="92"/>
      <c r="L1594" s="9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9"/>
    </row>
    <row r="1595" spans="1:14" hidden="1" x14ac:dyDescent="0.15">
      <c r="A1595">
        <v>1595</v>
      </c>
      <c r="B1595" t="s">
        <v>1424</v>
      </c>
      <c r="C1595" t="s">
        <v>20</v>
      </c>
      <c r="D1595" s="72" t="s">
        <v>2994</v>
      </c>
      <c r="E1595" t="s">
        <v>36</v>
      </c>
      <c r="F1595" t="s">
        <v>2995</v>
      </c>
      <c r="G1595" s="92"/>
      <c r="H1595" s="92"/>
      <c r="I1595" s="92"/>
      <c r="J1595" s="92"/>
      <c r="K1595" s="92"/>
      <c r="L1595" s="9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9"/>
    </row>
    <row r="1596" spans="1:14" hidden="1" x14ac:dyDescent="0.15">
      <c r="A1596">
        <v>1596</v>
      </c>
      <c r="B1596" t="s">
        <v>1424</v>
      </c>
      <c r="C1596" t="s">
        <v>20</v>
      </c>
      <c r="D1596" s="72" t="s">
        <v>2996</v>
      </c>
      <c r="E1596" t="s">
        <v>36</v>
      </c>
      <c r="F1596" t="s">
        <v>2997</v>
      </c>
      <c r="G1596" s="92"/>
      <c r="H1596" s="92"/>
      <c r="I1596" s="92"/>
      <c r="J1596" s="92"/>
      <c r="K1596" s="92"/>
      <c r="L1596" s="9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9"/>
    </row>
    <row r="1597" spans="1:14" hidden="1" x14ac:dyDescent="0.15">
      <c r="A1597">
        <v>1597</v>
      </c>
      <c r="B1597" t="s">
        <v>1424</v>
      </c>
      <c r="C1597" t="s">
        <v>20</v>
      </c>
      <c r="D1597" s="72" t="s">
        <v>2998</v>
      </c>
      <c r="E1597" t="s">
        <v>36</v>
      </c>
      <c r="F1597" t="s">
        <v>2999</v>
      </c>
      <c r="G1597" s="92"/>
      <c r="H1597" s="92"/>
      <c r="I1597" s="92"/>
      <c r="J1597" s="92"/>
      <c r="K1597" s="92"/>
      <c r="L1597" s="9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9"/>
    </row>
    <row r="1598" spans="1:14" hidden="1" x14ac:dyDescent="0.15">
      <c r="A1598">
        <v>1598</v>
      </c>
      <c r="B1598" t="s">
        <v>1424</v>
      </c>
      <c r="C1598" t="s">
        <v>20</v>
      </c>
      <c r="D1598" s="72" t="s">
        <v>3000</v>
      </c>
      <c r="E1598" t="s">
        <v>702</v>
      </c>
      <c r="F1598" t="s">
        <v>3001</v>
      </c>
      <c r="G1598" s="92"/>
      <c r="H1598" s="92"/>
      <c r="I1598" s="92"/>
      <c r="J1598" s="92"/>
      <c r="K1598" s="92"/>
      <c r="L1598" s="9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9"/>
    </row>
    <row r="1599" spans="1:14" hidden="1" x14ac:dyDescent="0.15">
      <c r="A1599">
        <v>1599</v>
      </c>
      <c r="B1599" t="s">
        <v>1424</v>
      </c>
      <c r="C1599" t="s">
        <v>20</v>
      </c>
      <c r="D1599" s="72" t="s">
        <v>3002</v>
      </c>
      <c r="E1599" t="s">
        <v>36</v>
      </c>
      <c r="F1599" t="s">
        <v>3003</v>
      </c>
      <c r="G1599" s="92"/>
      <c r="H1599" s="92"/>
      <c r="I1599" s="92"/>
      <c r="J1599" s="92"/>
      <c r="K1599" s="92"/>
      <c r="L1599" s="9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9"/>
    </row>
    <row r="1600" spans="1:14" hidden="1" x14ac:dyDescent="0.15">
      <c r="A1600">
        <v>1600</v>
      </c>
      <c r="B1600" t="s">
        <v>1424</v>
      </c>
      <c r="C1600" t="s">
        <v>20</v>
      </c>
      <c r="D1600" s="72" t="s">
        <v>3004</v>
      </c>
      <c r="E1600" t="s">
        <v>61</v>
      </c>
      <c r="F1600" t="s">
        <v>3005</v>
      </c>
      <c r="G1600" s="92"/>
      <c r="H1600" s="92"/>
      <c r="I1600" s="92"/>
      <c r="J1600" s="92"/>
      <c r="K1600" s="92"/>
      <c r="L1600" s="9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9"/>
    </row>
    <row r="1601" spans="1:14" hidden="1" x14ac:dyDescent="0.15">
      <c r="A1601">
        <v>1601</v>
      </c>
      <c r="B1601" t="s">
        <v>1424</v>
      </c>
      <c r="C1601" t="s">
        <v>20</v>
      </c>
      <c r="D1601" s="72" t="s">
        <v>3006</v>
      </c>
      <c r="E1601" t="s">
        <v>61</v>
      </c>
      <c r="F1601" t="s">
        <v>3007</v>
      </c>
      <c r="G1601" s="92"/>
      <c r="H1601" s="92"/>
      <c r="I1601" s="92"/>
      <c r="J1601" s="92"/>
      <c r="K1601" s="92"/>
      <c r="L1601" s="9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9"/>
    </row>
    <row r="1602" spans="1:14" hidden="1" x14ac:dyDescent="0.15">
      <c r="A1602">
        <v>1602</v>
      </c>
      <c r="B1602" t="s">
        <v>1424</v>
      </c>
      <c r="C1602" t="s">
        <v>20</v>
      </c>
      <c r="D1602" s="72" t="s">
        <v>3008</v>
      </c>
      <c r="E1602" t="s">
        <v>702</v>
      </c>
      <c r="F1602" t="s">
        <v>3009</v>
      </c>
      <c r="G1602" s="92"/>
      <c r="H1602" s="92"/>
      <c r="I1602" s="92"/>
      <c r="J1602" s="92"/>
      <c r="K1602" s="92"/>
      <c r="L1602" s="9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9"/>
    </row>
    <row r="1603" spans="1:14" hidden="1" x14ac:dyDescent="0.15">
      <c r="A1603">
        <v>1603</v>
      </c>
      <c r="B1603" t="s">
        <v>1424</v>
      </c>
      <c r="C1603" t="s">
        <v>20</v>
      </c>
      <c r="D1603" s="72" t="s">
        <v>3010</v>
      </c>
      <c r="E1603" t="s">
        <v>157</v>
      </c>
      <c r="F1603" t="s">
        <v>3011</v>
      </c>
      <c r="G1603" s="92"/>
      <c r="H1603" s="92"/>
      <c r="I1603" s="92"/>
      <c r="J1603" s="92"/>
      <c r="K1603" s="92"/>
      <c r="L1603" s="9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9"/>
    </row>
    <row r="1604" spans="1:14" hidden="1" x14ac:dyDescent="0.15">
      <c r="A1604">
        <v>1604</v>
      </c>
      <c r="B1604" t="s">
        <v>1424</v>
      </c>
      <c r="C1604" t="s">
        <v>21</v>
      </c>
      <c r="D1604" s="72" t="s">
        <v>3012</v>
      </c>
      <c r="E1604" t="s">
        <v>36</v>
      </c>
      <c r="F1604" t="s">
        <v>3013</v>
      </c>
      <c r="G1604" s="92"/>
      <c r="H1604" s="92"/>
      <c r="I1604" s="92"/>
      <c r="J1604" s="92"/>
      <c r="K1604" s="92"/>
      <c r="L1604" s="9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9"/>
    </row>
    <row r="1605" spans="1:14" hidden="1" x14ac:dyDescent="0.15">
      <c r="A1605">
        <v>1605</v>
      </c>
      <c r="B1605" t="s">
        <v>1424</v>
      </c>
      <c r="C1605" t="s">
        <v>21</v>
      </c>
      <c r="D1605" s="72" t="s">
        <v>3014</v>
      </c>
      <c r="E1605" t="s">
        <v>36</v>
      </c>
      <c r="F1605" t="s">
        <v>3015</v>
      </c>
      <c r="G1605" s="92"/>
      <c r="H1605" s="92"/>
      <c r="I1605" s="92"/>
      <c r="J1605" s="92"/>
      <c r="K1605" s="92"/>
      <c r="L1605" s="9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9"/>
    </row>
    <row r="1606" spans="1:14" hidden="1" x14ac:dyDescent="0.15">
      <c r="A1606">
        <v>1606</v>
      </c>
      <c r="B1606" t="s">
        <v>1424</v>
      </c>
      <c r="C1606" t="s">
        <v>21</v>
      </c>
      <c r="D1606" s="72" t="s">
        <v>3016</v>
      </c>
      <c r="E1606" t="s">
        <v>702</v>
      </c>
      <c r="F1606" t="s">
        <v>3017</v>
      </c>
      <c r="G1606" s="92"/>
      <c r="H1606" s="92"/>
      <c r="I1606" s="92"/>
      <c r="J1606" s="92"/>
      <c r="K1606" s="92"/>
      <c r="L1606" s="9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9"/>
    </row>
    <row r="1607" spans="1:14" hidden="1" x14ac:dyDescent="0.15">
      <c r="A1607">
        <v>1607</v>
      </c>
      <c r="B1607" t="s">
        <v>1424</v>
      </c>
      <c r="C1607" t="s">
        <v>21</v>
      </c>
      <c r="D1607" s="72" t="s">
        <v>3018</v>
      </c>
      <c r="E1607" t="s">
        <v>702</v>
      </c>
      <c r="F1607" t="s">
        <v>3019</v>
      </c>
      <c r="G1607" s="92"/>
      <c r="H1607" s="92"/>
      <c r="I1607" s="92"/>
      <c r="J1607" s="92"/>
      <c r="K1607" s="92"/>
      <c r="L1607" s="9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9"/>
    </row>
    <row r="1608" spans="1:14" hidden="1" x14ac:dyDescent="0.15">
      <c r="A1608">
        <v>1608</v>
      </c>
      <c r="B1608" t="s">
        <v>1424</v>
      </c>
      <c r="C1608" t="s">
        <v>21</v>
      </c>
      <c r="D1608" s="72" t="s">
        <v>3020</v>
      </c>
      <c r="E1608" t="s">
        <v>36</v>
      </c>
      <c r="F1608" t="s">
        <v>3021</v>
      </c>
      <c r="G1608" s="92"/>
      <c r="H1608" s="92"/>
      <c r="I1608" s="92"/>
      <c r="J1608" s="92"/>
      <c r="K1608" s="92"/>
      <c r="L1608" s="9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9"/>
    </row>
    <row r="1609" spans="1:14" hidden="1" x14ac:dyDescent="0.15">
      <c r="A1609">
        <v>1609</v>
      </c>
      <c r="B1609" t="s">
        <v>1424</v>
      </c>
      <c r="C1609" t="s">
        <v>21</v>
      </c>
      <c r="D1609" s="72" t="s">
        <v>3022</v>
      </c>
      <c r="E1609" t="s">
        <v>702</v>
      </c>
      <c r="F1609" t="s">
        <v>3023</v>
      </c>
      <c r="G1609" s="92"/>
      <c r="H1609" s="92"/>
      <c r="I1609" s="92"/>
      <c r="J1609" s="92"/>
      <c r="K1609" s="92"/>
      <c r="L1609" s="9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9"/>
    </row>
    <row r="1610" spans="1:14" hidden="1" x14ac:dyDescent="0.15">
      <c r="A1610">
        <v>1610</v>
      </c>
      <c r="B1610" t="s">
        <v>1424</v>
      </c>
      <c r="C1610" t="s">
        <v>21</v>
      </c>
      <c r="D1610" s="72" t="s">
        <v>3024</v>
      </c>
      <c r="E1610" t="s">
        <v>702</v>
      </c>
      <c r="F1610" t="s">
        <v>3025</v>
      </c>
      <c r="G1610" s="92"/>
      <c r="H1610" s="92"/>
      <c r="I1610" s="92"/>
      <c r="J1610" s="92"/>
      <c r="K1610" s="92"/>
      <c r="L1610" s="9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9"/>
    </row>
    <row r="1611" spans="1:14" hidden="1" x14ac:dyDescent="0.15">
      <c r="A1611">
        <v>1611</v>
      </c>
      <c r="B1611" t="s">
        <v>1424</v>
      </c>
      <c r="C1611" t="s">
        <v>21</v>
      </c>
      <c r="D1611" s="72" t="s">
        <v>3026</v>
      </c>
      <c r="E1611" t="s">
        <v>36</v>
      </c>
      <c r="F1611" t="s">
        <v>3027</v>
      </c>
      <c r="G1611" s="92"/>
      <c r="H1611" s="92"/>
      <c r="I1611" s="92"/>
      <c r="J1611" s="92"/>
      <c r="K1611" s="92"/>
      <c r="L1611" s="9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9"/>
    </row>
    <row r="1612" spans="1:14" hidden="1" x14ac:dyDescent="0.15">
      <c r="A1612">
        <v>1612</v>
      </c>
      <c r="B1612" t="s">
        <v>1424</v>
      </c>
      <c r="C1612" t="s">
        <v>21</v>
      </c>
      <c r="D1612" s="72" t="s">
        <v>3028</v>
      </c>
      <c r="E1612" t="s">
        <v>702</v>
      </c>
      <c r="F1612" t="s">
        <v>3029</v>
      </c>
      <c r="G1612" s="92"/>
      <c r="H1612" s="92"/>
      <c r="I1612" s="92"/>
      <c r="J1612" s="92"/>
      <c r="K1612" s="92"/>
      <c r="L1612" s="9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9"/>
    </row>
    <row r="1613" spans="1:14" hidden="1" x14ac:dyDescent="0.15">
      <c r="A1613">
        <v>1613</v>
      </c>
      <c r="B1613" t="s">
        <v>1424</v>
      </c>
      <c r="C1613" t="s">
        <v>21</v>
      </c>
      <c r="D1613" s="72" t="s">
        <v>258</v>
      </c>
      <c r="E1613" t="s">
        <v>36</v>
      </c>
      <c r="F1613" t="s">
        <v>3030</v>
      </c>
      <c r="G1613" s="92"/>
      <c r="H1613" s="92"/>
      <c r="I1613" s="92"/>
      <c r="J1613" s="92"/>
      <c r="K1613" s="92"/>
      <c r="L1613" s="9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9"/>
    </row>
    <row r="1614" spans="1:14" hidden="1" x14ac:dyDescent="0.15">
      <c r="A1614">
        <v>1614</v>
      </c>
      <c r="B1614" t="s">
        <v>1424</v>
      </c>
      <c r="C1614" t="s">
        <v>21</v>
      </c>
      <c r="D1614" s="72" t="s">
        <v>3031</v>
      </c>
      <c r="E1614" t="s">
        <v>36</v>
      </c>
      <c r="F1614" t="s">
        <v>3032</v>
      </c>
      <c r="G1614" s="92"/>
      <c r="H1614" s="92"/>
      <c r="I1614" s="92"/>
      <c r="J1614" s="92"/>
      <c r="K1614" s="92"/>
      <c r="L1614" s="9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9"/>
    </row>
    <row r="1615" spans="1:14" hidden="1" x14ac:dyDescent="0.15">
      <c r="A1615">
        <v>1615</v>
      </c>
      <c r="B1615" t="s">
        <v>1424</v>
      </c>
      <c r="C1615" t="s">
        <v>21</v>
      </c>
      <c r="D1615" s="72" t="s">
        <v>3033</v>
      </c>
      <c r="E1615" t="s">
        <v>36</v>
      </c>
      <c r="F1615" t="s">
        <v>3034</v>
      </c>
      <c r="G1615" s="92"/>
      <c r="H1615" s="92"/>
      <c r="I1615" s="92"/>
      <c r="J1615" s="92"/>
      <c r="K1615" s="92"/>
      <c r="L1615" s="9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9"/>
    </row>
    <row r="1616" spans="1:14" hidden="1" x14ac:dyDescent="0.15">
      <c r="A1616">
        <v>1616</v>
      </c>
      <c r="B1616" t="s">
        <v>1424</v>
      </c>
      <c r="C1616" t="s">
        <v>21</v>
      </c>
      <c r="D1616" s="72" t="s">
        <v>3035</v>
      </c>
      <c r="E1616" t="s">
        <v>36</v>
      </c>
      <c r="F1616" t="s">
        <v>3036</v>
      </c>
      <c r="G1616" s="92"/>
      <c r="H1616" s="92"/>
      <c r="I1616" s="92"/>
      <c r="J1616" s="92"/>
      <c r="K1616" s="92"/>
      <c r="L1616" s="9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9"/>
    </row>
    <row r="1617" spans="1:14" hidden="1" x14ac:dyDescent="0.15">
      <c r="A1617">
        <v>1617</v>
      </c>
      <c r="B1617" t="s">
        <v>1424</v>
      </c>
      <c r="C1617" t="s">
        <v>21</v>
      </c>
      <c r="D1617" s="72" t="s">
        <v>3037</v>
      </c>
      <c r="E1617" t="s">
        <v>36</v>
      </c>
      <c r="F1617" t="s">
        <v>3038</v>
      </c>
      <c r="G1617" s="92"/>
      <c r="H1617" s="92"/>
      <c r="I1617" s="92"/>
      <c r="J1617" s="92"/>
      <c r="K1617" s="92"/>
      <c r="L1617" s="9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9"/>
    </row>
    <row r="1618" spans="1:14" hidden="1" x14ac:dyDescent="0.15">
      <c r="A1618">
        <v>1618</v>
      </c>
      <c r="B1618" t="s">
        <v>1424</v>
      </c>
      <c r="C1618" t="s">
        <v>21</v>
      </c>
      <c r="D1618" s="72" t="s">
        <v>3039</v>
      </c>
      <c r="E1618" t="s">
        <v>36</v>
      </c>
      <c r="F1618" t="s">
        <v>3040</v>
      </c>
      <c r="G1618" s="92"/>
      <c r="H1618" s="92"/>
      <c r="I1618" s="92"/>
      <c r="J1618" s="92"/>
      <c r="K1618" s="92"/>
      <c r="L1618" s="9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9"/>
    </row>
    <row r="1619" spans="1:14" hidden="1" x14ac:dyDescent="0.15">
      <c r="A1619">
        <v>1619</v>
      </c>
      <c r="B1619" t="s">
        <v>1424</v>
      </c>
      <c r="C1619" t="s">
        <v>21</v>
      </c>
      <c r="D1619" s="72" t="s">
        <v>3041</v>
      </c>
      <c r="E1619" t="s">
        <v>36</v>
      </c>
      <c r="F1619" t="s">
        <v>3042</v>
      </c>
      <c r="G1619" s="92"/>
      <c r="H1619" s="92"/>
      <c r="I1619" s="92"/>
      <c r="J1619" s="92"/>
      <c r="K1619" s="92"/>
      <c r="L1619" s="9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9"/>
    </row>
    <row r="1620" spans="1:14" hidden="1" x14ac:dyDescent="0.15">
      <c r="A1620">
        <v>1620</v>
      </c>
      <c r="B1620" t="s">
        <v>1424</v>
      </c>
      <c r="C1620" t="s">
        <v>21</v>
      </c>
      <c r="D1620" s="72" t="s">
        <v>3043</v>
      </c>
      <c r="E1620" t="s">
        <v>36</v>
      </c>
      <c r="F1620" t="s">
        <v>3044</v>
      </c>
      <c r="G1620" s="92"/>
      <c r="H1620" s="92"/>
      <c r="I1620" s="92"/>
      <c r="J1620" s="92"/>
      <c r="K1620" s="92"/>
      <c r="L1620" s="9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9"/>
    </row>
    <row r="1621" spans="1:14" hidden="1" x14ac:dyDescent="0.15">
      <c r="A1621">
        <v>1621</v>
      </c>
      <c r="B1621" t="s">
        <v>1424</v>
      </c>
      <c r="C1621" t="s">
        <v>21</v>
      </c>
      <c r="D1621" s="72" t="s">
        <v>3045</v>
      </c>
      <c r="E1621" t="s">
        <v>36</v>
      </c>
      <c r="F1621" t="s">
        <v>3046</v>
      </c>
      <c r="G1621" s="92"/>
      <c r="H1621" s="92"/>
      <c r="I1621" s="92"/>
      <c r="J1621" s="92"/>
      <c r="K1621" s="92"/>
      <c r="L1621" s="9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9"/>
    </row>
    <row r="1622" spans="1:14" hidden="1" x14ac:dyDescent="0.15">
      <c r="A1622">
        <v>1622</v>
      </c>
      <c r="B1622" t="s">
        <v>1424</v>
      </c>
      <c r="C1622" t="s">
        <v>21</v>
      </c>
      <c r="D1622" s="72" t="s">
        <v>3047</v>
      </c>
      <c r="E1622" t="s">
        <v>36</v>
      </c>
      <c r="F1622" t="s">
        <v>3048</v>
      </c>
      <c r="G1622" s="92"/>
      <c r="H1622" s="92"/>
      <c r="I1622" s="92"/>
      <c r="J1622" s="92"/>
      <c r="K1622" s="92"/>
      <c r="L1622" s="9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9"/>
    </row>
    <row r="1623" spans="1:14" hidden="1" x14ac:dyDescent="0.15">
      <c r="A1623">
        <v>1623</v>
      </c>
      <c r="B1623" t="s">
        <v>1424</v>
      </c>
      <c r="C1623" t="s">
        <v>21</v>
      </c>
      <c r="D1623" s="72" t="s">
        <v>3049</v>
      </c>
      <c r="E1623" t="s">
        <v>61</v>
      </c>
      <c r="F1623" t="s">
        <v>3050</v>
      </c>
      <c r="G1623" s="92"/>
      <c r="H1623" s="92"/>
      <c r="I1623" s="92"/>
      <c r="J1623" s="92"/>
      <c r="K1623" s="92"/>
      <c r="L1623" s="9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9"/>
    </row>
    <row r="1624" spans="1:14" hidden="1" x14ac:dyDescent="0.15">
      <c r="A1624">
        <v>1624</v>
      </c>
      <c r="B1624" t="s">
        <v>1424</v>
      </c>
      <c r="C1624" t="s">
        <v>21</v>
      </c>
      <c r="D1624" s="72" t="s">
        <v>3051</v>
      </c>
      <c r="E1624" t="s">
        <v>73</v>
      </c>
      <c r="F1624" t="s">
        <v>3052</v>
      </c>
      <c r="G1624" s="92"/>
      <c r="H1624" s="92"/>
      <c r="I1624" s="92"/>
      <c r="J1624" s="92"/>
      <c r="K1624" s="92"/>
      <c r="L1624" s="9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9"/>
    </row>
    <row r="1625" spans="1:14" hidden="1" x14ac:dyDescent="0.15">
      <c r="A1625">
        <v>1625</v>
      </c>
      <c r="B1625" t="s">
        <v>1424</v>
      </c>
      <c r="C1625" t="s">
        <v>21</v>
      </c>
      <c r="D1625" s="72" t="s">
        <v>3053</v>
      </c>
      <c r="E1625" t="s">
        <v>36</v>
      </c>
      <c r="F1625" t="s">
        <v>3054</v>
      </c>
      <c r="G1625" s="92"/>
      <c r="H1625" s="92"/>
      <c r="I1625" s="92"/>
      <c r="J1625" s="92"/>
      <c r="K1625" s="92"/>
      <c r="L1625" s="9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9"/>
    </row>
    <row r="1626" spans="1:14" hidden="1" x14ac:dyDescent="0.15">
      <c r="A1626">
        <v>1626</v>
      </c>
      <c r="B1626" t="s">
        <v>1424</v>
      </c>
      <c r="C1626" t="s">
        <v>21</v>
      </c>
      <c r="D1626" s="72" t="s">
        <v>3055</v>
      </c>
      <c r="E1626" t="s">
        <v>73</v>
      </c>
      <c r="F1626" t="s">
        <v>3056</v>
      </c>
      <c r="G1626" s="92"/>
      <c r="H1626" s="92"/>
      <c r="I1626" s="92"/>
      <c r="J1626" s="92"/>
      <c r="K1626" s="92"/>
      <c r="L1626" s="9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9"/>
    </row>
    <row r="1627" spans="1:14" hidden="1" x14ac:dyDescent="0.15">
      <c r="A1627">
        <v>1627</v>
      </c>
      <c r="B1627" t="s">
        <v>1424</v>
      </c>
      <c r="C1627" t="s">
        <v>21</v>
      </c>
      <c r="D1627" s="72" t="s">
        <v>3057</v>
      </c>
      <c r="E1627" t="s">
        <v>36</v>
      </c>
      <c r="F1627" t="s">
        <v>3058</v>
      </c>
      <c r="G1627" s="92"/>
      <c r="H1627" s="92"/>
      <c r="I1627" s="92"/>
      <c r="J1627" s="92"/>
      <c r="K1627" s="92"/>
      <c r="L1627" s="9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9"/>
    </row>
    <row r="1628" spans="1:14" hidden="1" x14ac:dyDescent="0.15">
      <c r="A1628">
        <v>1628</v>
      </c>
      <c r="B1628" t="s">
        <v>1424</v>
      </c>
      <c r="C1628" t="s">
        <v>21</v>
      </c>
      <c r="D1628" s="72" t="s">
        <v>3059</v>
      </c>
      <c r="E1628" t="s">
        <v>61</v>
      </c>
      <c r="F1628" t="s">
        <v>3060</v>
      </c>
      <c r="G1628" s="92"/>
      <c r="H1628" s="92"/>
      <c r="I1628" s="92"/>
      <c r="J1628" s="92"/>
      <c r="K1628" s="92"/>
      <c r="L1628" s="9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9"/>
    </row>
    <row r="1629" spans="1:14" hidden="1" x14ac:dyDescent="0.15">
      <c r="A1629">
        <v>1629</v>
      </c>
      <c r="B1629" t="s">
        <v>1424</v>
      </c>
      <c r="C1629" t="s">
        <v>21</v>
      </c>
      <c r="D1629" s="72" t="s">
        <v>3061</v>
      </c>
      <c r="E1629" t="s">
        <v>38</v>
      </c>
      <c r="F1629" t="s">
        <v>3062</v>
      </c>
      <c r="G1629" s="92"/>
      <c r="H1629" s="92"/>
      <c r="I1629" s="92"/>
      <c r="J1629" s="92"/>
      <c r="K1629" s="92"/>
      <c r="L1629" s="9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9"/>
    </row>
    <row r="1630" spans="1:14" hidden="1" x14ac:dyDescent="0.15">
      <c r="A1630">
        <v>1630</v>
      </c>
      <c r="B1630" t="s">
        <v>1424</v>
      </c>
      <c r="C1630" t="s">
        <v>21</v>
      </c>
      <c r="D1630" s="72" t="s">
        <v>3063</v>
      </c>
      <c r="E1630" t="s">
        <v>702</v>
      </c>
      <c r="F1630" t="s">
        <v>3064</v>
      </c>
      <c r="G1630" s="92"/>
      <c r="H1630" s="92"/>
      <c r="I1630" s="92"/>
      <c r="J1630" s="92"/>
      <c r="K1630" s="92"/>
      <c r="L1630" s="9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9"/>
    </row>
    <row r="1631" spans="1:14" hidden="1" x14ac:dyDescent="0.15">
      <c r="A1631">
        <v>1631</v>
      </c>
      <c r="B1631" t="s">
        <v>1424</v>
      </c>
      <c r="C1631" t="s">
        <v>21</v>
      </c>
      <c r="D1631" s="72" t="s">
        <v>3065</v>
      </c>
      <c r="E1631" t="s">
        <v>36</v>
      </c>
      <c r="F1631" t="s">
        <v>3066</v>
      </c>
      <c r="G1631" s="92"/>
      <c r="H1631" s="92"/>
      <c r="I1631" s="92"/>
      <c r="J1631" s="92"/>
      <c r="K1631" s="92"/>
      <c r="L1631" s="9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9"/>
    </row>
    <row r="1632" spans="1:14" hidden="1" x14ac:dyDescent="0.15">
      <c r="A1632">
        <v>1632</v>
      </c>
      <c r="B1632" t="s">
        <v>1424</v>
      </c>
      <c r="C1632" t="s">
        <v>21</v>
      </c>
      <c r="D1632" s="72" t="s">
        <v>3067</v>
      </c>
      <c r="E1632" t="s">
        <v>36</v>
      </c>
      <c r="F1632" t="s">
        <v>3068</v>
      </c>
      <c r="G1632" s="92"/>
      <c r="H1632" s="92"/>
      <c r="I1632" s="92"/>
      <c r="J1632" s="92"/>
      <c r="K1632" s="92"/>
      <c r="L1632" s="9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9"/>
    </row>
    <row r="1633" spans="1:14" hidden="1" x14ac:dyDescent="0.15">
      <c r="A1633">
        <v>1633</v>
      </c>
      <c r="B1633" t="s">
        <v>1424</v>
      </c>
      <c r="C1633" t="s">
        <v>21</v>
      </c>
      <c r="D1633" s="72" t="s">
        <v>3069</v>
      </c>
      <c r="E1633" t="s">
        <v>36</v>
      </c>
      <c r="F1633" t="s">
        <v>3070</v>
      </c>
      <c r="G1633" s="92"/>
      <c r="H1633" s="92"/>
      <c r="I1633" s="92"/>
      <c r="J1633" s="92"/>
      <c r="K1633" s="92"/>
      <c r="L1633" s="9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9"/>
    </row>
    <row r="1634" spans="1:14" hidden="1" x14ac:dyDescent="0.15">
      <c r="A1634">
        <v>1634</v>
      </c>
      <c r="B1634" t="s">
        <v>1424</v>
      </c>
      <c r="C1634" t="s">
        <v>21</v>
      </c>
      <c r="D1634" s="72" t="s">
        <v>603</v>
      </c>
      <c r="E1634" t="s">
        <v>61</v>
      </c>
      <c r="F1634" t="s">
        <v>3071</v>
      </c>
      <c r="G1634" s="92"/>
      <c r="H1634" s="92"/>
      <c r="I1634" s="92"/>
      <c r="J1634" s="92"/>
      <c r="K1634" s="92"/>
      <c r="L1634" s="9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9"/>
    </row>
    <row r="1635" spans="1:14" hidden="1" x14ac:dyDescent="0.15">
      <c r="A1635">
        <v>1635</v>
      </c>
      <c r="B1635" t="s">
        <v>1424</v>
      </c>
      <c r="C1635" t="s">
        <v>21</v>
      </c>
      <c r="D1635" s="72" t="s">
        <v>3072</v>
      </c>
      <c r="E1635" t="s">
        <v>36</v>
      </c>
      <c r="F1635" t="s">
        <v>3073</v>
      </c>
      <c r="G1635" s="92"/>
      <c r="H1635" s="92"/>
      <c r="I1635" s="92"/>
      <c r="J1635" s="92"/>
      <c r="K1635" s="92"/>
      <c r="L1635" s="9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9"/>
    </row>
    <row r="1636" spans="1:14" hidden="1" x14ac:dyDescent="0.15">
      <c r="A1636">
        <v>1636</v>
      </c>
      <c r="B1636" t="s">
        <v>1424</v>
      </c>
      <c r="C1636" t="s">
        <v>21</v>
      </c>
      <c r="D1636" s="72" t="s">
        <v>3074</v>
      </c>
      <c r="E1636" t="s">
        <v>736</v>
      </c>
      <c r="F1636" t="s">
        <v>3075</v>
      </c>
      <c r="G1636" s="92"/>
      <c r="H1636" s="92"/>
      <c r="I1636" s="92"/>
      <c r="J1636" s="92"/>
      <c r="K1636" s="92"/>
      <c r="L1636" s="9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9"/>
    </row>
    <row r="1637" spans="1:14" hidden="1" x14ac:dyDescent="0.15">
      <c r="A1637">
        <v>1637</v>
      </c>
      <c r="B1637" t="s">
        <v>1424</v>
      </c>
      <c r="C1637" t="s">
        <v>21</v>
      </c>
      <c r="D1637" s="72" t="s">
        <v>422</v>
      </c>
      <c r="E1637" t="s">
        <v>36</v>
      </c>
      <c r="F1637" t="s">
        <v>423</v>
      </c>
      <c r="G1637" s="92"/>
      <c r="H1637" s="92"/>
      <c r="I1637" s="92"/>
      <c r="J1637" s="92"/>
      <c r="K1637" s="92"/>
      <c r="L1637" s="9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9"/>
    </row>
    <row r="1638" spans="1:14" hidden="1" x14ac:dyDescent="0.15">
      <c r="A1638">
        <v>1638</v>
      </c>
      <c r="B1638" t="s">
        <v>1424</v>
      </c>
      <c r="C1638" t="s">
        <v>21</v>
      </c>
      <c r="D1638" s="72" t="s">
        <v>3076</v>
      </c>
      <c r="E1638" t="s">
        <v>36</v>
      </c>
      <c r="F1638" t="s">
        <v>3077</v>
      </c>
      <c r="G1638" s="92"/>
      <c r="H1638" s="92"/>
      <c r="I1638" s="92"/>
      <c r="J1638" s="92"/>
      <c r="K1638" s="92"/>
      <c r="L1638" s="9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9"/>
    </row>
    <row r="1639" spans="1:14" hidden="1" x14ac:dyDescent="0.15">
      <c r="A1639">
        <v>1639</v>
      </c>
      <c r="B1639" t="s">
        <v>1424</v>
      </c>
      <c r="C1639" t="s">
        <v>21</v>
      </c>
      <c r="D1639" s="72" t="s">
        <v>3078</v>
      </c>
      <c r="E1639" t="s">
        <v>36</v>
      </c>
      <c r="F1639" t="s">
        <v>3079</v>
      </c>
      <c r="G1639" s="92"/>
      <c r="H1639" s="92"/>
      <c r="I1639" s="92"/>
      <c r="J1639" s="92"/>
      <c r="K1639" s="92"/>
      <c r="L1639" s="9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9"/>
    </row>
    <row r="1640" spans="1:14" hidden="1" x14ac:dyDescent="0.15">
      <c r="A1640">
        <v>1640</v>
      </c>
      <c r="B1640" t="s">
        <v>1424</v>
      </c>
      <c r="C1640" t="s">
        <v>21</v>
      </c>
      <c r="D1640" s="72" t="s">
        <v>3080</v>
      </c>
      <c r="E1640" t="s">
        <v>36</v>
      </c>
      <c r="F1640" t="s">
        <v>3081</v>
      </c>
      <c r="G1640" s="92"/>
      <c r="H1640" s="92"/>
      <c r="I1640" s="92"/>
      <c r="J1640" s="92"/>
      <c r="K1640" s="92"/>
      <c r="L1640" s="9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9"/>
    </row>
    <row r="1641" spans="1:14" hidden="1" x14ac:dyDescent="0.15">
      <c r="A1641">
        <v>1641</v>
      </c>
      <c r="B1641" t="s">
        <v>1424</v>
      </c>
      <c r="C1641" t="s">
        <v>22</v>
      </c>
      <c r="D1641" s="72" t="s">
        <v>3082</v>
      </c>
      <c r="E1641" t="s">
        <v>36</v>
      </c>
      <c r="F1641" t="s">
        <v>3083</v>
      </c>
      <c r="G1641" s="92"/>
      <c r="H1641" s="92"/>
      <c r="I1641" s="92"/>
      <c r="J1641" s="92"/>
      <c r="K1641" s="92"/>
      <c r="L1641" s="9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9"/>
    </row>
    <row r="1642" spans="1:14" hidden="1" x14ac:dyDescent="0.15">
      <c r="A1642">
        <v>1642</v>
      </c>
      <c r="B1642" t="s">
        <v>1424</v>
      </c>
      <c r="C1642" t="s">
        <v>22</v>
      </c>
      <c r="D1642" s="72" t="s">
        <v>3084</v>
      </c>
      <c r="E1642" t="s">
        <v>36</v>
      </c>
      <c r="F1642" t="s">
        <v>3085</v>
      </c>
      <c r="G1642" s="92"/>
      <c r="H1642" s="92"/>
      <c r="I1642" s="92"/>
      <c r="J1642" s="92"/>
      <c r="K1642" s="92"/>
      <c r="L1642" s="9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9"/>
    </row>
    <row r="1643" spans="1:14" hidden="1" x14ac:dyDescent="0.15">
      <c r="A1643">
        <v>1643</v>
      </c>
      <c r="B1643" t="s">
        <v>1424</v>
      </c>
      <c r="C1643" t="s">
        <v>22</v>
      </c>
      <c r="D1643" s="72" t="s">
        <v>3086</v>
      </c>
      <c r="E1643" t="s">
        <v>36</v>
      </c>
      <c r="F1643" t="s">
        <v>3087</v>
      </c>
      <c r="G1643" s="92"/>
      <c r="H1643" s="92"/>
      <c r="I1643" s="92"/>
      <c r="J1643" s="92"/>
      <c r="K1643" s="92"/>
      <c r="L1643" s="9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9"/>
    </row>
    <row r="1644" spans="1:14" hidden="1" x14ac:dyDescent="0.15">
      <c r="A1644">
        <v>1644</v>
      </c>
      <c r="B1644" t="s">
        <v>1424</v>
      </c>
      <c r="C1644" t="s">
        <v>22</v>
      </c>
      <c r="D1644" s="72" t="s">
        <v>3088</v>
      </c>
      <c r="E1644" t="s">
        <v>36</v>
      </c>
      <c r="F1644" t="s">
        <v>3089</v>
      </c>
      <c r="G1644" s="92"/>
      <c r="H1644" s="92"/>
      <c r="I1644" s="92"/>
      <c r="J1644" s="92"/>
      <c r="K1644" s="92"/>
      <c r="L1644" s="9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9"/>
    </row>
    <row r="1645" spans="1:14" hidden="1" x14ac:dyDescent="0.15">
      <c r="A1645">
        <v>1645</v>
      </c>
      <c r="B1645" t="s">
        <v>1424</v>
      </c>
      <c r="C1645" t="s">
        <v>22</v>
      </c>
      <c r="D1645" s="72" t="s">
        <v>3090</v>
      </c>
      <c r="E1645" t="s">
        <v>73</v>
      </c>
      <c r="F1645" t="s">
        <v>3091</v>
      </c>
      <c r="G1645" s="92"/>
      <c r="H1645" s="92"/>
      <c r="I1645" s="92"/>
      <c r="J1645" s="92"/>
      <c r="K1645" s="92"/>
      <c r="L1645" s="9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9"/>
    </row>
    <row r="1646" spans="1:14" hidden="1" x14ac:dyDescent="0.15">
      <c r="A1646">
        <v>1646</v>
      </c>
      <c r="B1646" t="s">
        <v>1424</v>
      </c>
      <c r="C1646" t="s">
        <v>22</v>
      </c>
      <c r="D1646" s="72" t="s">
        <v>3092</v>
      </c>
      <c r="E1646" t="s">
        <v>36</v>
      </c>
      <c r="F1646" t="s">
        <v>3093</v>
      </c>
      <c r="G1646" s="92"/>
      <c r="H1646" s="92"/>
      <c r="I1646" s="92"/>
      <c r="J1646" s="92"/>
      <c r="K1646" s="92"/>
      <c r="L1646" s="9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9"/>
    </row>
    <row r="1647" spans="1:14" hidden="1" x14ac:dyDescent="0.15">
      <c r="A1647">
        <v>1647</v>
      </c>
      <c r="B1647" t="s">
        <v>1424</v>
      </c>
      <c r="C1647" t="s">
        <v>22</v>
      </c>
      <c r="D1647" s="72" t="s">
        <v>3094</v>
      </c>
      <c r="E1647" t="s">
        <v>36</v>
      </c>
      <c r="F1647" t="s">
        <v>3095</v>
      </c>
      <c r="G1647" s="92"/>
      <c r="H1647" s="92"/>
      <c r="I1647" s="92"/>
      <c r="J1647" s="92"/>
      <c r="K1647" s="92"/>
      <c r="L1647" s="9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9"/>
    </row>
    <row r="1648" spans="1:14" hidden="1" x14ac:dyDescent="0.15">
      <c r="A1648">
        <v>1648</v>
      </c>
      <c r="B1648" t="s">
        <v>1424</v>
      </c>
      <c r="C1648" t="s">
        <v>22</v>
      </c>
      <c r="D1648" s="72" t="s">
        <v>3096</v>
      </c>
      <c r="E1648" t="s">
        <v>36</v>
      </c>
      <c r="F1648" t="s">
        <v>739</v>
      </c>
      <c r="G1648" s="92"/>
      <c r="H1648" s="92"/>
      <c r="I1648" s="92"/>
      <c r="J1648" s="92"/>
      <c r="K1648" s="92"/>
      <c r="L1648" s="9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9"/>
    </row>
    <row r="1649" spans="1:14" hidden="1" x14ac:dyDescent="0.15">
      <c r="A1649">
        <v>1649</v>
      </c>
      <c r="B1649" t="s">
        <v>1424</v>
      </c>
      <c r="C1649" t="s">
        <v>22</v>
      </c>
      <c r="D1649" s="72" t="s">
        <v>3097</v>
      </c>
      <c r="E1649" t="s">
        <v>73</v>
      </c>
      <c r="F1649" t="s">
        <v>3098</v>
      </c>
      <c r="G1649" s="92"/>
      <c r="H1649" s="92"/>
      <c r="I1649" s="92"/>
      <c r="J1649" s="92"/>
      <c r="K1649" s="92"/>
      <c r="L1649" s="9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9"/>
    </row>
    <row r="1650" spans="1:14" hidden="1" x14ac:dyDescent="0.15">
      <c r="A1650">
        <v>1650</v>
      </c>
      <c r="B1650" t="s">
        <v>1424</v>
      </c>
      <c r="C1650" t="s">
        <v>22</v>
      </c>
      <c r="D1650" s="72" t="s">
        <v>3099</v>
      </c>
      <c r="E1650" t="s">
        <v>36</v>
      </c>
      <c r="F1650" t="s">
        <v>3100</v>
      </c>
      <c r="G1650" s="92"/>
      <c r="H1650" s="92"/>
      <c r="I1650" s="92"/>
      <c r="J1650" s="92"/>
      <c r="K1650" s="92"/>
      <c r="L1650" s="9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9"/>
    </row>
    <row r="1651" spans="1:14" hidden="1" x14ac:dyDescent="0.15">
      <c r="A1651">
        <v>1651</v>
      </c>
      <c r="B1651" t="s">
        <v>1424</v>
      </c>
      <c r="C1651" t="s">
        <v>22</v>
      </c>
      <c r="D1651" s="72" t="s">
        <v>3101</v>
      </c>
      <c r="E1651" t="s">
        <v>702</v>
      </c>
      <c r="F1651" t="s">
        <v>3102</v>
      </c>
      <c r="G1651" s="92"/>
      <c r="H1651" s="92"/>
      <c r="I1651" s="92"/>
      <c r="J1651" s="92"/>
      <c r="K1651" s="92"/>
      <c r="L1651" s="9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9"/>
    </row>
    <row r="1652" spans="1:14" hidden="1" x14ac:dyDescent="0.15">
      <c r="A1652">
        <v>1652</v>
      </c>
      <c r="B1652" t="s">
        <v>1424</v>
      </c>
      <c r="C1652" t="s">
        <v>22</v>
      </c>
      <c r="D1652" s="72" t="s">
        <v>3103</v>
      </c>
      <c r="E1652" t="s">
        <v>36</v>
      </c>
      <c r="F1652" t="s">
        <v>3104</v>
      </c>
      <c r="G1652" s="92"/>
      <c r="H1652" s="92"/>
      <c r="I1652" s="92"/>
      <c r="J1652" s="92"/>
      <c r="K1652" s="92"/>
      <c r="L1652" s="9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9"/>
    </row>
    <row r="1653" spans="1:14" hidden="1" x14ac:dyDescent="0.15">
      <c r="A1653">
        <v>1653</v>
      </c>
      <c r="B1653" t="s">
        <v>1424</v>
      </c>
      <c r="C1653" t="s">
        <v>22</v>
      </c>
      <c r="D1653" s="72" t="s">
        <v>3105</v>
      </c>
      <c r="E1653" t="s">
        <v>736</v>
      </c>
      <c r="F1653" t="s">
        <v>3106</v>
      </c>
      <c r="G1653" s="92"/>
      <c r="H1653" s="92"/>
      <c r="I1653" s="92"/>
      <c r="J1653" s="92"/>
      <c r="K1653" s="92"/>
      <c r="L1653" s="9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9"/>
    </row>
    <row r="1654" spans="1:14" hidden="1" x14ac:dyDescent="0.15">
      <c r="A1654">
        <v>1654</v>
      </c>
      <c r="B1654" t="s">
        <v>1424</v>
      </c>
      <c r="C1654" t="s">
        <v>22</v>
      </c>
      <c r="D1654" s="72" t="s">
        <v>3107</v>
      </c>
      <c r="E1654" t="s">
        <v>736</v>
      </c>
      <c r="F1654" t="s">
        <v>3108</v>
      </c>
      <c r="G1654" s="92"/>
      <c r="H1654" s="92"/>
      <c r="I1654" s="92"/>
      <c r="J1654" s="92"/>
      <c r="K1654" s="92"/>
      <c r="L1654" s="9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9"/>
    </row>
    <row r="1655" spans="1:14" hidden="1" x14ac:dyDescent="0.15">
      <c r="A1655">
        <v>1655</v>
      </c>
      <c r="B1655" t="s">
        <v>1424</v>
      </c>
      <c r="C1655" t="s">
        <v>22</v>
      </c>
      <c r="D1655" s="72" t="s">
        <v>3109</v>
      </c>
      <c r="E1655" t="s">
        <v>36</v>
      </c>
      <c r="F1655" t="s">
        <v>3110</v>
      </c>
      <c r="G1655" s="92"/>
      <c r="H1655" s="92"/>
      <c r="I1655" s="92"/>
      <c r="J1655" s="92"/>
      <c r="K1655" s="92"/>
      <c r="L1655" s="9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9"/>
    </row>
    <row r="1656" spans="1:14" hidden="1" x14ac:dyDescent="0.15">
      <c r="A1656">
        <v>1656</v>
      </c>
      <c r="B1656" t="s">
        <v>1424</v>
      </c>
      <c r="C1656" t="s">
        <v>22</v>
      </c>
      <c r="D1656" s="72" t="s">
        <v>3111</v>
      </c>
      <c r="E1656" t="s">
        <v>36</v>
      </c>
      <c r="F1656" t="s">
        <v>3112</v>
      </c>
      <c r="G1656" s="92"/>
      <c r="H1656" s="92"/>
      <c r="I1656" s="92"/>
      <c r="J1656" s="92"/>
      <c r="K1656" s="92"/>
      <c r="L1656" s="9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9"/>
    </row>
    <row r="1657" spans="1:14" hidden="1" x14ac:dyDescent="0.15">
      <c r="A1657">
        <v>1657</v>
      </c>
      <c r="B1657" t="s">
        <v>1424</v>
      </c>
      <c r="C1657" t="s">
        <v>22</v>
      </c>
      <c r="D1657" s="72" t="s">
        <v>3113</v>
      </c>
      <c r="E1657" t="s">
        <v>36</v>
      </c>
      <c r="F1657" t="s">
        <v>3114</v>
      </c>
      <c r="G1657" s="92"/>
      <c r="H1657" s="92"/>
      <c r="I1657" s="92"/>
      <c r="J1657" s="92"/>
      <c r="K1657" s="92"/>
      <c r="L1657" s="9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9"/>
    </row>
    <row r="1658" spans="1:14" hidden="1" x14ac:dyDescent="0.15">
      <c r="A1658">
        <v>1658</v>
      </c>
      <c r="B1658" t="s">
        <v>1424</v>
      </c>
      <c r="C1658" t="s">
        <v>22</v>
      </c>
      <c r="D1658" s="72" t="s">
        <v>3115</v>
      </c>
      <c r="E1658" t="s">
        <v>1019</v>
      </c>
      <c r="F1658" t="s">
        <v>3116</v>
      </c>
      <c r="G1658" s="92"/>
      <c r="H1658" s="92"/>
      <c r="I1658" s="92"/>
      <c r="J1658" s="92"/>
      <c r="K1658" s="92"/>
      <c r="L1658" s="9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9"/>
    </row>
    <row r="1659" spans="1:14" hidden="1" x14ac:dyDescent="0.15">
      <c r="A1659">
        <v>1659</v>
      </c>
      <c r="B1659" t="s">
        <v>1424</v>
      </c>
      <c r="C1659" t="s">
        <v>22</v>
      </c>
      <c r="D1659" s="72" t="s">
        <v>3117</v>
      </c>
      <c r="E1659" t="s">
        <v>73</v>
      </c>
      <c r="F1659" t="s">
        <v>3118</v>
      </c>
      <c r="G1659" s="92"/>
      <c r="H1659" s="92"/>
      <c r="I1659" s="92"/>
      <c r="J1659" s="92"/>
      <c r="K1659" s="92"/>
      <c r="L1659" s="9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9"/>
    </row>
    <row r="1660" spans="1:14" hidden="1" x14ac:dyDescent="0.15">
      <c r="A1660">
        <v>1660</v>
      </c>
      <c r="B1660" t="s">
        <v>1424</v>
      </c>
      <c r="C1660" t="s">
        <v>22</v>
      </c>
      <c r="D1660" s="72" t="s">
        <v>3119</v>
      </c>
      <c r="E1660" t="s">
        <v>36</v>
      </c>
      <c r="F1660" t="s">
        <v>3120</v>
      </c>
      <c r="G1660" s="92"/>
      <c r="H1660" s="92"/>
      <c r="I1660" s="92"/>
      <c r="J1660" s="92"/>
      <c r="K1660" s="92"/>
      <c r="L1660" s="9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9"/>
    </row>
    <row r="1661" spans="1:14" hidden="1" x14ac:dyDescent="0.15">
      <c r="A1661">
        <v>1661</v>
      </c>
      <c r="B1661" t="s">
        <v>1424</v>
      </c>
      <c r="C1661" t="s">
        <v>22</v>
      </c>
      <c r="D1661" s="72" t="s">
        <v>3121</v>
      </c>
      <c r="E1661" t="s">
        <v>702</v>
      </c>
      <c r="F1661" t="s">
        <v>3122</v>
      </c>
      <c r="G1661" s="92"/>
      <c r="H1661" s="92"/>
      <c r="I1661" s="92"/>
      <c r="J1661" s="92"/>
      <c r="K1661" s="92"/>
      <c r="L1661" s="9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9"/>
    </row>
    <row r="1662" spans="1:14" hidden="1" x14ac:dyDescent="0.15">
      <c r="A1662">
        <v>1662</v>
      </c>
      <c r="B1662" t="s">
        <v>1424</v>
      </c>
      <c r="C1662" t="s">
        <v>22</v>
      </c>
      <c r="D1662" s="72" t="s">
        <v>3123</v>
      </c>
      <c r="E1662" t="s">
        <v>73</v>
      </c>
      <c r="F1662" t="s">
        <v>3124</v>
      </c>
      <c r="G1662" s="92"/>
      <c r="H1662" s="92"/>
      <c r="I1662" s="92"/>
      <c r="J1662" s="92"/>
      <c r="K1662" s="92"/>
      <c r="L1662" s="9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9"/>
    </row>
    <row r="1663" spans="1:14" hidden="1" x14ac:dyDescent="0.15">
      <c r="A1663">
        <v>1663</v>
      </c>
      <c r="B1663" t="s">
        <v>1424</v>
      </c>
      <c r="C1663" t="s">
        <v>22</v>
      </c>
      <c r="D1663" s="72" t="s">
        <v>3125</v>
      </c>
      <c r="E1663" t="s">
        <v>36</v>
      </c>
      <c r="F1663" t="s">
        <v>3126</v>
      </c>
      <c r="G1663" s="92"/>
      <c r="H1663" s="92"/>
      <c r="I1663" s="92"/>
      <c r="J1663" s="92"/>
      <c r="K1663" s="92"/>
      <c r="L1663" s="9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9"/>
    </row>
    <row r="1664" spans="1:14" hidden="1" x14ac:dyDescent="0.15">
      <c r="A1664">
        <v>1664</v>
      </c>
      <c r="B1664" t="s">
        <v>1424</v>
      </c>
      <c r="C1664" t="s">
        <v>22</v>
      </c>
      <c r="D1664" s="72" t="s">
        <v>3127</v>
      </c>
      <c r="E1664" t="s">
        <v>157</v>
      </c>
      <c r="F1664" t="s">
        <v>3128</v>
      </c>
      <c r="G1664" s="92"/>
      <c r="H1664" s="92"/>
      <c r="I1664" s="92"/>
      <c r="J1664" s="92"/>
      <c r="K1664" s="92"/>
      <c r="L1664" s="9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9"/>
    </row>
    <row r="1665" spans="1:14" hidden="1" x14ac:dyDescent="0.15">
      <c r="A1665">
        <v>1665</v>
      </c>
      <c r="B1665" t="s">
        <v>1424</v>
      </c>
      <c r="C1665" t="s">
        <v>22</v>
      </c>
      <c r="D1665" s="72" t="s">
        <v>3129</v>
      </c>
      <c r="E1665" t="s">
        <v>36</v>
      </c>
      <c r="F1665" t="s">
        <v>3130</v>
      </c>
      <c r="G1665" s="92"/>
      <c r="H1665" s="92"/>
      <c r="I1665" s="92"/>
      <c r="J1665" s="92"/>
      <c r="K1665" s="92"/>
      <c r="L1665" s="9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9"/>
    </row>
    <row r="1666" spans="1:14" hidden="1" x14ac:dyDescent="0.15">
      <c r="A1666">
        <v>1666</v>
      </c>
      <c r="B1666" t="s">
        <v>1424</v>
      </c>
      <c r="C1666" t="s">
        <v>22</v>
      </c>
      <c r="D1666" s="72" t="s">
        <v>3131</v>
      </c>
      <c r="E1666" t="s">
        <v>61</v>
      </c>
      <c r="F1666" t="s">
        <v>3132</v>
      </c>
      <c r="G1666" s="92"/>
      <c r="H1666" s="92"/>
      <c r="I1666" s="92"/>
      <c r="J1666" s="92"/>
      <c r="K1666" s="92"/>
      <c r="L1666" s="9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9"/>
    </row>
    <row r="1667" spans="1:14" hidden="1" x14ac:dyDescent="0.15">
      <c r="A1667">
        <v>1667</v>
      </c>
      <c r="B1667" t="s">
        <v>1424</v>
      </c>
      <c r="C1667" t="s">
        <v>22</v>
      </c>
      <c r="D1667" s="72" t="s">
        <v>3133</v>
      </c>
      <c r="E1667" t="s">
        <v>36</v>
      </c>
      <c r="F1667" t="s">
        <v>3134</v>
      </c>
      <c r="G1667" s="92"/>
      <c r="H1667" s="92"/>
      <c r="I1667" s="92"/>
      <c r="J1667" s="92"/>
      <c r="K1667" s="92"/>
      <c r="L1667" s="9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9"/>
    </row>
    <row r="1668" spans="1:14" hidden="1" x14ac:dyDescent="0.15">
      <c r="A1668">
        <v>1668</v>
      </c>
      <c r="B1668" t="s">
        <v>1424</v>
      </c>
      <c r="C1668" t="s">
        <v>22</v>
      </c>
      <c r="D1668" s="72" t="s">
        <v>3135</v>
      </c>
      <c r="E1668" t="s">
        <v>736</v>
      </c>
      <c r="F1668" t="s">
        <v>3136</v>
      </c>
      <c r="G1668" s="92"/>
      <c r="H1668" s="92"/>
      <c r="I1668" s="92"/>
      <c r="J1668" s="92"/>
      <c r="K1668" s="92"/>
      <c r="L1668" s="9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9"/>
    </row>
    <row r="1669" spans="1:14" hidden="1" x14ac:dyDescent="0.15">
      <c r="A1669">
        <v>1669</v>
      </c>
      <c r="B1669" t="s">
        <v>1424</v>
      </c>
      <c r="C1669" t="s">
        <v>22</v>
      </c>
      <c r="D1669" s="72" t="s">
        <v>3137</v>
      </c>
      <c r="E1669" t="s">
        <v>36</v>
      </c>
      <c r="F1669" t="s">
        <v>3138</v>
      </c>
      <c r="G1669" s="92"/>
      <c r="H1669" s="92"/>
      <c r="I1669" s="92"/>
      <c r="J1669" s="92"/>
      <c r="K1669" s="92"/>
      <c r="L1669" s="9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9"/>
    </row>
    <row r="1670" spans="1:14" hidden="1" x14ac:dyDescent="0.15">
      <c r="A1670">
        <v>1670</v>
      </c>
      <c r="B1670" t="s">
        <v>1424</v>
      </c>
      <c r="C1670" t="s">
        <v>22</v>
      </c>
      <c r="D1670" s="72" t="s">
        <v>3139</v>
      </c>
      <c r="E1670" t="s">
        <v>36</v>
      </c>
      <c r="F1670" t="s">
        <v>3140</v>
      </c>
      <c r="G1670" s="92"/>
      <c r="H1670" s="92"/>
      <c r="I1670" s="92"/>
      <c r="J1670" s="92"/>
      <c r="K1670" s="92"/>
      <c r="L1670" s="9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9"/>
    </row>
    <row r="1671" spans="1:14" hidden="1" x14ac:dyDescent="0.15">
      <c r="A1671">
        <v>1671</v>
      </c>
      <c r="B1671" t="s">
        <v>1424</v>
      </c>
      <c r="C1671" t="s">
        <v>22</v>
      </c>
      <c r="D1671" s="72" t="s">
        <v>3141</v>
      </c>
      <c r="E1671" t="s">
        <v>736</v>
      </c>
      <c r="F1671" t="s">
        <v>3142</v>
      </c>
      <c r="G1671" s="92"/>
      <c r="H1671" s="92"/>
      <c r="I1671" s="92"/>
      <c r="J1671" s="92"/>
      <c r="K1671" s="92"/>
      <c r="L1671" s="9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9"/>
    </row>
    <row r="1672" spans="1:14" hidden="1" x14ac:dyDescent="0.15">
      <c r="A1672">
        <v>1672</v>
      </c>
      <c r="B1672" t="s">
        <v>1424</v>
      </c>
      <c r="C1672" t="s">
        <v>23</v>
      </c>
      <c r="D1672" s="72" t="s">
        <v>3143</v>
      </c>
      <c r="E1672" t="s">
        <v>61</v>
      </c>
      <c r="F1672" t="s">
        <v>3144</v>
      </c>
      <c r="G1672" s="92"/>
      <c r="H1672" s="92"/>
      <c r="I1672" s="92"/>
      <c r="J1672" s="92"/>
      <c r="K1672" s="92"/>
      <c r="L1672" s="9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9"/>
    </row>
    <row r="1673" spans="1:14" hidden="1" x14ac:dyDescent="0.15">
      <c r="A1673">
        <v>1673</v>
      </c>
      <c r="B1673" t="s">
        <v>1424</v>
      </c>
      <c r="C1673" t="s">
        <v>23</v>
      </c>
      <c r="D1673" s="72" t="s">
        <v>3145</v>
      </c>
      <c r="E1673" t="s">
        <v>36</v>
      </c>
      <c r="F1673" t="s">
        <v>3146</v>
      </c>
      <c r="G1673" s="92"/>
      <c r="H1673" s="92"/>
      <c r="I1673" s="92"/>
      <c r="J1673" s="92"/>
      <c r="K1673" s="92"/>
      <c r="L1673" s="9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9"/>
    </row>
    <row r="1674" spans="1:14" hidden="1" x14ac:dyDescent="0.15">
      <c r="A1674">
        <v>1674</v>
      </c>
      <c r="B1674" t="s">
        <v>1424</v>
      </c>
      <c r="C1674" t="s">
        <v>23</v>
      </c>
      <c r="D1674" s="72" t="s">
        <v>3147</v>
      </c>
      <c r="E1674" t="s">
        <v>61</v>
      </c>
      <c r="F1674" t="s">
        <v>3148</v>
      </c>
      <c r="G1674" s="92"/>
      <c r="H1674" s="92"/>
      <c r="I1674" s="92"/>
      <c r="J1674" s="92"/>
      <c r="K1674" s="92"/>
      <c r="L1674" s="9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9"/>
    </row>
    <row r="1675" spans="1:14" hidden="1" x14ac:dyDescent="0.15">
      <c r="A1675">
        <v>1675</v>
      </c>
      <c r="B1675" t="s">
        <v>1424</v>
      </c>
      <c r="C1675" t="s">
        <v>23</v>
      </c>
      <c r="D1675" s="72" t="s">
        <v>912</v>
      </c>
      <c r="E1675" t="s">
        <v>36</v>
      </c>
      <c r="F1675" t="s">
        <v>3149</v>
      </c>
      <c r="G1675" s="92"/>
      <c r="H1675" s="92"/>
      <c r="I1675" s="92"/>
      <c r="J1675" s="92"/>
      <c r="K1675" s="92"/>
      <c r="L1675" s="9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9"/>
    </row>
    <row r="1676" spans="1:14" hidden="1" x14ac:dyDescent="0.15">
      <c r="A1676">
        <v>1676</v>
      </c>
      <c r="B1676" t="s">
        <v>1424</v>
      </c>
      <c r="C1676" t="s">
        <v>23</v>
      </c>
      <c r="D1676" s="72" t="s">
        <v>3150</v>
      </c>
      <c r="E1676" t="s">
        <v>61</v>
      </c>
      <c r="F1676" t="s">
        <v>3151</v>
      </c>
      <c r="G1676" s="92"/>
      <c r="H1676" s="92"/>
      <c r="I1676" s="92"/>
      <c r="J1676" s="92"/>
      <c r="K1676" s="92"/>
      <c r="L1676" s="9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9"/>
    </row>
    <row r="1677" spans="1:14" hidden="1" x14ac:dyDescent="0.15">
      <c r="A1677">
        <v>1677</v>
      </c>
      <c r="B1677" t="s">
        <v>1424</v>
      </c>
      <c r="C1677" t="s">
        <v>23</v>
      </c>
      <c r="D1677" s="72" t="s">
        <v>3152</v>
      </c>
      <c r="E1677" t="s">
        <v>36</v>
      </c>
      <c r="F1677" t="s">
        <v>3153</v>
      </c>
      <c r="G1677" s="92"/>
      <c r="H1677" s="92"/>
      <c r="I1677" s="92"/>
      <c r="J1677" s="92"/>
      <c r="K1677" s="92"/>
      <c r="L1677" s="9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9"/>
    </row>
    <row r="1678" spans="1:14" hidden="1" x14ac:dyDescent="0.15">
      <c r="A1678">
        <v>1678</v>
      </c>
      <c r="B1678" t="s">
        <v>1424</v>
      </c>
      <c r="C1678" t="s">
        <v>23</v>
      </c>
      <c r="D1678" s="72" t="s">
        <v>3154</v>
      </c>
      <c r="E1678" t="s">
        <v>36</v>
      </c>
      <c r="F1678" t="s">
        <v>3155</v>
      </c>
      <c r="G1678" s="92"/>
      <c r="H1678" s="92"/>
      <c r="I1678" s="92"/>
      <c r="J1678" s="92"/>
      <c r="K1678" s="92"/>
      <c r="L1678" s="9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9"/>
    </row>
    <row r="1679" spans="1:14" hidden="1" x14ac:dyDescent="0.15">
      <c r="A1679">
        <v>1679</v>
      </c>
      <c r="B1679" t="s">
        <v>1424</v>
      </c>
      <c r="C1679" t="s">
        <v>23</v>
      </c>
      <c r="D1679" s="72" t="s">
        <v>3156</v>
      </c>
      <c r="E1679" t="s">
        <v>36</v>
      </c>
      <c r="F1679" t="s">
        <v>3157</v>
      </c>
      <c r="G1679" s="92"/>
      <c r="H1679" s="92"/>
      <c r="I1679" s="92"/>
      <c r="J1679" s="92"/>
      <c r="K1679" s="92"/>
      <c r="L1679" s="9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9"/>
    </row>
    <row r="1680" spans="1:14" hidden="1" x14ac:dyDescent="0.15">
      <c r="A1680">
        <v>1680</v>
      </c>
      <c r="B1680" t="s">
        <v>1424</v>
      </c>
      <c r="C1680" t="s">
        <v>23</v>
      </c>
      <c r="D1680" s="72" t="s">
        <v>597</v>
      </c>
      <c r="E1680" t="s">
        <v>73</v>
      </c>
      <c r="F1680" t="s">
        <v>598</v>
      </c>
      <c r="G1680" s="92"/>
      <c r="H1680" s="92"/>
      <c r="I1680" s="92"/>
      <c r="J1680" s="92"/>
      <c r="K1680" s="92"/>
      <c r="L1680" s="9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9"/>
    </row>
    <row r="1681" spans="1:14" hidden="1" x14ac:dyDescent="0.15">
      <c r="A1681">
        <v>1681</v>
      </c>
      <c r="B1681" t="s">
        <v>1424</v>
      </c>
      <c r="C1681" t="s">
        <v>23</v>
      </c>
      <c r="D1681" s="72" t="s">
        <v>3158</v>
      </c>
      <c r="E1681" t="s">
        <v>702</v>
      </c>
      <c r="F1681" t="s">
        <v>3159</v>
      </c>
      <c r="G1681" s="92"/>
      <c r="H1681" s="92"/>
      <c r="I1681" s="92"/>
      <c r="J1681" s="92"/>
      <c r="K1681" s="92"/>
      <c r="L1681" s="9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9"/>
    </row>
    <row r="1682" spans="1:14" hidden="1" x14ac:dyDescent="0.15">
      <c r="A1682">
        <v>1682</v>
      </c>
      <c r="B1682" t="s">
        <v>1424</v>
      </c>
      <c r="C1682" t="s">
        <v>23</v>
      </c>
      <c r="D1682" s="72" t="s">
        <v>163</v>
      </c>
      <c r="E1682" t="s">
        <v>736</v>
      </c>
      <c r="F1682" t="s">
        <v>3160</v>
      </c>
      <c r="G1682" s="92"/>
      <c r="H1682" s="92"/>
      <c r="I1682" s="92"/>
      <c r="J1682" s="92"/>
      <c r="K1682" s="92"/>
      <c r="L1682" s="9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9"/>
    </row>
    <row r="1683" spans="1:14" hidden="1" x14ac:dyDescent="0.15">
      <c r="A1683">
        <v>1683</v>
      </c>
      <c r="B1683" t="s">
        <v>1424</v>
      </c>
      <c r="C1683" t="s">
        <v>23</v>
      </c>
      <c r="D1683" s="72" t="s">
        <v>3161</v>
      </c>
      <c r="E1683" t="s">
        <v>36</v>
      </c>
      <c r="F1683" t="s">
        <v>3162</v>
      </c>
      <c r="G1683" s="92"/>
      <c r="H1683" s="92"/>
      <c r="I1683" s="92"/>
      <c r="J1683" s="92"/>
      <c r="K1683" s="92"/>
      <c r="L1683" s="9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9"/>
    </row>
    <row r="1684" spans="1:14" hidden="1" x14ac:dyDescent="0.15">
      <c r="A1684">
        <v>1684</v>
      </c>
      <c r="B1684" t="s">
        <v>1424</v>
      </c>
      <c r="C1684" t="s">
        <v>23</v>
      </c>
      <c r="D1684" s="72" t="s">
        <v>3163</v>
      </c>
      <c r="E1684" t="s">
        <v>36</v>
      </c>
      <c r="F1684" t="s">
        <v>3164</v>
      </c>
      <c r="G1684" s="92"/>
      <c r="H1684" s="92"/>
      <c r="I1684" s="92"/>
      <c r="J1684" s="92"/>
      <c r="K1684" s="92"/>
      <c r="L1684" s="9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9"/>
    </row>
    <row r="1685" spans="1:14" hidden="1" x14ac:dyDescent="0.15">
      <c r="A1685">
        <v>1685</v>
      </c>
      <c r="B1685" t="s">
        <v>1424</v>
      </c>
      <c r="C1685" t="s">
        <v>23</v>
      </c>
      <c r="D1685" s="72" t="s">
        <v>3165</v>
      </c>
      <c r="E1685" t="s">
        <v>36</v>
      </c>
      <c r="F1685" t="s">
        <v>3166</v>
      </c>
      <c r="G1685" s="92"/>
      <c r="H1685" s="92"/>
      <c r="I1685" s="92"/>
      <c r="J1685" s="92"/>
      <c r="K1685" s="92"/>
      <c r="L1685" s="9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9"/>
    </row>
    <row r="1686" spans="1:14" hidden="1" x14ac:dyDescent="0.15">
      <c r="A1686">
        <v>1686</v>
      </c>
      <c r="B1686" t="s">
        <v>1424</v>
      </c>
      <c r="C1686" t="s">
        <v>23</v>
      </c>
      <c r="D1686" s="72" t="s">
        <v>3167</v>
      </c>
      <c r="E1686" t="s">
        <v>36</v>
      </c>
      <c r="F1686" t="s">
        <v>3168</v>
      </c>
      <c r="G1686" s="92"/>
      <c r="H1686" s="92"/>
      <c r="I1686" s="92"/>
      <c r="J1686" s="92"/>
      <c r="K1686" s="92"/>
      <c r="L1686" s="9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9"/>
    </row>
    <row r="1687" spans="1:14" hidden="1" x14ac:dyDescent="0.15">
      <c r="A1687">
        <v>1687</v>
      </c>
      <c r="B1687" t="s">
        <v>1424</v>
      </c>
      <c r="C1687" t="s">
        <v>23</v>
      </c>
      <c r="D1687" s="72" t="s">
        <v>3169</v>
      </c>
      <c r="E1687" t="s">
        <v>36</v>
      </c>
      <c r="F1687" t="s">
        <v>3170</v>
      </c>
      <c r="G1687" s="92"/>
      <c r="H1687" s="92"/>
      <c r="I1687" s="92"/>
      <c r="J1687" s="92"/>
      <c r="K1687" s="92"/>
      <c r="L1687" s="9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9"/>
    </row>
    <row r="1688" spans="1:14" hidden="1" x14ac:dyDescent="0.15">
      <c r="A1688">
        <v>1688</v>
      </c>
      <c r="B1688" t="s">
        <v>1424</v>
      </c>
      <c r="C1688" t="s">
        <v>23</v>
      </c>
      <c r="D1688" s="72" t="s">
        <v>3171</v>
      </c>
      <c r="E1688" t="s">
        <v>36</v>
      </c>
      <c r="F1688" t="s">
        <v>3172</v>
      </c>
      <c r="G1688" s="92"/>
      <c r="H1688" s="92"/>
      <c r="I1688" s="92"/>
      <c r="J1688" s="92"/>
      <c r="K1688" s="92"/>
      <c r="L1688" s="9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9"/>
    </row>
    <row r="1689" spans="1:14" hidden="1" x14ac:dyDescent="0.15">
      <c r="A1689">
        <v>1689</v>
      </c>
      <c r="B1689" t="s">
        <v>1424</v>
      </c>
      <c r="C1689" t="s">
        <v>23</v>
      </c>
      <c r="D1689" s="72" t="s">
        <v>3173</v>
      </c>
      <c r="E1689" t="s">
        <v>36</v>
      </c>
      <c r="F1689" t="s">
        <v>3174</v>
      </c>
      <c r="G1689" s="92"/>
      <c r="H1689" s="92"/>
      <c r="I1689" s="92"/>
      <c r="J1689" s="92"/>
      <c r="K1689" s="92"/>
      <c r="L1689" s="9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9"/>
    </row>
    <row r="1690" spans="1:14" hidden="1" x14ac:dyDescent="0.15">
      <c r="A1690">
        <v>1690</v>
      </c>
      <c r="B1690" t="s">
        <v>1424</v>
      </c>
      <c r="C1690" t="s">
        <v>23</v>
      </c>
      <c r="D1690" s="72" t="s">
        <v>3175</v>
      </c>
      <c r="E1690" t="s">
        <v>702</v>
      </c>
      <c r="F1690" t="s">
        <v>3176</v>
      </c>
      <c r="G1690" s="92"/>
      <c r="H1690" s="92"/>
      <c r="I1690" s="92"/>
      <c r="J1690" s="92"/>
      <c r="K1690" s="92"/>
      <c r="L1690" s="9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9"/>
    </row>
    <row r="1691" spans="1:14" hidden="1" x14ac:dyDescent="0.15">
      <c r="A1691">
        <v>1691</v>
      </c>
      <c r="B1691" t="s">
        <v>1424</v>
      </c>
      <c r="C1691" t="s">
        <v>23</v>
      </c>
      <c r="D1691" s="72" t="s">
        <v>3177</v>
      </c>
      <c r="E1691" t="s">
        <v>73</v>
      </c>
      <c r="F1691" t="s">
        <v>3178</v>
      </c>
      <c r="G1691" s="92"/>
      <c r="H1691" s="92"/>
      <c r="I1691" s="92"/>
      <c r="J1691" s="92"/>
      <c r="K1691" s="92"/>
      <c r="L1691" s="9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9"/>
    </row>
    <row r="1692" spans="1:14" hidden="1" x14ac:dyDescent="0.15">
      <c r="A1692">
        <v>1692</v>
      </c>
      <c r="B1692" t="s">
        <v>1424</v>
      </c>
      <c r="C1692" t="s">
        <v>23</v>
      </c>
      <c r="D1692" s="72" t="s">
        <v>3179</v>
      </c>
      <c r="E1692" t="s">
        <v>36</v>
      </c>
      <c r="F1692" t="s">
        <v>3180</v>
      </c>
      <c r="G1692" s="92"/>
      <c r="H1692" s="92"/>
      <c r="I1692" s="92"/>
      <c r="J1692" s="92"/>
      <c r="K1692" s="92"/>
      <c r="L1692" s="9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9"/>
    </row>
    <row r="1693" spans="1:14" hidden="1" x14ac:dyDescent="0.15">
      <c r="A1693">
        <v>1693</v>
      </c>
      <c r="B1693" t="s">
        <v>1424</v>
      </c>
      <c r="C1693" t="s">
        <v>23</v>
      </c>
      <c r="D1693" s="72" t="s">
        <v>3181</v>
      </c>
      <c r="E1693" t="s">
        <v>702</v>
      </c>
      <c r="F1693" t="s">
        <v>3182</v>
      </c>
      <c r="G1693" s="92"/>
      <c r="H1693" s="92"/>
      <c r="I1693" s="92"/>
      <c r="J1693" s="92"/>
      <c r="K1693" s="92"/>
      <c r="L1693" s="9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9"/>
    </row>
    <row r="1694" spans="1:14" hidden="1" x14ac:dyDescent="0.15">
      <c r="A1694">
        <v>1694</v>
      </c>
      <c r="B1694" t="s">
        <v>1424</v>
      </c>
      <c r="C1694" t="s">
        <v>23</v>
      </c>
      <c r="D1694" s="72" t="s">
        <v>3183</v>
      </c>
      <c r="E1694" t="s">
        <v>702</v>
      </c>
      <c r="F1694" t="s">
        <v>3184</v>
      </c>
      <c r="G1694" s="92"/>
      <c r="H1694" s="92"/>
      <c r="I1694" s="92"/>
      <c r="J1694" s="92"/>
      <c r="K1694" s="92"/>
      <c r="L1694" s="9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9"/>
    </row>
    <row r="1695" spans="1:14" hidden="1" x14ac:dyDescent="0.15">
      <c r="A1695">
        <v>1695</v>
      </c>
      <c r="B1695" t="s">
        <v>1424</v>
      </c>
      <c r="C1695" t="s">
        <v>23</v>
      </c>
      <c r="D1695" s="72" t="s">
        <v>3185</v>
      </c>
      <c r="E1695" t="s">
        <v>36</v>
      </c>
      <c r="F1695" t="s">
        <v>3186</v>
      </c>
      <c r="G1695" s="92"/>
      <c r="H1695" s="92"/>
      <c r="I1695" s="92"/>
      <c r="J1695" s="92"/>
      <c r="K1695" s="92"/>
      <c r="L1695" s="9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9"/>
    </row>
    <row r="1696" spans="1:14" hidden="1" x14ac:dyDescent="0.15">
      <c r="A1696">
        <v>1696</v>
      </c>
      <c r="B1696" t="s">
        <v>1424</v>
      </c>
      <c r="C1696" t="s">
        <v>23</v>
      </c>
      <c r="D1696" s="72" t="s">
        <v>3187</v>
      </c>
      <c r="E1696" t="s">
        <v>36</v>
      </c>
      <c r="F1696" t="s">
        <v>3188</v>
      </c>
      <c r="G1696" s="92"/>
      <c r="H1696" s="92"/>
      <c r="I1696" s="92"/>
      <c r="J1696" s="92"/>
      <c r="K1696" s="92"/>
      <c r="L1696" s="9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9"/>
    </row>
    <row r="1697" spans="1:14" hidden="1" x14ac:dyDescent="0.15">
      <c r="A1697">
        <v>1697</v>
      </c>
      <c r="B1697" t="s">
        <v>1424</v>
      </c>
      <c r="C1697" t="s">
        <v>23</v>
      </c>
      <c r="D1697" s="72" t="s">
        <v>3189</v>
      </c>
      <c r="E1697" t="s">
        <v>36</v>
      </c>
      <c r="F1697" t="s">
        <v>3190</v>
      </c>
      <c r="G1697" s="92"/>
      <c r="H1697" s="92"/>
      <c r="I1697" s="92"/>
      <c r="J1697" s="92"/>
      <c r="K1697" s="92"/>
      <c r="L1697" s="9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9"/>
    </row>
    <row r="1698" spans="1:14" hidden="1" x14ac:dyDescent="0.15">
      <c r="A1698">
        <v>1698</v>
      </c>
      <c r="B1698" t="s">
        <v>1424</v>
      </c>
      <c r="C1698" t="s">
        <v>23</v>
      </c>
      <c r="D1698" s="72" t="s">
        <v>3191</v>
      </c>
      <c r="E1698" t="s">
        <v>36</v>
      </c>
      <c r="F1698" t="s">
        <v>3192</v>
      </c>
      <c r="G1698" s="92"/>
      <c r="H1698" s="92"/>
      <c r="I1698" s="92"/>
      <c r="J1698" s="92"/>
      <c r="K1698" s="92"/>
      <c r="L1698" s="9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9"/>
    </row>
    <row r="1699" spans="1:14" hidden="1" x14ac:dyDescent="0.15">
      <c r="A1699">
        <v>1699</v>
      </c>
      <c r="B1699" t="s">
        <v>1424</v>
      </c>
      <c r="C1699" t="s">
        <v>23</v>
      </c>
      <c r="D1699" s="72" t="s">
        <v>3193</v>
      </c>
      <c r="E1699" t="s">
        <v>36</v>
      </c>
      <c r="F1699" t="s">
        <v>3194</v>
      </c>
      <c r="G1699" s="92"/>
      <c r="H1699" s="92"/>
      <c r="I1699" s="92"/>
      <c r="J1699" s="92"/>
      <c r="K1699" s="92"/>
      <c r="L1699" s="9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9"/>
    </row>
    <row r="1700" spans="1:14" hidden="1" x14ac:dyDescent="0.15">
      <c r="A1700">
        <v>1700</v>
      </c>
      <c r="B1700" t="s">
        <v>1424</v>
      </c>
      <c r="C1700" t="s">
        <v>23</v>
      </c>
      <c r="D1700" s="72" t="s">
        <v>3195</v>
      </c>
      <c r="E1700" t="s">
        <v>36</v>
      </c>
      <c r="F1700" t="s">
        <v>3196</v>
      </c>
      <c r="G1700" s="92"/>
      <c r="H1700" s="92"/>
      <c r="I1700" s="92"/>
      <c r="J1700" s="92"/>
      <c r="K1700" s="92"/>
      <c r="L1700" s="9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9"/>
    </row>
    <row r="1701" spans="1:14" hidden="1" x14ac:dyDescent="0.15">
      <c r="A1701">
        <v>1701</v>
      </c>
      <c r="B1701" t="s">
        <v>1424</v>
      </c>
      <c r="C1701" t="s">
        <v>23</v>
      </c>
      <c r="D1701" s="72" t="s">
        <v>929</v>
      </c>
      <c r="E1701" t="s">
        <v>36</v>
      </c>
      <c r="F1701" t="s">
        <v>3197</v>
      </c>
      <c r="G1701" s="92"/>
      <c r="H1701" s="92"/>
      <c r="I1701" s="92"/>
      <c r="J1701" s="92"/>
      <c r="K1701" s="92"/>
      <c r="L1701" s="9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9"/>
    </row>
    <row r="1702" spans="1:14" hidden="1" x14ac:dyDescent="0.15">
      <c r="A1702">
        <v>1702</v>
      </c>
      <c r="B1702" t="s">
        <v>1424</v>
      </c>
      <c r="C1702" t="s">
        <v>23</v>
      </c>
      <c r="D1702" s="72" t="s">
        <v>1229</v>
      </c>
      <c r="E1702" t="s">
        <v>36</v>
      </c>
      <c r="F1702" t="s">
        <v>3198</v>
      </c>
      <c r="G1702" s="92"/>
      <c r="H1702" s="92"/>
      <c r="I1702" s="92"/>
      <c r="J1702" s="92"/>
      <c r="K1702" s="92"/>
      <c r="L1702" s="9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9"/>
    </row>
    <row r="1703" spans="1:14" hidden="1" x14ac:dyDescent="0.15">
      <c r="A1703">
        <v>1703</v>
      </c>
      <c r="B1703" t="s">
        <v>1424</v>
      </c>
      <c r="C1703" t="s">
        <v>23</v>
      </c>
      <c r="D1703" s="72" t="s">
        <v>3199</v>
      </c>
      <c r="E1703" t="s">
        <v>36</v>
      </c>
      <c r="F1703" t="s">
        <v>3200</v>
      </c>
      <c r="G1703" s="92"/>
      <c r="H1703" s="92"/>
      <c r="I1703" s="92"/>
      <c r="J1703" s="92"/>
      <c r="K1703" s="92"/>
      <c r="L1703" s="9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9"/>
    </row>
    <row r="1704" spans="1:14" hidden="1" x14ac:dyDescent="0.15">
      <c r="A1704">
        <v>1704</v>
      </c>
      <c r="B1704" t="s">
        <v>1424</v>
      </c>
      <c r="C1704" t="s">
        <v>23</v>
      </c>
      <c r="D1704" s="72" t="s">
        <v>3201</v>
      </c>
      <c r="E1704" t="s">
        <v>36</v>
      </c>
      <c r="F1704" t="s">
        <v>3202</v>
      </c>
      <c r="G1704" s="92"/>
      <c r="H1704" s="92"/>
      <c r="I1704" s="92"/>
      <c r="J1704" s="92"/>
      <c r="K1704" s="92"/>
      <c r="L1704" s="9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9"/>
    </row>
    <row r="1705" spans="1:14" hidden="1" x14ac:dyDescent="0.15">
      <c r="A1705">
        <v>1705</v>
      </c>
      <c r="B1705" t="s">
        <v>1424</v>
      </c>
      <c r="C1705" t="s">
        <v>23</v>
      </c>
      <c r="D1705" s="72" t="s">
        <v>3203</v>
      </c>
      <c r="E1705" t="s">
        <v>36</v>
      </c>
      <c r="F1705" t="s">
        <v>3204</v>
      </c>
      <c r="G1705" s="92"/>
      <c r="H1705" s="92"/>
      <c r="I1705" s="92"/>
      <c r="J1705" s="92"/>
      <c r="K1705" s="92"/>
      <c r="L1705" s="9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9"/>
    </row>
    <row r="1706" spans="1:14" hidden="1" x14ac:dyDescent="0.15">
      <c r="A1706">
        <v>1706</v>
      </c>
      <c r="B1706" t="s">
        <v>1424</v>
      </c>
      <c r="C1706" t="s">
        <v>23</v>
      </c>
      <c r="D1706" s="72" t="s">
        <v>1231</v>
      </c>
      <c r="E1706" t="s">
        <v>36</v>
      </c>
      <c r="F1706" t="s">
        <v>1232</v>
      </c>
      <c r="G1706" s="92"/>
      <c r="H1706" s="92"/>
      <c r="I1706" s="92"/>
      <c r="J1706" s="92"/>
      <c r="K1706" s="92"/>
      <c r="L1706" s="9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9"/>
    </row>
    <row r="1707" spans="1:14" hidden="1" x14ac:dyDescent="0.15">
      <c r="A1707">
        <v>1707</v>
      </c>
      <c r="B1707" t="s">
        <v>1424</v>
      </c>
      <c r="C1707" t="s">
        <v>23</v>
      </c>
      <c r="D1707" s="72" t="s">
        <v>3205</v>
      </c>
      <c r="E1707" t="s">
        <v>36</v>
      </c>
      <c r="F1707" t="s">
        <v>3206</v>
      </c>
      <c r="G1707" s="92"/>
      <c r="H1707" s="92"/>
      <c r="I1707" s="92"/>
      <c r="J1707" s="92"/>
      <c r="K1707" s="92"/>
      <c r="L1707" s="9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9"/>
    </row>
    <row r="1708" spans="1:14" hidden="1" x14ac:dyDescent="0.15">
      <c r="A1708">
        <v>1708</v>
      </c>
      <c r="B1708" t="s">
        <v>1424</v>
      </c>
      <c r="C1708" t="s">
        <v>23</v>
      </c>
      <c r="D1708" s="72" t="s">
        <v>3207</v>
      </c>
      <c r="E1708" t="s">
        <v>36</v>
      </c>
      <c r="F1708" t="s">
        <v>3208</v>
      </c>
      <c r="G1708" s="92"/>
      <c r="H1708" s="92"/>
      <c r="I1708" s="92"/>
      <c r="J1708" s="92"/>
      <c r="K1708" s="92"/>
      <c r="L1708" s="9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9"/>
    </row>
    <row r="1709" spans="1:14" hidden="1" x14ac:dyDescent="0.15">
      <c r="A1709">
        <v>1709</v>
      </c>
      <c r="B1709" t="s">
        <v>1424</v>
      </c>
      <c r="C1709" t="s">
        <v>23</v>
      </c>
      <c r="D1709" s="72" t="s">
        <v>3209</v>
      </c>
      <c r="E1709" t="s">
        <v>36</v>
      </c>
      <c r="F1709" t="s">
        <v>3210</v>
      </c>
      <c r="G1709" s="92"/>
      <c r="H1709" s="92"/>
      <c r="I1709" s="92"/>
      <c r="J1709" s="92"/>
      <c r="K1709" s="92"/>
      <c r="L1709" s="9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9"/>
    </row>
    <row r="1710" spans="1:14" hidden="1" x14ac:dyDescent="0.15">
      <c r="A1710">
        <v>1710</v>
      </c>
      <c r="B1710" t="s">
        <v>1424</v>
      </c>
      <c r="C1710" t="s">
        <v>23</v>
      </c>
      <c r="D1710" s="72" t="s">
        <v>3211</v>
      </c>
      <c r="E1710" t="s">
        <v>36</v>
      </c>
      <c r="F1710" t="s">
        <v>2341</v>
      </c>
      <c r="G1710" s="92"/>
      <c r="H1710" s="92"/>
      <c r="I1710" s="92"/>
      <c r="J1710" s="92"/>
      <c r="K1710" s="92"/>
      <c r="L1710" s="9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9"/>
    </row>
    <row r="1711" spans="1:14" hidden="1" x14ac:dyDescent="0.15">
      <c r="A1711">
        <v>1711</v>
      </c>
      <c r="B1711" t="s">
        <v>1424</v>
      </c>
      <c r="C1711" t="s">
        <v>23</v>
      </c>
      <c r="D1711" s="72" t="s">
        <v>3212</v>
      </c>
      <c r="E1711" t="s">
        <v>36</v>
      </c>
      <c r="F1711" t="s">
        <v>3213</v>
      </c>
      <c r="G1711" s="92"/>
      <c r="H1711" s="92"/>
      <c r="I1711" s="92"/>
      <c r="J1711" s="92"/>
      <c r="K1711" s="92"/>
      <c r="L1711" s="9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9"/>
    </row>
    <row r="1712" spans="1:14" hidden="1" x14ac:dyDescent="0.15">
      <c r="A1712">
        <v>1712</v>
      </c>
      <c r="B1712" t="s">
        <v>1424</v>
      </c>
      <c r="C1712" t="s">
        <v>23</v>
      </c>
      <c r="D1712" s="72" t="s">
        <v>3214</v>
      </c>
      <c r="E1712" t="s">
        <v>36</v>
      </c>
      <c r="F1712" t="s">
        <v>3215</v>
      </c>
      <c r="G1712" s="92"/>
      <c r="H1712" s="92"/>
      <c r="I1712" s="92"/>
      <c r="J1712" s="92"/>
      <c r="K1712" s="92"/>
      <c r="L1712" s="9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9"/>
    </row>
    <row r="1713" spans="1:14" hidden="1" x14ac:dyDescent="0.15">
      <c r="A1713">
        <v>1713</v>
      </c>
      <c r="B1713" t="s">
        <v>1424</v>
      </c>
      <c r="C1713" t="s">
        <v>23</v>
      </c>
      <c r="D1713" s="72" t="s">
        <v>3216</v>
      </c>
      <c r="E1713" t="s">
        <v>36</v>
      </c>
      <c r="F1713" t="s">
        <v>3217</v>
      </c>
      <c r="G1713" s="92"/>
      <c r="H1713" s="92"/>
      <c r="I1713" s="92"/>
      <c r="J1713" s="92"/>
      <c r="K1713" s="92"/>
      <c r="L1713" s="9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9"/>
    </row>
    <row r="1714" spans="1:14" hidden="1" x14ac:dyDescent="0.15">
      <c r="A1714">
        <v>1714</v>
      </c>
      <c r="B1714" t="s">
        <v>1424</v>
      </c>
      <c r="C1714" t="s">
        <v>23</v>
      </c>
      <c r="D1714" s="72" t="s">
        <v>1141</v>
      </c>
      <c r="E1714" t="s">
        <v>61</v>
      </c>
      <c r="F1714" t="s">
        <v>1142</v>
      </c>
      <c r="G1714" s="92"/>
      <c r="H1714" s="92"/>
      <c r="I1714" s="92"/>
      <c r="J1714" s="92"/>
      <c r="K1714" s="92"/>
      <c r="L1714" s="9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9"/>
    </row>
    <row r="1715" spans="1:14" hidden="1" x14ac:dyDescent="0.15">
      <c r="A1715">
        <v>1715</v>
      </c>
      <c r="B1715" t="s">
        <v>1424</v>
      </c>
      <c r="C1715" t="s">
        <v>23</v>
      </c>
      <c r="D1715" s="72" t="s">
        <v>1153</v>
      </c>
      <c r="E1715" t="s">
        <v>61</v>
      </c>
      <c r="F1715" t="s">
        <v>3218</v>
      </c>
      <c r="G1715" s="92"/>
      <c r="H1715" s="92"/>
      <c r="I1715" s="92"/>
      <c r="J1715" s="92"/>
      <c r="K1715" s="92"/>
      <c r="L1715" s="9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9"/>
    </row>
    <row r="1716" spans="1:14" hidden="1" x14ac:dyDescent="0.15">
      <c r="A1716">
        <v>1716</v>
      </c>
      <c r="B1716" t="s">
        <v>1424</v>
      </c>
      <c r="C1716" t="s">
        <v>24</v>
      </c>
      <c r="D1716" s="72" t="s">
        <v>3219</v>
      </c>
      <c r="E1716" t="s">
        <v>36</v>
      </c>
      <c r="F1716" t="s">
        <v>3220</v>
      </c>
      <c r="G1716" s="92"/>
      <c r="H1716" s="92"/>
      <c r="I1716" s="92"/>
      <c r="J1716" s="92"/>
      <c r="K1716" s="92"/>
      <c r="L1716" s="9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9"/>
    </row>
    <row r="1717" spans="1:14" hidden="1" x14ac:dyDescent="0.15">
      <c r="A1717">
        <v>1717</v>
      </c>
      <c r="B1717" t="s">
        <v>1424</v>
      </c>
      <c r="C1717" t="s">
        <v>24</v>
      </c>
      <c r="D1717" s="72" t="s">
        <v>3221</v>
      </c>
      <c r="E1717" t="s">
        <v>36</v>
      </c>
      <c r="F1717" t="s">
        <v>3222</v>
      </c>
      <c r="G1717" s="92"/>
      <c r="H1717" s="92"/>
      <c r="I1717" s="92"/>
      <c r="J1717" s="92"/>
      <c r="K1717" s="92"/>
      <c r="L1717" s="9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9"/>
    </row>
    <row r="1718" spans="1:14" hidden="1" x14ac:dyDescent="0.15">
      <c r="A1718">
        <v>1718</v>
      </c>
      <c r="B1718" t="s">
        <v>1424</v>
      </c>
      <c r="C1718" t="s">
        <v>24</v>
      </c>
      <c r="D1718" s="72" t="s">
        <v>3223</v>
      </c>
      <c r="E1718" t="s">
        <v>61</v>
      </c>
      <c r="F1718" t="s">
        <v>3224</v>
      </c>
      <c r="G1718" s="92"/>
      <c r="H1718" s="92"/>
      <c r="I1718" s="92"/>
      <c r="J1718" s="92"/>
      <c r="K1718" s="92"/>
      <c r="L1718" s="9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9"/>
    </row>
    <row r="1719" spans="1:14" hidden="1" x14ac:dyDescent="0.15">
      <c r="A1719">
        <v>1719</v>
      </c>
      <c r="B1719" t="s">
        <v>1424</v>
      </c>
      <c r="C1719" t="s">
        <v>24</v>
      </c>
      <c r="D1719" s="72" t="s">
        <v>3225</v>
      </c>
      <c r="E1719" t="s">
        <v>702</v>
      </c>
      <c r="F1719" t="s">
        <v>3226</v>
      </c>
      <c r="G1719" s="92"/>
      <c r="H1719" s="92"/>
      <c r="I1719" s="92"/>
      <c r="J1719" s="92"/>
      <c r="K1719" s="92"/>
      <c r="L1719" s="9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9"/>
    </row>
    <row r="1720" spans="1:14" hidden="1" x14ac:dyDescent="0.15">
      <c r="A1720">
        <v>1720</v>
      </c>
      <c r="B1720" t="s">
        <v>1424</v>
      </c>
      <c r="C1720" t="s">
        <v>24</v>
      </c>
      <c r="D1720" s="72" t="s">
        <v>3227</v>
      </c>
      <c r="E1720" t="s">
        <v>36</v>
      </c>
      <c r="F1720" t="s">
        <v>3228</v>
      </c>
      <c r="G1720" s="92"/>
      <c r="H1720" s="92"/>
      <c r="I1720" s="92"/>
      <c r="J1720" s="92"/>
      <c r="K1720" s="92"/>
      <c r="L1720" s="9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9"/>
    </row>
    <row r="1721" spans="1:14" hidden="1" x14ac:dyDescent="0.15">
      <c r="A1721">
        <v>1721</v>
      </c>
      <c r="B1721" t="s">
        <v>1424</v>
      </c>
      <c r="C1721" t="s">
        <v>24</v>
      </c>
      <c r="D1721" s="72" t="s">
        <v>3229</v>
      </c>
      <c r="E1721" t="s">
        <v>702</v>
      </c>
      <c r="F1721" t="s">
        <v>3230</v>
      </c>
      <c r="G1721" s="92"/>
      <c r="H1721" s="92"/>
      <c r="I1721" s="92"/>
      <c r="J1721" s="92"/>
      <c r="K1721" s="92"/>
      <c r="L1721" s="9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9"/>
    </row>
    <row r="1722" spans="1:14" hidden="1" x14ac:dyDescent="0.15">
      <c r="A1722">
        <v>1722</v>
      </c>
      <c r="B1722" t="s">
        <v>1424</v>
      </c>
      <c r="C1722" t="s">
        <v>24</v>
      </c>
      <c r="D1722" s="72" t="s">
        <v>3231</v>
      </c>
      <c r="E1722" t="s">
        <v>73</v>
      </c>
      <c r="F1722" t="s">
        <v>3232</v>
      </c>
      <c r="G1722" s="92"/>
      <c r="H1722" s="92"/>
      <c r="I1722" s="92"/>
      <c r="J1722" s="92"/>
      <c r="K1722" s="92"/>
      <c r="L1722" s="9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9"/>
    </row>
    <row r="1723" spans="1:14" hidden="1" x14ac:dyDescent="0.15">
      <c r="A1723">
        <v>1723</v>
      </c>
      <c r="B1723" t="s">
        <v>1424</v>
      </c>
      <c r="C1723" t="s">
        <v>24</v>
      </c>
      <c r="D1723" s="72" t="s">
        <v>3233</v>
      </c>
      <c r="E1723" t="s">
        <v>61</v>
      </c>
      <c r="F1723" t="s">
        <v>3234</v>
      </c>
      <c r="G1723" s="92"/>
      <c r="H1723" s="92"/>
      <c r="I1723" s="92"/>
      <c r="J1723" s="92"/>
      <c r="K1723" s="92"/>
      <c r="L1723" s="9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9"/>
    </row>
    <row r="1724" spans="1:14" hidden="1" x14ac:dyDescent="0.15">
      <c r="A1724">
        <v>1724</v>
      </c>
      <c r="B1724" t="s">
        <v>1424</v>
      </c>
      <c r="C1724" t="s">
        <v>24</v>
      </c>
      <c r="D1724" s="72" t="s">
        <v>3235</v>
      </c>
      <c r="E1724" t="s">
        <v>157</v>
      </c>
      <c r="F1724" t="s">
        <v>3236</v>
      </c>
      <c r="G1724" s="92"/>
      <c r="H1724" s="92"/>
      <c r="I1724" s="92"/>
      <c r="J1724" s="92"/>
      <c r="K1724" s="92"/>
      <c r="L1724" s="9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9"/>
    </row>
    <row r="1725" spans="1:14" hidden="1" x14ac:dyDescent="0.15">
      <c r="A1725">
        <v>1725</v>
      </c>
      <c r="B1725" t="s">
        <v>1424</v>
      </c>
      <c r="C1725" t="s">
        <v>24</v>
      </c>
      <c r="D1725" s="72" t="s">
        <v>3237</v>
      </c>
      <c r="E1725" t="s">
        <v>702</v>
      </c>
      <c r="F1725" t="s">
        <v>3238</v>
      </c>
      <c r="G1725" s="92"/>
      <c r="H1725" s="92"/>
      <c r="I1725" s="92"/>
      <c r="J1725" s="92"/>
      <c r="K1725" s="92"/>
      <c r="L1725" s="9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9"/>
    </row>
    <row r="1726" spans="1:14" hidden="1" x14ac:dyDescent="0.15">
      <c r="A1726">
        <v>1726</v>
      </c>
      <c r="B1726" t="s">
        <v>1424</v>
      </c>
      <c r="C1726" t="s">
        <v>24</v>
      </c>
      <c r="D1726" s="72" t="s">
        <v>3239</v>
      </c>
      <c r="E1726" t="s">
        <v>1019</v>
      </c>
      <c r="F1726" t="s">
        <v>3240</v>
      </c>
      <c r="G1726" s="92"/>
      <c r="H1726" s="92"/>
      <c r="I1726" s="92"/>
      <c r="J1726" s="92"/>
      <c r="K1726" s="92"/>
      <c r="L1726" s="9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9"/>
    </row>
    <row r="1727" spans="1:14" hidden="1" x14ac:dyDescent="0.15">
      <c r="A1727">
        <v>1727</v>
      </c>
      <c r="B1727" t="s">
        <v>1424</v>
      </c>
      <c r="C1727" t="s">
        <v>24</v>
      </c>
      <c r="D1727" s="72" t="s">
        <v>3241</v>
      </c>
      <c r="E1727" t="s">
        <v>36</v>
      </c>
      <c r="F1727" t="s">
        <v>3242</v>
      </c>
      <c r="G1727" s="92"/>
      <c r="H1727" s="92"/>
      <c r="I1727" s="92"/>
      <c r="J1727" s="92"/>
      <c r="K1727" s="92"/>
      <c r="L1727" s="9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9"/>
    </row>
    <row r="1728" spans="1:14" hidden="1" x14ac:dyDescent="0.15">
      <c r="A1728">
        <v>1728</v>
      </c>
      <c r="B1728" t="s">
        <v>1424</v>
      </c>
      <c r="C1728" t="s">
        <v>24</v>
      </c>
      <c r="D1728" s="72" t="s">
        <v>3243</v>
      </c>
      <c r="E1728" t="s">
        <v>736</v>
      </c>
      <c r="F1728" t="s">
        <v>3244</v>
      </c>
      <c r="G1728" s="92"/>
      <c r="H1728" s="92"/>
      <c r="I1728" s="92"/>
      <c r="J1728" s="92"/>
      <c r="K1728" s="92"/>
      <c r="L1728" s="9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9"/>
    </row>
    <row r="1729" spans="1:14" hidden="1" x14ac:dyDescent="0.15">
      <c r="A1729">
        <v>1729</v>
      </c>
      <c r="B1729" t="s">
        <v>1424</v>
      </c>
      <c r="C1729" t="s">
        <v>24</v>
      </c>
      <c r="D1729" s="72" t="s">
        <v>3245</v>
      </c>
      <c r="E1729" t="s">
        <v>36</v>
      </c>
      <c r="F1729" t="s">
        <v>3246</v>
      </c>
      <c r="G1729" s="92"/>
      <c r="H1729" s="92"/>
      <c r="I1729" s="92"/>
      <c r="J1729" s="92"/>
      <c r="K1729" s="92"/>
      <c r="L1729" s="9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9"/>
    </row>
    <row r="1730" spans="1:14" hidden="1" x14ac:dyDescent="0.15">
      <c r="A1730">
        <v>1730</v>
      </c>
      <c r="B1730" t="s">
        <v>1424</v>
      </c>
      <c r="C1730" t="s">
        <v>24</v>
      </c>
      <c r="D1730" s="72" t="s">
        <v>3247</v>
      </c>
      <c r="E1730" t="s">
        <v>61</v>
      </c>
      <c r="F1730" t="s">
        <v>3248</v>
      </c>
      <c r="G1730" s="92"/>
      <c r="H1730" s="92"/>
      <c r="I1730" s="92"/>
      <c r="J1730" s="92"/>
      <c r="K1730" s="92"/>
      <c r="L1730" s="9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9"/>
    </row>
    <row r="1731" spans="1:14" hidden="1" x14ac:dyDescent="0.15">
      <c r="A1731">
        <v>1731</v>
      </c>
      <c r="B1731" t="s">
        <v>1424</v>
      </c>
      <c r="C1731" t="s">
        <v>24</v>
      </c>
      <c r="D1731" s="72" t="s">
        <v>346</v>
      </c>
      <c r="E1731" t="s">
        <v>36</v>
      </c>
      <c r="F1731" t="s">
        <v>347</v>
      </c>
      <c r="G1731" s="92"/>
      <c r="H1731" s="92"/>
      <c r="I1731" s="92"/>
      <c r="J1731" s="92"/>
      <c r="K1731" s="92"/>
      <c r="L1731" s="9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9"/>
    </row>
    <row r="1732" spans="1:14" hidden="1" x14ac:dyDescent="0.15">
      <c r="A1732">
        <v>1732</v>
      </c>
      <c r="B1732" t="s">
        <v>1424</v>
      </c>
      <c r="C1732" t="s">
        <v>24</v>
      </c>
      <c r="D1732" s="72" t="s">
        <v>3249</v>
      </c>
      <c r="E1732" t="s">
        <v>36</v>
      </c>
      <c r="F1732" t="s">
        <v>3250</v>
      </c>
      <c r="G1732" s="92"/>
      <c r="H1732" s="92"/>
      <c r="I1732" s="92"/>
      <c r="J1732" s="92"/>
      <c r="K1732" s="92"/>
      <c r="L1732" s="9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9"/>
    </row>
    <row r="1733" spans="1:14" hidden="1" x14ac:dyDescent="0.15">
      <c r="A1733">
        <v>1733</v>
      </c>
      <c r="B1733" t="s">
        <v>1424</v>
      </c>
      <c r="C1733" t="s">
        <v>24</v>
      </c>
      <c r="D1733" s="72" t="s">
        <v>3251</v>
      </c>
      <c r="E1733" t="s">
        <v>702</v>
      </c>
      <c r="F1733" t="s">
        <v>3252</v>
      </c>
      <c r="G1733" s="92"/>
      <c r="H1733" s="92"/>
      <c r="I1733" s="92"/>
      <c r="J1733" s="92"/>
      <c r="K1733" s="92"/>
      <c r="L1733" s="9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9"/>
    </row>
    <row r="1734" spans="1:14" hidden="1" x14ac:dyDescent="0.15">
      <c r="A1734">
        <v>1734</v>
      </c>
      <c r="B1734" t="s">
        <v>1424</v>
      </c>
      <c r="C1734" t="s">
        <v>24</v>
      </c>
      <c r="D1734" s="72" t="s">
        <v>3253</v>
      </c>
      <c r="E1734" t="s">
        <v>736</v>
      </c>
      <c r="F1734" t="s">
        <v>3254</v>
      </c>
      <c r="G1734" s="92"/>
      <c r="H1734" s="92"/>
      <c r="I1734" s="92"/>
      <c r="J1734" s="92"/>
      <c r="K1734" s="92"/>
      <c r="L1734" s="9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9"/>
    </row>
    <row r="1735" spans="1:14" hidden="1" x14ac:dyDescent="0.15">
      <c r="A1735">
        <v>1735</v>
      </c>
      <c r="B1735" t="s">
        <v>1424</v>
      </c>
      <c r="C1735" t="s">
        <v>24</v>
      </c>
      <c r="D1735" s="72" t="s">
        <v>3255</v>
      </c>
      <c r="E1735" t="s">
        <v>157</v>
      </c>
      <c r="F1735" t="s">
        <v>3256</v>
      </c>
      <c r="G1735" s="92"/>
      <c r="H1735" s="92"/>
      <c r="I1735" s="92"/>
      <c r="J1735" s="92"/>
      <c r="K1735" s="92"/>
      <c r="L1735" s="9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9"/>
    </row>
    <row r="1736" spans="1:14" hidden="1" x14ac:dyDescent="0.15">
      <c r="A1736">
        <v>1736</v>
      </c>
      <c r="B1736" t="s">
        <v>1424</v>
      </c>
      <c r="C1736" t="s">
        <v>24</v>
      </c>
      <c r="D1736" s="72" t="s">
        <v>3257</v>
      </c>
      <c r="E1736" t="s">
        <v>36</v>
      </c>
      <c r="F1736" t="s">
        <v>3258</v>
      </c>
      <c r="G1736" s="92"/>
      <c r="H1736" s="92"/>
      <c r="I1736" s="92"/>
      <c r="J1736" s="92"/>
      <c r="K1736" s="92"/>
      <c r="L1736" s="9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9"/>
    </row>
    <row r="1737" spans="1:14" hidden="1" x14ac:dyDescent="0.15">
      <c r="A1737">
        <v>1737</v>
      </c>
      <c r="B1737" t="s">
        <v>1424</v>
      </c>
      <c r="C1737" t="s">
        <v>24</v>
      </c>
      <c r="D1737" s="72" t="s">
        <v>3259</v>
      </c>
      <c r="E1737" t="s">
        <v>702</v>
      </c>
      <c r="F1737" t="s">
        <v>3260</v>
      </c>
      <c r="G1737" s="92"/>
      <c r="H1737" s="92"/>
      <c r="I1737" s="92"/>
      <c r="J1737" s="92"/>
      <c r="K1737" s="92"/>
      <c r="L1737" s="9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9"/>
    </row>
    <row r="1738" spans="1:14" hidden="1" x14ac:dyDescent="0.15">
      <c r="A1738">
        <v>1738</v>
      </c>
      <c r="B1738" t="s">
        <v>1424</v>
      </c>
      <c r="C1738" t="s">
        <v>24</v>
      </c>
      <c r="D1738" s="72" t="s">
        <v>3261</v>
      </c>
      <c r="E1738" t="s">
        <v>36</v>
      </c>
      <c r="F1738" t="s">
        <v>3262</v>
      </c>
      <c r="G1738" s="92"/>
      <c r="H1738" s="92"/>
      <c r="I1738" s="92"/>
      <c r="J1738" s="92"/>
      <c r="K1738" s="92"/>
      <c r="L1738" s="9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9"/>
    </row>
    <row r="1739" spans="1:14" hidden="1" x14ac:dyDescent="0.15">
      <c r="A1739">
        <v>1739</v>
      </c>
      <c r="B1739" t="s">
        <v>1424</v>
      </c>
      <c r="C1739" t="s">
        <v>24</v>
      </c>
      <c r="D1739" s="72" t="s">
        <v>3263</v>
      </c>
      <c r="E1739" t="s">
        <v>36</v>
      </c>
      <c r="F1739" t="s">
        <v>3264</v>
      </c>
      <c r="G1739" s="92"/>
      <c r="H1739" s="92"/>
      <c r="I1739" s="92"/>
      <c r="J1739" s="92"/>
      <c r="K1739" s="92"/>
      <c r="L1739" s="9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9"/>
    </row>
    <row r="1740" spans="1:14" hidden="1" x14ac:dyDescent="0.15">
      <c r="A1740">
        <v>1740</v>
      </c>
      <c r="B1740" t="s">
        <v>1424</v>
      </c>
      <c r="C1740" t="s">
        <v>24</v>
      </c>
      <c r="D1740" s="72" t="s">
        <v>3265</v>
      </c>
      <c r="E1740" t="s">
        <v>61</v>
      </c>
      <c r="F1740" t="s">
        <v>3266</v>
      </c>
      <c r="G1740" s="92"/>
      <c r="H1740" s="92"/>
      <c r="I1740" s="92"/>
      <c r="J1740" s="92"/>
      <c r="K1740" s="92"/>
      <c r="L1740" s="9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9"/>
    </row>
    <row r="1741" spans="1:14" hidden="1" x14ac:dyDescent="0.15">
      <c r="A1741">
        <v>1741</v>
      </c>
      <c r="B1741" t="s">
        <v>1424</v>
      </c>
      <c r="C1741" t="s">
        <v>24</v>
      </c>
      <c r="D1741" s="72" t="s">
        <v>3267</v>
      </c>
      <c r="E1741" t="s">
        <v>73</v>
      </c>
      <c r="F1741" t="s">
        <v>3268</v>
      </c>
      <c r="G1741" s="92"/>
      <c r="H1741" s="92"/>
      <c r="I1741" s="92"/>
      <c r="J1741" s="92"/>
      <c r="K1741" s="92"/>
      <c r="L1741" s="9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9"/>
    </row>
    <row r="1742" spans="1:14" hidden="1" x14ac:dyDescent="0.15">
      <c r="A1742">
        <v>1742</v>
      </c>
      <c r="B1742" t="s">
        <v>1424</v>
      </c>
      <c r="C1742" t="s">
        <v>24</v>
      </c>
      <c r="D1742" s="72" t="s">
        <v>3269</v>
      </c>
      <c r="E1742" t="s">
        <v>36</v>
      </c>
      <c r="F1742" t="s">
        <v>3270</v>
      </c>
      <c r="G1742" s="92"/>
      <c r="H1742" s="92"/>
      <c r="I1742" s="92"/>
      <c r="J1742" s="92"/>
      <c r="K1742" s="92"/>
      <c r="L1742" s="9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9"/>
    </row>
    <row r="1743" spans="1:14" hidden="1" x14ac:dyDescent="0.15">
      <c r="A1743">
        <v>1743</v>
      </c>
      <c r="B1743" t="s">
        <v>1424</v>
      </c>
      <c r="C1743" t="s">
        <v>24</v>
      </c>
      <c r="D1743" s="72" t="s">
        <v>3271</v>
      </c>
      <c r="E1743" t="s">
        <v>36</v>
      </c>
      <c r="F1743" t="s">
        <v>3272</v>
      </c>
      <c r="G1743" s="92"/>
      <c r="H1743" s="92"/>
      <c r="I1743" s="92"/>
      <c r="J1743" s="92"/>
      <c r="K1743" s="92"/>
      <c r="L1743" s="9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9"/>
    </row>
    <row r="1744" spans="1:14" hidden="1" x14ac:dyDescent="0.15">
      <c r="A1744">
        <v>1744</v>
      </c>
      <c r="B1744" t="s">
        <v>1424</v>
      </c>
      <c r="C1744" t="s">
        <v>24</v>
      </c>
      <c r="D1744" s="72" t="s">
        <v>3273</v>
      </c>
      <c r="E1744" t="s">
        <v>61</v>
      </c>
      <c r="F1744" t="s">
        <v>3274</v>
      </c>
      <c r="G1744" s="92"/>
      <c r="H1744" s="92"/>
      <c r="I1744" s="92"/>
      <c r="J1744" s="92"/>
      <c r="K1744" s="92"/>
      <c r="L1744" s="9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9"/>
    </row>
    <row r="1745" spans="1:14" hidden="1" x14ac:dyDescent="0.15">
      <c r="A1745">
        <v>1745</v>
      </c>
      <c r="B1745" t="s">
        <v>1424</v>
      </c>
      <c r="C1745" t="s">
        <v>24</v>
      </c>
      <c r="D1745" s="72" t="s">
        <v>3275</v>
      </c>
      <c r="E1745" t="s">
        <v>36</v>
      </c>
      <c r="F1745" t="s">
        <v>3276</v>
      </c>
      <c r="G1745" s="92"/>
      <c r="H1745" s="92"/>
      <c r="I1745" s="92"/>
      <c r="J1745" s="92"/>
      <c r="K1745" s="92"/>
      <c r="L1745" s="9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9"/>
    </row>
    <row r="1746" spans="1:14" hidden="1" x14ac:dyDescent="0.15">
      <c r="A1746">
        <v>1746</v>
      </c>
      <c r="B1746" t="s">
        <v>1424</v>
      </c>
      <c r="C1746" t="s">
        <v>24</v>
      </c>
      <c r="D1746" s="72" t="s">
        <v>535</v>
      </c>
      <c r="E1746" t="s">
        <v>1019</v>
      </c>
      <c r="F1746" t="s">
        <v>536</v>
      </c>
      <c r="G1746" s="92"/>
      <c r="H1746" s="92"/>
      <c r="I1746" s="92"/>
      <c r="J1746" s="92"/>
      <c r="K1746" s="92"/>
      <c r="L1746" s="9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9"/>
    </row>
    <row r="1747" spans="1:14" hidden="1" x14ac:dyDescent="0.15">
      <c r="A1747">
        <v>1747</v>
      </c>
      <c r="B1747" t="s">
        <v>1424</v>
      </c>
      <c r="C1747" t="s">
        <v>24</v>
      </c>
      <c r="D1747" s="72" t="s">
        <v>3277</v>
      </c>
      <c r="E1747" t="s">
        <v>702</v>
      </c>
      <c r="F1747" t="s">
        <v>3278</v>
      </c>
      <c r="G1747" s="92"/>
      <c r="H1747" s="92"/>
      <c r="I1747" s="92"/>
      <c r="J1747" s="92"/>
      <c r="K1747" s="92"/>
      <c r="L1747" s="9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9"/>
    </row>
    <row r="1748" spans="1:14" hidden="1" x14ac:dyDescent="0.15">
      <c r="A1748">
        <v>1748</v>
      </c>
      <c r="B1748" t="s">
        <v>1424</v>
      </c>
      <c r="C1748" t="s">
        <v>24</v>
      </c>
      <c r="D1748" s="72" t="s">
        <v>3279</v>
      </c>
      <c r="E1748" t="s">
        <v>36</v>
      </c>
      <c r="F1748" t="s">
        <v>3280</v>
      </c>
      <c r="G1748" s="92"/>
      <c r="H1748" s="92"/>
      <c r="I1748" s="92"/>
      <c r="J1748" s="92"/>
      <c r="K1748" s="92"/>
      <c r="L1748" s="9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9"/>
    </row>
    <row r="1749" spans="1:14" hidden="1" x14ac:dyDescent="0.15">
      <c r="A1749">
        <v>1749</v>
      </c>
      <c r="B1749" t="s">
        <v>1424</v>
      </c>
      <c r="C1749" t="s">
        <v>24</v>
      </c>
      <c r="D1749" s="72" t="s">
        <v>3281</v>
      </c>
      <c r="E1749" t="s">
        <v>36</v>
      </c>
      <c r="F1749" t="s">
        <v>3282</v>
      </c>
      <c r="G1749" s="92"/>
      <c r="H1749" s="92"/>
      <c r="I1749" s="92"/>
      <c r="J1749" s="92"/>
      <c r="K1749" s="92"/>
      <c r="L1749" s="9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9"/>
    </row>
    <row r="1750" spans="1:14" hidden="1" x14ac:dyDescent="0.15">
      <c r="A1750">
        <v>1750</v>
      </c>
      <c r="B1750" t="s">
        <v>35</v>
      </c>
      <c r="C1750" t="s">
        <v>7</v>
      </c>
      <c r="D1750" s="78" t="s">
        <v>624</v>
      </c>
      <c r="E1750" t="s">
        <v>61</v>
      </c>
      <c r="F1750" t="s">
        <v>3306</v>
      </c>
      <c r="G1750" s="92">
        <v>42632.819398148145</v>
      </c>
      <c r="H1750" s="92">
        <v>42632.822002314817</v>
      </c>
      <c r="I1750" s="92">
        <v>42632.822002314817</v>
      </c>
      <c r="J1750" s="92"/>
      <c r="K1750" s="92">
        <v>42651.787349537037</v>
      </c>
      <c r="L1750" s="92">
        <f>IF(AND(单词表[[#This Row],[学英]]&lt;&gt;"",单词表[[#This Row],[学中]]&lt;&gt;"",单词表[[#This Row],[学词]]&lt;&gt;""),MAX(单词表[[#This Row],[学英]:[学词]]),"")</f>
        <v>42632.822002314817</v>
      </c>
      <c r="M1750" s="2" t="str">
        <f>IF(AND(单词表[[#This Row],[考英]]&lt;&gt;"",单词表[[#This Row],[考中]]&lt;&gt;""),MAX(单词表[[#This Row],[考英]:[考中]]),"")</f>
        <v/>
      </c>
      <c r="N1750" s="79"/>
    </row>
    <row r="1751" spans="1:14" hidden="1" x14ac:dyDescent="0.15">
      <c r="A1751">
        <v>1751</v>
      </c>
      <c r="B1751" t="s">
        <v>35</v>
      </c>
      <c r="C1751" t="s">
        <v>7</v>
      </c>
      <c r="D1751" s="72" t="s">
        <v>3307</v>
      </c>
      <c r="E1751" t="s">
        <v>36</v>
      </c>
      <c r="F1751" t="s">
        <v>3308</v>
      </c>
      <c r="G1751" s="92">
        <v>42632.819432870368</v>
      </c>
      <c r="H1751" s="92">
        <v>42632.819444444445</v>
      </c>
      <c r="I1751" s="92">
        <v>42632.819444444445</v>
      </c>
      <c r="J1751" s="92"/>
      <c r="K1751" s="92">
        <v>42651.787395833337</v>
      </c>
      <c r="L1751" s="92">
        <f>IF(AND(单词表[[#This Row],[学英]]&lt;&gt;"",单词表[[#This Row],[学中]]&lt;&gt;"",单词表[[#This Row],[学词]]&lt;&gt;""),MAX(单词表[[#This Row],[学英]:[学词]]),"")</f>
        <v>42632.819444444445</v>
      </c>
      <c r="M1751" s="2" t="str">
        <f>IF(AND(单词表[[#This Row],[考英]]&lt;&gt;"",单词表[[#This Row],[考中]]&lt;&gt;""),MAX(单词表[[#This Row],[考英]:[考中]]),"")</f>
        <v/>
      </c>
      <c r="N1751" s="79"/>
    </row>
    <row r="1752" spans="1:14" hidden="1" x14ac:dyDescent="0.15">
      <c r="A1752">
        <v>1752</v>
      </c>
      <c r="B1752" t="s">
        <v>35</v>
      </c>
      <c r="C1752" t="s">
        <v>7</v>
      </c>
      <c r="D1752" s="72" t="s">
        <v>2324</v>
      </c>
      <c r="E1752" t="s">
        <v>36</v>
      </c>
      <c r="F1752" t="s">
        <v>2325</v>
      </c>
      <c r="G1752" s="92">
        <v>42632.819467592592</v>
      </c>
      <c r="H1752" s="92">
        <v>42632.819490740738</v>
      </c>
      <c r="I1752" s="92">
        <v>42632.819479166668</v>
      </c>
      <c r="J1752" s="92"/>
      <c r="K1752" s="92">
        <v>42651.787430555552</v>
      </c>
      <c r="L1752" s="92">
        <f>IF(AND(单词表[[#This Row],[学英]]&lt;&gt;"",单词表[[#This Row],[学中]]&lt;&gt;"",单词表[[#This Row],[学词]]&lt;&gt;""),MAX(单词表[[#This Row],[学英]:[学词]]),"")</f>
        <v>42632.819490740738</v>
      </c>
      <c r="M1752" s="2" t="str">
        <f>IF(AND(单词表[[#This Row],[考英]]&lt;&gt;"",单词表[[#This Row],[考中]]&lt;&gt;""),MAX(单词表[[#This Row],[考英]:[考中]]),"")</f>
        <v/>
      </c>
      <c r="N1752" s="79"/>
    </row>
    <row r="1753" spans="1:14" hidden="1" x14ac:dyDescent="0.15">
      <c r="A1753">
        <v>1753</v>
      </c>
      <c r="B1753" t="s">
        <v>35</v>
      </c>
      <c r="C1753" t="s">
        <v>7</v>
      </c>
      <c r="D1753" s="72" t="s">
        <v>3309</v>
      </c>
      <c r="E1753" t="s">
        <v>36</v>
      </c>
      <c r="F1753" t="s">
        <v>3310</v>
      </c>
      <c r="G1753" s="92">
        <v>42632.819502314815</v>
      </c>
      <c r="H1753" s="92">
        <v>42632.819513888891</v>
      </c>
      <c r="I1753" s="92">
        <v>42632.819513888891</v>
      </c>
      <c r="J1753" s="92"/>
      <c r="K1753" s="92">
        <v>42651.787488425929</v>
      </c>
      <c r="L1753" s="92">
        <f>IF(AND(单词表[[#This Row],[学英]]&lt;&gt;"",单词表[[#This Row],[学中]]&lt;&gt;"",单词表[[#This Row],[学词]]&lt;&gt;""),MAX(单词表[[#This Row],[学英]:[学词]]),"")</f>
        <v>42632.819513888891</v>
      </c>
      <c r="M1753" s="2" t="str">
        <f>IF(AND(单词表[[#This Row],[考英]]&lt;&gt;"",单词表[[#This Row],[考中]]&lt;&gt;""),MAX(单词表[[#This Row],[考英]:[考中]]),"")</f>
        <v/>
      </c>
      <c r="N1753" s="79"/>
    </row>
    <row r="1754" spans="1:14" hidden="1" x14ac:dyDescent="0.15">
      <c r="A1754">
        <v>1754</v>
      </c>
      <c r="B1754" t="s">
        <v>35</v>
      </c>
      <c r="C1754" t="s">
        <v>7</v>
      </c>
      <c r="D1754" s="72" t="s">
        <v>3311</v>
      </c>
      <c r="E1754" t="s">
        <v>36</v>
      </c>
      <c r="F1754" t="s">
        <v>2917</v>
      </c>
      <c r="G1754" s="92">
        <v>42632.819537037038</v>
      </c>
      <c r="H1754" s="92">
        <v>42632.819548611114</v>
      </c>
      <c r="I1754" s="92">
        <v>42632.819548611114</v>
      </c>
      <c r="J1754" s="92"/>
      <c r="K1754" s="92">
        <v>42651.787534722222</v>
      </c>
      <c r="L1754" s="92">
        <f>IF(AND(单词表[[#This Row],[学英]]&lt;&gt;"",单词表[[#This Row],[学中]]&lt;&gt;"",单词表[[#This Row],[学词]]&lt;&gt;""),MAX(单词表[[#This Row],[学英]:[学词]]),"")</f>
        <v>42632.819548611114</v>
      </c>
      <c r="M1754" s="2" t="str">
        <f>IF(AND(单词表[[#This Row],[考英]]&lt;&gt;"",单词表[[#This Row],[考中]]&lt;&gt;""),MAX(单词表[[#This Row],[考英]:[考中]]),"")</f>
        <v/>
      </c>
      <c r="N1754" s="79"/>
    </row>
    <row r="1755" spans="1:14" hidden="1" x14ac:dyDescent="0.15">
      <c r="A1755">
        <v>1755</v>
      </c>
      <c r="B1755" t="s">
        <v>35</v>
      </c>
      <c r="C1755" t="s">
        <v>7</v>
      </c>
      <c r="D1755" s="72" t="s">
        <v>1348</v>
      </c>
      <c r="E1755" t="s">
        <v>36</v>
      </c>
      <c r="F1755" t="s">
        <v>3312</v>
      </c>
      <c r="G1755" s="92">
        <v>42632.819571759261</v>
      </c>
      <c r="H1755" s="92">
        <v>42632.81958333333</v>
      </c>
      <c r="I1755" s="92">
        <v>42632.819571759261</v>
      </c>
      <c r="J1755" s="92"/>
      <c r="K1755" s="92">
        <v>42651.787557870368</v>
      </c>
      <c r="L1755" s="92">
        <f>IF(AND(单词表[[#This Row],[学英]]&lt;&gt;"",单词表[[#This Row],[学中]]&lt;&gt;"",单词表[[#This Row],[学词]]&lt;&gt;""),MAX(单词表[[#This Row],[学英]:[学词]]),"")</f>
        <v>42632.81958333333</v>
      </c>
      <c r="M1755" s="2" t="str">
        <f>IF(AND(单词表[[#This Row],[考英]]&lt;&gt;"",单词表[[#This Row],[考中]]&lt;&gt;""),MAX(单词表[[#This Row],[考英]:[考中]]),"")</f>
        <v/>
      </c>
      <c r="N1755" s="79"/>
    </row>
    <row r="1756" spans="1:14" hidden="1" x14ac:dyDescent="0.15">
      <c r="A1756">
        <v>1756</v>
      </c>
      <c r="B1756" t="s">
        <v>35</v>
      </c>
      <c r="C1756" t="s">
        <v>7</v>
      </c>
      <c r="D1756" s="72" t="s">
        <v>3313</v>
      </c>
      <c r="E1756" t="s">
        <v>36</v>
      </c>
      <c r="F1756" t="s">
        <v>3314</v>
      </c>
      <c r="G1756" s="92">
        <v>42632.819606481484</v>
      </c>
      <c r="H1756" s="92">
        <v>42632.819618055553</v>
      </c>
      <c r="I1756" s="92">
        <v>42632.819606481484</v>
      </c>
      <c r="J1756" s="92"/>
      <c r="K1756" s="92">
        <v>42651.787592592591</v>
      </c>
      <c r="L1756" s="92">
        <f>IF(AND(单词表[[#This Row],[学英]]&lt;&gt;"",单词表[[#This Row],[学中]]&lt;&gt;"",单词表[[#This Row],[学词]]&lt;&gt;""),MAX(单词表[[#This Row],[学英]:[学词]]),"")</f>
        <v>42632.819618055553</v>
      </c>
      <c r="M1756" s="2" t="str">
        <f>IF(AND(单词表[[#This Row],[考英]]&lt;&gt;"",单词表[[#This Row],[考中]]&lt;&gt;""),MAX(单词表[[#This Row],[考英]:[考中]]),"")</f>
        <v/>
      </c>
      <c r="N1756" s="79"/>
    </row>
    <row r="1757" spans="1:14" hidden="1" x14ac:dyDescent="0.15">
      <c r="A1757">
        <v>1757</v>
      </c>
      <c r="B1757" t="s">
        <v>35</v>
      </c>
      <c r="C1757" t="s">
        <v>7</v>
      </c>
      <c r="D1757" s="72" t="s">
        <v>3315</v>
      </c>
      <c r="E1757" t="s">
        <v>61</v>
      </c>
      <c r="F1757" t="s">
        <v>3316</v>
      </c>
      <c r="G1757" s="92">
        <v>42632.81962962963</v>
      </c>
      <c r="H1757" s="92">
        <v>42632.824212962965</v>
      </c>
      <c r="I1757" s="92">
        <v>42632.824201388888</v>
      </c>
      <c r="J1757" s="92"/>
      <c r="K1757" s="92">
        <v>42651.78765046296</v>
      </c>
      <c r="L1757" s="92">
        <f>IF(AND(单词表[[#This Row],[学英]]&lt;&gt;"",单词表[[#This Row],[学中]]&lt;&gt;"",单词表[[#This Row],[学词]]&lt;&gt;""),MAX(单词表[[#This Row],[学英]:[学词]]),"")</f>
        <v>42632.824212962965</v>
      </c>
      <c r="M1757" s="2" t="str">
        <f>IF(AND(单词表[[#This Row],[考英]]&lt;&gt;"",单词表[[#This Row],[考中]]&lt;&gt;""),MAX(单词表[[#This Row],[考英]:[考中]]),"")</f>
        <v/>
      </c>
      <c r="N1757" s="79"/>
    </row>
    <row r="1758" spans="1:14" hidden="1" x14ac:dyDescent="0.15">
      <c r="A1758">
        <v>1758</v>
      </c>
      <c r="B1758" t="s">
        <v>35</v>
      </c>
      <c r="C1758" t="s">
        <v>7</v>
      </c>
      <c r="D1758" s="72" t="s">
        <v>3317</v>
      </c>
      <c r="E1758" t="s">
        <v>36</v>
      </c>
      <c r="F1758" t="s">
        <v>3318</v>
      </c>
      <c r="G1758" s="92">
        <v>42632.819675925923</v>
      </c>
      <c r="H1758" s="92">
        <v>42651.791747685187</v>
      </c>
      <c r="I1758" s="92">
        <v>42651.791747685187</v>
      </c>
      <c r="J1758" s="92"/>
      <c r="K1758" s="92">
        <v>42651.792905092596</v>
      </c>
      <c r="L1758" s="92">
        <f>IF(AND(单词表[[#This Row],[学英]]&lt;&gt;"",单词表[[#This Row],[学中]]&lt;&gt;"",单词表[[#This Row],[学词]]&lt;&gt;""),MAX(单词表[[#This Row],[学英]:[学词]]),"")</f>
        <v>42651.791747685187</v>
      </c>
      <c r="M1758" s="2" t="str">
        <f>IF(AND(单词表[[#This Row],[考英]]&lt;&gt;"",单词表[[#This Row],[考中]]&lt;&gt;""),MAX(单词表[[#This Row],[考英]:[考中]]),"")</f>
        <v/>
      </c>
      <c r="N1758" s="79"/>
    </row>
    <row r="1759" spans="1:14" hidden="1" x14ac:dyDescent="0.15">
      <c r="A1759">
        <v>1759</v>
      </c>
      <c r="B1759" t="s">
        <v>35</v>
      </c>
      <c r="C1759" t="s">
        <v>7</v>
      </c>
      <c r="D1759" s="72" t="s">
        <v>3319</v>
      </c>
      <c r="E1759" t="s">
        <v>702</v>
      </c>
      <c r="F1759" t="s">
        <v>3320</v>
      </c>
      <c r="G1759" s="92">
        <v>42632.819918981484</v>
      </c>
      <c r="H1759" s="92">
        <v>42651.792129629626</v>
      </c>
      <c r="I1759" s="92">
        <v>42651.792129629626</v>
      </c>
      <c r="J1759" s="92"/>
      <c r="K1759" s="92">
        <v>42651.792939814812</v>
      </c>
      <c r="L1759" s="92">
        <f>IF(AND(单词表[[#This Row],[学英]]&lt;&gt;"",单词表[[#This Row],[学中]]&lt;&gt;"",单词表[[#This Row],[学词]]&lt;&gt;""),MAX(单词表[[#This Row],[学英]:[学词]]),"")</f>
        <v>42651.792129629626</v>
      </c>
      <c r="M1759" s="2" t="str">
        <f>IF(AND(单词表[[#This Row],[考英]]&lt;&gt;"",单词表[[#This Row],[考中]]&lt;&gt;""),MAX(单词表[[#This Row],[考英]:[考中]]),"")</f>
        <v/>
      </c>
      <c r="N1759" s="79"/>
    </row>
    <row r="1760" spans="1:14" hidden="1" x14ac:dyDescent="0.15">
      <c r="A1760">
        <v>1760</v>
      </c>
      <c r="B1760" t="s">
        <v>35</v>
      </c>
      <c r="C1760" t="s">
        <v>7</v>
      </c>
      <c r="D1760" s="72" t="s">
        <v>1496</v>
      </c>
      <c r="E1760" t="s">
        <v>36</v>
      </c>
      <c r="F1760" t="s">
        <v>1497</v>
      </c>
      <c r="G1760" s="92">
        <v>42632.819953703707</v>
      </c>
      <c r="H1760" s="92">
        <v>42632.819965277777</v>
      </c>
      <c r="I1760" s="92">
        <v>42632.819953703707</v>
      </c>
      <c r="J1760" s="92"/>
      <c r="K1760" s="92">
        <v>42651.787800925929</v>
      </c>
      <c r="L1760" s="92">
        <f>IF(AND(单词表[[#This Row],[学英]]&lt;&gt;"",单词表[[#This Row],[学中]]&lt;&gt;"",单词表[[#This Row],[学词]]&lt;&gt;""),MAX(单词表[[#This Row],[学英]:[学词]]),"")</f>
        <v>42632.819965277777</v>
      </c>
      <c r="M1760" s="2" t="str">
        <f>IF(AND(单词表[[#This Row],[考英]]&lt;&gt;"",单词表[[#This Row],[考中]]&lt;&gt;""),MAX(单词表[[#This Row],[考英]:[考中]]),"")</f>
        <v/>
      </c>
      <c r="N1760" s="79"/>
    </row>
    <row r="1761" spans="1:14" hidden="1" x14ac:dyDescent="0.15">
      <c r="A1761">
        <v>1761</v>
      </c>
      <c r="B1761" t="s">
        <v>35</v>
      </c>
      <c r="C1761" t="s">
        <v>7</v>
      </c>
      <c r="D1761" s="72" t="s">
        <v>2300</v>
      </c>
      <c r="E1761" t="s">
        <v>36</v>
      </c>
      <c r="F1761" t="s">
        <v>2301</v>
      </c>
      <c r="G1761" s="92">
        <v>42632.819988425923</v>
      </c>
      <c r="H1761" s="92">
        <v>42632.82</v>
      </c>
      <c r="I1761" s="92">
        <v>42632.82</v>
      </c>
      <c r="J1761" s="92"/>
      <c r="K1761" s="92">
        <v>42651.787858796299</v>
      </c>
      <c r="L1761" s="92">
        <f>IF(AND(单词表[[#This Row],[学英]]&lt;&gt;"",单词表[[#This Row],[学中]]&lt;&gt;"",单词表[[#This Row],[学词]]&lt;&gt;""),MAX(单词表[[#This Row],[学英]:[学词]]),"")</f>
        <v>42632.82</v>
      </c>
      <c r="M1761" s="2" t="str">
        <f>IF(AND(单词表[[#This Row],[考英]]&lt;&gt;"",单词表[[#This Row],[考中]]&lt;&gt;""),MAX(单词表[[#This Row],[考英]:[考中]]),"")</f>
        <v/>
      </c>
      <c r="N1761" s="79"/>
    </row>
    <row r="1762" spans="1:14" hidden="1" x14ac:dyDescent="0.15">
      <c r="A1762">
        <v>1762</v>
      </c>
      <c r="B1762" t="s">
        <v>35</v>
      </c>
      <c r="C1762" t="s">
        <v>7</v>
      </c>
      <c r="D1762" s="72" t="s">
        <v>1510</v>
      </c>
      <c r="E1762" t="s">
        <v>1019</v>
      </c>
      <c r="F1762" t="s">
        <v>3321</v>
      </c>
      <c r="G1762" s="92">
        <v>42632.820023148146</v>
      </c>
      <c r="H1762" s="92">
        <v>42651.822881944441</v>
      </c>
      <c r="I1762" s="92">
        <v>42651.822870370372</v>
      </c>
      <c r="J1762" s="92"/>
      <c r="K1762" s="92">
        <v>42651.82304398148</v>
      </c>
      <c r="L1762" s="92">
        <f>IF(AND(单词表[[#This Row],[学英]]&lt;&gt;"",单词表[[#This Row],[学中]]&lt;&gt;"",单词表[[#This Row],[学词]]&lt;&gt;""),MAX(单词表[[#This Row],[学英]:[学词]]),"")</f>
        <v>42651.822881944441</v>
      </c>
      <c r="M1762" s="2" t="str">
        <f>IF(AND(单词表[[#This Row],[考英]]&lt;&gt;"",单词表[[#This Row],[考中]]&lt;&gt;""),MAX(单词表[[#This Row],[考英]:[考中]]),"")</f>
        <v/>
      </c>
      <c r="N1762" s="79"/>
    </row>
    <row r="1763" spans="1:14" hidden="1" x14ac:dyDescent="0.15">
      <c r="A1763">
        <v>1763</v>
      </c>
      <c r="B1763" t="s">
        <v>35</v>
      </c>
      <c r="C1763" t="s">
        <v>7</v>
      </c>
      <c r="D1763" s="72" t="s">
        <v>898</v>
      </c>
      <c r="E1763" t="s">
        <v>36</v>
      </c>
      <c r="F1763" t="s">
        <v>899</v>
      </c>
      <c r="G1763" s="92">
        <v>42632.820069444446</v>
      </c>
      <c r="H1763" s="92">
        <v>42632.820092592592</v>
      </c>
      <c r="I1763" s="92">
        <v>42632.820081018515</v>
      </c>
      <c r="J1763" s="92"/>
      <c r="K1763" s="92">
        <v>42651.787939814814</v>
      </c>
      <c r="L1763" s="92">
        <f>IF(AND(单词表[[#This Row],[学英]]&lt;&gt;"",单词表[[#This Row],[学中]]&lt;&gt;"",单词表[[#This Row],[学词]]&lt;&gt;""),MAX(单词表[[#This Row],[学英]:[学词]]),"")</f>
        <v>42632.820092592592</v>
      </c>
      <c r="M1763" s="2" t="str">
        <f>IF(AND(单词表[[#This Row],[考英]]&lt;&gt;"",单词表[[#This Row],[考中]]&lt;&gt;""),MAX(单词表[[#This Row],[考英]:[考中]]),"")</f>
        <v/>
      </c>
      <c r="N1763" s="79"/>
    </row>
    <row r="1764" spans="1:14" hidden="1" x14ac:dyDescent="0.15">
      <c r="A1764">
        <v>1764</v>
      </c>
      <c r="B1764" t="s">
        <v>35</v>
      </c>
      <c r="C1764" t="s">
        <v>7</v>
      </c>
      <c r="D1764" s="72" t="s">
        <v>3147</v>
      </c>
      <c r="E1764" t="s">
        <v>61</v>
      </c>
      <c r="F1764" t="s">
        <v>3322</v>
      </c>
      <c r="G1764" s="92">
        <v>42632.820115740738</v>
      </c>
      <c r="H1764" s="92">
        <v>42632.820127314815</v>
      </c>
      <c r="I1764" s="92">
        <v>42632.820115740738</v>
      </c>
      <c r="J1764" s="92"/>
      <c r="K1764" s="92">
        <v>42651.787986111114</v>
      </c>
      <c r="L1764" s="92">
        <f>IF(AND(单词表[[#This Row],[学英]]&lt;&gt;"",单词表[[#This Row],[学中]]&lt;&gt;"",单词表[[#This Row],[学词]]&lt;&gt;""),MAX(单词表[[#This Row],[学英]:[学词]]),"")</f>
        <v>42632.820127314815</v>
      </c>
      <c r="M1764" s="2" t="str">
        <f>IF(AND(单词表[[#This Row],[考英]]&lt;&gt;"",单词表[[#This Row],[考中]]&lt;&gt;""),MAX(单词表[[#This Row],[考英]:[考中]]),"")</f>
        <v/>
      </c>
      <c r="N1764" s="79"/>
    </row>
    <row r="1765" spans="1:14" hidden="1" x14ac:dyDescent="0.15">
      <c r="A1765">
        <v>1765</v>
      </c>
      <c r="B1765" t="s">
        <v>35</v>
      </c>
      <c r="C1765" t="s">
        <v>7</v>
      </c>
      <c r="D1765" s="72" t="s">
        <v>938</v>
      </c>
      <c r="E1765" t="s">
        <v>61</v>
      </c>
      <c r="F1765" t="s">
        <v>3323</v>
      </c>
      <c r="G1765" s="92">
        <v>42632.820150462961</v>
      </c>
      <c r="H1765" s="92">
        <v>42632.820150462961</v>
      </c>
      <c r="I1765" s="92">
        <v>42632.820150462961</v>
      </c>
      <c r="J1765" s="92"/>
      <c r="K1765" s="92">
        <v>42651.788032407407</v>
      </c>
      <c r="L1765" s="92">
        <f>IF(AND(单词表[[#This Row],[学英]]&lt;&gt;"",单词表[[#This Row],[学中]]&lt;&gt;"",单词表[[#This Row],[学词]]&lt;&gt;""),MAX(单词表[[#This Row],[学英]:[学词]]),"")</f>
        <v>42632.820150462961</v>
      </c>
      <c r="M1765" s="2" t="str">
        <f>IF(AND(单词表[[#This Row],[考英]]&lt;&gt;"",单词表[[#This Row],[考中]]&lt;&gt;""),MAX(单词表[[#This Row],[考英]:[考中]]),"")</f>
        <v/>
      </c>
      <c r="N1765" s="79"/>
    </row>
    <row r="1766" spans="1:14" hidden="1" x14ac:dyDescent="0.15">
      <c r="A1766">
        <v>1766</v>
      </c>
      <c r="B1766" t="s">
        <v>35</v>
      </c>
      <c r="C1766" t="s">
        <v>7</v>
      </c>
      <c r="D1766" s="72" t="s">
        <v>938</v>
      </c>
      <c r="E1766" t="s">
        <v>36</v>
      </c>
      <c r="F1766" t="s">
        <v>3324</v>
      </c>
      <c r="G1766" s="92">
        <v>42632.820173611108</v>
      </c>
      <c r="H1766" s="92">
        <v>42632.820185185185</v>
      </c>
      <c r="I1766" s="92">
        <v>42632.820185185185</v>
      </c>
      <c r="J1766" s="92"/>
      <c r="K1766" s="92">
        <v>42651.788055555553</v>
      </c>
      <c r="L1766" s="92">
        <f>IF(AND(单词表[[#This Row],[学英]]&lt;&gt;"",单词表[[#This Row],[学中]]&lt;&gt;"",单词表[[#This Row],[学词]]&lt;&gt;""),MAX(单词表[[#This Row],[学英]:[学词]]),"")</f>
        <v>42632.820185185185</v>
      </c>
      <c r="M1766" s="2" t="str">
        <f>IF(AND(单词表[[#This Row],[考英]]&lt;&gt;"",单词表[[#This Row],[考中]]&lt;&gt;""),MAX(单词表[[#This Row],[考英]:[考中]]),"")</f>
        <v/>
      </c>
      <c r="N1766" s="79"/>
    </row>
    <row r="1767" spans="1:14" hidden="1" x14ac:dyDescent="0.15">
      <c r="A1767">
        <v>1767</v>
      </c>
      <c r="B1767" t="s">
        <v>35</v>
      </c>
      <c r="C1767" t="s">
        <v>7</v>
      </c>
      <c r="D1767" s="72" t="s">
        <v>3325</v>
      </c>
      <c r="E1767" t="s">
        <v>36</v>
      </c>
      <c r="F1767" t="s">
        <v>3326</v>
      </c>
      <c r="G1767" s="92">
        <v>42632.8202662037</v>
      </c>
      <c r="H1767" s="92">
        <v>42651.822905092595</v>
      </c>
      <c r="I1767" s="92">
        <v>42651.822905092595</v>
      </c>
      <c r="J1767" s="92"/>
      <c r="K1767" s="92">
        <v>42651.82309027778</v>
      </c>
      <c r="L1767" s="92">
        <f>IF(AND(单词表[[#This Row],[学英]]&lt;&gt;"",单词表[[#This Row],[学中]]&lt;&gt;"",单词表[[#This Row],[学词]]&lt;&gt;""),MAX(单词表[[#This Row],[学英]:[学词]]),"")</f>
        <v>42651.822905092595</v>
      </c>
      <c r="M1767" s="2" t="str">
        <f>IF(AND(单词表[[#This Row],[考英]]&lt;&gt;"",单词表[[#This Row],[考中]]&lt;&gt;""),MAX(单词表[[#This Row],[考英]:[考中]]),"")</f>
        <v/>
      </c>
      <c r="N1767" s="79"/>
    </row>
    <row r="1768" spans="1:14" hidden="1" x14ac:dyDescent="0.15">
      <c r="A1768">
        <v>1768</v>
      </c>
      <c r="B1768" t="s">
        <v>35</v>
      </c>
      <c r="C1768" t="s">
        <v>7</v>
      </c>
      <c r="D1768" s="72" t="s">
        <v>3327</v>
      </c>
      <c r="E1768" t="s">
        <v>36</v>
      </c>
      <c r="F1768" t="s">
        <v>3328</v>
      </c>
      <c r="G1768" s="92">
        <v>42632.820300925923</v>
      </c>
      <c r="H1768" s="92">
        <v>42651.792442129627</v>
      </c>
      <c r="I1768" s="92">
        <v>42651.792430555557</v>
      </c>
      <c r="J1768" s="92"/>
      <c r="K1768" s="92">
        <v>42651.793113425927</v>
      </c>
      <c r="L1768" s="92">
        <f>IF(AND(单词表[[#This Row],[学英]]&lt;&gt;"",单词表[[#This Row],[学中]]&lt;&gt;"",单词表[[#This Row],[学词]]&lt;&gt;""),MAX(单词表[[#This Row],[学英]:[学词]]),"")</f>
        <v>42651.792442129627</v>
      </c>
      <c r="M1768" s="2" t="str">
        <f>IF(AND(单词表[[#This Row],[考英]]&lt;&gt;"",单词表[[#This Row],[考中]]&lt;&gt;""),MAX(单词表[[#This Row],[考英]:[考中]]),"")</f>
        <v/>
      </c>
      <c r="N1768" s="79"/>
    </row>
    <row r="1769" spans="1:14" hidden="1" x14ac:dyDescent="0.15">
      <c r="A1769">
        <v>1769</v>
      </c>
      <c r="B1769" t="s">
        <v>35</v>
      </c>
      <c r="C1769" t="s">
        <v>7</v>
      </c>
      <c r="D1769" s="72" t="s">
        <v>1534</v>
      </c>
      <c r="E1769" t="s">
        <v>36</v>
      </c>
      <c r="F1769" t="s">
        <v>1535</v>
      </c>
      <c r="G1769" s="92">
        <v>42632.820335648146</v>
      </c>
      <c r="H1769" s="92">
        <v>42632.820347222223</v>
      </c>
      <c r="I1769" s="92">
        <v>42632.820335648146</v>
      </c>
      <c r="J1769" s="92"/>
      <c r="K1769" s="92">
        <v>42651.788229166668</v>
      </c>
      <c r="L1769" s="92">
        <f>IF(AND(单词表[[#This Row],[学英]]&lt;&gt;"",单词表[[#This Row],[学中]]&lt;&gt;"",单词表[[#This Row],[学词]]&lt;&gt;""),MAX(单词表[[#This Row],[学英]:[学词]]),"")</f>
        <v>42632.820347222223</v>
      </c>
      <c r="M1769" s="2" t="str">
        <f>IF(AND(单词表[[#This Row],[考英]]&lt;&gt;"",单词表[[#This Row],[考中]]&lt;&gt;""),MAX(单词表[[#This Row],[考英]:[考中]]),"")</f>
        <v/>
      </c>
      <c r="N1769" s="79"/>
    </row>
    <row r="1770" spans="1:14" hidden="1" x14ac:dyDescent="0.15">
      <c r="A1770">
        <v>1770</v>
      </c>
      <c r="B1770" t="s">
        <v>35</v>
      </c>
      <c r="C1770" t="s">
        <v>7</v>
      </c>
      <c r="D1770" s="72" t="s">
        <v>1600</v>
      </c>
      <c r="E1770" t="s">
        <v>61</v>
      </c>
      <c r="F1770" t="s">
        <v>3329</v>
      </c>
      <c r="G1770" s="92">
        <v>42633.717662037037</v>
      </c>
      <c r="H1770" s="92">
        <v>42633.719895833332</v>
      </c>
      <c r="I1770" s="92">
        <v>42633.719895833332</v>
      </c>
      <c r="J1770" s="92"/>
      <c r="K1770" s="92">
        <v>42651.788275462961</v>
      </c>
      <c r="L1770" s="92">
        <f>IF(AND(单词表[[#This Row],[学英]]&lt;&gt;"",单词表[[#This Row],[学中]]&lt;&gt;"",单词表[[#This Row],[学词]]&lt;&gt;""),MAX(单词表[[#This Row],[学英]:[学词]]),"")</f>
        <v>42633.719895833332</v>
      </c>
      <c r="M1770" s="2" t="str">
        <f>IF(AND(单词表[[#This Row],[考英]]&lt;&gt;"",单词表[[#This Row],[考中]]&lt;&gt;""),MAX(单词表[[#This Row],[考英]:[考中]]),"")</f>
        <v/>
      </c>
      <c r="N1770" s="79"/>
    </row>
    <row r="1771" spans="1:14" hidden="1" x14ac:dyDescent="0.15">
      <c r="A1771">
        <v>1771</v>
      </c>
      <c r="B1771" t="s">
        <v>35</v>
      </c>
      <c r="C1771" t="s">
        <v>7</v>
      </c>
      <c r="D1771" s="72" t="s">
        <v>95</v>
      </c>
      <c r="E1771" t="s">
        <v>736</v>
      </c>
      <c r="F1771" t="s">
        <v>3330</v>
      </c>
      <c r="G1771" s="92">
        <v>42633.71769675926</v>
      </c>
      <c r="H1771" s="92">
        <v>42651.792511574073</v>
      </c>
      <c r="I1771" s="92">
        <v>42651.792511574073</v>
      </c>
      <c r="J1771" s="92"/>
      <c r="K1771" s="92">
        <v>42651.79315972222</v>
      </c>
      <c r="L1771" s="92">
        <f>IF(AND(单词表[[#This Row],[学英]]&lt;&gt;"",单词表[[#This Row],[学中]]&lt;&gt;"",单词表[[#This Row],[学词]]&lt;&gt;""),MAX(单词表[[#This Row],[学英]:[学词]]),"")</f>
        <v>42651.792511574073</v>
      </c>
      <c r="M1771" s="2" t="str">
        <f>IF(AND(单词表[[#This Row],[考英]]&lt;&gt;"",单词表[[#This Row],[考中]]&lt;&gt;""),MAX(单词表[[#This Row],[考英]:[考中]]),"")</f>
        <v/>
      </c>
      <c r="N1771" s="79"/>
    </row>
    <row r="1772" spans="1:14" hidden="1" x14ac:dyDescent="0.15">
      <c r="A1772">
        <v>1772</v>
      </c>
      <c r="B1772" t="s">
        <v>35</v>
      </c>
      <c r="C1772" t="s">
        <v>7</v>
      </c>
      <c r="D1772" s="72" t="s">
        <v>1754</v>
      </c>
      <c r="E1772" t="s">
        <v>36</v>
      </c>
      <c r="F1772" t="s">
        <v>1755</v>
      </c>
      <c r="G1772" s="92">
        <v>42633.717719907407</v>
      </c>
      <c r="H1772" s="92">
        <v>42633.717731481483</v>
      </c>
      <c r="I1772" s="92">
        <v>42633.717731481483</v>
      </c>
      <c r="J1772" s="92"/>
      <c r="K1772" s="92">
        <v>42651.788356481484</v>
      </c>
      <c r="L1772" s="92">
        <f>IF(AND(单词表[[#This Row],[学英]]&lt;&gt;"",单词表[[#This Row],[学中]]&lt;&gt;"",单词表[[#This Row],[学词]]&lt;&gt;""),MAX(单词表[[#This Row],[学英]:[学词]]),"")</f>
        <v>42633.717731481483</v>
      </c>
      <c r="M1772" s="2" t="str">
        <f>IF(AND(单词表[[#This Row],[考英]]&lt;&gt;"",单词表[[#This Row],[考中]]&lt;&gt;""),MAX(单词表[[#This Row],[考英]:[考中]]),"")</f>
        <v/>
      </c>
      <c r="N1772" s="79"/>
    </row>
    <row r="1773" spans="1:14" hidden="1" x14ac:dyDescent="0.15">
      <c r="A1773">
        <v>1773</v>
      </c>
      <c r="B1773" t="s">
        <v>35</v>
      </c>
      <c r="C1773" t="s">
        <v>7</v>
      </c>
      <c r="D1773" s="72" t="s">
        <v>2879</v>
      </c>
      <c r="E1773" t="s">
        <v>36</v>
      </c>
      <c r="F1773" t="s">
        <v>2880</v>
      </c>
      <c r="G1773" s="92">
        <v>42633.71775462963</v>
      </c>
      <c r="H1773" s="92">
        <v>42633.719930555555</v>
      </c>
      <c r="I1773" s="92">
        <v>42633.719918981478</v>
      </c>
      <c r="J1773" s="92"/>
      <c r="K1773" s="92">
        <v>42651.788414351853</v>
      </c>
      <c r="L1773" s="92">
        <f>IF(AND(单词表[[#This Row],[学英]]&lt;&gt;"",单词表[[#This Row],[学中]]&lt;&gt;"",单词表[[#This Row],[学词]]&lt;&gt;""),MAX(单词表[[#This Row],[学英]:[学词]]),"")</f>
        <v>42633.719930555555</v>
      </c>
      <c r="M1773" s="2" t="str">
        <f>IF(AND(单词表[[#This Row],[考英]]&lt;&gt;"",单词表[[#This Row],[考中]]&lt;&gt;""),MAX(单词表[[#This Row],[考英]:[考中]]),"")</f>
        <v/>
      </c>
      <c r="N1773" s="79"/>
    </row>
    <row r="1774" spans="1:14" hidden="1" x14ac:dyDescent="0.15">
      <c r="A1774">
        <v>1774</v>
      </c>
      <c r="B1774" t="s">
        <v>35</v>
      </c>
      <c r="C1774" t="s">
        <v>7</v>
      </c>
      <c r="D1774" s="72" t="s">
        <v>2920</v>
      </c>
      <c r="E1774" t="s">
        <v>36</v>
      </c>
      <c r="F1774" t="s">
        <v>2921</v>
      </c>
      <c r="G1774" s="92">
        <v>42633.717777777776</v>
      </c>
      <c r="H1774" s="92">
        <v>42633.717789351853</v>
      </c>
      <c r="I1774" s="92">
        <v>42633.717789351853</v>
      </c>
      <c r="J1774" s="92"/>
      <c r="K1774" s="92">
        <v>42651.788449074076</v>
      </c>
      <c r="L1774" s="92">
        <f>IF(AND(单词表[[#This Row],[学英]]&lt;&gt;"",单词表[[#This Row],[学中]]&lt;&gt;"",单词表[[#This Row],[学词]]&lt;&gt;""),MAX(单词表[[#This Row],[学英]:[学词]]),"")</f>
        <v>42633.717789351853</v>
      </c>
      <c r="M1774" s="2" t="str">
        <f>IF(AND(单词表[[#This Row],[考英]]&lt;&gt;"",单词表[[#This Row],[考中]]&lt;&gt;""),MAX(单词表[[#This Row],[考英]:[考中]]),"")</f>
        <v/>
      </c>
      <c r="N1774" s="79"/>
    </row>
    <row r="1775" spans="1:14" hidden="1" x14ac:dyDescent="0.15">
      <c r="A1775">
        <v>1775</v>
      </c>
      <c r="B1775" t="s">
        <v>35</v>
      </c>
      <c r="C1775" t="s">
        <v>7</v>
      </c>
      <c r="D1775" s="72" t="s">
        <v>3331</v>
      </c>
      <c r="E1775" t="s">
        <v>61</v>
      </c>
      <c r="F1775" t="s">
        <v>1313</v>
      </c>
      <c r="G1775" s="92">
        <v>42633.717812499999</v>
      </c>
      <c r="H1775" s="92">
        <v>42633.717824074076</v>
      </c>
      <c r="I1775" s="92">
        <v>42633.717824074076</v>
      </c>
      <c r="J1775" s="92"/>
      <c r="K1775" s="92">
        <v>42651.788495370369</v>
      </c>
      <c r="L1775" s="92">
        <f>IF(AND(单词表[[#This Row],[学英]]&lt;&gt;"",单词表[[#This Row],[学中]]&lt;&gt;"",单词表[[#This Row],[学词]]&lt;&gt;""),MAX(单词表[[#This Row],[学英]:[学词]]),"")</f>
        <v>42633.717824074076</v>
      </c>
      <c r="M1775" s="2" t="str">
        <f>IF(AND(单词表[[#This Row],[考英]]&lt;&gt;"",单词表[[#This Row],[考中]]&lt;&gt;""),MAX(单词表[[#This Row],[考英]:[考中]]),"")</f>
        <v/>
      </c>
      <c r="N1775" s="79"/>
    </row>
    <row r="1776" spans="1:14" hidden="1" x14ac:dyDescent="0.15">
      <c r="A1776">
        <v>1776</v>
      </c>
      <c r="B1776" t="s">
        <v>35</v>
      </c>
      <c r="C1776" t="s">
        <v>7</v>
      </c>
      <c r="D1776" s="72" t="s">
        <v>3141</v>
      </c>
      <c r="E1776" t="s">
        <v>736</v>
      </c>
      <c r="F1776" t="s">
        <v>3332</v>
      </c>
      <c r="G1776" s="92">
        <v>42633.717847222222</v>
      </c>
      <c r="H1776" s="92">
        <v>42633.717847222222</v>
      </c>
      <c r="I1776" s="92">
        <v>42633.717847222222</v>
      </c>
      <c r="J1776" s="92"/>
      <c r="K1776" s="92">
        <v>42651.788530092592</v>
      </c>
      <c r="L1776" s="92">
        <f>IF(AND(单词表[[#This Row],[学英]]&lt;&gt;"",单词表[[#This Row],[学中]]&lt;&gt;"",单词表[[#This Row],[学词]]&lt;&gt;""),MAX(单词表[[#This Row],[学英]:[学词]]),"")</f>
        <v>42633.717847222222</v>
      </c>
      <c r="M1776" s="2" t="str">
        <f>IF(AND(单词表[[#This Row],[考英]]&lt;&gt;"",单词表[[#This Row],[考中]]&lt;&gt;""),MAX(单词表[[#This Row],[考英]:[考中]]),"")</f>
        <v/>
      </c>
      <c r="N1776" s="79"/>
    </row>
    <row r="1777" spans="1:14" hidden="1" x14ac:dyDescent="0.15">
      <c r="A1777">
        <v>1777</v>
      </c>
      <c r="B1777" t="s">
        <v>35</v>
      </c>
      <c r="C1777" t="s">
        <v>7</v>
      </c>
      <c r="D1777" s="72" t="s">
        <v>3333</v>
      </c>
      <c r="E1777" t="s">
        <v>61</v>
      </c>
      <c r="F1777" t="s">
        <v>3334</v>
      </c>
      <c r="G1777" s="92">
        <v>42633.717870370368</v>
      </c>
      <c r="H1777" s="92">
        <v>42633.717881944445</v>
      </c>
      <c r="I1777" s="92">
        <v>42633.717870370368</v>
      </c>
      <c r="J1777" s="92"/>
      <c r="K1777" s="92">
        <v>42651.788576388892</v>
      </c>
      <c r="L1777" s="92">
        <f>IF(AND(单词表[[#This Row],[学英]]&lt;&gt;"",单词表[[#This Row],[学中]]&lt;&gt;"",单词表[[#This Row],[学词]]&lt;&gt;""),MAX(单词表[[#This Row],[学英]:[学词]]),"")</f>
        <v>42633.717881944445</v>
      </c>
      <c r="M1777" s="2" t="str">
        <f>IF(AND(单词表[[#This Row],[考英]]&lt;&gt;"",单词表[[#This Row],[考中]]&lt;&gt;""),MAX(单词表[[#This Row],[考英]:[考中]]),"")</f>
        <v/>
      </c>
      <c r="N1777" s="79"/>
    </row>
    <row r="1778" spans="1:14" hidden="1" x14ac:dyDescent="0.15">
      <c r="A1778">
        <v>1778</v>
      </c>
      <c r="B1778" t="s">
        <v>35</v>
      </c>
      <c r="C1778" t="s">
        <v>7</v>
      </c>
      <c r="D1778" s="72" t="s">
        <v>961</v>
      </c>
      <c r="E1778" t="s">
        <v>61</v>
      </c>
      <c r="F1778" t="s">
        <v>3335</v>
      </c>
      <c r="G1778" s="92">
        <v>42633.717893518522</v>
      </c>
      <c r="H1778" s="92">
        <v>42633.717916666668</v>
      </c>
      <c r="I1778" s="92">
        <v>42633.717905092592</v>
      </c>
      <c r="J1778" s="92"/>
      <c r="K1778" s="92">
        <v>42651.788622685184</v>
      </c>
      <c r="L1778" s="92">
        <f>IF(AND(单词表[[#This Row],[学英]]&lt;&gt;"",单词表[[#This Row],[学中]]&lt;&gt;"",单词表[[#This Row],[学词]]&lt;&gt;""),MAX(单词表[[#This Row],[学英]:[学词]]),"")</f>
        <v>42633.717916666668</v>
      </c>
      <c r="M1778" s="2" t="str">
        <f>IF(AND(单词表[[#This Row],[考英]]&lt;&gt;"",单词表[[#This Row],[考中]]&lt;&gt;""),MAX(单词表[[#This Row],[考英]:[考中]]),"")</f>
        <v/>
      </c>
      <c r="N1778" s="79"/>
    </row>
    <row r="1779" spans="1:14" hidden="1" x14ac:dyDescent="0.15">
      <c r="A1779">
        <v>1779</v>
      </c>
      <c r="B1779" t="s">
        <v>35</v>
      </c>
      <c r="C1779" t="s">
        <v>7</v>
      </c>
      <c r="D1779" s="72" t="s">
        <v>2145</v>
      </c>
      <c r="E1779" t="s">
        <v>36</v>
      </c>
      <c r="F1779" t="s">
        <v>2146</v>
      </c>
      <c r="G1779" s="92">
        <v>42633.717928240738</v>
      </c>
      <c r="H1779" s="92">
        <v>42633.717939814815</v>
      </c>
      <c r="I1779" s="92">
        <v>42633.717939814815</v>
      </c>
      <c r="J1779" s="92"/>
      <c r="K1779" s="92">
        <v>42651.788657407407</v>
      </c>
      <c r="L1779" s="92">
        <f>IF(AND(单词表[[#This Row],[学英]]&lt;&gt;"",单词表[[#This Row],[学中]]&lt;&gt;"",单词表[[#This Row],[学词]]&lt;&gt;""),MAX(单词表[[#This Row],[学英]:[学词]]),"")</f>
        <v>42633.717939814815</v>
      </c>
      <c r="M1779" s="2" t="str">
        <f>IF(AND(单词表[[#This Row],[考英]]&lt;&gt;"",单词表[[#This Row],[考中]]&lt;&gt;""),MAX(单词表[[#This Row],[考英]:[考中]]),"")</f>
        <v/>
      </c>
      <c r="N1779" s="79"/>
    </row>
    <row r="1780" spans="1:14" hidden="1" x14ac:dyDescent="0.15">
      <c r="A1780">
        <v>1780</v>
      </c>
      <c r="B1780" t="s">
        <v>35</v>
      </c>
      <c r="C1780" t="s">
        <v>7</v>
      </c>
      <c r="D1780" s="72" t="s">
        <v>1645</v>
      </c>
      <c r="E1780" t="s">
        <v>36</v>
      </c>
      <c r="F1780" t="s">
        <v>3336</v>
      </c>
      <c r="G1780" s="92">
        <v>42633.717962962961</v>
      </c>
      <c r="H1780" s="92">
        <v>42633.717974537038</v>
      </c>
      <c r="I1780" s="92">
        <v>42633.717962962961</v>
      </c>
      <c r="J1780" s="92"/>
      <c r="K1780" s="92">
        <v>42651.78869212963</v>
      </c>
      <c r="L1780" s="92">
        <f>IF(AND(单词表[[#This Row],[学英]]&lt;&gt;"",单词表[[#This Row],[学中]]&lt;&gt;"",单词表[[#This Row],[学词]]&lt;&gt;""),MAX(单词表[[#This Row],[学英]:[学词]]),"")</f>
        <v>42633.717974537038</v>
      </c>
      <c r="M1780" s="2" t="str">
        <f>IF(AND(单词表[[#This Row],[考英]]&lt;&gt;"",单词表[[#This Row],[考中]]&lt;&gt;""),MAX(单词表[[#This Row],[考英]:[考中]]),"")</f>
        <v/>
      </c>
      <c r="N1780" s="79"/>
    </row>
    <row r="1781" spans="1:14" hidden="1" x14ac:dyDescent="0.15">
      <c r="A1781">
        <v>1781</v>
      </c>
      <c r="B1781" t="s">
        <v>35</v>
      </c>
      <c r="C1781" t="s">
        <v>7</v>
      </c>
      <c r="D1781" s="72" t="s">
        <v>3337</v>
      </c>
      <c r="E1781" t="s">
        <v>36</v>
      </c>
      <c r="F1781" t="s">
        <v>3338</v>
      </c>
      <c r="G1781" s="92">
        <v>42633.717986111114</v>
      </c>
      <c r="H1781" s="92">
        <v>42633.717997685184</v>
      </c>
      <c r="I1781" s="92">
        <v>42633.717986111114</v>
      </c>
      <c r="J1781" s="92"/>
      <c r="K1781" s="92">
        <v>42651.788738425923</v>
      </c>
      <c r="L1781" s="92">
        <f>IF(AND(单词表[[#This Row],[学英]]&lt;&gt;"",单词表[[#This Row],[学中]]&lt;&gt;"",单词表[[#This Row],[学词]]&lt;&gt;""),MAX(单词表[[#This Row],[学英]:[学词]]),"")</f>
        <v>42633.717997685184</v>
      </c>
      <c r="M1781" s="2" t="str">
        <f>IF(AND(单词表[[#This Row],[考英]]&lt;&gt;"",单词表[[#This Row],[考中]]&lt;&gt;""),MAX(单词表[[#This Row],[考英]:[考中]]),"")</f>
        <v/>
      </c>
      <c r="N1781" s="79"/>
    </row>
    <row r="1782" spans="1:14" hidden="1" x14ac:dyDescent="0.15">
      <c r="A1782">
        <v>1782</v>
      </c>
      <c r="B1782" t="s">
        <v>35</v>
      </c>
      <c r="C1782" t="s">
        <v>7</v>
      </c>
      <c r="D1782" s="72" t="s">
        <v>3339</v>
      </c>
      <c r="E1782" t="s">
        <v>36</v>
      </c>
      <c r="F1782" t="s">
        <v>3340</v>
      </c>
      <c r="G1782" s="92">
        <v>42633.71802083333</v>
      </c>
      <c r="H1782" s="92">
        <v>42635.86136574074</v>
      </c>
      <c r="I1782" s="92">
        <v>42635.861354166664</v>
      </c>
      <c r="J1782" s="92"/>
      <c r="K1782" s="92">
        <v>42651.788773148146</v>
      </c>
      <c r="L1782" s="92">
        <f>IF(AND(单词表[[#This Row],[学英]]&lt;&gt;"",单词表[[#This Row],[学中]]&lt;&gt;"",单词表[[#This Row],[学词]]&lt;&gt;""),MAX(单词表[[#This Row],[学英]:[学词]]),"")</f>
        <v>42635.86136574074</v>
      </c>
      <c r="M1782" s="2" t="str">
        <f>IF(AND(单词表[[#This Row],[考英]]&lt;&gt;"",单词表[[#This Row],[考中]]&lt;&gt;""),MAX(单词表[[#This Row],[考英]:[考中]]),"")</f>
        <v/>
      </c>
      <c r="N1782" s="79"/>
    </row>
    <row r="1783" spans="1:14" hidden="1" x14ac:dyDescent="0.15">
      <c r="A1783">
        <v>1783</v>
      </c>
      <c r="B1783" t="s">
        <v>35</v>
      </c>
      <c r="C1783" t="s">
        <v>7</v>
      </c>
      <c r="D1783" s="72" t="s">
        <v>2701</v>
      </c>
      <c r="E1783" t="s">
        <v>36</v>
      </c>
      <c r="F1783" t="s">
        <v>3341</v>
      </c>
      <c r="G1783" s="92">
        <v>42633.718043981484</v>
      </c>
      <c r="H1783" s="92">
        <v>42633.718055555553</v>
      </c>
      <c r="I1783" s="92">
        <v>42633.718055555553</v>
      </c>
      <c r="J1783" s="92"/>
      <c r="K1783" s="92">
        <v>42651.788807870369</v>
      </c>
      <c r="L1783" s="92">
        <f>IF(AND(单词表[[#This Row],[学英]]&lt;&gt;"",单词表[[#This Row],[学中]]&lt;&gt;"",单词表[[#This Row],[学词]]&lt;&gt;""),MAX(单词表[[#This Row],[学英]:[学词]]),"")</f>
        <v>42633.718055555553</v>
      </c>
      <c r="M1783" s="2" t="str">
        <f>IF(AND(单词表[[#This Row],[考英]]&lt;&gt;"",单词表[[#This Row],[考中]]&lt;&gt;""),MAX(单词表[[#This Row],[考英]:[考中]]),"")</f>
        <v/>
      </c>
      <c r="N1783" s="79"/>
    </row>
    <row r="1784" spans="1:14" hidden="1" x14ac:dyDescent="0.15">
      <c r="A1784">
        <v>1784</v>
      </c>
      <c r="B1784" t="s">
        <v>35</v>
      </c>
      <c r="C1784" t="s">
        <v>7</v>
      </c>
      <c r="D1784" s="72" t="s">
        <v>3342</v>
      </c>
      <c r="E1784" t="s">
        <v>36</v>
      </c>
      <c r="F1784" t="s">
        <v>3343</v>
      </c>
      <c r="G1784" s="92">
        <v>42633.718078703707</v>
      </c>
      <c r="H1784" s="92">
        <v>42635.861388888887</v>
      </c>
      <c r="I1784" s="92">
        <v>42635.861388888887</v>
      </c>
      <c r="J1784" s="92"/>
      <c r="K1784" s="92">
        <v>42651.788842592592</v>
      </c>
      <c r="L1784" s="92">
        <f>IF(AND(单词表[[#This Row],[学英]]&lt;&gt;"",单词表[[#This Row],[学中]]&lt;&gt;"",单词表[[#This Row],[学词]]&lt;&gt;""),MAX(单词表[[#This Row],[学英]:[学词]]),"")</f>
        <v>42635.861388888887</v>
      </c>
      <c r="M1784" s="2" t="str">
        <f>IF(AND(单词表[[#This Row],[考英]]&lt;&gt;"",单词表[[#This Row],[考中]]&lt;&gt;""),MAX(单词表[[#This Row],[考英]:[考中]]),"")</f>
        <v/>
      </c>
      <c r="N1784" s="79"/>
    </row>
    <row r="1785" spans="1:14" hidden="1" x14ac:dyDescent="0.15">
      <c r="A1785">
        <v>1785</v>
      </c>
      <c r="B1785" t="s">
        <v>35</v>
      </c>
      <c r="C1785" t="s">
        <v>7</v>
      </c>
      <c r="D1785" s="72" t="s">
        <v>3344</v>
      </c>
      <c r="E1785" t="s">
        <v>36</v>
      </c>
      <c r="F1785" t="s">
        <v>3345</v>
      </c>
      <c r="G1785" s="92">
        <v>42633.718124999999</v>
      </c>
      <c r="H1785" s="92">
        <v>42633.718136574076</v>
      </c>
      <c r="I1785" s="92">
        <v>42633.718124999999</v>
      </c>
      <c r="J1785" s="92"/>
      <c r="K1785" s="92">
        <v>42651.788877314815</v>
      </c>
      <c r="L1785" s="92">
        <f>IF(AND(单词表[[#This Row],[学英]]&lt;&gt;"",单词表[[#This Row],[学中]]&lt;&gt;"",单词表[[#This Row],[学词]]&lt;&gt;""),MAX(单词表[[#This Row],[学英]:[学词]]),"")</f>
        <v>42633.718136574076</v>
      </c>
      <c r="M1785" s="2" t="str">
        <f>IF(AND(单词表[[#This Row],[考英]]&lt;&gt;"",单词表[[#This Row],[考中]]&lt;&gt;""),MAX(单词表[[#This Row],[考英]:[考中]]),"")</f>
        <v/>
      </c>
      <c r="N1785" s="79"/>
    </row>
    <row r="1786" spans="1:14" hidden="1" x14ac:dyDescent="0.15">
      <c r="A1786">
        <v>1786</v>
      </c>
      <c r="B1786" t="s">
        <v>35</v>
      </c>
      <c r="C1786" t="s">
        <v>7</v>
      </c>
      <c r="D1786" s="72" t="s">
        <v>3346</v>
      </c>
      <c r="E1786" t="s">
        <v>61</v>
      </c>
      <c r="F1786" t="s">
        <v>3347</v>
      </c>
      <c r="G1786" s="92">
        <v>42633.718217592592</v>
      </c>
      <c r="H1786" s="92">
        <v>42651.822939814818</v>
      </c>
      <c r="I1786" s="92">
        <v>42651.822939814818</v>
      </c>
      <c r="J1786" s="92"/>
      <c r="K1786" s="92">
        <v>42651.823125000003</v>
      </c>
      <c r="L1786" s="92">
        <f>IF(AND(单词表[[#This Row],[学英]]&lt;&gt;"",单词表[[#This Row],[学中]]&lt;&gt;"",单词表[[#This Row],[学词]]&lt;&gt;""),MAX(单词表[[#This Row],[学英]:[学词]]),"")</f>
        <v>42651.822939814818</v>
      </c>
      <c r="M1786" s="2" t="str">
        <f>IF(AND(单词表[[#This Row],[考英]]&lt;&gt;"",单词表[[#This Row],[考中]]&lt;&gt;""),MAX(单词表[[#This Row],[考英]:[考中]]),"")</f>
        <v/>
      </c>
      <c r="N1786" s="79"/>
    </row>
    <row r="1787" spans="1:14" hidden="1" x14ac:dyDescent="0.15">
      <c r="A1787">
        <v>1787</v>
      </c>
      <c r="B1787" t="s">
        <v>35</v>
      </c>
      <c r="C1787" t="s">
        <v>7</v>
      </c>
      <c r="D1787" s="72" t="s">
        <v>3348</v>
      </c>
      <c r="E1787" t="s">
        <v>61</v>
      </c>
      <c r="F1787" t="s">
        <v>3349</v>
      </c>
      <c r="G1787" s="92">
        <v>42633.718252314815</v>
      </c>
      <c r="H1787" s="92">
        <v>42633.718263888892</v>
      </c>
      <c r="I1787" s="92">
        <v>42633.718263888892</v>
      </c>
      <c r="J1787" s="92"/>
      <c r="K1787" s="92">
        <v>42651.788981481484</v>
      </c>
      <c r="L1787" s="92">
        <f>IF(AND(单词表[[#This Row],[学英]]&lt;&gt;"",单词表[[#This Row],[学中]]&lt;&gt;"",单词表[[#This Row],[学词]]&lt;&gt;""),MAX(单词表[[#This Row],[学英]:[学词]]),"")</f>
        <v>42633.718263888892</v>
      </c>
      <c r="M1787" s="2" t="str">
        <f>IF(AND(单词表[[#This Row],[考英]]&lt;&gt;"",单词表[[#This Row],[考中]]&lt;&gt;""),MAX(单词表[[#This Row],[考英]:[考中]]),"")</f>
        <v/>
      </c>
      <c r="N1787" s="79"/>
    </row>
    <row r="1788" spans="1:14" hidden="1" x14ac:dyDescent="0.15">
      <c r="A1788">
        <v>1788</v>
      </c>
      <c r="B1788" t="s">
        <v>35</v>
      </c>
      <c r="C1788" t="s">
        <v>7</v>
      </c>
      <c r="D1788" s="72" t="s">
        <v>3350</v>
      </c>
      <c r="E1788" t="s">
        <v>736</v>
      </c>
      <c r="F1788" t="s">
        <v>3351</v>
      </c>
      <c r="G1788" s="92">
        <v>42633.718287037038</v>
      </c>
      <c r="H1788" s="92">
        <v>42633.718298611115</v>
      </c>
      <c r="I1788" s="92">
        <v>42633.718298611115</v>
      </c>
      <c r="J1788" s="92"/>
      <c r="K1788" s="92">
        <v>42651.789039351854</v>
      </c>
      <c r="L1788" s="92">
        <f>IF(AND(单词表[[#This Row],[学英]]&lt;&gt;"",单词表[[#This Row],[学中]]&lt;&gt;"",单词表[[#This Row],[学词]]&lt;&gt;""),MAX(单词表[[#This Row],[学英]:[学词]]),"")</f>
        <v>42633.718298611115</v>
      </c>
      <c r="M1788" s="2" t="str">
        <f>IF(AND(单词表[[#This Row],[考英]]&lt;&gt;"",单词表[[#This Row],[考中]]&lt;&gt;""),MAX(单词表[[#This Row],[考英]:[考中]]),"")</f>
        <v/>
      </c>
      <c r="N1788" s="79"/>
    </row>
    <row r="1789" spans="1:14" hidden="1" x14ac:dyDescent="0.15">
      <c r="A1789">
        <v>1789</v>
      </c>
      <c r="B1789" t="s">
        <v>35</v>
      </c>
      <c r="C1789" t="s">
        <v>7</v>
      </c>
      <c r="D1789" s="72" t="s">
        <v>1317</v>
      </c>
      <c r="E1789" t="s">
        <v>73</v>
      </c>
      <c r="F1789" t="s">
        <v>3352</v>
      </c>
      <c r="G1789" s="92">
        <v>42633.718321759261</v>
      </c>
      <c r="H1789" s="92">
        <v>42633.718333333331</v>
      </c>
      <c r="I1789" s="92">
        <v>42633.718333333331</v>
      </c>
      <c r="J1789" s="92"/>
      <c r="K1789" s="92">
        <v>42651.789074074077</v>
      </c>
      <c r="L1789" s="92">
        <f>IF(AND(单词表[[#This Row],[学英]]&lt;&gt;"",单词表[[#This Row],[学中]]&lt;&gt;"",单词表[[#This Row],[学词]]&lt;&gt;""),MAX(单词表[[#This Row],[学英]:[学词]]),"")</f>
        <v>42633.718333333331</v>
      </c>
      <c r="M1789" s="2" t="str">
        <f>IF(AND(单词表[[#This Row],[考英]]&lt;&gt;"",单词表[[#This Row],[考中]]&lt;&gt;""),MAX(单词表[[#This Row],[考英]:[考中]]),"")</f>
        <v/>
      </c>
      <c r="N1789" s="79"/>
    </row>
    <row r="1790" spans="1:14" hidden="1" x14ac:dyDescent="0.15">
      <c r="A1790">
        <v>1790</v>
      </c>
      <c r="B1790" t="s">
        <v>35</v>
      </c>
      <c r="C1790" t="s">
        <v>7</v>
      </c>
      <c r="D1790" s="72" t="s">
        <v>3353</v>
      </c>
      <c r="E1790" t="s">
        <v>1016</v>
      </c>
      <c r="F1790" t="s">
        <v>5506</v>
      </c>
      <c r="G1790" s="92">
        <v>42635.855891203704</v>
      </c>
      <c r="H1790" s="92">
        <v>42635.861655092594</v>
      </c>
      <c r="I1790" s="92">
        <v>42635.861678240741</v>
      </c>
      <c r="J1790" s="92"/>
      <c r="K1790" s="92">
        <v>42651.789120370369</v>
      </c>
      <c r="L1790" s="92">
        <f>IF(AND(单词表[[#This Row],[学英]]&lt;&gt;"",单词表[[#This Row],[学中]]&lt;&gt;"",单词表[[#This Row],[学词]]&lt;&gt;""),MAX(单词表[[#This Row],[学英]:[学词]]),"")</f>
        <v>42635.861678240741</v>
      </c>
      <c r="M1790" s="2" t="str">
        <f>IF(AND(单词表[[#This Row],[考英]]&lt;&gt;"",单词表[[#This Row],[考中]]&lt;&gt;""),MAX(单词表[[#This Row],[考英]:[考中]]),"")</f>
        <v/>
      </c>
      <c r="N1790" s="79"/>
    </row>
    <row r="1791" spans="1:14" hidden="1" x14ac:dyDescent="0.15">
      <c r="A1791">
        <v>1791</v>
      </c>
      <c r="B1791" t="s">
        <v>35</v>
      </c>
      <c r="C1791" t="s">
        <v>7</v>
      </c>
      <c r="D1791" s="72" t="s">
        <v>2000</v>
      </c>
      <c r="E1791" t="s">
        <v>36</v>
      </c>
      <c r="F1791" t="s">
        <v>3354</v>
      </c>
      <c r="G1791" s="92">
        <v>42635.85596064815</v>
      </c>
      <c r="H1791" s="92">
        <v>42635.86314814815</v>
      </c>
      <c r="I1791" s="92">
        <v>42635.86314814815</v>
      </c>
      <c r="J1791" s="92"/>
      <c r="K1791" s="92">
        <v>42651.789155092592</v>
      </c>
      <c r="L1791" s="92">
        <f>IF(AND(单词表[[#This Row],[学英]]&lt;&gt;"",单词表[[#This Row],[学中]]&lt;&gt;"",单词表[[#This Row],[学词]]&lt;&gt;""),MAX(单词表[[#This Row],[学英]:[学词]]),"")</f>
        <v>42635.86314814815</v>
      </c>
      <c r="M1791" s="2" t="str">
        <f>IF(AND(单词表[[#This Row],[考英]]&lt;&gt;"",单词表[[#This Row],[考中]]&lt;&gt;""),MAX(单词表[[#This Row],[考英]:[考中]]),"")</f>
        <v/>
      </c>
      <c r="N1791" s="79"/>
    </row>
    <row r="1792" spans="1:14" hidden="1" x14ac:dyDescent="0.15">
      <c r="A1792">
        <v>1792</v>
      </c>
      <c r="B1792" t="s">
        <v>35</v>
      </c>
      <c r="C1792" t="s">
        <v>7</v>
      </c>
      <c r="D1792" s="72" t="s">
        <v>2457</v>
      </c>
      <c r="E1792" t="s">
        <v>61</v>
      </c>
      <c r="F1792" t="s">
        <v>3355</v>
      </c>
      <c r="G1792" s="92">
        <v>42635.856006944443</v>
      </c>
      <c r="H1792" s="92">
        <v>42635.862719907411</v>
      </c>
      <c r="I1792" s="92">
        <v>42635.86273148148</v>
      </c>
      <c r="J1792" s="92"/>
      <c r="K1792" s="92">
        <v>42651.789212962962</v>
      </c>
      <c r="L1792" s="92">
        <f>IF(AND(单词表[[#This Row],[学英]]&lt;&gt;"",单词表[[#This Row],[学中]]&lt;&gt;"",单词表[[#This Row],[学词]]&lt;&gt;""),MAX(单词表[[#This Row],[学英]:[学词]]),"")</f>
        <v>42635.86273148148</v>
      </c>
      <c r="M1792" s="2" t="str">
        <f>IF(AND(单词表[[#This Row],[考英]]&lt;&gt;"",单词表[[#This Row],[考中]]&lt;&gt;""),MAX(单词表[[#This Row],[考英]:[考中]]),"")</f>
        <v/>
      </c>
      <c r="N1792" s="79"/>
    </row>
    <row r="1793" spans="1:14" hidden="1" x14ac:dyDescent="0.15">
      <c r="A1793">
        <v>1793</v>
      </c>
      <c r="B1793" t="s">
        <v>35</v>
      </c>
      <c r="C1793" t="s">
        <v>7</v>
      </c>
      <c r="D1793" s="72" t="s">
        <v>2457</v>
      </c>
      <c r="E1793" t="s">
        <v>36</v>
      </c>
      <c r="F1793" t="s">
        <v>3356</v>
      </c>
      <c r="G1793" s="92">
        <v>42635.856053240743</v>
      </c>
      <c r="H1793" s="92">
        <v>42635.856064814812</v>
      </c>
      <c r="I1793" s="92">
        <v>42635.856064814812</v>
      </c>
      <c r="J1793" s="92"/>
      <c r="K1793" s="92">
        <v>42651.789247685185</v>
      </c>
      <c r="L1793" s="92">
        <f>IF(AND(单词表[[#This Row],[学英]]&lt;&gt;"",单词表[[#This Row],[学中]]&lt;&gt;"",单词表[[#This Row],[学词]]&lt;&gt;""),MAX(单词表[[#This Row],[学英]:[学词]]),"")</f>
        <v>42635.856064814812</v>
      </c>
      <c r="M1793" s="2" t="str">
        <f>IF(AND(单词表[[#This Row],[考英]]&lt;&gt;"",单词表[[#This Row],[考中]]&lt;&gt;""),MAX(单词表[[#This Row],[考英]:[考中]]),"")</f>
        <v/>
      </c>
      <c r="N1793" s="79"/>
    </row>
    <row r="1794" spans="1:14" hidden="1" x14ac:dyDescent="0.15">
      <c r="A1794">
        <v>1794</v>
      </c>
      <c r="B1794" t="s">
        <v>35</v>
      </c>
      <c r="C1794" t="s">
        <v>7</v>
      </c>
      <c r="D1794" s="72" t="s">
        <v>3357</v>
      </c>
      <c r="E1794" t="s">
        <v>36</v>
      </c>
      <c r="F1794" t="s">
        <v>3358</v>
      </c>
      <c r="G1794" s="92">
        <v>42635.856087962966</v>
      </c>
      <c r="H1794" s="92">
        <v>42635.856111111112</v>
      </c>
      <c r="I1794" s="92">
        <v>42635.856099537035</v>
      </c>
      <c r="J1794" s="92"/>
      <c r="K1794" s="92">
        <v>42651.789282407408</v>
      </c>
      <c r="L1794" s="92">
        <f>IF(AND(单词表[[#This Row],[学英]]&lt;&gt;"",单词表[[#This Row],[学中]]&lt;&gt;"",单词表[[#This Row],[学词]]&lt;&gt;""),MAX(单词表[[#This Row],[学英]:[学词]]),"")</f>
        <v>42635.856111111112</v>
      </c>
      <c r="M1794" s="2" t="str">
        <f>IF(AND(单词表[[#This Row],[考英]]&lt;&gt;"",单词表[[#This Row],[考中]]&lt;&gt;""),MAX(单词表[[#This Row],[考英]:[考中]]),"")</f>
        <v/>
      </c>
      <c r="N1794" s="79"/>
    </row>
    <row r="1795" spans="1:14" hidden="1" x14ac:dyDescent="0.15">
      <c r="A1795">
        <v>1795</v>
      </c>
      <c r="B1795" t="s">
        <v>35</v>
      </c>
      <c r="C1795" t="s">
        <v>7</v>
      </c>
      <c r="D1795" s="72" t="s">
        <v>3357</v>
      </c>
      <c r="E1795" t="s">
        <v>61</v>
      </c>
      <c r="F1795" t="s">
        <v>3359</v>
      </c>
      <c r="G1795" s="92">
        <v>42635.857291666667</v>
      </c>
      <c r="H1795" s="92">
        <v>42635.857291666667</v>
      </c>
      <c r="I1795" s="92">
        <v>42635.857291666667</v>
      </c>
      <c r="J1795" s="92"/>
      <c r="K1795" s="92">
        <v>42651.789317129631</v>
      </c>
      <c r="L1795" s="92">
        <f>IF(AND(单词表[[#This Row],[学英]]&lt;&gt;"",单词表[[#This Row],[学中]]&lt;&gt;"",单词表[[#This Row],[学词]]&lt;&gt;""),MAX(单词表[[#This Row],[学英]:[学词]]),"")</f>
        <v>42635.857291666667</v>
      </c>
      <c r="M1795" s="2" t="str">
        <f>IF(AND(单词表[[#This Row],[考英]]&lt;&gt;"",单词表[[#This Row],[考中]]&lt;&gt;""),MAX(单词表[[#This Row],[考英]:[考中]]),"")</f>
        <v/>
      </c>
      <c r="N1795" s="79"/>
    </row>
    <row r="1796" spans="1:14" hidden="1" x14ac:dyDescent="0.15">
      <c r="A1796">
        <v>1796</v>
      </c>
      <c r="B1796" t="s">
        <v>35</v>
      </c>
      <c r="C1796" t="s">
        <v>7</v>
      </c>
      <c r="D1796" s="72" t="s">
        <v>1641</v>
      </c>
      <c r="E1796" t="s">
        <v>61</v>
      </c>
      <c r="F1796" t="s">
        <v>1642</v>
      </c>
      <c r="G1796" s="92">
        <v>42635.85732638889</v>
      </c>
      <c r="H1796" s="92">
        <v>42635.86178240741</v>
      </c>
      <c r="I1796" s="92">
        <v>42635.861770833333</v>
      </c>
      <c r="J1796" s="92"/>
      <c r="K1796" s="92">
        <v>42651.789375</v>
      </c>
      <c r="L1796" s="92">
        <f>IF(AND(单词表[[#This Row],[学英]]&lt;&gt;"",单词表[[#This Row],[学中]]&lt;&gt;"",单词表[[#This Row],[学词]]&lt;&gt;""),MAX(单词表[[#This Row],[学英]:[学词]]),"")</f>
        <v>42635.86178240741</v>
      </c>
      <c r="M1796" s="2" t="str">
        <f>IF(AND(单词表[[#This Row],[考英]]&lt;&gt;"",单词表[[#This Row],[考中]]&lt;&gt;""),MAX(单词表[[#This Row],[考英]:[考中]]),"")</f>
        <v/>
      </c>
      <c r="N1796" s="79"/>
    </row>
    <row r="1797" spans="1:14" hidden="1" x14ac:dyDescent="0.15">
      <c r="A1797">
        <v>1797</v>
      </c>
      <c r="B1797" t="s">
        <v>35</v>
      </c>
      <c r="C1797" t="s">
        <v>7</v>
      </c>
      <c r="D1797" s="72" t="s">
        <v>3360</v>
      </c>
      <c r="E1797" t="s">
        <v>36</v>
      </c>
      <c r="F1797" t="s">
        <v>3361</v>
      </c>
      <c r="G1797" s="92">
        <v>42635.857361111113</v>
      </c>
      <c r="H1797" s="92">
        <v>42635.857361111113</v>
      </c>
      <c r="I1797" s="92">
        <v>42635.857361111113</v>
      </c>
      <c r="J1797" s="92"/>
      <c r="K1797" s="92">
        <v>42651.789409722223</v>
      </c>
      <c r="L1797" s="92">
        <f>IF(AND(单词表[[#This Row],[学英]]&lt;&gt;"",单词表[[#This Row],[学中]]&lt;&gt;"",单词表[[#This Row],[学词]]&lt;&gt;""),MAX(单词表[[#This Row],[学英]:[学词]]),"")</f>
        <v>42635.857361111113</v>
      </c>
      <c r="M1797" s="2" t="str">
        <f>IF(AND(单词表[[#This Row],[考英]]&lt;&gt;"",单词表[[#This Row],[考中]]&lt;&gt;""),MAX(单词表[[#This Row],[考英]:[考中]]),"")</f>
        <v/>
      </c>
      <c r="N1797" s="79"/>
    </row>
    <row r="1798" spans="1:14" hidden="1" x14ac:dyDescent="0.15">
      <c r="A1798">
        <v>1798</v>
      </c>
      <c r="B1798" t="s">
        <v>35</v>
      </c>
      <c r="C1798" t="s">
        <v>7</v>
      </c>
      <c r="D1798" s="72" t="s">
        <v>3362</v>
      </c>
      <c r="E1798" t="s">
        <v>36</v>
      </c>
      <c r="F1798" t="s">
        <v>3363</v>
      </c>
      <c r="G1798" s="92">
        <v>42635.857430555552</v>
      </c>
      <c r="H1798" s="92">
        <v>42635.857430555552</v>
      </c>
      <c r="I1798" s="92">
        <v>42635.857430555552</v>
      </c>
      <c r="J1798" s="92"/>
      <c r="K1798" s="92">
        <v>42651.789456018516</v>
      </c>
      <c r="L1798" s="92">
        <f>IF(AND(单词表[[#This Row],[学英]]&lt;&gt;"",单词表[[#This Row],[学中]]&lt;&gt;"",单词表[[#This Row],[学词]]&lt;&gt;""),MAX(单词表[[#This Row],[学英]:[学词]]),"")</f>
        <v>42635.857430555552</v>
      </c>
      <c r="M1798" s="2" t="str">
        <f>IF(AND(单词表[[#This Row],[考英]]&lt;&gt;"",单词表[[#This Row],[考中]]&lt;&gt;""),MAX(单词表[[#This Row],[考英]:[考中]]),"")</f>
        <v/>
      </c>
      <c r="N1798" s="79"/>
    </row>
    <row r="1799" spans="1:14" hidden="1" x14ac:dyDescent="0.15">
      <c r="A1799">
        <v>1799</v>
      </c>
      <c r="B1799" t="s">
        <v>35</v>
      </c>
      <c r="C1799" t="s">
        <v>7</v>
      </c>
      <c r="D1799" s="72" t="s">
        <v>3364</v>
      </c>
      <c r="E1799" t="s">
        <v>36</v>
      </c>
      <c r="F1799" t="s">
        <v>3365</v>
      </c>
      <c r="G1799" s="92">
        <v>42635.857476851852</v>
      </c>
      <c r="H1799" s="92">
        <v>42651.792627314811</v>
      </c>
      <c r="I1799" s="92">
        <v>42651.792627314811</v>
      </c>
      <c r="J1799" s="92"/>
      <c r="K1799" s="92">
        <v>42651.793252314812</v>
      </c>
      <c r="L1799" s="92">
        <f>IF(AND(单词表[[#This Row],[学英]]&lt;&gt;"",单词表[[#This Row],[学中]]&lt;&gt;"",单词表[[#This Row],[学词]]&lt;&gt;""),MAX(单词表[[#This Row],[学英]:[学词]]),"")</f>
        <v>42651.792627314811</v>
      </c>
      <c r="M1799" s="2" t="str">
        <f>IF(AND(单词表[[#This Row],[考英]]&lt;&gt;"",单词表[[#This Row],[考中]]&lt;&gt;""),MAX(单词表[[#This Row],[考英]:[考中]]),"")</f>
        <v/>
      </c>
      <c r="N1799" s="79"/>
    </row>
    <row r="1800" spans="1:14" hidden="1" x14ac:dyDescent="0.15">
      <c r="A1800">
        <v>1800</v>
      </c>
      <c r="B1800" t="s">
        <v>35</v>
      </c>
      <c r="C1800" t="s">
        <v>8</v>
      </c>
      <c r="D1800" s="72" t="s">
        <v>2954</v>
      </c>
      <c r="E1800" t="s">
        <v>61</v>
      </c>
      <c r="F1800" t="s">
        <v>3366</v>
      </c>
      <c r="G1800" s="92">
        <v>42637.55841435185</v>
      </c>
      <c r="H1800" s="92">
        <v>42637.558437500003</v>
      </c>
      <c r="I1800" s="92">
        <v>42637.55841435185</v>
      </c>
      <c r="J1800" s="92"/>
      <c r="K1800" s="92">
        <v>42637.560254629629</v>
      </c>
      <c r="L1800" s="92">
        <f>IF(AND(单词表[[#This Row],[学英]]&lt;&gt;"",单词表[[#This Row],[学中]]&lt;&gt;"",单词表[[#This Row],[学词]]&lt;&gt;""),MAX(单词表[[#This Row],[学英]:[学词]]),"")</f>
        <v>42637.558437500003</v>
      </c>
      <c r="M1800" s="2" t="str">
        <f>IF(AND(单词表[[#This Row],[考英]]&lt;&gt;"",单词表[[#This Row],[考中]]&lt;&gt;""),MAX(单词表[[#This Row],[考英]:[考中]]),"")</f>
        <v/>
      </c>
      <c r="N1800" s="79"/>
    </row>
    <row r="1801" spans="1:14" hidden="1" x14ac:dyDescent="0.15">
      <c r="A1801">
        <v>1801</v>
      </c>
      <c r="B1801" t="s">
        <v>35</v>
      </c>
      <c r="C1801" t="s">
        <v>8</v>
      </c>
      <c r="D1801" s="72" t="s">
        <v>3367</v>
      </c>
      <c r="E1801" t="s">
        <v>36</v>
      </c>
      <c r="F1801" t="s">
        <v>5507</v>
      </c>
      <c r="G1801" s="92">
        <v>42637.55846064815</v>
      </c>
      <c r="H1801" s="92">
        <v>42637.56144675926</v>
      </c>
      <c r="I1801" s="92">
        <v>42637.56144675926</v>
      </c>
      <c r="J1801" s="92"/>
      <c r="K1801" s="92">
        <v>42637.561967592592</v>
      </c>
      <c r="L1801" s="92">
        <f>IF(AND(单词表[[#This Row],[学英]]&lt;&gt;"",单词表[[#This Row],[学中]]&lt;&gt;"",单词表[[#This Row],[学词]]&lt;&gt;""),MAX(单词表[[#This Row],[学英]:[学词]]),"")</f>
        <v>42637.56144675926</v>
      </c>
      <c r="M1801" s="2" t="str">
        <f>IF(AND(单词表[[#This Row],[考英]]&lt;&gt;"",单词表[[#This Row],[考中]]&lt;&gt;""),MAX(单词表[[#This Row],[考英]:[考中]]),"")</f>
        <v/>
      </c>
      <c r="N1801" s="79"/>
    </row>
    <row r="1802" spans="1:14" hidden="1" x14ac:dyDescent="0.15">
      <c r="A1802">
        <v>1802</v>
      </c>
      <c r="B1802" t="s">
        <v>35</v>
      </c>
      <c r="C1802" t="s">
        <v>8</v>
      </c>
      <c r="D1802" s="72" t="s">
        <v>3368</v>
      </c>
      <c r="E1802" t="s">
        <v>36</v>
      </c>
      <c r="F1802" t="s">
        <v>689</v>
      </c>
      <c r="G1802" s="92">
        <v>42637.558495370373</v>
      </c>
      <c r="H1802" s="92">
        <v>42637.561469907407</v>
      </c>
      <c r="I1802" s="92">
        <v>42637.561469907407</v>
      </c>
      <c r="J1802" s="92"/>
      <c r="K1802" s="92">
        <v>42637.562013888892</v>
      </c>
      <c r="L1802" s="92">
        <f>IF(AND(单词表[[#This Row],[学英]]&lt;&gt;"",单词表[[#This Row],[学中]]&lt;&gt;"",单词表[[#This Row],[学词]]&lt;&gt;""),MAX(单词表[[#This Row],[学英]:[学词]]),"")</f>
        <v>42637.561469907407</v>
      </c>
      <c r="M1802" s="2" t="str">
        <f>IF(AND(单词表[[#This Row],[考英]]&lt;&gt;"",单词表[[#This Row],[考中]]&lt;&gt;""),MAX(单词表[[#This Row],[考英]:[考中]]),"")</f>
        <v/>
      </c>
      <c r="N1802" s="79"/>
    </row>
    <row r="1803" spans="1:14" hidden="1" x14ac:dyDescent="0.15">
      <c r="A1803">
        <v>1803</v>
      </c>
      <c r="B1803" t="s">
        <v>35</v>
      </c>
      <c r="C1803" t="s">
        <v>8</v>
      </c>
      <c r="D1803" s="72" t="s">
        <v>1412</v>
      </c>
      <c r="E1803" t="s">
        <v>157</v>
      </c>
      <c r="F1803" t="s">
        <v>1413</v>
      </c>
      <c r="G1803" s="92">
        <v>42637.558530092596</v>
      </c>
      <c r="H1803" s="92">
        <v>42637.558541666665</v>
      </c>
      <c r="I1803" s="92">
        <v>42637.558541666665</v>
      </c>
      <c r="J1803" s="92"/>
      <c r="K1803" s="92">
        <v>42637.560439814813</v>
      </c>
      <c r="L1803" s="92">
        <f>IF(AND(单词表[[#This Row],[学英]]&lt;&gt;"",单词表[[#This Row],[学中]]&lt;&gt;"",单词表[[#This Row],[学词]]&lt;&gt;""),MAX(单词表[[#This Row],[学英]:[学词]]),"")</f>
        <v>42637.558541666665</v>
      </c>
      <c r="M1803" s="2" t="str">
        <f>IF(AND(单词表[[#This Row],[考英]]&lt;&gt;"",单词表[[#This Row],[考中]]&lt;&gt;""),MAX(单词表[[#This Row],[考英]:[考中]]),"")</f>
        <v/>
      </c>
      <c r="N1803" s="79"/>
    </row>
    <row r="1804" spans="1:14" hidden="1" x14ac:dyDescent="0.15">
      <c r="A1804">
        <v>1804</v>
      </c>
      <c r="B1804" t="s">
        <v>35</v>
      </c>
      <c r="C1804" t="s">
        <v>8</v>
      </c>
      <c r="D1804" s="72" t="s">
        <v>3369</v>
      </c>
      <c r="E1804" t="s">
        <v>36</v>
      </c>
      <c r="F1804" t="s">
        <v>2855</v>
      </c>
      <c r="G1804" s="92">
        <v>42637.558564814812</v>
      </c>
      <c r="H1804" s="92">
        <v>42637.558576388888</v>
      </c>
      <c r="I1804" s="92">
        <v>42637.558576388888</v>
      </c>
      <c r="J1804" s="92"/>
      <c r="K1804" s="92">
        <v>42637.560474537036</v>
      </c>
      <c r="L1804" s="92">
        <f>IF(AND(单词表[[#This Row],[学英]]&lt;&gt;"",单词表[[#This Row],[学中]]&lt;&gt;"",单词表[[#This Row],[学词]]&lt;&gt;""),MAX(单词表[[#This Row],[学英]:[学词]]),"")</f>
        <v>42637.558576388888</v>
      </c>
      <c r="M1804" s="2" t="str">
        <f>IF(AND(单词表[[#This Row],[考英]]&lt;&gt;"",单词表[[#This Row],[考中]]&lt;&gt;""),MAX(单词表[[#This Row],[考英]:[考中]]),"")</f>
        <v/>
      </c>
      <c r="N1804" s="79"/>
    </row>
    <row r="1805" spans="1:14" hidden="1" x14ac:dyDescent="0.15">
      <c r="A1805">
        <v>1805</v>
      </c>
      <c r="B1805" t="s">
        <v>35</v>
      </c>
      <c r="C1805" t="s">
        <v>8</v>
      </c>
      <c r="D1805" s="72" t="s">
        <v>3370</v>
      </c>
      <c r="E1805" t="s">
        <v>36</v>
      </c>
      <c r="F1805" t="s">
        <v>3371</v>
      </c>
      <c r="G1805" s="92">
        <v>42637.558599537035</v>
      </c>
      <c r="H1805" s="92">
        <v>42637.558611111112</v>
      </c>
      <c r="I1805" s="92">
        <v>42637.558599537035</v>
      </c>
      <c r="J1805" s="92"/>
      <c r="K1805" s="92">
        <v>42637.56050925926</v>
      </c>
      <c r="L1805" s="92">
        <f>IF(AND(单词表[[#This Row],[学英]]&lt;&gt;"",单词表[[#This Row],[学中]]&lt;&gt;"",单词表[[#This Row],[学词]]&lt;&gt;""),MAX(单词表[[#This Row],[学英]:[学词]]),"")</f>
        <v>42637.558611111112</v>
      </c>
      <c r="M1805" s="2" t="str">
        <f>IF(AND(单词表[[#This Row],[考英]]&lt;&gt;"",单词表[[#This Row],[考中]]&lt;&gt;""),MAX(单词表[[#This Row],[考英]:[考中]]),"")</f>
        <v/>
      </c>
      <c r="N1805" s="79"/>
    </row>
    <row r="1806" spans="1:14" hidden="1" x14ac:dyDescent="0.15">
      <c r="A1806">
        <v>1806</v>
      </c>
      <c r="B1806" t="s">
        <v>35</v>
      </c>
      <c r="C1806" t="s">
        <v>8</v>
      </c>
      <c r="D1806" s="72" t="s">
        <v>3372</v>
      </c>
      <c r="E1806" t="s">
        <v>702</v>
      </c>
      <c r="F1806" t="s">
        <v>3373</v>
      </c>
      <c r="G1806" s="92">
        <v>42637.559432870374</v>
      </c>
      <c r="H1806" s="92">
        <v>42637.559444444443</v>
      </c>
      <c r="I1806" s="92">
        <v>42637.559432870374</v>
      </c>
      <c r="J1806" s="92"/>
      <c r="K1806" s="92">
        <v>42637.560543981483</v>
      </c>
      <c r="L1806" s="92">
        <f>IF(AND(单词表[[#This Row],[学英]]&lt;&gt;"",单词表[[#This Row],[学中]]&lt;&gt;"",单词表[[#This Row],[学词]]&lt;&gt;""),MAX(单词表[[#This Row],[学英]:[学词]]),"")</f>
        <v>42637.559444444443</v>
      </c>
      <c r="M1806" s="2" t="str">
        <f>IF(AND(单词表[[#This Row],[考英]]&lt;&gt;"",单词表[[#This Row],[考中]]&lt;&gt;""),MAX(单词表[[#This Row],[考英]:[考中]]),"")</f>
        <v/>
      </c>
      <c r="N1806" s="79"/>
    </row>
    <row r="1807" spans="1:14" hidden="1" x14ac:dyDescent="0.15">
      <c r="A1807">
        <v>1807</v>
      </c>
      <c r="B1807" t="s">
        <v>35</v>
      </c>
      <c r="C1807" t="s">
        <v>8</v>
      </c>
      <c r="D1807" s="72" t="s">
        <v>3374</v>
      </c>
      <c r="E1807" t="s">
        <v>73</v>
      </c>
      <c r="F1807" t="s">
        <v>3375</v>
      </c>
      <c r="G1807" s="92">
        <v>42637.559490740743</v>
      </c>
      <c r="H1807" s="92">
        <v>42637.559502314813</v>
      </c>
      <c r="I1807" s="92">
        <v>42637.559467592589</v>
      </c>
      <c r="J1807" s="92"/>
      <c r="K1807" s="92">
        <v>42637.560590277775</v>
      </c>
      <c r="L1807" s="92">
        <f>IF(AND(单词表[[#This Row],[学英]]&lt;&gt;"",单词表[[#This Row],[学中]]&lt;&gt;"",单词表[[#This Row],[学词]]&lt;&gt;""),MAX(单词表[[#This Row],[学英]:[学词]]),"")</f>
        <v>42637.559502314813</v>
      </c>
      <c r="M1807" s="2" t="str">
        <f>IF(AND(单词表[[#This Row],[考英]]&lt;&gt;"",单词表[[#This Row],[考中]]&lt;&gt;""),MAX(单词表[[#This Row],[考英]:[考中]]),"")</f>
        <v/>
      </c>
      <c r="N1807" s="79"/>
    </row>
    <row r="1808" spans="1:14" hidden="1" x14ac:dyDescent="0.15">
      <c r="A1808">
        <v>1808</v>
      </c>
      <c r="B1808" t="s">
        <v>35</v>
      </c>
      <c r="C1808" t="s">
        <v>8</v>
      </c>
      <c r="D1808" s="72" t="s">
        <v>2116</v>
      </c>
      <c r="E1808" t="s">
        <v>36</v>
      </c>
      <c r="F1808" t="s">
        <v>3376</v>
      </c>
      <c r="G1808" s="92">
        <v>42637.559537037036</v>
      </c>
      <c r="H1808" s="92">
        <v>42637.559548611112</v>
      </c>
      <c r="I1808" s="92">
        <v>42637.559548611112</v>
      </c>
      <c r="J1808" s="92"/>
      <c r="K1808" s="92">
        <v>42637.560636574075</v>
      </c>
      <c r="L1808" s="92">
        <f>IF(AND(单词表[[#This Row],[学英]]&lt;&gt;"",单词表[[#This Row],[学中]]&lt;&gt;"",单词表[[#This Row],[学词]]&lt;&gt;""),MAX(单词表[[#This Row],[学英]:[学词]]),"")</f>
        <v>42637.559548611112</v>
      </c>
      <c r="M1808" s="2" t="str">
        <f>IF(AND(单词表[[#This Row],[考英]]&lt;&gt;"",单词表[[#This Row],[考中]]&lt;&gt;""),MAX(单词表[[#This Row],[考英]:[考中]]),"")</f>
        <v/>
      </c>
      <c r="N1808" s="79"/>
    </row>
    <row r="1809" spans="1:14" hidden="1" x14ac:dyDescent="0.15">
      <c r="A1809">
        <v>1809</v>
      </c>
      <c r="B1809" t="s">
        <v>35</v>
      </c>
      <c r="C1809" t="s">
        <v>8</v>
      </c>
      <c r="D1809" s="72" t="s">
        <v>3377</v>
      </c>
      <c r="E1809" t="s">
        <v>702</v>
      </c>
      <c r="F1809" t="s">
        <v>3378</v>
      </c>
      <c r="G1809" s="92">
        <v>42637.559571759259</v>
      </c>
      <c r="H1809" s="92">
        <v>42637.588009259256</v>
      </c>
      <c r="I1809" s="92">
        <v>42637.587997685187</v>
      </c>
      <c r="J1809" s="92"/>
      <c r="K1809" s="92">
        <v>42637.588101851848</v>
      </c>
      <c r="L1809" s="92">
        <f>IF(AND(单词表[[#This Row],[学英]]&lt;&gt;"",单词表[[#This Row],[学中]]&lt;&gt;"",单词表[[#This Row],[学词]]&lt;&gt;""),MAX(单词表[[#This Row],[学英]:[学词]]),"")</f>
        <v>42637.588009259256</v>
      </c>
      <c r="M1809" s="2" t="str">
        <f>IF(AND(单词表[[#This Row],[考英]]&lt;&gt;"",单词表[[#This Row],[考中]]&lt;&gt;""),MAX(单词表[[#This Row],[考英]:[考中]]),"")</f>
        <v/>
      </c>
      <c r="N1809" s="79"/>
    </row>
    <row r="1810" spans="1:14" hidden="1" x14ac:dyDescent="0.15">
      <c r="A1810">
        <v>1810</v>
      </c>
      <c r="B1810" t="s">
        <v>35</v>
      </c>
      <c r="C1810" t="s">
        <v>8</v>
      </c>
      <c r="D1810" s="72" t="s">
        <v>3379</v>
      </c>
      <c r="E1810" t="s">
        <v>36</v>
      </c>
      <c r="F1810" t="s">
        <v>3380</v>
      </c>
      <c r="G1810" s="92">
        <v>42637.559710648151</v>
      </c>
      <c r="H1810" s="92">
        <v>42637.55972222222</v>
      </c>
      <c r="I1810" s="92">
        <v>42637.55972222222</v>
      </c>
      <c r="J1810" s="92"/>
      <c r="K1810" s="92">
        <v>42637.560740740744</v>
      </c>
      <c r="L1810" s="92">
        <f>IF(AND(单词表[[#This Row],[学英]]&lt;&gt;"",单词表[[#This Row],[学中]]&lt;&gt;"",单词表[[#This Row],[学词]]&lt;&gt;""),MAX(单词表[[#This Row],[学英]:[学词]]),"")</f>
        <v>42637.55972222222</v>
      </c>
      <c r="M1810" s="2" t="str">
        <f>IF(AND(单词表[[#This Row],[考英]]&lt;&gt;"",单词表[[#This Row],[考中]]&lt;&gt;""),MAX(单词表[[#This Row],[考英]:[考中]]),"")</f>
        <v/>
      </c>
      <c r="N1810" s="79"/>
    </row>
    <row r="1811" spans="1:14" hidden="1" x14ac:dyDescent="0.15">
      <c r="A1811">
        <v>1811</v>
      </c>
      <c r="B1811" t="s">
        <v>35</v>
      </c>
      <c r="C1811" t="s">
        <v>8</v>
      </c>
      <c r="D1811" s="72" t="s">
        <v>452</v>
      </c>
      <c r="E1811" t="s">
        <v>61</v>
      </c>
      <c r="F1811" t="s">
        <v>3381</v>
      </c>
      <c r="G1811" s="92">
        <v>42637.559733796297</v>
      </c>
      <c r="H1811" s="92">
        <v>42637.563067129631</v>
      </c>
      <c r="I1811" s="92">
        <v>42637.563067129631</v>
      </c>
      <c r="J1811" s="92"/>
      <c r="K1811" s="92">
        <v>42637.587187500001</v>
      </c>
      <c r="L1811" s="92">
        <f>IF(AND(单词表[[#This Row],[学英]]&lt;&gt;"",单词表[[#This Row],[学中]]&lt;&gt;"",单词表[[#This Row],[学词]]&lt;&gt;""),MAX(单词表[[#This Row],[学英]:[学词]]),"")</f>
        <v>42637.563067129631</v>
      </c>
      <c r="M1811" s="2" t="str">
        <f>IF(AND(单词表[[#This Row],[考英]]&lt;&gt;"",单词表[[#This Row],[考中]]&lt;&gt;""),MAX(单词表[[#This Row],[考英]:[考中]]),"")</f>
        <v/>
      </c>
      <c r="N1811" s="79"/>
    </row>
    <row r="1812" spans="1:14" hidden="1" x14ac:dyDescent="0.15">
      <c r="A1812">
        <v>1812</v>
      </c>
      <c r="B1812" t="s">
        <v>35</v>
      </c>
      <c r="C1812" t="s">
        <v>8</v>
      </c>
      <c r="D1812" s="72" t="s">
        <v>1871</v>
      </c>
      <c r="E1812" t="s">
        <v>157</v>
      </c>
      <c r="F1812" t="s">
        <v>1872</v>
      </c>
      <c r="G1812" s="92">
        <v>42637.55976851852</v>
      </c>
      <c r="H1812" s="92">
        <v>42637.562430555554</v>
      </c>
      <c r="I1812" s="92">
        <v>42637.562418981484</v>
      </c>
      <c r="J1812" s="92"/>
      <c r="K1812" s="92">
        <v>42637.562604166669</v>
      </c>
      <c r="L1812" s="92">
        <f>IF(AND(单词表[[#This Row],[学英]]&lt;&gt;"",单词表[[#This Row],[学中]]&lt;&gt;"",单词表[[#This Row],[学词]]&lt;&gt;""),MAX(单词表[[#This Row],[学英]:[学词]]),"")</f>
        <v>42637.562430555554</v>
      </c>
      <c r="M1812" s="2" t="str">
        <f>IF(AND(单词表[[#This Row],[考英]]&lt;&gt;"",单词表[[#This Row],[考中]]&lt;&gt;""),MAX(单词表[[#This Row],[考英]:[考中]]),"")</f>
        <v/>
      </c>
      <c r="N1812" s="79"/>
    </row>
    <row r="1813" spans="1:14" hidden="1" x14ac:dyDescent="0.15">
      <c r="A1813">
        <v>1813</v>
      </c>
      <c r="B1813" t="s">
        <v>35</v>
      </c>
      <c r="C1813" t="s">
        <v>8</v>
      </c>
      <c r="D1813" s="72" t="s">
        <v>3382</v>
      </c>
      <c r="E1813" t="s">
        <v>36</v>
      </c>
      <c r="F1813" t="s">
        <v>3383</v>
      </c>
      <c r="G1813" s="92">
        <v>42637.559803240743</v>
      </c>
      <c r="H1813" s="92">
        <v>42637.563101851854</v>
      </c>
      <c r="I1813" s="92">
        <v>42637.563090277778</v>
      </c>
      <c r="J1813" s="92"/>
      <c r="K1813" s="92">
        <v>42637.587233796294</v>
      </c>
      <c r="L1813" s="92">
        <f>IF(AND(单词表[[#This Row],[学英]]&lt;&gt;"",单词表[[#This Row],[学中]]&lt;&gt;"",单词表[[#This Row],[学词]]&lt;&gt;""),MAX(单词表[[#This Row],[学英]:[学词]]),"")</f>
        <v>42637.563101851854</v>
      </c>
      <c r="M1813" s="2" t="str">
        <f>IF(AND(单词表[[#This Row],[考英]]&lt;&gt;"",单词表[[#This Row],[考中]]&lt;&gt;""),MAX(单词表[[#This Row],[考英]:[考中]]),"")</f>
        <v/>
      </c>
      <c r="N1813" s="79"/>
    </row>
    <row r="1814" spans="1:14" hidden="1" x14ac:dyDescent="0.15">
      <c r="A1814">
        <v>1814</v>
      </c>
      <c r="B1814" t="s">
        <v>35</v>
      </c>
      <c r="C1814" t="s">
        <v>8</v>
      </c>
      <c r="D1814" s="72" t="s">
        <v>3384</v>
      </c>
      <c r="E1814" t="s">
        <v>36</v>
      </c>
      <c r="F1814" t="s">
        <v>3385</v>
      </c>
      <c r="G1814" s="92">
        <v>42637.559837962966</v>
      </c>
      <c r="H1814" s="92">
        <v>42637.563148148147</v>
      </c>
      <c r="I1814" s="92">
        <v>42637.563136574077</v>
      </c>
      <c r="J1814" s="92"/>
      <c r="K1814" s="92">
        <v>42637.587280092594</v>
      </c>
      <c r="L1814" s="92">
        <f>IF(AND(单词表[[#This Row],[学英]]&lt;&gt;"",单词表[[#This Row],[学中]]&lt;&gt;"",单词表[[#This Row],[学词]]&lt;&gt;""),MAX(单词表[[#This Row],[学英]:[学词]]),"")</f>
        <v>42637.563148148147</v>
      </c>
      <c r="M1814" s="2" t="str">
        <f>IF(AND(单词表[[#This Row],[考英]]&lt;&gt;"",单词表[[#This Row],[考中]]&lt;&gt;""),MAX(单词表[[#This Row],[考英]:[考中]]),"")</f>
        <v/>
      </c>
      <c r="N1814" s="79"/>
    </row>
    <row r="1815" spans="1:14" hidden="1" x14ac:dyDescent="0.15">
      <c r="A1815">
        <v>1815</v>
      </c>
      <c r="B1815" t="s">
        <v>35</v>
      </c>
      <c r="C1815" t="s">
        <v>8</v>
      </c>
      <c r="D1815" s="72" t="s">
        <v>75</v>
      </c>
      <c r="E1815" t="s">
        <v>36</v>
      </c>
      <c r="F1815" t="s">
        <v>3386</v>
      </c>
      <c r="G1815" s="92">
        <v>42637.559884259259</v>
      </c>
      <c r="H1815" s="92">
        <v>42637.559907407405</v>
      </c>
      <c r="I1815" s="92">
        <v>42637.559895833336</v>
      </c>
      <c r="J1815" s="92"/>
      <c r="K1815" s="92">
        <v>42637.561053240737</v>
      </c>
      <c r="L1815" s="92">
        <f>IF(AND(单词表[[#This Row],[学英]]&lt;&gt;"",单词表[[#This Row],[学中]]&lt;&gt;"",单词表[[#This Row],[学词]]&lt;&gt;""),MAX(单词表[[#This Row],[学英]:[学词]]),"")</f>
        <v>42637.559907407405</v>
      </c>
      <c r="M1815" s="2" t="str">
        <f>IF(AND(单词表[[#This Row],[考英]]&lt;&gt;"",单词表[[#This Row],[考中]]&lt;&gt;""),MAX(单词表[[#This Row],[考英]:[考中]]),"")</f>
        <v/>
      </c>
      <c r="N1815" s="79"/>
    </row>
    <row r="1816" spans="1:14" hidden="1" x14ac:dyDescent="0.15">
      <c r="A1816">
        <v>1816</v>
      </c>
      <c r="B1816" t="s">
        <v>35</v>
      </c>
      <c r="C1816" t="s">
        <v>8</v>
      </c>
      <c r="D1816" s="72" t="s">
        <v>231</v>
      </c>
      <c r="E1816" t="s">
        <v>61</v>
      </c>
      <c r="F1816" t="s">
        <v>3387</v>
      </c>
      <c r="G1816" s="92">
        <v>42637.559918981482</v>
      </c>
      <c r="H1816" s="92">
        <v>42637.561724537038</v>
      </c>
      <c r="I1816" s="92">
        <v>42637.561724537038</v>
      </c>
      <c r="J1816" s="92"/>
      <c r="K1816" s="92">
        <v>42637.562754629631</v>
      </c>
      <c r="L1816" s="92">
        <f>IF(AND(单词表[[#This Row],[学英]]&lt;&gt;"",单词表[[#This Row],[学中]]&lt;&gt;"",单词表[[#This Row],[学词]]&lt;&gt;""),MAX(单词表[[#This Row],[学英]:[学词]]),"")</f>
        <v>42637.561724537038</v>
      </c>
      <c r="M1816" s="2" t="str">
        <f>IF(AND(单词表[[#This Row],[考英]]&lt;&gt;"",单词表[[#This Row],[考中]]&lt;&gt;""),MAX(单词表[[#This Row],[考英]:[考中]]),"")</f>
        <v/>
      </c>
      <c r="N1816" s="79"/>
    </row>
    <row r="1817" spans="1:14" hidden="1" x14ac:dyDescent="0.15">
      <c r="A1817">
        <v>1817</v>
      </c>
      <c r="B1817" t="s">
        <v>35</v>
      </c>
      <c r="C1817" t="s">
        <v>8</v>
      </c>
      <c r="D1817" s="72" t="s">
        <v>68</v>
      </c>
      <c r="E1817" t="s">
        <v>36</v>
      </c>
      <c r="F1817" t="s">
        <v>69</v>
      </c>
      <c r="G1817" s="92">
        <v>42637.559976851851</v>
      </c>
      <c r="H1817" s="92">
        <v>42637.559988425928</v>
      </c>
      <c r="I1817" s="92">
        <v>42637.559988425928</v>
      </c>
      <c r="J1817" s="92"/>
      <c r="K1817" s="92">
        <v>42637.561180555553</v>
      </c>
      <c r="L1817" s="92">
        <f>IF(AND(单词表[[#This Row],[学英]]&lt;&gt;"",单词表[[#This Row],[学中]]&lt;&gt;"",单词表[[#This Row],[学词]]&lt;&gt;""),MAX(单词表[[#This Row],[学英]:[学词]]),"")</f>
        <v>42637.559988425928</v>
      </c>
      <c r="M1817" s="2" t="str">
        <f>IF(AND(单词表[[#This Row],[考英]]&lt;&gt;"",单词表[[#This Row],[考中]]&lt;&gt;""),MAX(单词表[[#This Row],[考英]:[考中]]),"")</f>
        <v/>
      </c>
      <c r="N1817" s="79"/>
    </row>
    <row r="1818" spans="1:14" hidden="1" x14ac:dyDescent="0.15">
      <c r="A1818">
        <v>1818</v>
      </c>
      <c r="B1818" t="s">
        <v>35</v>
      </c>
      <c r="C1818" t="s">
        <v>8</v>
      </c>
      <c r="D1818" s="72" t="s">
        <v>3388</v>
      </c>
      <c r="E1818" t="s">
        <v>61</v>
      </c>
      <c r="F1818" t="s">
        <v>5508</v>
      </c>
      <c r="G1818" s="92">
        <v>42637.560011574074</v>
      </c>
      <c r="H1818" s="92">
        <v>42637.56318287037</v>
      </c>
      <c r="I1818" s="92">
        <v>42637.56318287037</v>
      </c>
      <c r="J1818" s="92"/>
      <c r="K1818" s="92">
        <v>42637.587337962963</v>
      </c>
      <c r="L1818" s="92">
        <f>IF(AND(单词表[[#This Row],[学英]]&lt;&gt;"",单词表[[#This Row],[学中]]&lt;&gt;"",单词表[[#This Row],[学词]]&lt;&gt;""),MAX(单词表[[#This Row],[学英]:[学词]]),"")</f>
        <v>42637.56318287037</v>
      </c>
      <c r="M1818" s="2" t="str">
        <f>IF(AND(单词表[[#This Row],[考英]]&lt;&gt;"",单词表[[#This Row],[考中]]&lt;&gt;""),MAX(单词表[[#This Row],[考英]:[考中]]),"")</f>
        <v/>
      </c>
      <c r="N1818" s="79"/>
    </row>
    <row r="1819" spans="1:14" hidden="1" x14ac:dyDescent="0.15">
      <c r="A1819">
        <v>1819</v>
      </c>
      <c r="B1819" t="s">
        <v>35</v>
      </c>
      <c r="C1819" t="s">
        <v>8</v>
      </c>
      <c r="D1819" s="72" t="s">
        <v>2769</v>
      </c>
      <c r="E1819" t="s">
        <v>702</v>
      </c>
      <c r="F1819" t="s">
        <v>2770</v>
      </c>
      <c r="G1819" s="92">
        <v>42637.560046296298</v>
      </c>
      <c r="H1819" s="92">
        <v>42637.560057870367</v>
      </c>
      <c r="I1819" s="92">
        <v>42637.560046296298</v>
      </c>
      <c r="J1819" s="92"/>
      <c r="K1819" s="92">
        <v>42637.561273148145</v>
      </c>
      <c r="L1819" s="92">
        <f>IF(AND(单词表[[#This Row],[学英]]&lt;&gt;"",单词表[[#This Row],[学中]]&lt;&gt;"",单词表[[#This Row],[学词]]&lt;&gt;""),MAX(单词表[[#This Row],[学英]:[学词]]),"")</f>
        <v>42637.560057870367</v>
      </c>
      <c r="M1819" s="2" t="str">
        <f>IF(AND(单词表[[#This Row],[考英]]&lt;&gt;"",单词表[[#This Row],[考中]]&lt;&gt;""),MAX(单词表[[#This Row],[考英]:[考中]]),"")</f>
        <v/>
      </c>
      <c r="N1819" s="79"/>
    </row>
    <row r="1820" spans="1:14" hidden="1" x14ac:dyDescent="0.15">
      <c r="A1820">
        <v>1820</v>
      </c>
      <c r="B1820" t="s">
        <v>35</v>
      </c>
      <c r="C1820" t="s">
        <v>8</v>
      </c>
      <c r="D1820" s="72" t="s">
        <v>2437</v>
      </c>
      <c r="E1820" t="s">
        <v>61</v>
      </c>
      <c r="F1820" t="s">
        <v>3389</v>
      </c>
      <c r="G1820" s="92">
        <v>42638.401828703703</v>
      </c>
      <c r="H1820" s="92">
        <v>42638.40184027778</v>
      </c>
      <c r="I1820" s="92">
        <v>42638.40184027778</v>
      </c>
      <c r="J1820" s="92"/>
      <c r="K1820" s="92">
        <v>42638.406215277777</v>
      </c>
      <c r="L1820" s="92">
        <f>IF(AND(单词表[[#This Row],[学英]]&lt;&gt;"",单词表[[#This Row],[学中]]&lt;&gt;"",单词表[[#This Row],[学词]]&lt;&gt;""),MAX(单词表[[#This Row],[学英]:[学词]]),"")</f>
        <v>42638.40184027778</v>
      </c>
      <c r="M1820" s="2" t="str">
        <f>IF(AND(单词表[[#This Row],[考英]]&lt;&gt;"",单词表[[#This Row],[考中]]&lt;&gt;""),MAX(单词表[[#This Row],[考英]:[考中]]),"")</f>
        <v/>
      </c>
      <c r="N1820" s="79"/>
    </row>
    <row r="1821" spans="1:14" hidden="1" x14ac:dyDescent="0.15">
      <c r="A1821">
        <v>1821</v>
      </c>
      <c r="B1821" t="s">
        <v>35</v>
      </c>
      <c r="C1821" t="s">
        <v>8</v>
      </c>
      <c r="D1821" s="72" t="s">
        <v>3390</v>
      </c>
      <c r="E1821" t="s">
        <v>61</v>
      </c>
      <c r="F1821" t="s">
        <v>3391</v>
      </c>
      <c r="G1821" s="92">
        <v>42638.401875000003</v>
      </c>
      <c r="H1821" s="92">
        <v>42638.409988425927</v>
      </c>
      <c r="I1821" s="92">
        <v>42638.40997685185</v>
      </c>
      <c r="J1821" s="92"/>
      <c r="K1821" s="92">
        <v>42638.432708333334</v>
      </c>
      <c r="L1821" s="92">
        <f>IF(AND(单词表[[#This Row],[学英]]&lt;&gt;"",单词表[[#This Row],[学中]]&lt;&gt;"",单词表[[#This Row],[学词]]&lt;&gt;""),MAX(单词表[[#This Row],[学英]:[学词]]),"")</f>
        <v>42638.409988425927</v>
      </c>
      <c r="M1821" s="2" t="str">
        <f>IF(AND(单词表[[#This Row],[考英]]&lt;&gt;"",单词表[[#This Row],[考中]]&lt;&gt;""),MAX(单词表[[#This Row],[考英]:[考中]]),"")</f>
        <v/>
      </c>
      <c r="N1821" s="79"/>
    </row>
    <row r="1822" spans="1:14" hidden="1" x14ac:dyDescent="0.15">
      <c r="A1822">
        <v>1822</v>
      </c>
      <c r="B1822" t="s">
        <v>35</v>
      </c>
      <c r="C1822" t="s">
        <v>8</v>
      </c>
      <c r="D1822" s="72" t="s">
        <v>3392</v>
      </c>
      <c r="E1822" t="s">
        <v>73</v>
      </c>
      <c r="F1822" t="s">
        <v>3393</v>
      </c>
      <c r="G1822" s="92">
        <v>42638.401921296296</v>
      </c>
      <c r="H1822" s="92">
        <v>42638.433506944442</v>
      </c>
      <c r="I1822" s="92">
        <v>42638.433506944442</v>
      </c>
      <c r="J1822" s="92"/>
      <c r="K1822" s="92">
        <v>42638.434016203704</v>
      </c>
      <c r="L1822" s="92">
        <f>IF(AND(单词表[[#This Row],[学英]]&lt;&gt;"",单词表[[#This Row],[学中]]&lt;&gt;"",单词表[[#This Row],[学词]]&lt;&gt;""),MAX(单词表[[#This Row],[学英]:[学词]]),"")</f>
        <v>42638.433506944442</v>
      </c>
      <c r="M1822" s="2" t="str">
        <f>IF(AND(单词表[[#This Row],[考英]]&lt;&gt;"",单词表[[#This Row],[考中]]&lt;&gt;""),MAX(单词表[[#This Row],[考英]:[考中]]),"")</f>
        <v/>
      </c>
      <c r="N1822" s="79"/>
    </row>
    <row r="1823" spans="1:14" hidden="1" x14ac:dyDescent="0.15">
      <c r="A1823">
        <v>1823</v>
      </c>
      <c r="B1823" t="s">
        <v>35</v>
      </c>
      <c r="C1823" t="s">
        <v>8</v>
      </c>
      <c r="D1823" s="72" t="s">
        <v>2021</v>
      </c>
      <c r="E1823" t="s">
        <v>36</v>
      </c>
      <c r="F1823" t="s">
        <v>3394</v>
      </c>
      <c r="G1823" s="92">
        <v>42638.402002314811</v>
      </c>
      <c r="H1823" s="92">
        <v>42638.402013888888</v>
      </c>
      <c r="I1823" s="92">
        <v>42638.402002314811</v>
      </c>
      <c r="J1823" s="92"/>
      <c r="K1823" s="92">
        <v>42638.406423611108</v>
      </c>
      <c r="L1823" s="92">
        <f>IF(AND(单词表[[#This Row],[学英]]&lt;&gt;"",单词表[[#This Row],[学中]]&lt;&gt;"",单词表[[#This Row],[学词]]&lt;&gt;""),MAX(单词表[[#This Row],[学英]:[学词]]),"")</f>
        <v>42638.402013888888</v>
      </c>
      <c r="M1823" s="2" t="str">
        <f>IF(AND(单词表[[#This Row],[考英]]&lt;&gt;"",单词表[[#This Row],[考中]]&lt;&gt;""),MAX(单词表[[#This Row],[考英]:[考中]]),"")</f>
        <v/>
      </c>
      <c r="N1823" s="79"/>
    </row>
    <row r="1824" spans="1:14" hidden="1" x14ac:dyDescent="0.15">
      <c r="A1824">
        <v>1824</v>
      </c>
      <c r="B1824" t="s">
        <v>35</v>
      </c>
      <c r="C1824" t="s">
        <v>8</v>
      </c>
      <c r="D1824" s="72" t="s">
        <v>447</v>
      </c>
      <c r="E1824" t="s">
        <v>36</v>
      </c>
      <c r="F1824" t="s">
        <v>448</v>
      </c>
      <c r="G1824" s="92">
        <v>42638.402037037034</v>
      </c>
      <c r="H1824" s="92">
        <v>42638.402048611111</v>
      </c>
      <c r="I1824" s="92">
        <v>42638.402048611111</v>
      </c>
      <c r="J1824" s="92"/>
      <c r="K1824" s="92">
        <v>42638.406469907408</v>
      </c>
      <c r="L1824" s="92">
        <f>IF(AND(单词表[[#This Row],[学英]]&lt;&gt;"",单词表[[#This Row],[学中]]&lt;&gt;"",单词表[[#This Row],[学词]]&lt;&gt;""),MAX(单词表[[#This Row],[学英]:[学词]]),"")</f>
        <v>42638.402048611111</v>
      </c>
      <c r="M1824" s="2" t="str">
        <f>IF(AND(单词表[[#This Row],[考英]]&lt;&gt;"",单词表[[#This Row],[考中]]&lt;&gt;""),MAX(单词表[[#This Row],[考英]:[考中]]),"")</f>
        <v/>
      </c>
      <c r="N1824" s="79"/>
    </row>
    <row r="1825" spans="1:14" hidden="1" x14ac:dyDescent="0.15">
      <c r="A1825">
        <v>1825</v>
      </c>
      <c r="B1825" t="s">
        <v>35</v>
      </c>
      <c r="C1825" t="s">
        <v>8</v>
      </c>
      <c r="D1825" s="72" t="s">
        <v>3395</v>
      </c>
      <c r="E1825" t="s">
        <v>36</v>
      </c>
      <c r="F1825" t="s">
        <v>3396</v>
      </c>
      <c r="G1825" s="92">
        <v>42638.402071759258</v>
      </c>
      <c r="H1825" s="92">
        <v>42638.431921296295</v>
      </c>
      <c r="I1825" s="92">
        <v>42638.431932870371</v>
      </c>
      <c r="J1825" s="92"/>
      <c r="K1825" s="92">
        <v>42638.432835648149</v>
      </c>
      <c r="L1825" s="92">
        <f>IF(AND(单词表[[#This Row],[学英]]&lt;&gt;"",单词表[[#This Row],[学中]]&lt;&gt;"",单词表[[#This Row],[学词]]&lt;&gt;""),MAX(单词表[[#This Row],[学英]:[学词]]),"")</f>
        <v>42638.431932870371</v>
      </c>
      <c r="M1825" s="2" t="str">
        <f>IF(AND(单词表[[#This Row],[考英]]&lt;&gt;"",单词表[[#This Row],[考中]]&lt;&gt;""),MAX(单词表[[#This Row],[考英]:[考中]]),"")</f>
        <v/>
      </c>
      <c r="N1825" s="79"/>
    </row>
    <row r="1826" spans="1:14" hidden="1" x14ac:dyDescent="0.15">
      <c r="A1826">
        <v>1826</v>
      </c>
      <c r="B1826" t="s">
        <v>35</v>
      </c>
      <c r="C1826" t="s">
        <v>8</v>
      </c>
      <c r="D1826" s="72" t="s">
        <v>3397</v>
      </c>
      <c r="E1826" t="s">
        <v>36</v>
      </c>
      <c r="F1826" t="s">
        <v>3398</v>
      </c>
      <c r="G1826" s="92">
        <v>42638.402106481481</v>
      </c>
      <c r="H1826" s="92">
        <v>42638.434502314813</v>
      </c>
      <c r="I1826" s="92">
        <v>42638.434502314813</v>
      </c>
      <c r="J1826" s="92"/>
      <c r="K1826" s="92">
        <v>42638.435590277775</v>
      </c>
      <c r="L1826" s="92">
        <f>IF(AND(单词表[[#This Row],[学英]]&lt;&gt;"",单词表[[#This Row],[学中]]&lt;&gt;"",单词表[[#This Row],[学词]]&lt;&gt;""),MAX(单词表[[#This Row],[学英]:[学词]]),"")</f>
        <v>42638.434502314813</v>
      </c>
      <c r="M1826" s="2" t="str">
        <f>IF(AND(单词表[[#This Row],[考英]]&lt;&gt;"",单词表[[#This Row],[考中]]&lt;&gt;""),MAX(单词表[[#This Row],[考英]:[考中]]),"")</f>
        <v/>
      </c>
      <c r="N1826" s="79"/>
    </row>
    <row r="1827" spans="1:14" hidden="1" x14ac:dyDescent="0.15">
      <c r="A1827">
        <v>1827</v>
      </c>
      <c r="B1827" t="s">
        <v>35</v>
      </c>
      <c r="C1827" t="s">
        <v>8</v>
      </c>
      <c r="D1827" s="72" t="s">
        <v>457</v>
      </c>
      <c r="E1827" t="s">
        <v>36</v>
      </c>
      <c r="F1827" t="s">
        <v>458</v>
      </c>
      <c r="G1827" s="92">
        <v>42638.402141203704</v>
      </c>
      <c r="H1827" s="92">
        <v>42638.40215277778</v>
      </c>
      <c r="I1827" s="92">
        <v>42638.40215277778</v>
      </c>
      <c r="J1827" s="92"/>
      <c r="K1827" s="92">
        <v>42638.406701388885</v>
      </c>
      <c r="L1827" s="92">
        <f>IF(AND(单词表[[#This Row],[学英]]&lt;&gt;"",单词表[[#This Row],[学中]]&lt;&gt;"",单词表[[#This Row],[学词]]&lt;&gt;""),MAX(单词表[[#This Row],[学英]:[学词]]),"")</f>
        <v>42638.40215277778</v>
      </c>
      <c r="M1827" s="2" t="str">
        <f>IF(AND(单词表[[#This Row],[考英]]&lt;&gt;"",单词表[[#This Row],[考中]]&lt;&gt;""),MAX(单词表[[#This Row],[考英]:[考中]]),"")</f>
        <v/>
      </c>
      <c r="N1827" s="79"/>
    </row>
    <row r="1828" spans="1:14" hidden="1" x14ac:dyDescent="0.15">
      <c r="A1828">
        <v>1828</v>
      </c>
      <c r="B1828" t="s">
        <v>35</v>
      </c>
      <c r="C1828" t="s">
        <v>8</v>
      </c>
      <c r="D1828" s="72" t="s">
        <v>3399</v>
      </c>
      <c r="E1828" t="s">
        <v>702</v>
      </c>
      <c r="F1828" t="s">
        <v>3400</v>
      </c>
      <c r="G1828" s="92">
        <v>42638.402187500003</v>
      </c>
      <c r="H1828" s="92">
        <v>42638.432175925926</v>
      </c>
      <c r="I1828" s="92">
        <v>42638.432175925926</v>
      </c>
      <c r="J1828" s="92"/>
      <c r="K1828" s="92">
        <v>42638.432962962965</v>
      </c>
      <c r="L1828" s="92">
        <f>IF(AND(单词表[[#This Row],[学英]]&lt;&gt;"",单词表[[#This Row],[学中]]&lt;&gt;"",单词表[[#This Row],[学词]]&lt;&gt;""),MAX(单词表[[#This Row],[学英]:[学词]]),"")</f>
        <v>42638.432175925926</v>
      </c>
      <c r="M1828" s="2" t="str">
        <f>IF(AND(单词表[[#This Row],[考英]]&lt;&gt;"",单词表[[#This Row],[考中]]&lt;&gt;""),MAX(单词表[[#This Row],[考英]:[考中]]),"")</f>
        <v/>
      </c>
      <c r="N1828" s="79"/>
    </row>
    <row r="1829" spans="1:14" hidden="1" x14ac:dyDescent="0.15">
      <c r="A1829">
        <v>1829</v>
      </c>
      <c r="B1829" t="s">
        <v>35</v>
      </c>
      <c r="C1829" t="s">
        <v>8</v>
      </c>
      <c r="D1829" s="72" t="s">
        <v>3401</v>
      </c>
      <c r="E1829" t="s">
        <v>61</v>
      </c>
      <c r="F1829" t="s">
        <v>3402</v>
      </c>
      <c r="G1829" s="92">
        <v>42638.402222222219</v>
      </c>
      <c r="H1829" s="92">
        <v>42638.432210648149</v>
      </c>
      <c r="I1829" s="92">
        <v>42638.432210648149</v>
      </c>
      <c r="J1829" s="92"/>
      <c r="K1829" s="92">
        <v>42638.432997685188</v>
      </c>
      <c r="L1829" s="92">
        <f>IF(AND(单词表[[#This Row],[学英]]&lt;&gt;"",单词表[[#This Row],[学中]]&lt;&gt;"",单词表[[#This Row],[学词]]&lt;&gt;""),MAX(单词表[[#This Row],[学英]:[学词]]),"")</f>
        <v>42638.432210648149</v>
      </c>
      <c r="M1829" s="2" t="str">
        <f>IF(AND(单词表[[#This Row],[考英]]&lt;&gt;"",单词表[[#This Row],[考中]]&lt;&gt;""),MAX(单词表[[#This Row],[考英]:[考中]]),"")</f>
        <v/>
      </c>
      <c r="N1829" s="79"/>
    </row>
    <row r="1830" spans="1:14" hidden="1" x14ac:dyDescent="0.15">
      <c r="A1830">
        <v>1830</v>
      </c>
      <c r="B1830" t="s">
        <v>35</v>
      </c>
      <c r="C1830" t="s">
        <v>8</v>
      </c>
      <c r="D1830" s="72" t="s">
        <v>3403</v>
      </c>
      <c r="E1830" t="s">
        <v>36</v>
      </c>
      <c r="F1830" t="s">
        <v>100</v>
      </c>
      <c r="G1830" s="92">
        <v>42638.402268518519</v>
      </c>
      <c r="H1830" s="92">
        <v>42638.433576388888</v>
      </c>
      <c r="I1830" s="92">
        <v>42638.433564814812</v>
      </c>
      <c r="J1830" s="92"/>
      <c r="K1830" s="92">
        <v>42638.434131944443</v>
      </c>
      <c r="L1830" s="92">
        <f>IF(AND(单词表[[#This Row],[学英]]&lt;&gt;"",单词表[[#This Row],[学中]]&lt;&gt;"",单词表[[#This Row],[学词]]&lt;&gt;""),MAX(单词表[[#This Row],[学英]:[学词]]),"")</f>
        <v>42638.433576388888</v>
      </c>
      <c r="M1830" s="2" t="str">
        <f>IF(AND(单词表[[#This Row],[考英]]&lt;&gt;"",单词表[[#This Row],[考中]]&lt;&gt;""),MAX(单词表[[#This Row],[考英]:[考中]]),"")</f>
        <v/>
      </c>
      <c r="N1830" s="79"/>
    </row>
    <row r="1831" spans="1:14" hidden="1" x14ac:dyDescent="0.15">
      <c r="A1831">
        <v>1831</v>
      </c>
      <c r="B1831" t="s">
        <v>35</v>
      </c>
      <c r="C1831" t="s">
        <v>8</v>
      </c>
      <c r="D1831" s="72" t="s">
        <v>1838</v>
      </c>
      <c r="E1831" t="s">
        <v>36</v>
      </c>
      <c r="F1831" t="s">
        <v>1839</v>
      </c>
      <c r="G1831" s="92">
        <v>42638.402314814812</v>
      </c>
      <c r="H1831" s="92">
        <v>42638.402326388888</v>
      </c>
      <c r="I1831" s="92">
        <v>42638.402314814812</v>
      </c>
      <c r="J1831" s="92"/>
      <c r="K1831" s="92">
        <v>42638.406944444447</v>
      </c>
      <c r="L1831" s="92">
        <f>IF(AND(单词表[[#This Row],[学英]]&lt;&gt;"",单词表[[#This Row],[学中]]&lt;&gt;"",单词表[[#This Row],[学词]]&lt;&gt;""),MAX(单词表[[#This Row],[学英]:[学词]]),"")</f>
        <v>42638.402326388888</v>
      </c>
      <c r="M1831" s="2" t="str">
        <f>IF(AND(单词表[[#This Row],[考英]]&lt;&gt;"",单词表[[#This Row],[考中]]&lt;&gt;""),MAX(单词表[[#This Row],[考英]:[考中]]),"")</f>
        <v/>
      </c>
      <c r="N1831" s="79"/>
    </row>
    <row r="1832" spans="1:14" hidden="1" x14ac:dyDescent="0.15">
      <c r="A1832">
        <v>1832</v>
      </c>
      <c r="B1832" t="s">
        <v>35</v>
      </c>
      <c r="C1832" t="s">
        <v>8</v>
      </c>
      <c r="D1832" s="72" t="s">
        <v>3404</v>
      </c>
      <c r="E1832" t="s">
        <v>36</v>
      </c>
      <c r="F1832" t="s">
        <v>3405</v>
      </c>
      <c r="G1832" s="92">
        <v>42638.402337962965</v>
      </c>
      <c r="H1832" s="92">
        <v>42638.433599537035</v>
      </c>
      <c r="I1832" s="92">
        <v>42638.433587962965</v>
      </c>
      <c r="J1832" s="92"/>
      <c r="K1832" s="92">
        <v>42638.434178240743</v>
      </c>
      <c r="L1832" s="92">
        <f>IF(AND(单词表[[#This Row],[学英]]&lt;&gt;"",单词表[[#This Row],[学中]]&lt;&gt;"",单词表[[#This Row],[学词]]&lt;&gt;""),MAX(单词表[[#This Row],[学英]:[学词]]),"")</f>
        <v>42638.433599537035</v>
      </c>
      <c r="M1832" s="2" t="str">
        <f>IF(AND(单词表[[#This Row],[考英]]&lt;&gt;"",单词表[[#This Row],[考中]]&lt;&gt;""),MAX(单词表[[#This Row],[考英]:[考中]]),"")</f>
        <v/>
      </c>
      <c r="N1832" s="79"/>
    </row>
    <row r="1833" spans="1:14" hidden="1" x14ac:dyDescent="0.15">
      <c r="A1833">
        <v>1833</v>
      </c>
      <c r="B1833" t="s">
        <v>35</v>
      </c>
      <c r="C1833" t="s">
        <v>8</v>
      </c>
      <c r="D1833" s="72" t="s">
        <v>2807</v>
      </c>
      <c r="E1833" t="s">
        <v>38</v>
      </c>
      <c r="F1833" t="s">
        <v>3406</v>
      </c>
      <c r="G1833" s="92">
        <v>42638.402407407404</v>
      </c>
      <c r="H1833" s="92">
        <v>42638.436620370368</v>
      </c>
      <c r="I1833" s="92">
        <v>42638.436608796299</v>
      </c>
      <c r="J1833" s="92"/>
      <c r="K1833" s="92">
        <v>42638.437685185185</v>
      </c>
      <c r="L1833" s="92">
        <f>IF(AND(单词表[[#This Row],[学英]]&lt;&gt;"",单词表[[#This Row],[学中]]&lt;&gt;"",单词表[[#This Row],[学词]]&lt;&gt;""),MAX(单词表[[#This Row],[学英]:[学词]]),"")</f>
        <v>42638.436620370368</v>
      </c>
      <c r="M1833" s="2" t="str">
        <f>IF(AND(单词表[[#This Row],[考英]]&lt;&gt;"",单词表[[#This Row],[考中]]&lt;&gt;""),MAX(单词表[[#This Row],[考英]:[考中]]),"")</f>
        <v/>
      </c>
      <c r="N1833" s="79"/>
    </row>
    <row r="1834" spans="1:14" hidden="1" x14ac:dyDescent="0.15">
      <c r="A1834">
        <v>1834</v>
      </c>
      <c r="B1834" t="s">
        <v>35</v>
      </c>
      <c r="C1834" t="s">
        <v>8</v>
      </c>
      <c r="D1834" s="72" t="s">
        <v>763</v>
      </c>
      <c r="E1834" t="s">
        <v>73</v>
      </c>
      <c r="F1834" t="s">
        <v>3407</v>
      </c>
      <c r="G1834" s="92">
        <v>42638.402453703704</v>
      </c>
      <c r="H1834" s="92">
        <v>42638.402465277781</v>
      </c>
      <c r="I1834" s="92">
        <v>42638.402453703704</v>
      </c>
      <c r="J1834" s="92"/>
      <c r="K1834" s="92">
        <v>42638.407141203701</v>
      </c>
      <c r="L1834" s="92">
        <f>IF(AND(单词表[[#This Row],[学英]]&lt;&gt;"",单词表[[#This Row],[学中]]&lt;&gt;"",单词表[[#This Row],[学词]]&lt;&gt;""),MAX(单词表[[#This Row],[学英]:[学词]]),"")</f>
        <v>42638.402465277781</v>
      </c>
      <c r="M1834" s="2" t="str">
        <f>IF(AND(单词表[[#This Row],[考英]]&lt;&gt;"",单词表[[#This Row],[考中]]&lt;&gt;""),MAX(单词表[[#This Row],[考英]:[考中]]),"")</f>
        <v/>
      </c>
      <c r="N1834" s="79"/>
    </row>
    <row r="1835" spans="1:14" hidden="1" x14ac:dyDescent="0.15">
      <c r="A1835">
        <v>1835</v>
      </c>
      <c r="B1835" t="s">
        <v>35</v>
      </c>
      <c r="C1835" t="s">
        <v>8</v>
      </c>
      <c r="D1835" s="72" t="s">
        <v>3408</v>
      </c>
      <c r="E1835" t="s">
        <v>36</v>
      </c>
      <c r="F1835" t="s">
        <v>3409</v>
      </c>
      <c r="G1835" s="92">
        <v>42638.40247685185</v>
      </c>
      <c r="H1835" s="92">
        <v>42638.402488425927</v>
      </c>
      <c r="I1835" s="92">
        <v>42638.402488425927</v>
      </c>
      <c r="J1835" s="92"/>
      <c r="K1835" s="92">
        <v>42638.407175925924</v>
      </c>
      <c r="L1835" s="92">
        <f>IF(AND(单词表[[#This Row],[学英]]&lt;&gt;"",单词表[[#This Row],[学中]]&lt;&gt;"",单词表[[#This Row],[学词]]&lt;&gt;""),MAX(单词表[[#This Row],[学英]:[学词]]),"")</f>
        <v>42638.402488425927</v>
      </c>
      <c r="M1835" s="2" t="str">
        <f>IF(AND(单词表[[#This Row],[考英]]&lt;&gt;"",单词表[[#This Row],[考中]]&lt;&gt;""),MAX(单词表[[#This Row],[考英]:[考中]]),"")</f>
        <v/>
      </c>
      <c r="N1835" s="79"/>
    </row>
    <row r="1836" spans="1:14" hidden="1" x14ac:dyDescent="0.15">
      <c r="A1836">
        <v>1836</v>
      </c>
      <c r="B1836" t="s">
        <v>35</v>
      </c>
      <c r="C1836" t="s">
        <v>8</v>
      </c>
      <c r="D1836" s="72" t="s">
        <v>1844</v>
      </c>
      <c r="E1836" t="s">
        <v>36</v>
      </c>
      <c r="F1836" t="s">
        <v>1845</v>
      </c>
      <c r="G1836" s="92">
        <v>42638.40252314815</v>
      </c>
      <c r="H1836" s="92">
        <v>42638.40253472222</v>
      </c>
      <c r="I1836" s="92">
        <v>42638.40252314815</v>
      </c>
      <c r="J1836" s="92"/>
      <c r="K1836" s="92">
        <v>42638.407210648147</v>
      </c>
      <c r="L1836" s="92">
        <f>IF(AND(单词表[[#This Row],[学英]]&lt;&gt;"",单词表[[#This Row],[学中]]&lt;&gt;"",单词表[[#This Row],[学词]]&lt;&gt;""),MAX(单词表[[#This Row],[学英]:[学词]]),"")</f>
        <v>42638.40253472222</v>
      </c>
      <c r="M1836" s="2" t="str">
        <f>IF(AND(单词表[[#This Row],[考英]]&lt;&gt;"",单词表[[#This Row],[考中]]&lt;&gt;""),MAX(单词表[[#This Row],[考英]:[考中]]),"")</f>
        <v/>
      </c>
      <c r="N1836" s="79"/>
    </row>
    <row r="1837" spans="1:14" hidden="1" x14ac:dyDescent="0.15">
      <c r="A1837">
        <v>1837</v>
      </c>
      <c r="B1837" t="s">
        <v>35</v>
      </c>
      <c r="C1837" t="s">
        <v>8</v>
      </c>
      <c r="D1837" s="72" t="s">
        <v>2421</v>
      </c>
      <c r="E1837" t="s">
        <v>73</v>
      </c>
      <c r="F1837" t="s">
        <v>1320</v>
      </c>
      <c r="G1837" s="92">
        <v>42638.402557870373</v>
      </c>
      <c r="H1837" s="92">
        <v>42638.433703703704</v>
      </c>
      <c r="I1837" s="92">
        <v>42638.433703703704</v>
      </c>
      <c r="J1837" s="92"/>
      <c r="K1837" s="92">
        <v>42638.434259259258</v>
      </c>
      <c r="L1837" s="92">
        <f>IF(AND(单词表[[#This Row],[学英]]&lt;&gt;"",单词表[[#This Row],[学中]]&lt;&gt;"",单词表[[#This Row],[学词]]&lt;&gt;""),MAX(单词表[[#This Row],[学英]:[学词]]),"")</f>
        <v>42638.433703703704</v>
      </c>
      <c r="M1837" s="2" t="str">
        <f>IF(AND(单词表[[#This Row],[考英]]&lt;&gt;"",单词表[[#This Row],[考中]]&lt;&gt;""),MAX(单词表[[#This Row],[考英]:[考中]]),"")</f>
        <v/>
      </c>
      <c r="N1837" s="79"/>
    </row>
    <row r="1838" spans="1:14" hidden="1" x14ac:dyDescent="0.15">
      <c r="A1838">
        <v>1838</v>
      </c>
      <c r="B1838" t="s">
        <v>35</v>
      </c>
      <c r="C1838" t="s">
        <v>8</v>
      </c>
      <c r="D1838" s="72" t="s">
        <v>3410</v>
      </c>
      <c r="E1838" t="s">
        <v>61</v>
      </c>
      <c r="F1838" t="s">
        <v>3411</v>
      </c>
      <c r="G1838" s="92">
        <v>42638.402604166666</v>
      </c>
      <c r="H1838" s="92">
        <v>42638.434560185182</v>
      </c>
      <c r="I1838" s="92">
        <v>42638.434548611112</v>
      </c>
      <c r="J1838" s="92"/>
      <c r="K1838" s="92">
        <v>42638.435810185183</v>
      </c>
      <c r="L1838" s="92">
        <f>IF(AND(单词表[[#This Row],[学英]]&lt;&gt;"",单词表[[#This Row],[学中]]&lt;&gt;"",单词表[[#This Row],[学词]]&lt;&gt;""),MAX(单词表[[#This Row],[学英]:[学词]]),"")</f>
        <v>42638.434560185182</v>
      </c>
      <c r="M1838" s="2" t="str">
        <f>IF(AND(单词表[[#This Row],[考英]]&lt;&gt;"",单词表[[#This Row],[考中]]&lt;&gt;""),MAX(单词表[[#This Row],[考英]:[考中]]),"")</f>
        <v/>
      </c>
      <c r="N1838" s="79"/>
    </row>
    <row r="1839" spans="1:14" hidden="1" x14ac:dyDescent="0.15">
      <c r="A1839">
        <v>1839</v>
      </c>
      <c r="B1839" t="s">
        <v>35</v>
      </c>
      <c r="C1839" t="s">
        <v>8</v>
      </c>
      <c r="D1839" s="72" t="s">
        <v>1323</v>
      </c>
      <c r="E1839" t="s">
        <v>73</v>
      </c>
      <c r="F1839" t="s">
        <v>3412</v>
      </c>
      <c r="G1839" s="92">
        <v>42638.403263888889</v>
      </c>
      <c r="H1839" s="92">
        <v>42638.403287037036</v>
      </c>
      <c r="I1839" s="92">
        <v>42638.403275462966</v>
      </c>
      <c r="J1839" s="92"/>
      <c r="K1839" s="92">
        <v>42638.407407407409</v>
      </c>
      <c r="L1839" s="92">
        <f>IF(AND(单词表[[#This Row],[学英]]&lt;&gt;"",单词表[[#This Row],[学中]]&lt;&gt;"",单词表[[#This Row],[学词]]&lt;&gt;""),MAX(单词表[[#This Row],[学英]:[学词]]),"")</f>
        <v>42638.403287037036</v>
      </c>
      <c r="M1839" s="2" t="str">
        <f>IF(AND(单词表[[#This Row],[考英]]&lt;&gt;"",单词表[[#This Row],[考中]]&lt;&gt;""),MAX(单词表[[#This Row],[考英]:[考中]]),"")</f>
        <v/>
      </c>
      <c r="N1839" s="79"/>
    </row>
    <row r="1840" spans="1:14" hidden="1" x14ac:dyDescent="0.15">
      <c r="A1840">
        <v>1840</v>
      </c>
      <c r="B1840" t="s">
        <v>35</v>
      </c>
      <c r="C1840" t="s">
        <v>8</v>
      </c>
      <c r="D1840" s="72" t="s">
        <v>1852</v>
      </c>
      <c r="E1840" t="s">
        <v>73</v>
      </c>
      <c r="F1840" t="s">
        <v>3413</v>
      </c>
      <c r="G1840" s="92">
        <v>42638.403310185182</v>
      </c>
      <c r="H1840" s="92">
        <v>42638.403321759259</v>
      </c>
      <c r="I1840" s="92">
        <v>42638.403310185182</v>
      </c>
      <c r="J1840" s="92"/>
      <c r="K1840" s="92">
        <v>42638.407453703701</v>
      </c>
      <c r="L1840" s="92">
        <f>IF(AND(单词表[[#This Row],[学英]]&lt;&gt;"",单词表[[#This Row],[学中]]&lt;&gt;"",单词表[[#This Row],[学词]]&lt;&gt;""),MAX(单词表[[#This Row],[学英]:[学词]]),"")</f>
        <v>42638.403321759259</v>
      </c>
      <c r="M1840" s="2" t="str">
        <f>IF(AND(单词表[[#This Row],[考英]]&lt;&gt;"",单词表[[#This Row],[考中]]&lt;&gt;""),MAX(单词表[[#This Row],[考英]:[考中]]),"")</f>
        <v/>
      </c>
      <c r="N1840" s="79"/>
    </row>
    <row r="1841" spans="1:14" hidden="1" x14ac:dyDescent="0.15">
      <c r="A1841">
        <v>1841</v>
      </c>
      <c r="B1841" t="s">
        <v>35</v>
      </c>
      <c r="C1841" t="s">
        <v>8</v>
      </c>
      <c r="D1841" s="72" t="s">
        <v>1820</v>
      </c>
      <c r="E1841" t="s">
        <v>61</v>
      </c>
      <c r="F1841" t="s">
        <v>3414</v>
      </c>
      <c r="G1841" s="92">
        <v>42638.403344907405</v>
      </c>
      <c r="H1841" s="92">
        <v>42638.434594907405</v>
      </c>
      <c r="I1841" s="92">
        <v>42638.434583333335</v>
      </c>
      <c r="J1841" s="92"/>
      <c r="K1841" s="92">
        <v>42638.435844907406</v>
      </c>
      <c r="L1841" s="92">
        <f>IF(AND(单词表[[#This Row],[学英]]&lt;&gt;"",单词表[[#This Row],[学中]]&lt;&gt;"",单词表[[#This Row],[学词]]&lt;&gt;""),MAX(单词表[[#This Row],[学英]:[学词]]),"")</f>
        <v>42638.434594907405</v>
      </c>
      <c r="M1841" s="2" t="str">
        <f>IF(AND(单词表[[#This Row],[考英]]&lt;&gt;"",单词表[[#This Row],[考中]]&lt;&gt;""),MAX(单词表[[#This Row],[考英]:[考中]]),"")</f>
        <v/>
      </c>
      <c r="N1841" s="79"/>
    </row>
    <row r="1842" spans="1:14" hidden="1" x14ac:dyDescent="0.15">
      <c r="A1842">
        <v>1842</v>
      </c>
      <c r="B1842" t="s">
        <v>35</v>
      </c>
      <c r="C1842" t="s">
        <v>8</v>
      </c>
      <c r="D1842" s="72" t="s">
        <v>3415</v>
      </c>
      <c r="E1842" t="s">
        <v>36</v>
      </c>
      <c r="F1842" t="s">
        <v>3416</v>
      </c>
      <c r="G1842" s="92">
        <v>42638.403379629628</v>
      </c>
      <c r="H1842" s="92">
        <v>42638.403391203705</v>
      </c>
      <c r="I1842" s="92">
        <v>42638.403391203705</v>
      </c>
      <c r="J1842" s="92"/>
      <c r="K1842" s="92">
        <v>42638.407604166663</v>
      </c>
      <c r="L1842" s="92">
        <f>IF(AND(单词表[[#This Row],[学英]]&lt;&gt;"",单词表[[#This Row],[学中]]&lt;&gt;"",单词表[[#This Row],[学词]]&lt;&gt;""),MAX(单词表[[#This Row],[学英]:[学词]]),"")</f>
        <v>42638.403391203705</v>
      </c>
      <c r="M1842" s="2" t="str">
        <f>IF(AND(单词表[[#This Row],[考英]]&lt;&gt;"",单词表[[#This Row],[考中]]&lt;&gt;""),MAX(单词表[[#This Row],[考英]:[考中]]),"")</f>
        <v/>
      </c>
      <c r="N1842" s="79"/>
    </row>
    <row r="1843" spans="1:14" hidden="1" x14ac:dyDescent="0.15">
      <c r="A1843">
        <v>1843</v>
      </c>
      <c r="B1843" t="s">
        <v>35</v>
      </c>
      <c r="C1843" t="s">
        <v>8</v>
      </c>
      <c r="D1843" s="72" t="s">
        <v>3415</v>
      </c>
      <c r="E1843" t="s">
        <v>73</v>
      </c>
      <c r="F1843" t="s">
        <v>3417</v>
      </c>
      <c r="G1843" s="92">
        <v>42638.403553240743</v>
      </c>
      <c r="H1843" s="92">
        <v>42638.403541666667</v>
      </c>
      <c r="I1843" s="92">
        <v>42638.403541666667</v>
      </c>
      <c r="J1843" s="92"/>
      <c r="K1843" s="92">
        <v>42638.407627314817</v>
      </c>
      <c r="L1843" s="92">
        <f>IF(AND(单词表[[#This Row],[学英]]&lt;&gt;"",单词表[[#This Row],[学中]]&lt;&gt;"",单词表[[#This Row],[学词]]&lt;&gt;""),MAX(单词表[[#This Row],[学英]:[学词]]),"")</f>
        <v>42638.403553240743</v>
      </c>
      <c r="M1843" s="2" t="str">
        <f>IF(AND(单词表[[#This Row],[考英]]&lt;&gt;"",单词表[[#This Row],[考中]]&lt;&gt;""),MAX(单词表[[#This Row],[考英]:[考中]]),"")</f>
        <v/>
      </c>
      <c r="N1843" s="79"/>
    </row>
    <row r="1844" spans="1:14" hidden="1" x14ac:dyDescent="0.15">
      <c r="A1844">
        <v>1844</v>
      </c>
      <c r="B1844" t="s">
        <v>35</v>
      </c>
      <c r="C1844" t="s">
        <v>8</v>
      </c>
      <c r="D1844" s="72" t="s">
        <v>3418</v>
      </c>
      <c r="E1844" t="s">
        <v>36</v>
      </c>
      <c r="F1844" t="s">
        <v>5509</v>
      </c>
      <c r="G1844" s="92">
        <v>42638.403611111113</v>
      </c>
      <c r="H1844" s="92">
        <v>42638.434618055559</v>
      </c>
      <c r="I1844" s="92">
        <v>42638.434618055559</v>
      </c>
      <c r="J1844" s="92"/>
      <c r="K1844" s="92">
        <v>42638.435879629629</v>
      </c>
      <c r="L1844" s="92">
        <f>IF(AND(单词表[[#This Row],[学英]]&lt;&gt;"",单词表[[#This Row],[学中]]&lt;&gt;"",单词表[[#This Row],[学词]]&lt;&gt;""),MAX(单词表[[#This Row],[学英]:[学词]]),"")</f>
        <v>42638.434618055559</v>
      </c>
      <c r="M1844" s="2" t="str">
        <f>IF(AND(单词表[[#This Row],[考英]]&lt;&gt;"",单词表[[#This Row],[考中]]&lt;&gt;""),MAX(单词表[[#This Row],[考英]:[考中]]),"")</f>
        <v/>
      </c>
      <c r="N1844" s="79"/>
    </row>
    <row r="1845" spans="1:14" hidden="1" x14ac:dyDescent="0.15">
      <c r="A1845">
        <v>1845</v>
      </c>
      <c r="B1845" t="s">
        <v>35</v>
      </c>
      <c r="C1845" t="s">
        <v>8</v>
      </c>
      <c r="D1845" s="72" t="s">
        <v>3177</v>
      </c>
      <c r="E1845" t="s">
        <v>36</v>
      </c>
      <c r="F1845" t="s">
        <v>3419</v>
      </c>
      <c r="G1845" s="92">
        <v>42638.403657407405</v>
      </c>
      <c r="H1845" s="92">
        <v>42638.403668981482</v>
      </c>
      <c r="I1845" s="92">
        <v>42638.403657407405</v>
      </c>
      <c r="J1845" s="92"/>
      <c r="K1845" s="92">
        <v>42638.407754629632</v>
      </c>
      <c r="L1845" s="92">
        <f>IF(AND(单词表[[#This Row],[学英]]&lt;&gt;"",单词表[[#This Row],[学中]]&lt;&gt;"",单词表[[#This Row],[学词]]&lt;&gt;""),MAX(单词表[[#This Row],[学英]:[学词]]),"")</f>
        <v>42638.403668981482</v>
      </c>
      <c r="M1845" s="2" t="str">
        <f>IF(AND(单词表[[#This Row],[考英]]&lt;&gt;"",单词表[[#This Row],[考中]]&lt;&gt;""),MAX(单词表[[#This Row],[考英]:[考中]]),"")</f>
        <v/>
      </c>
      <c r="N1845" s="79"/>
    </row>
    <row r="1846" spans="1:14" hidden="1" x14ac:dyDescent="0.15">
      <c r="A1846">
        <v>1846</v>
      </c>
      <c r="B1846" t="s">
        <v>35</v>
      </c>
      <c r="C1846" t="s">
        <v>8</v>
      </c>
      <c r="D1846" s="72" t="s">
        <v>3177</v>
      </c>
      <c r="E1846" t="s">
        <v>73</v>
      </c>
      <c r="F1846" t="s">
        <v>3178</v>
      </c>
      <c r="G1846" s="92">
        <v>42638.403692129628</v>
      </c>
      <c r="H1846" s="92">
        <v>42638.403703703705</v>
      </c>
      <c r="I1846" s="92">
        <v>42638.403692129628</v>
      </c>
      <c r="J1846" s="92"/>
      <c r="K1846" s="92">
        <v>42638.407789351855</v>
      </c>
      <c r="L1846" s="92">
        <f>IF(AND(单词表[[#This Row],[学英]]&lt;&gt;"",单词表[[#This Row],[学中]]&lt;&gt;"",单词表[[#This Row],[学词]]&lt;&gt;""),MAX(单词表[[#This Row],[学英]:[学词]]),"")</f>
        <v>42638.403703703705</v>
      </c>
      <c r="M1846" s="2" t="str">
        <f>IF(AND(单词表[[#This Row],[考英]]&lt;&gt;"",单词表[[#This Row],[考中]]&lt;&gt;""),MAX(单词表[[#This Row],[考英]:[考中]]),"")</f>
        <v/>
      </c>
      <c r="N1846" s="79"/>
    </row>
    <row r="1847" spans="1:14" hidden="1" x14ac:dyDescent="0.15">
      <c r="A1847">
        <v>1847</v>
      </c>
      <c r="B1847" t="s">
        <v>35</v>
      </c>
      <c r="C1847" t="s">
        <v>8</v>
      </c>
      <c r="D1847" s="72" t="s">
        <v>887</v>
      </c>
      <c r="E1847" t="s">
        <v>73</v>
      </c>
      <c r="F1847" t="s">
        <v>5856</v>
      </c>
      <c r="G1847" s="92">
        <v>42638.403715277775</v>
      </c>
      <c r="H1847" s="92">
        <v>42638.434652777774</v>
      </c>
      <c r="I1847" s="92">
        <v>42638.434652777774</v>
      </c>
      <c r="J1847" s="92"/>
      <c r="K1847" s="92">
        <v>42638.435925925929</v>
      </c>
      <c r="L1847" s="92">
        <f>IF(AND(单词表[[#This Row],[学英]]&lt;&gt;"",单词表[[#This Row],[学中]]&lt;&gt;"",单词表[[#This Row],[学词]]&lt;&gt;""),MAX(单词表[[#This Row],[学英]:[学词]]),"")</f>
        <v>42638.434652777774</v>
      </c>
      <c r="M1847" s="2" t="str">
        <f>IF(AND(单词表[[#This Row],[考英]]&lt;&gt;"",单词表[[#This Row],[考中]]&lt;&gt;""),MAX(单词表[[#This Row],[考英]:[考中]]),"")</f>
        <v/>
      </c>
      <c r="N1847" s="79"/>
    </row>
    <row r="1848" spans="1:14" hidden="1" x14ac:dyDescent="0.15">
      <c r="A1848">
        <v>1848</v>
      </c>
      <c r="B1848" t="s">
        <v>35</v>
      </c>
      <c r="C1848" t="s">
        <v>8</v>
      </c>
      <c r="D1848" s="72" t="s">
        <v>1629</v>
      </c>
      <c r="E1848" t="s">
        <v>36</v>
      </c>
      <c r="F1848" t="s">
        <v>1630</v>
      </c>
      <c r="G1848" s="92">
        <v>42638.403773148151</v>
      </c>
      <c r="H1848" s="92">
        <v>42638.403784722221</v>
      </c>
      <c r="I1848" s="92">
        <v>42638.403784722221</v>
      </c>
      <c r="J1848" s="92"/>
      <c r="K1848" s="92">
        <v>42638.407905092594</v>
      </c>
      <c r="L1848" s="92">
        <f>IF(AND(单词表[[#This Row],[学英]]&lt;&gt;"",单词表[[#This Row],[学中]]&lt;&gt;"",单词表[[#This Row],[学词]]&lt;&gt;""),MAX(单词表[[#This Row],[学英]:[学词]]),"")</f>
        <v>42638.403784722221</v>
      </c>
      <c r="M1848" s="2" t="str">
        <f>IF(AND(单词表[[#This Row],[考英]]&lt;&gt;"",单词表[[#This Row],[考中]]&lt;&gt;""),MAX(单词表[[#This Row],[考英]:[考中]]),"")</f>
        <v/>
      </c>
      <c r="N1848" s="79"/>
    </row>
    <row r="1849" spans="1:14" hidden="1" x14ac:dyDescent="0.15">
      <c r="A1849">
        <v>1849</v>
      </c>
      <c r="B1849" t="s">
        <v>35</v>
      </c>
      <c r="C1849" t="s">
        <v>8</v>
      </c>
      <c r="D1849" s="72" t="s">
        <v>3420</v>
      </c>
      <c r="E1849" t="s">
        <v>1021</v>
      </c>
      <c r="F1849" t="s">
        <v>3421</v>
      </c>
      <c r="G1849" s="92">
        <v>42638.403807870367</v>
      </c>
      <c r="H1849" s="92">
        <v>42638.435219907406</v>
      </c>
      <c r="I1849" s="92">
        <v>42638.435231481482</v>
      </c>
      <c r="J1849" s="92"/>
      <c r="K1849" s="92">
        <v>42638.435983796298</v>
      </c>
      <c r="L1849" s="92">
        <f>IF(AND(单词表[[#This Row],[学英]]&lt;&gt;"",单词表[[#This Row],[学中]]&lt;&gt;"",单词表[[#This Row],[学词]]&lt;&gt;""),MAX(单词表[[#This Row],[学英]:[学词]]),"")</f>
        <v>42638.435231481482</v>
      </c>
      <c r="M1849" s="2" t="str">
        <f>IF(AND(单词表[[#This Row],[考英]]&lt;&gt;"",单词表[[#This Row],[考中]]&lt;&gt;""),MAX(单词表[[#This Row],[考英]:[考中]]),"")</f>
        <v/>
      </c>
      <c r="N1849" s="79"/>
    </row>
    <row r="1850" spans="1:14" hidden="1" x14ac:dyDescent="0.15">
      <c r="A1850">
        <v>1850</v>
      </c>
      <c r="B1850" t="s">
        <v>35</v>
      </c>
      <c r="C1850" t="s">
        <v>8</v>
      </c>
      <c r="D1850" s="72" t="s">
        <v>3422</v>
      </c>
      <c r="E1850" t="s">
        <v>1021</v>
      </c>
      <c r="F1850" t="s">
        <v>3423</v>
      </c>
      <c r="G1850" s="92">
        <v>42638.403865740744</v>
      </c>
      <c r="H1850" s="92">
        <v>42638.435254629629</v>
      </c>
      <c r="I1850" s="92">
        <v>42638.435254629629</v>
      </c>
      <c r="J1850" s="92"/>
      <c r="K1850" s="92">
        <v>42638.436018518521</v>
      </c>
      <c r="L1850" s="92">
        <f>IF(AND(单词表[[#This Row],[学英]]&lt;&gt;"",单词表[[#This Row],[学中]]&lt;&gt;"",单词表[[#This Row],[学词]]&lt;&gt;""),MAX(单词表[[#This Row],[学英]:[学词]]),"")</f>
        <v>42638.435254629629</v>
      </c>
      <c r="M1850" s="2" t="str">
        <f>IF(AND(单词表[[#This Row],[考英]]&lt;&gt;"",单词表[[#This Row],[考中]]&lt;&gt;""),MAX(单词表[[#This Row],[考英]:[考中]]),"")</f>
        <v/>
      </c>
      <c r="N1850" s="79"/>
    </row>
    <row r="1851" spans="1:14" hidden="1" x14ac:dyDescent="0.15">
      <c r="A1851">
        <v>1851</v>
      </c>
      <c r="B1851" t="s">
        <v>35</v>
      </c>
      <c r="C1851" t="s">
        <v>8</v>
      </c>
      <c r="D1851" s="72" t="s">
        <v>3424</v>
      </c>
      <c r="E1851" t="s">
        <v>61</v>
      </c>
      <c r="F1851" t="s">
        <v>3425</v>
      </c>
      <c r="G1851" s="92">
        <v>42638.403923611113</v>
      </c>
      <c r="H1851" s="92">
        <v>42638.403935185182</v>
      </c>
      <c r="I1851" s="92">
        <v>42638.403935185182</v>
      </c>
      <c r="J1851" s="92"/>
      <c r="K1851" s="92">
        <v>42638.408055555556</v>
      </c>
      <c r="L1851" s="92">
        <f>IF(AND(单词表[[#This Row],[学英]]&lt;&gt;"",单词表[[#This Row],[学中]]&lt;&gt;"",单词表[[#This Row],[学词]]&lt;&gt;""),MAX(单词表[[#This Row],[学英]:[学词]]),"")</f>
        <v>42638.403935185182</v>
      </c>
      <c r="M1851" s="2" t="str">
        <f>IF(AND(单词表[[#This Row],[考英]]&lt;&gt;"",单词表[[#This Row],[考中]]&lt;&gt;""),MAX(单词表[[#This Row],[考英]:[考中]]),"")</f>
        <v/>
      </c>
      <c r="N1851" s="79"/>
    </row>
    <row r="1852" spans="1:14" hidden="1" x14ac:dyDescent="0.15">
      <c r="A1852">
        <v>1852</v>
      </c>
      <c r="B1852" t="s">
        <v>35</v>
      </c>
      <c r="C1852" t="s">
        <v>8</v>
      </c>
      <c r="D1852" s="72" t="s">
        <v>693</v>
      </c>
      <c r="E1852" t="s">
        <v>36</v>
      </c>
      <c r="F1852" t="s">
        <v>3426</v>
      </c>
      <c r="G1852" s="92">
        <v>42638.403958333336</v>
      </c>
      <c r="H1852" s="92">
        <v>42638.403969907406</v>
      </c>
      <c r="I1852" s="92">
        <v>42638.403969907406</v>
      </c>
      <c r="J1852" s="92"/>
      <c r="K1852" s="92">
        <v>42638.408113425925</v>
      </c>
      <c r="L1852" s="92">
        <f>IF(AND(单词表[[#This Row],[学英]]&lt;&gt;"",单词表[[#This Row],[学中]]&lt;&gt;"",单词表[[#This Row],[学词]]&lt;&gt;""),MAX(单词表[[#This Row],[学英]:[学词]]),"")</f>
        <v>42638.403969907406</v>
      </c>
      <c r="M1852" s="2" t="str">
        <f>IF(AND(单词表[[#This Row],[考英]]&lt;&gt;"",单词表[[#This Row],[考中]]&lt;&gt;""),MAX(单词表[[#This Row],[考英]:[考中]]),"")</f>
        <v/>
      </c>
      <c r="N1852" s="79"/>
    </row>
    <row r="1853" spans="1:14" hidden="1" x14ac:dyDescent="0.15">
      <c r="A1853">
        <v>1853</v>
      </c>
      <c r="B1853" t="s">
        <v>35</v>
      </c>
      <c r="C1853" t="s">
        <v>8</v>
      </c>
      <c r="D1853" s="72" t="s">
        <v>459</v>
      </c>
      <c r="E1853" t="s">
        <v>36</v>
      </c>
      <c r="F1853" t="s">
        <v>460</v>
      </c>
      <c r="G1853" s="92">
        <v>42638.403993055559</v>
      </c>
      <c r="H1853" s="92">
        <v>42638.404016203705</v>
      </c>
      <c r="I1853" s="92">
        <v>42638.404016203705</v>
      </c>
      <c r="J1853" s="92"/>
      <c r="K1853" s="92">
        <v>42638.408148148148</v>
      </c>
      <c r="L1853" s="92">
        <f>IF(AND(单词表[[#This Row],[学英]]&lt;&gt;"",单词表[[#This Row],[学中]]&lt;&gt;"",单词表[[#This Row],[学词]]&lt;&gt;""),MAX(单词表[[#This Row],[学英]:[学词]]),"")</f>
        <v>42638.404016203705</v>
      </c>
      <c r="M1853" s="2" t="str">
        <f>IF(AND(单词表[[#This Row],[考英]]&lt;&gt;"",单词表[[#This Row],[考中]]&lt;&gt;""),MAX(单词表[[#This Row],[考英]:[考中]]),"")</f>
        <v/>
      </c>
      <c r="N1853" s="79"/>
    </row>
    <row r="1854" spans="1:14" hidden="1" x14ac:dyDescent="0.15">
      <c r="A1854">
        <v>1854</v>
      </c>
      <c r="B1854" t="s">
        <v>35</v>
      </c>
      <c r="C1854" t="s">
        <v>8</v>
      </c>
      <c r="D1854" s="72" t="s">
        <v>3427</v>
      </c>
      <c r="E1854" t="s">
        <v>1019</v>
      </c>
      <c r="F1854" t="s">
        <v>3428</v>
      </c>
      <c r="G1854" s="92">
        <v>42638.404050925928</v>
      </c>
      <c r="H1854" s="92">
        <v>42638.438692129632</v>
      </c>
      <c r="I1854" s="92">
        <v>42638.438668981478</v>
      </c>
      <c r="J1854" s="92"/>
      <c r="K1854" s="92">
        <v>42638.438993055555</v>
      </c>
      <c r="L1854" s="92">
        <f>IF(AND(单词表[[#This Row],[学英]]&lt;&gt;"",单词表[[#This Row],[学中]]&lt;&gt;"",单词表[[#This Row],[学词]]&lt;&gt;""),MAX(单词表[[#This Row],[学英]:[学词]]),"")</f>
        <v>42638.438692129632</v>
      </c>
      <c r="M1854" s="2" t="str">
        <f>IF(AND(单词表[[#This Row],[考英]]&lt;&gt;"",单词表[[#This Row],[考中]]&lt;&gt;""),MAX(单词表[[#This Row],[考英]:[考中]]),"")</f>
        <v/>
      </c>
      <c r="N1854" s="79"/>
    </row>
    <row r="1855" spans="1:14" hidden="1" x14ac:dyDescent="0.15">
      <c r="A1855">
        <v>1855</v>
      </c>
      <c r="B1855" t="s">
        <v>35</v>
      </c>
      <c r="C1855" t="s">
        <v>8</v>
      </c>
      <c r="D1855" s="72" t="s">
        <v>1425</v>
      </c>
      <c r="E1855" t="s">
        <v>36</v>
      </c>
      <c r="F1855" t="s">
        <v>3429</v>
      </c>
      <c r="G1855" s="92">
        <v>42638.404166666667</v>
      </c>
      <c r="H1855" s="92">
        <v>42638.438715277778</v>
      </c>
      <c r="I1855" s="92">
        <v>42638.438703703701</v>
      </c>
      <c r="J1855" s="92"/>
      <c r="K1855" s="92">
        <v>42638.439305555556</v>
      </c>
      <c r="L1855" s="92">
        <f>IF(AND(单词表[[#This Row],[学英]]&lt;&gt;"",单词表[[#This Row],[学中]]&lt;&gt;"",单词表[[#This Row],[学词]]&lt;&gt;""),MAX(单词表[[#This Row],[学英]:[学词]]),"")</f>
        <v>42638.438715277778</v>
      </c>
      <c r="M1855" s="2" t="str">
        <f>IF(AND(单词表[[#This Row],[考英]]&lt;&gt;"",单词表[[#This Row],[考中]]&lt;&gt;""),MAX(单词表[[#This Row],[考英]:[考中]]),"")</f>
        <v/>
      </c>
      <c r="N1855" s="79"/>
    </row>
    <row r="1856" spans="1:14" hidden="1" x14ac:dyDescent="0.15">
      <c r="A1856">
        <v>1856</v>
      </c>
      <c r="B1856" t="s">
        <v>35</v>
      </c>
      <c r="C1856" t="s">
        <v>8</v>
      </c>
      <c r="D1856" s="72" t="s">
        <v>1503</v>
      </c>
      <c r="E1856" t="s">
        <v>36</v>
      </c>
      <c r="F1856" t="s">
        <v>310</v>
      </c>
      <c r="G1856" s="92">
        <v>42638.40420138889</v>
      </c>
      <c r="H1856" s="92">
        <v>42638.40420138889</v>
      </c>
      <c r="I1856" s="92">
        <v>42638.40420138889</v>
      </c>
      <c r="J1856" s="92"/>
      <c r="K1856" s="92">
        <v>42638.40834490741</v>
      </c>
      <c r="L1856" s="92">
        <f>IF(AND(单词表[[#This Row],[学英]]&lt;&gt;"",单词表[[#This Row],[学中]]&lt;&gt;"",单词表[[#This Row],[学词]]&lt;&gt;""),MAX(单词表[[#This Row],[学英]:[学词]]),"")</f>
        <v>42638.40420138889</v>
      </c>
      <c r="M1856" s="2" t="str">
        <f>IF(AND(单词表[[#This Row],[考英]]&lt;&gt;"",单词表[[#This Row],[考中]]&lt;&gt;""),MAX(单词表[[#This Row],[考英]:[考中]]),"")</f>
        <v/>
      </c>
      <c r="N1856" s="79"/>
    </row>
    <row r="1857" spans="1:14" hidden="1" x14ac:dyDescent="0.15">
      <c r="A1857">
        <v>1857</v>
      </c>
      <c r="B1857" t="s">
        <v>35</v>
      </c>
      <c r="C1857" t="s">
        <v>8</v>
      </c>
      <c r="D1857" s="72" t="s">
        <v>3430</v>
      </c>
      <c r="E1857" t="s">
        <v>157</v>
      </c>
      <c r="F1857" t="s">
        <v>3431</v>
      </c>
      <c r="G1857" s="92">
        <v>42638.404224537036</v>
      </c>
      <c r="H1857" s="92">
        <v>42646.729826388888</v>
      </c>
      <c r="I1857" s="92">
        <v>42646.729791666665</v>
      </c>
      <c r="J1857" s="92"/>
      <c r="K1857" s="92">
        <v>42646.73</v>
      </c>
      <c r="L1857" s="92">
        <f>IF(AND(单词表[[#This Row],[学英]]&lt;&gt;"",单词表[[#This Row],[学中]]&lt;&gt;"",单词表[[#This Row],[学词]]&lt;&gt;""),MAX(单词表[[#This Row],[学英]:[学词]]),"")</f>
        <v>42646.729826388888</v>
      </c>
      <c r="M1857" s="2" t="str">
        <f>IF(AND(单词表[[#This Row],[考英]]&lt;&gt;"",单词表[[#This Row],[考中]]&lt;&gt;""),MAX(单词表[[#This Row],[考英]:[考中]]),"")</f>
        <v/>
      </c>
      <c r="N1857" s="79"/>
    </row>
    <row r="1858" spans="1:14" hidden="1" x14ac:dyDescent="0.15">
      <c r="A1858">
        <v>1858</v>
      </c>
      <c r="B1858" t="s">
        <v>35</v>
      </c>
      <c r="C1858" t="s">
        <v>8</v>
      </c>
      <c r="D1858" s="72" t="s">
        <v>1400</v>
      </c>
      <c r="E1858" t="s">
        <v>73</v>
      </c>
      <c r="F1858" t="s">
        <v>3432</v>
      </c>
      <c r="G1858" s="92">
        <v>42638.404247685183</v>
      </c>
      <c r="H1858" s="92">
        <v>42638.404282407406</v>
      </c>
      <c r="I1858" s="92">
        <v>42638.40425925926</v>
      </c>
      <c r="J1858" s="92"/>
      <c r="K1858" s="92">
        <v>42638.408449074072</v>
      </c>
      <c r="L1858" s="92">
        <f>IF(AND(单词表[[#This Row],[学英]]&lt;&gt;"",单词表[[#This Row],[学中]]&lt;&gt;"",单词表[[#This Row],[学词]]&lt;&gt;""),MAX(单词表[[#This Row],[学英]:[学词]]),"")</f>
        <v>42638.404282407406</v>
      </c>
      <c r="M1858" s="2" t="str">
        <f>IF(AND(单词表[[#This Row],[考英]]&lt;&gt;"",单词表[[#This Row],[考中]]&lt;&gt;""),MAX(单词表[[#This Row],[考英]:[考中]]),"")</f>
        <v/>
      </c>
      <c r="N1858" s="79"/>
    </row>
    <row r="1859" spans="1:14" hidden="1" x14ac:dyDescent="0.15">
      <c r="A1859">
        <v>1859</v>
      </c>
      <c r="B1859" t="s">
        <v>35</v>
      </c>
      <c r="C1859" t="s">
        <v>8</v>
      </c>
      <c r="D1859" s="72" t="s">
        <v>3433</v>
      </c>
      <c r="E1859" t="s">
        <v>702</v>
      </c>
      <c r="F1859" t="s">
        <v>3434</v>
      </c>
      <c r="G1859" s="92">
        <v>42638.404305555552</v>
      </c>
      <c r="H1859" s="92">
        <v>42638.404328703706</v>
      </c>
      <c r="I1859" s="92">
        <v>42638.404317129629</v>
      </c>
      <c r="J1859" s="92"/>
      <c r="K1859" s="92">
        <v>42638.408506944441</v>
      </c>
      <c r="L1859" s="92">
        <f>IF(AND(单词表[[#This Row],[学英]]&lt;&gt;"",单词表[[#This Row],[学中]]&lt;&gt;"",单词表[[#This Row],[学词]]&lt;&gt;""),MAX(单词表[[#This Row],[学英]:[学词]]),"")</f>
        <v>42638.404328703706</v>
      </c>
      <c r="M1859" s="2" t="str">
        <f>IF(AND(单词表[[#This Row],[考英]]&lt;&gt;"",单词表[[#This Row],[考中]]&lt;&gt;""),MAX(单词表[[#This Row],[考英]:[考中]]),"")</f>
        <v/>
      </c>
      <c r="N1859" s="79"/>
    </row>
    <row r="1860" spans="1:14" hidden="1" x14ac:dyDescent="0.15">
      <c r="A1860">
        <v>1860</v>
      </c>
      <c r="B1860" t="s">
        <v>35</v>
      </c>
      <c r="C1860" t="s">
        <v>8</v>
      </c>
      <c r="D1860" s="72" t="s">
        <v>1873</v>
      </c>
      <c r="E1860" t="s">
        <v>73</v>
      </c>
      <c r="F1860" t="s">
        <v>3435</v>
      </c>
      <c r="G1860" s="92">
        <v>42638.404351851852</v>
      </c>
      <c r="H1860" s="92">
        <v>42638.437337962961</v>
      </c>
      <c r="I1860" s="92">
        <v>42638.437326388892</v>
      </c>
      <c r="J1860" s="92"/>
      <c r="K1860" s="92">
        <v>42638.437928240739</v>
      </c>
      <c r="L1860" s="92">
        <f>IF(AND(单词表[[#This Row],[学英]]&lt;&gt;"",单词表[[#This Row],[学中]]&lt;&gt;"",单词表[[#This Row],[学词]]&lt;&gt;""),MAX(单词表[[#This Row],[学英]:[学词]]),"")</f>
        <v>42638.437337962961</v>
      </c>
      <c r="M1860" s="2" t="str">
        <f>IF(AND(单词表[[#This Row],[考英]]&lt;&gt;"",单词表[[#This Row],[考中]]&lt;&gt;""),MAX(单词表[[#This Row],[考英]:[考中]]),"")</f>
        <v/>
      </c>
      <c r="N1860" s="79"/>
    </row>
    <row r="1861" spans="1:14" hidden="1" x14ac:dyDescent="0.15">
      <c r="A1861">
        <v>1861</v>
      </c>
      <c r="B1861" t="s">
        <v>35</v>
      </c>
      <c r="C1861" t="s">
        <v>8</v>
      </c>
      <c r="D1861" s="72" t="s">
        <v>3436</v>
      </c>
      <c r="E1861" t="s">
        <v>36</v>
      </c>
      <c r="F1861" t="s">
        <v>2303</v>
      </c>
      <c r="G1861" s="92">
        <v>42638.404398148145</v>
      </c>
      <c r="H1861" s="92">
        <v>42638.404421296298</v>
      </c>
      <c r="I1861" s="92">
        <v>42638.404409722221</v>
      </c>
      <c r="J1861" s="92"/>
      <c r="K1861" s="92">
        <v>42638.40861111111</v>
      </c>
      <c r="L1861" s="92">
        <f>IF(AND(单词表[[#This Row],[学英]]&lt;&gt;"",单词表[[#This Row],[学中]]&lt;&gt;"",单词表[[#This Row],[学词]]&lt;&gt;""),MAX(单词表[[#This Row],[学英]:[学词]]),"")</f>
        <v>42638.404421296298</v>
      </c>
      <c r="M1861" s="2" t="str">
        <f>IF(AND(单词表[[#This Row],[考英]]&lt;&gt;"",单词表[[#This Row],[考中]]&lt;&gt;""),MAX(单词表[[#This Row],[考英]:[考中]]),"")</f>
        <v/>
      </c>
      <c r="N1861" s="79"/>
    </row>
    <row r="1862" spans="1:14" hidden="1" x14ac:dyDescent="0.15">
      <c r="A1862">
        <v>1862</v>
      </c>
      <c r="B1862" t="s">
        <v>35</v>
      </c>
      <c r="C1862" t="s">
        <v>8</v>
      </c>
      <c r="D1862" s="72" t="s">
        <v>1564</v>
      </c>
      <c r="E1862" t="s">
        <v>36</v>
      </c>
      <c r="F1862" t="s">
        <v>1565</v>
      </c>
      <c r="G1862" s="92">
        <v>42638.404432870368</v>
      </c>
      <c r="H1862" s="92">
        <v>42638.437280092592</v>
      </c>
      <c r="I1862" s="92">
        <v>42638.437280092592</v>
      </c>
      <c r="J1862" s="92"/>
      <c r="K1862" s="92">
        <v>42638.437962962962</v>
      </c>
      <c r="L1862" s="92">
        <f>IF(AND(单词表[[#This Row],[学英]]&lt;&gt;"",单词表[[#This Row],[学中]]&lt;&gt;"",单词表[[#This Row],[学词]]&lt;&gt;""),MAX(单词表[[#This Row],[学英]:[学词]]),"")</f>
        <v>42638.437280092592</v>
      </c>
      <c r="M1862" s="2" t="str">
        <f>IF(AND(单词表[[#This Row],[考英]]&lt;&gt;"",单词表[[#This Row],[考中]]&lt;&gt;""),MAX(单词表[[#This Row],[考英]:[考中]]),"")</f>
        <v/>
      </c>
      <c r="N1862" s="79"/>
    </row>
    <row r="1863" spans="1:14" hidden="1" x14ac:dyDescent="0.15">
      <c r="A1863">
        <v>1863</v>
      </c>
      <c r="B1863" t="s">
        <v>35</v>
      </c>
      <c r="C1863" t="s">
        <v>8</v>
      </c>
      <c r="D1863" s="72" t="s">
        <v>3061</v>
      </c>
      <c r="E1863" t="s">
        <v>38</v>
      </c>
      <c r="F1863" t="s">
        <v>5510</v>
      </c>
      <c r="G1863" s="92">
        <v>42638.404467592591</v>
      </c>
      <c r="H1863" s="92">
        <v>42638.439629629633</v>
      </c>
      <c r="I1863" s="92">
        <v>42638.439618055556</v>
      </c>
      <c r="J1863" s="92"/>
      <c r="K1863" s="92">
        <v>42638.439745370371</v>
      </c>
      <c r="L1863" s="92">
        <f>IF(AND(单词表[[#This Row],[学英]]&lt;&gt;"",单词表[[#This Row],[学中]]&lt;&gt;"",单词表[[#This Row],[学词]]&lt;&gt;""),MAX(单词表[[#This Row],[学英]:[学词]]),"")</f>
        <v>42638.439629629633</v>
      </c>
      <c r="M1863" s="2" t="str">
        <f>IF(AND(单词表[[#This Row],[考英]]&lt;&gt;"",单词表[[#This Row],[考中]]&lt;&gt;""),MAX(单词表[[#This Row],[考英]:[考中]]),"")</f>
        <v/>
      </c>
      <c r="N1863" s="79"/>
    </row>
    <row r="1864" spans="1:14" hidden="1" x14ac:dyDescent="0.15">
      <c r="A1864">
        <v>1864</v>
      </c>
      <c r="B1864" t="s">
        <v>35</v>
      </c>
      <c r="C1864" t="s">
        <v>8</v>
      </c>
      <c r="D1864" s="72" t="s">
        <v>2414</v>
      </c>
      <c r="E1864" t="s">
        <v>36</v>
      </c>
      <c r="F1864" t="s">
        <v>2415</v>
      </c>
      <c r="G1864" s="92">
        <v>42638.404502314814</v>
      </c>
      <c r="H1864" s="92">
        <v>42638.40452546296</v>
      </c>
      <c r="I1864" s="92">
        <v>42638.404513888891</v>
      </c>
      <c r="J1864" s="92"/>
      <c r="K1864" s="92">
        <v>42638.408796296295</v>
      </c>
      <c r="L1864" s="92">
        <f>IF(AND(单词表[[#This Row],[学英]]&lt;&gt;"",单词表[[#This Row],[学中]]&lt;&gt;"",单词表[[#This Row],[学词]]&lt;&gt;""),MAX(单词表[[#This Row],[学英]:[学词]]),"")</f>
        <v>42638.40452546296</v>
      </c>
      <c r="M1864" s="2" t="str">
        <f>IF(AND(单词表[[#This Row],[考英]]&lt;&gt;"",单词表[[#This Row],[考中]]&lt;&gt;""),MAX(单词表[[#This Row],[考英]:[考中]]),"")</f>
        <v/>
      </c>
      <c r="N1864" s="79"/>
    </row>
    <row r="1865" spans="1:14" hidden="1" x14ac:dyDescent="0.15">
      <c r="A1865">
        <v>1865</v>
      </c>
      <c r="B1865" t="s">
        <v>35</v>
      </c>
      <c r="C1865" t="s">
        <v>8</v>
      </c>
      <c r="D1865" s="72" t="s">
        <v>3437</v>
      </c>
      <c r="E1865" t="s">
        <v>702</v>
      </c>
      <c r="F1865" t="s">
        <v>3438</v>
      </c>
      <c r="G1865" s="92">
        <v>42638.404537037037</v>
      </c>
      <c r="H1865" s="92">
        <v>42638.404548611114</v>
      </c>
      <c r="I1865" s="92">
        <v>42638.404548611114</v>
      </c>
      <c r="J1865" s="92"/>
      <c r="K1865" s="92">
        <v>42638.408842592595</v>
      </c>
      <c r="L1865" s="92">
        <f>IF(AND(单词表[[#This Row],[学英]]&lt;&gt;"",单词表[[#This Row],[学中]]&lt;&gt;"",单词表[[#This Row],[学词]]&lt;&gt;""),MAX(单词表[[#This Row],[学英]:[学词]]),"")</f>
        <v>42638.404548611114</v>
      </c>
      <c r="M1865" s="2" t="str">
        <f>IF(AND(单词表[[#This Row],[考英]]&lt;&gt;"",单词表[[#This Row],[考中]]&lt;&gt;""),MAX(单词表[[#This Row],[考英]:[考中]]),"")</f>
        <v/>
      </c>
      <c r="N1865" s="79"/>
    </row>
    <row r="1866" spans="1:14" hidden="1" x14ac:dyDescent="0.15">
      <c r="A1866">
        <v>1866</v>
      </c>
      <c r="B1866" t="s">
        <v>35</v>
      </c>
      <c r="C1866" t="s">
        <v>8</v>
      </c>
      <c r="D1866" s="72" t="s">
        <v>3439</v>
      </c>
      <c r="E1866" t="s">
        <v>736</v>
      </c>
      <c r="F1866" t="s">
        <v>3440</v>
      </c>
      <c r="G1866" s="92">
        <v>42638.40457175926</v>
      </c>
      <c r="H1866" s="92">
        <v>42638.437060185184</v>
      </c>
      <c r="I1866" s="92">
        <v>42638.437048611115</v>
      </c>
      <c r="J1866" s="92"/>
      <c r="K1866" s="92">
        <v>42638.438067129631</v>
      </c>
      <c r="L1866" s="92">
        <f>IF(AND(单词表[[#This Row],[学英]]&lt;&gt;"",单词表[[#This Row],[学中]]&lt;&gt;"",单词表[[#This Row],[学词]]&lt;&gt;""),MAX(单词表[[#This Row],[学英]:[学词]]),"")</f>
        <v>42638.437060185184</v>
      </c>
      <c r="M1866" s="2" t="str">
        <f>IF(AND(单词表[[#This Row],[考英]]&lt;&gt;"",单词表[[#This Row],[考中]]&lt;&gt;""),MAX(单词表[[#This Row],[考英]:[考中]]),"")</f>
        <v/>
      </c>
      <c r="N1866" s="79"/>
    </row>
    <row r="1867" spans="1:14" hidden="1" x14ac:dyDescent="0.15">
      <c r="A1867">
        <v>1867</v>
      </c>
      <c r="B1867" t="s">
        <v>35</v>
      </c>
      <c r="C1867" t="s">
        <v>8</v>
      </c>
      <c r="D1867" s="72" t="s">
        <v>3156</v>
      </c>
      <c r="E1867" t="s">
        <v>36</v>
      </c>
      <c r="F1867" t="s">
        <v>3157</v>
      </c>
      <c r="G1867" s="92">
        <v>42638.404618055552</v>
      </c>
      <c r="H1867" s="92">
        <v>42638.404629629629</v>
      </c>
      <c r="I1867" s="92">
        <v>42638.404618055552</v>
      </c>
      <c r="J1867" s="92"/>
      <c r="K1867" s="92">
        <v>42638.40896990741</v>
      </c>
      <c r="L1867" s="92">
        <f>IF(AND(单词表[[#This Row],[学英]]&lt;&gt;"",单词表[[#This Row],[学中]]&lt;&gt;"",单词表[[#This Row],[学词]]&lt;&gt;""),MAX(单词表[[#This Row],[学英]:[学词]]),"")</f>
        <v>42638.404629629629</v>
      </c>
      <c r="M1867" s="2" t="str">
        <f>IF(AND(单词表[[#This Row],[考英]]&lt;&gt;"",单词表[[#This Row],[考中]]&lt;&gt;""),MAX(单词表[[#This Row],[考英]:[考中]]),"")</f>
        <v/>
      </c>
      <c r="N1867" s="79"/>
    </row>
    <row r="1868" spans="1:14" hidden="1" x14ac:dyDescent="0.15">
      <c r="A1868">
        <v>1868</v>
      </c>
      <c r="B1868" t="s">
        <v>35</v>
      </c>
      <c r="C1868" t="s">
        <v>8</v>
      </c>
      <c r="D1868" s="72" t="s">
        <v>3137</v>
      </c>
      <c r="E1868" t="s">
        <v>36</v>
      </c>
      <c r="F1868" t="s">
        <v>3441</v>
      </c>
      <c r="G1868" s="92">
        <v>42638.404710648145</v>
      </c>
      <c r="H1868" s="92">
        <v>42638.438831018517</v>
      </c>
      <c r="I1868" s="92">
        <v>42638.438831018517</v>
      </c>
      <c r="J1868" s="92"/>
      <c r="K1868" s="92">
        <v>42638.43949074074</v>
      </c>
      <c r="L1868" s="92">
        <f>IF(AND(单词表[[#This Row],[学英]]&lt;&gt;"",单词表[[#This Row],[学中]]&lt;&gt;"",单词表[[#This Row],[学词]]&lt;&gt;""),MAX(单词表[[#This Row],[学英]:[学词]]),"")</f>
        <v>42638.438831018517</v>
      </c>
      <c r="M1868" s="2" t="str">
        <f>IF(AND(单词表[[#This Row],[考英]]&lt;&gt;"",单词表[[#This Row],[考中]]&lt;&gt;""),MAX(单词表[[#This Row],[考英]:[考中]]),"")</f>
        <v/>
      </c>
      <c r="N1868" s="79"/>
    </row>
    <row r="1869" spans="1:14" hidden="1" x14ac:dyDescent="0.15">
      <c r="A1869">
        <v>1869</v>
      </c>
      <c r="B1869" t="s">
        <v>35</v>
      </c>
      <c r="C1869" t="s">
        <v>8</v>
      </c>
      <c r="D1869" s="72" t="s">
        <v>3442</v>
      </c>
      <c r="E1869" t="s">
        <v>36</v>
      </c>
      <c r="F1869" t="s">
        <v>3443</v>
      </c>
      <c r="G1869" s="92">
        <v>42638.405069444445</v>
      </c>
      <c r="H1869" s="92">
        <v>42638.436886574076</v>
      </c>
      <c r="I1869" s="92">
        <v>42638.436874999999</v>
      </c>
      <c r="J1869" s="92"/>
      <c r="K1869" s="92">
        <v>42638.438402777778</v>
      </c>
      <c r="L1869" s="92">
        <f>IF(AND(单词表[[#This Row],[学英]]&lt;&gt;"",单词表[[#This Row],[学中]]&lt;&gt;"",单词表[[#This Row],[学词]]&lt;&gt;""),MAX(单词表[[#This Row],[学英]:[学词]]),"")</f>
        <v>42638.436886574076</v>
      </c>
      <c r="M1869" s="2" t="str">
        <f>IF(AND(单词表[[#This Row],[考英]]&lt;&gt;"",单词表[[#This Row],[考中]]&lt;&gt;""),MAX(单词表[[#This Row],[考英]:[考中]]),"")</f>
        <v/>
      </c>
      <c r="N1869" s="79"/>
    </row>
    <row r="1870" spans="1:14" hidden="1" x14ac:dyDescent="0.15">
      <c r="A1870">
        <v>1870</v>
      </c>
      <c r="B1870" t="s">
        <v>35</v>
      </c>
      <c r="C1870" t="s">
        <v>8</v>
      </c>
      <c r="D1870" s="72" t="s">
        <v>2789</v>
      </c>
      <c r="E1870" t="s">
        <v>36</v>
      </c>
      <c r="F1870" t="s">
        <v>2790</v>
      </c>
      <c r="G1870" s="92">
        <v>42638.405104166668</v>
      </c>
      <c r="H1870" s="92">
        <v>42638.405127314814</v>
      </c>
      <c r="I1870" s="92">
        <v>42638.405127314814</v>
      </c>
      <c r="J1870" s="92"/>
      <c r="K1870" s="92">
        <v>42638.409143518518</v>
      </c>
      <c r="L1870" s="92">
        <f>IF(AND(单词表[[#This Row],[学英]]&lt;&gt;"",单词表[[#This Row],[学中]]&lt;&gt;"",单词表[[#This Row],[学词]]&lt;&gt;""),MAX(单词表[[#This Row],[学英]:[学词]]),"")</f>
        <v>42638.405127314814</v>
      </c>
      <c r="M1870" s="2" t="str">
        <f>IF(AND(单词表[[#This Row],[考英]]&lt;&gt;"",单词表[[#This Row],[考中]]&lt;&gt;""),MAX(单词表[[#This Row],[考英]:[考中]]),"")</f>
        <v/>
      </c>
      <c r="N1870" s="79"/>
    </row>
    <row r="1871" spans="1:14" hidden="1" x14ac:dyDescent="0.15">
      <c r="A1871">
        <v>1871</v>
      </c>
      <c r="B1871" t="s">
        <v>35</v>
      </c>
      <c r="C1871" t="s">
        <v>8</v>
      </c>
      <c r="D1871" s="72" t="s">
        <v>3444</v>
      </c>
      <c r="E1871" t="s">
        <v>36</v>
      </c>
      <c r="F1871" t="s">
        <v>3445</v>
      </c>
      <c r="G1871" s="92">
        <v>42638.405509259261</v>
      </c>
      <c r="H1871" s="92">
        <v>42638.405532407407</v>
      </c>
      <c r="I1871" s="92">
        <v>42638.40552083333</v>
      </c>
      <c r="J1871" s="92"/>
      <c r="K1871" s="92">
        <v>42638.409189814818</v>
      </c>
      <c r="L1871" s="92">
        <f>IF(AND(单词表[[#This Row],[学英]]&lt;&gt;"",单词表[[#This Row],[学中]]&lt;&gt;"",单词表[[#This Row],[学词]]&lt;&gt;""),MAX(单词表[[#This Row],[学英]:[学词]]),"")</f>
        <v>42638.405532407407</v>
      </c>
      <c r="M1871" s="2" t="str">
        <f>IF(AND(单词表[[#This Row],[考英]]&lt;&gt;"",单词表[[#This Row],[考中]]&lt;&gt;""),MAX(单词表[[#This Row],[考英]:[考中]]),"")</f>
        <v/>
      </c>
      <c r="N1871" s="79"/>
    </row>
    <row r="1872" spans="1:14" hidden="1" x14ac:dyDescent="0.15">
      <c r="A1872">
        <v>1872</v>
      </c>
      <c r="B1872" t="s">
        <v>35</v>
      </c>
      <c r="C1872" t="s">
        <v>8</v>
      </c>
      <c r="D1872" s="72" t="s">
        <v>163</v>
      </c>
      <c r="E1872" t="s">
        <v>736</v>
      </c>
      <c r="F1872" t="s">
        <v>3446</v>
      </c>
      <c r="G1872" s="92">
        <v>42638.405543981484</v>
      </c>
      <c r="H1872" s="92">
        <v>42638.40556712963</v>
      </c>
      <c r="I1872" s="92">
        <v>42638.405555555553</v>
      </c>
      <c r="J1872" s="92"/>
      <c r="K1872" s="92">
        <v>42638.409247685187</v>
      </c>
      <c r="L1872" s="92">
        <f>IF(AND(单词表[[#This Row],[学英]]&lt;&gt;"",单词表[[#This Row],[学中]]&lt;&gt;"",单词表[[#This Row],[学词]]&lt;&gt;""),MAX(单词表[[#This Row],[学英]:[学词]]),"")</f>
        <v>42638.40556712963</v>
      </c>
      <c r="M1872" s="2" t="str">
        <f>IF(AND(单词表[[#This Row],[考英]]&lt;&gt;"",单词表[[#This Row],[考中]]&lt;&gt;""),MAX(单词表[[#This Row],[考英]:[考中]]),"")</f>
        <v/>
      </c>
      <c r="N1872" s="79"/>
    </row>
    <row r="1873" spans="1:14" hidden="1" x14ac:dyDescent="0.15">
      <c r="A1873">
        <v>1873</v>
      </c>
      <c r="B1873" t="s">
        <v>35</v>
      </c>
      <c r="C1873" t="s">
        <v>8</v>
      </c>
      <c r="D1873" s="72" t="s">
        <v>3447</v>
      </c>
      <c r="E1873" t="s">
        <v>36</v>
      </c>
      <c r="F1873" t="s">
        <v>230</v>
      </c>
      <c r="G1873" s="92">
        <v>42638.405590277776</v>
      </c>
      <c r="H1873" s="92">
        <v>42638.436828703707</v>
      </c>
      <c r="I1873" s="92">
        <v>42638.43681712963</v>
      </c>
      <c r="J1873" s="92"/>
      <c r="K1873" s="92">
        <v>42638.438437500001</v>
      </c>
      <c r="L1873" s="92">
        <f>IF(AND(单词表[[#This Row],[学英]]&lt;&gt;"",单词表[[#This Row],[学中]]&lt;&gt;"",单词表[[#This Row],[学词]]&lt;&gt;""),MAX(单词表[[#This Row],[学英]:[学词]]),"")</f>
        <v>42638.436828703707</v>
      </c>
      <c r="M1873" s="2" t="str">
        <f>IF(AND(单词表[[#This Row],[考英]]&lt;&gt;"",单词表[[#This Row],[考中]]&lt;&gt;""),MAX(单词表[[#This Row],[考英]:[考中]]),"")</f>
        <v/>
      </c>
      <c r="N1873" s="79"/>
    </row>
    <row r="1874" spans="1:14" hidden="1" x14ac:dyDescent="0.15">
      <c r="A1874">
        <v>1874</v>
      </c>
      <c r="B1874" t="s">
        <v>35</v>
      </c>
      <c r="C1874" t="s">
        <v>8</v>
      </c>
      <c r="D1874" s="72" t="s">
        <v>2318</v>
      </c>
      <c r="E1874" t="s">
        <v>61</v>
      </c>
      <c r="F1874" t="s">
        <v>5511</v>
      </c>
      <c r="G1874" s="92">
        <v>42638.405624999999</v>
      </c>
      <c r="H1874" s="92">
        <v>42638.405636574076</v>
      </c>
      <c r="I1874" s="92">
        <v>42638.405636574076</v>
      </c>
      <c r="J1874" s="92"/>
      <c r="K1874" s="92">
        <v>42638.409386574072</v>
      </c>
      <c r="L1874" s="92">
        <f>IF(AND(单词表[[#This Row],[学英]]&lt;&gt;"",单词表[[#This Row],[学中]]&lt;&gt;"",单词表[[#This Row],[学词]]&lt;&gt;""),MAX(单词表[[#This Row],[学英]:[学词]]),"")</f>
        <v>42638.405636574076</v>
      </c>
      <c r="M1874" s="2" t="str">
        <f>IF(AND(单词表[[#This Row],[考英]]&lt;&gt;"",单词表[[#This Row],[考中]]&lt;&gt;""),MAX(单词表[[#This Row],[考英]:[考中]]),"")</f>
        <v/>
      </c>
      <c r="N1874" s="79"/>
    </row>
    <row r="1875" spans="1:14" hidden="1" x14ac:dyDescent="0.15">
      <c r="A1875">
        <v>1875</v>
      </c>
      <c r="B1875" t="s">
        <v>35</v>
      </c>
      <c r="C1875" t="s">
        <v>8</v>
      </c>
      <c r="D1875" s="72" t="s">
        <v>1432</v>
      </c>
      <c r="E1875" t="s">
        <v>36</v>
      </c>
      <c r="F1875" t="s">
        <v>5512</v>
      </c>
      <c r="G1875" s="92">
        <v>42638.405659722222</v>
      </c>
      <c r="H1875" s="92">
        <v>42638.405682870369</v>
      </c>
      <c r="I1875" s="92">
        <v>42638.405671296299</v>
      </c>
      <c r="J1875" s="92"/>
      <c r="K1875" s="92">
        <v>42638.409444444442</v>
      </c>
      <c r="L1875" s="92">
        <f>IF(AND(单词表[[#This Row],[学英]]&lt;&gt;"",单词表[[#This Row],[学中]]&lt;&gt;"",单词表[[#This Row],[学词]]&lt;&gt;""),MAX(单词表[[#This Row],[学英]:[学词]]),"")</f>
        <v>42638.405682870369</v>
      </c>
      <c r="M1875" s="2" t="str">
        <f>IF(AND(单词表[[#This Row],[考英]]&lt;&gt;"",单词表[[#This Row],[考中]]&lt;&gt;""),MAX(单词表[[#This Row],[考英]:[考中]]),"")</f>
        <v/>
      </c>
      <c r="N1875" s="79"/>
    </row>
    <row r="1876" spans="1:14" hidden="1" x14ac:dyDescent="0.15">
      <c r="A1876">
        <v>1876</v>
      </c>
      <c r="B1876" t="s">
        <v>35</v>
      </c>
      <c r="C1876" t="s">
        <v>8</v>
      </c>
      <c r="D1876" s="72" t="s">
        <v>1430</v>
      </c>
      <c r="E1876" t="s">
        <v>36</v>
      </c>
      <c r="F1876" t="s">
        <v>1431</v>
      </c>
      <c r="G1876" s="92">
        <v>42638.405706018515</v>
      </c>
      <c r="H1876" s="92">
        <v>42638.405729166669</v>
      </c>
      <c r="I1876" s="92">
        <v>42638.405729166669</v>
      </c>
      <c r="J1876" s="92"/>
      <c r="K1876" s="92">
        <v>42638.409490740742</v>
      </c>
      <c r="L1876" s="92">
        <f>IF(AND(单词表[[#This Row],[学英]]&lt;&gt;"",单词表[[#This Row],[学中]]&lt;&gt;"",单词表[[#This Row],[学词]]&lt;&gt;""),MAX(单词表[[#This Row],[学英]:[学词]]),"")</f>
        <v>42638.405729166669</v>
      </c>
      <c r="M1876" s="2" t="str">
        <f>IF(AND(单词表[[#This Row],[考英]]&lt;&gt;"",单词表[[#This Row],[考中]]&lt;&gt;""),MAX(单词表[[#This Row],[考英]:[考中]]),"")</f>
        <v/>
      </c>
      <c r="N1876" s="79"/>
    </row>
    <row r="1877" spans="1:14" hidden="1" x14ac:dyDescent="0.15">
      <c r="A1877">
        <v>1877</v>
      </c>
      <c r="B1877" t="s">
        <v>35</v>
      </c>
      <c r="C1877" t="s">
        <v>8</v>
      </c>
      <c r="D1877" s="72" t="s">
        <v>1384</v>
      </c>
      <c r="E1877" t="s">
        <v>36</v>
      </c>
      <c r="F1877" t="s">
        <v>891</v>
      </c>
      <c r="G1877" s="92">
        <v>42638.405763888892</v>
      </c>
      <c r="H1877" s="92">
        <v>42638.405775462961</v>
      </c>
      <c r="I1877" s="92">
        <v>42638.405775462961</v>
      </c>
      <c r="J1877" s="92"/>
      <c r="K1877" s="92">
        <v>42638.409537037034</v>
      </c>
      <c r="L1877" s="92">
        <f>IF(AND(单词表[[#This Row],[学英]]&lt;&gt;"",单词表[[#This Row],[学中]]&lt;&gt;"",单词表[[#This Row],[学词]]&lt;&gt;""),MAX(单词表[[#This Row],[学英]:[学词]]),"")</f>
        <v>42638.405775462961</v>
      </c>
      <c r="M1877" s="2" t="str">
        <f>IF(AND(单词表[[#This Row],[考英]]&lt;&gt;"",单词表[[#This Row],[考中]]&lt;&gt;""),MAX(单词表[[#This Row],[考英]:[考中]]),"")</f>
        <v/>
      </c>
      <c r="N1877" s="79"/>
    </row>
    <row r="1878" spans="1:14" hidden="1" x14ac:dyDescent="0.15">
      <c r="A1878">
        <v>1878</v>
      </c>
      <c r="B1878" t="s">
        <v>35</v>
      </c>
      <c r="C1878" t="s">
        <v>8</v>
      </c>
      <c r="D1878" s="72" t="s">
        <v>1752</v>
      </c>
      <c r="E1878" t="s">
        <v>36</v>
      </c>
      <c r="F1878" t="s">
        <v>5513</v>
      </c>
      <c r="G1878" s="92">
        <v>42638.405798611115</v>
      </c>
      <c r="H1878" s="92">
        <v>42638.405810185184</v>
      </c>
      <c r="I1878" s="92">
        <v>42638.405798611115</v>
      </c>
      <c r="J1878" s="92"/>
      <c r="K1878" s="92">
        <v>42638.409571759257</v>
      </c>
      <c r="L1878" s="92">
        <f>IF(AND(单词表[[#This Row],[学英]]&lt;&gt;"",单词表[[#This Row],[学中]]&lt;&gt;"",单词表[[#This Row],[学词]]&lt;&gt;""),MAX(单词表[[#This Row],[学英]:[学词]]),"")</f>
        <v>42638.405810185184</v>
      </c>
      <c r="M1878" s="2" t="str">
        <f>IF(AND(单词表[[#This Row],[考英]]&lt;&gt;"",单词表[[#This Row],[考中]]&lt;&gt;""),MAX(单词表[[#This Row],[考英]:[考中]]),"")</f>
        <v/>
      </c>
      <c r="N1878" s="79"/>
    </row>
    <row r="1879" spans="1:14" hidden="1" x14ac:dyDescent="0.15">
      <c r="A1879">
        <v>1879</v>
      </c>
      <c r="B1879" t="s">
        <v>35</v>
      </c>
      <c r="C1879" t="s">
        <v>8</v>
      </c>
      <c r="D1879" s="72" t="s">
        <v>2417</v>
      </c>
      <c r="E1879" t="s">
        <v>73</v>
      </c>
      <c r="F1879" t="s">
        <v>3448</v>
      </c>
      <c r="G1879" s="92">
        <v>42638.405833333331</v>
      </c>
      <c r="H1879" s="92">
        <v>42638.405844907407</v>
      </c>
      <c r="I1879" s="92">
        <v>42638.405844907407</v>
      </c>
      <c r="J1879" s="92"/>
      <c r="K1879" s="92">
        <v>42638.409618055557</v>
      </c>
      <c r="L1879" s="92">
        <f>IF(AND(单词表[[#This Row],[学英]]&lt;&gt;"",单词表[[#This Row],[学中]]&lt;&gt;"",单词表[[#This Row],[学词]]&lt;&gt;""),MAX(单词表[[#This Row],[学英]:[学词]]),"")</f>
        <v>42638.405844907407</v>
      </c>
      <c r="M1879" s="2" t="str">
        <f>IF(AND(单词表[[#This Row],[考英]]&lt;&gt;"",单词表[[#This Row],[考中]]&lt;&gt;""),MAX(单词表[[#This Row],[考英]:[考中]]),"")</f>
        <v/>
      </c>
      <c r="N1879" s="79"/>
    </row>
    <row r="1880" spans="1:14" hidden="1" x14ac:dyDescent="0.15">
      <c r="A1880">
        <v>1880</v>
      </c>
      <c r="B1880" t="s">
        <v>35</v>
      </c>
      <c r="C1880" t="s">
        <v>8</v>
      </c>
      <c r="D1880" s="72" t="s">
        <v>1391</v>
      </c>
      <c r="E1880" t="s">
        <v>36</v>
      </c>
      <c r="F1880" t="s">
        <v>1392</v>
      </c>
      <c r="G1880" s="92">
        <v>42638.405868055554</v>
      </c>
      <c r="H1880" s="92">
        <v>42638.40587962963</v>
      </c>
      <c r="I1880" s="92">
        <v>42638.40587962963</v>
      </c>
      <c r="J1880" s="92"/>
      <c r="K1880" s="92">
        <v>42638.40966435185</v>
      </c>
      <c r="L1880" s="92">
        <f>IF(AND(单词表[[#This Row],[学英]]&lt;&gt;"",单词表[[#This Row],[学中]]&lt;&gt;"",单词表[[#This Row],[学词]]&lt;&gt;""),MAX(单词表[[#This Row],[学英]:[学词]]),"")</f>
        <v>42638.40587962963</v>
      </c>
      <c r="M1880" s="2" t="str">
        <f>IF(AND(单词表[[#This Row],[考英]]&lt;&gt;"",单词表[[#This Row],[考中]]&lt;&gt;""),MAX(单词表[[#This Row],[考英]:[考中]]),"")</f>
        <v/>
      </c>
      <c r="N1880" s="79"/>
    </row>
    <row r="1881" spans="1:14" hidden="1" x14ac:dyDescent="0.15">
      <c r="A1881">
        <v>1881</v>
      </c>
      <c r="B1881" t="s">
        <v>35</v>
      </c>
      <c r="C1881" t="s">
        <v>8</v>
      </c>
      <c r="D1881" s="72" t="s">
        <v>3449</v>
      </c>
      <c r="E1881" t="s">
        <v>61</v>
      </c>
      <c r="F1881" t="s">
        <v>3450</v>
      </c>
      <c r="G1881" s="92">
        <v>42638.405902777777</v>
      </c>
      <c r="H1881" s="92">
        <v>42638.436782407407</v>
      </c>
      <c r="I1881" s="92">
        <v>42638.436759259261</v>
      </c>
      <c r="J1881" s="92"/>
      <c r="K1881" s="92">
        <v>42638.438460648147</v>
      </c>
      <c r="L1881" s="92">
        <f>IF(AND(单词表[[#This Row],[学英]]&lt;&gt;"",单词表[[#This Row],[学中]]&lt;&gt;"",单词表[[#This Row],[学词]]&lt;&gt;""),MAX(单词表[[#This Row],[学英]:[学词]]),"")</f>
        <v>42638.436782407407</v>
      </c>
      <c r="M1881" s="2" t="str">
        <f>IF(AND(单词表[[#This Row],[考英]]&lt;&gt;"",单词表[[#This Row],[考中]]&lt;&gt;""),MAX(单词表[[#This Row],[考英]:[考中]]),"")</f>
        <v/>
      </c>
      <c r="N1881" s="79"/>
    </row>
    <row r="1882" spans="1:14" hidden="1" x14ac:dyDescent="0.15">
      <c r="A1882">
        <v>1882</v>
      </c>
      <c r="B1882" t="s">
        <v>35</v>
      </c>
      <c r="C1882" t="s">
        <v>8</v>
      </c>
      <c r="D1882" s="72" t="s">
        <v>78</v>
      </c>
      <c r="E1882" t="s">
        <v>736</v>
      </c>
      <c r="F1882" t="s">
        <v>3451</v>
      </c>
      <c r="G1882" s="92">
        <v>42638.405949074076</v>
      </c>
      <c r="H1882" s="92">
        <v>42638.436736111114</v>
      </c>
      <c r="I1882" s="92">
        <v>42638.436736111114</v>
      </c>
      <c r="J1882" s="92"/>
      <c r="K1882" s="92">
        <v>42638.438518518517</v>
      </c>
      <c r="L1882" s="92">
        <f>IF(AND(单词表[[#This Row],[学英]]&lt;&gt;"",单词表[[#This Row],[学中]]&lt;&gt;"",单词表[[#This Row],[学词]]&lt;&gt;""),MAX(单词表[[#This Row],[学英]:[学词]]),"")</f>
        <v>42638.436736111114</v>
      </c>
      <c r="M1882" s="2" t="str">
        <f>IF(AND(单词表[[#This Row],[考英]]&lt;&gt;"",单词表[[#This Row],[考中]]&lt;&gt;""),MAX(单词表[[#This Row],[考英]:[考中]]),"")</f>
        <v/>
      </c>
      <c r="N1882" s="79"/>
    </row>
    <row r="1883" spans="1:14" hidden="1" x14ac:dyDescent="0.15">
      <c r="A1883">
        <v>1883</v>
      </c>
      <c r="B1883" t="s">
        <v>35</v>
      </c>
      <c r="C1883" t="s">
        <v>8</v>
      </c>
      <c r="D1883" s="72" t="s">
        <v>3452</v>
      </c>
      <c r="E1883" t="s">
        <v>36</v>
      </c>
      <c r="F1883" t="s">
        <v>3453</v>
      </c>
      <c r="G1883" s="92">
        <v>42638.405972222223</v>
      </c>
      <c r="H1883" s="92">
        <v>42638.436701388891</v>
      </c>
      <c r="I1883" s="92">
        <v>42638.436701388891</v>
      </c>
      <c r="J1883" s="92"/>
      <c r="K1883" s="92">
        <v>42638.43855324074</v>
      </c>
      <c r="L1883" s="92">
        <f>IF(AND(单词表[[#This Row],[学英]]&lt;&gt;"",单词表[[#This Row],[学中]]&lt;&gt;"",单词表[[#This Row],[学词]]&lt;&gt;""),MAX(单词表[[#This Row],[学英]:[学词]]),"")</f>
        <v>42638.436701388891</v>
      </c>
      <c r="M1883" s="2" t="str">
        <f>IF(AND(单词表[[#This Row],[考英]]&lt;&gt;"",单词表[[#This Row],[考中]]&lt;&gt;""),MAX(单词表[[#This Row],[考英]:[考中]]),"")</f>
        <v/>
      </c>
      <c r="N1883" s="79"/>
    </row>
    <row r="1884" spans="1:14" hidden="1" x14ac:dyDescent="0.15">
      <c r="A1884">
        <v>1884</v>
      </c>
      <c r="B1884" t="s">
        <v>35</v>
      </c>
      <c r="C1884" t="s">
        <v>9</v>
      </c>
      <c r="D1884" s="72" t="s">
        <v>2864</v>
      </c>
      <c r="E1884" t="s">
        <v>36</v>
      </c>
      <c r="F1884" t="s">
        <v>3454</v>
      </c>
      <c r="G1884" s="92">
        <v>42646.647638888891</v>
      </c>
      <c r="H1884" s="92">
        <v>42646.647673611114</v>
      </c>
      <c r="I1884" s="92">
        <v>42646.647662037038</v>
      </c>
      <c r="J1884" s="92"/>
      <c r="K1884" s="92">
        <v>42646.660428240742</v>
      </c>
      <c r="L1884" s="92">
        <f>IF(AND(单词表[[#This Row],[学英]]&lt;&gt;"",单词表[[#This Row],[学中]]&lt;&gt;"",单词表[[#This Row],[学词]]&lt;&gt;""),MAX(单词表[[#This Row],[学英]:[学词]]),"")</f>
        <v>42646.647673611114</v>
      </c>
      <c r="M1884" s="2" t="str">
        <f>IF(AND(单词表[[#This Row],[考英]]&lt;&gt;"",单词表[[#This Row],[考中]]&lt;&gt;""),MAX(单词表[[#This Row],[考英]:[考中]]),"")</f>
        <v/>
      </c>
      <c r="N1884" s="79"/>
    </row>
    <row r="1885" spans="1:14" hidden="1" x14ac:dyDescent="0.15">
      <c r="A1885">
        <v>1885</v>
      </c>
      <c r="B1885" t="s">
        <v>35</v>
      </c>
      <c r="C1885" t="s">
        <v>9</v>
      </c>
      <c r="D1885" s="72" t="s">
        <v>1816</v>
      </c>
      <c r="E1885" t="s">
        <v>36</v>
      </c>
      <c r="F1885" t="s">
        <v>3455</v>
      </c>
      <c r="G1885" s="92">
        <v>42646.647719907407</v>
      </c>
      <c r="H1885" s="92">
        <v>42646.64775462963</v>
      </c>
      <c r="I1885" s="92">
        <v>42646.647743055553</v>
      </c>
      <c r="J1885" s="92"/>
      <c r="K1885" s="92">
        <v>42646.660462962966</v>
      </c>
      <c r="L1885" s="92">
        <f>IF(AND(单词表[[#This Row],[学英]]&lt;&gt;"",单词表[[#This Row],[学中]]&lt;&gt;"",单词表[[#This Row],[学词]]&lt;&gt;""),MAX(单词表[[#This Row],[学英]:[学词]]),"")</f>
        <v>42646.64775462963</v>
      </c>
      <c r="M1885" s="2" t="str">
        <f>IF(AND(单词表[[#This Row],[考英]]&lt;&gt;"",单词表[[#This Row],[考中]]&lt;&gt;""),MAX(单词表[[#This Row],[考英]:[考中]]),"")</f>
        <v/>
      </c>
      <c r="N1885" s="79"/>
    </row>
    <row r="1886" spans="1:14" hidden="1" x14ac:dyDescent="0.15">
      <c r="A1886">
        <v>1886</v>
      </c>
      <c r="B1886" t="s">
        <v>35</v>
      </c>
      <c r="C1886" t="s">
        <v>9</v>
      </c>
      <c r="D1886" s="72" t="s">
        <v>3456</v>
      </c>
      <c r="E1886" t="s">
        <v>61</v>
      </c>
      <c r="F1886" t="s">
        <v>3457</v>
      </c>
      <c r="G1886" s="92">
        <v>42646.647800925923</v>
      </c>
      <c r="H1886" s="92">
        <v>42646.647835648146</v>
      </c>
      <c r="I1886" s="92">
        <v>42646.647824074076</v>
      </c>
      <c r="J1886" s="92"/>
      <c r="K1886" s="92">
        <v>42646.660717592589</v>
      </c>
      <c r="L1886" s="92">
        <f>IF(AND(单词表[[#This Row],[学英]]&lt;&gt;"",单词表[[#This Row],[学中]]&lt;&gt;"",单词表[[#This Row],[学词]]&lt;&gt;""),MAX(单词表[[#This Row],[学英]:[学词]]),"")</f>
        <v>42646.647835648146</v>
      </c>
      <c r="M1886" s="2" t="str">
        <f>IF(AND(单词表[[#This Row],[考英]]&lt;&gt;"",单词表[[#This Row],[考中]]&lt;&gt;""),MAX(单词表[[#This Row],[考英]:[考中]]),"")</f>
        <v/>
      </c>
      <c r="N1886" s="79"/>
    </row>
    <row r="1887" spans="1:14" hidden="1" x14ac:dyDescent="0.15">
      <c r="A1887">
        <v>1887</v>
      </c>
      <c r="B1887" t="s">
        <v>35</v>
      </c>
      <c r="C1887" t="s">
        <v>9</v>
      </c>
      <c r="D1887" s="72" t="s">
        <v>3458</v>
      </c>
      <c r="E1887" t="s">
        <v>36</v>
      </c>
      <c r="F1887" t="s">
        <v>3459</v>
      </c>
      <c r="G1887" s="92">
        <v>42646.647916666669</v>
      </c>
      <c r="H1887" s="92">
        <v>42646.647997685184</v>
      </c>
      <c r="I1887" s="92">
        <v>42646.647974537038</v>
      </c>
      <c r="J1887" s="92"/>
      <c r="K1887" s="92">
        <v>42646.660763888889</v>
      </c>
      <c r="L1887" s="92">
        <f>IF(AND(单词表[[#This Row],[学英]]&lt;&gt;"",单词表[[#This Row],[学中]]&lt;&gt;"",单词表[[#This Row],[学词]]&lt;&gt;""),MAX(单词表[[#This Row],[学英]:[学词]]),"")</f>
        <v>42646.647997685184</v>
      </c>
      <c r="M1887" s="2" t="str">
        <f>IF(AND(单词表[[#This Row],[考英]]&lt;&gt;"",单词表[[#This Row],[考中]]&lt;&gt;""),MAX(单词表[[#This Row],[考英]:[考中]]),"")</f>
        <v/>
      </c>
      <c r="N1887" s="79"/>
    </row>
    <row r="1888" spans="1:14" hidden="1" x14ac:dyDescent="0.15">
      <c r="A1888">
        <v>1888</v>
      </c>
      <c r="B1888" t="s">
        <v>35</v>
      </c>
      <c r="C1888" t="s">
        <v>9</v>
      </c>
      <c r="D1888" s="72" t="s">
        <v>3460</v>
      </c>
      <c r="E1888" t="s">
        <v>1019</v>
      </c>
      <c r="F1888" t="s">
        <v>3461</v>
      </c>
      <c r="G1888" s="92">
        <v>42646.648148148146</v>
      </c>
      <c r="H1888" s="92">
        <v>42646.843645833331</v>
      </c>
      <c r="I1888" s="92">
        <v>42646.843634259261</v>
      </c>
      <c r="J1888" s="92"/>
      <c r="K1888" s="92">
        <v>42646.854050925926</v>
      </c>
      <c r="L1888" s="92">
        <f>IF(AND(单词表[[#This Row],[学英]]&lt;&gt;"",单词表[[#This Row],[学中]]&lt;&gt;"",单词表[[#This Row],[学词]]&lt;&gt;""),MAX(单词表[[#This Row],[学英]:[学词]]),"")</f>
        <v>42646.843645833331</v>
      </c>
      <c r="M1888" s="2" t="str">
        <f>IF(AND(单词表[[#This Row],[考英]]&lt;&gt;"",单词表[[#This Row],[考中]]&lt;&gt;""),MAX(单词表[[#This Row],[考英]:[考中]]),"")</f>
        <v/>
      </c>
      <c r="N1888" s="79"/>
    </row>
    <row r="1889" spans="1:14" hidden="1" x14ac:dyDescent="0.15">
      <c r="A1889">
        <v>1889</v>
      </c>
      <c r="B1889" t="s">
        <v>35</v>
      </c>
      <c r="C1889" t="s">
        <v>9</v>
      </c>
      <c r="D1889" s="72" t="s">
        <v>948</v>
      </c>
      <c r="E1889" t="s">
        <v>36</v>
      </c>
      <c r="F1889" t="s">
        <v>3462</v>
      </c>
      <c r="G1889" s="92">
        <v>42646.648182870369</v>
      </c>
      <c r="H1889" s="92">
        <v>42646.648206018515</v>
      </c>
      <c r="I1889" s="92">
        <v>42646.648194444446</v>
      </c>
      <c r="J1889" s="92"/>
      <c r="K1889" s="92">
        <v>42646.660868055558</v>
      </c>
      <c r="L1889" s="92">
        <f>IF(AND(单词表[[#This Row],[学英]]&lt;&gt;"",单词表[[#This Row],[学中]]&lt;&gt;"",单词表[[#This Row],[学词]]&lt;&gt;""),MAX(单词表[[#This Row],[学英]:[学词]]),"")</f>
        <v>42646.648206018515</v>
      </c>
      <c r="M1889" s="2" t="str">
        <f>IF(AND(单词表[[#This Row],[考英]]&lt;&gt;"",单词表[[#This Row],[考中]]&lt;&gt;""),MAX(单词表[[#This Row],[考英]:[考中]]),"")</f>
        <v/>
      </c>
      <c r="N1889" s="79"/>
    </row>
    <row r="1890" spans="1:14" hidden="1" x14ac:dyDescent="0.15">
      <c r="A1890">
        <v>1890</v>
      </c>
      <c r="B1890" t="s">
        <v>35</v>
      </c>
      <c r="C1890" t="s">
        <v>9</v>
      </c>
      <c r="D1890" s="72" t="s">
        <v>3463</v>
      </c>
      <c r="E1890" t="s">
        <v>1016</v>
      </c>
      <c r="F1890" t="s">
        <v>5514</v>
      </c>
      <c r="G1890" s="92">
        <v>42646.657858796294</v>
      </c>
      <c r="H1890" s="92">
        <v>42646.657905092594</v>
      </c>
      <c r="I1890" s="92">
        <v>42646.657870370371</v>
      </c>
      <c r="J1890" s="92"/>
      <c r="K1890" s="92">
        <v>42646.660914351851</v>
      </c>
      <c r="L1890" s="92">
        <f>IF(AND(单词表[[#This Row],[学英]]&lt;&gt;"",单词表[[#This Row],[学中]]&lt;&gt;"",单词表[[#This Row],[学词]]&lt;&gt;""),MAX(单词表[[#This Row],[学英]:[学词]]),"")</f>
        <v>42646.657905092594</v>
      </c>
      <c r="M1890" s="2" t="str">
        <f>IF(AND(单词表[[#This Row],[考英]]&lt;&gt;"",单词表[[#This Row],[考中]]&lt;&gt;""),MAX(单词表[[#This Row],[考英]:[考中]]),"")</f>
        <v/>
      </c>
      <c r="N1890" s="79"/>
    </row>
    <row r="1891" spans="1:14" hidden="1" x14ac:dyDescent="0.15">
      <c r="A1891">
        <v>1891</v>
      </c>
      <c r="B1891" t="s">
        <v>35</v>
      </c>
      <c r="C1891" t="s">
        <v>9</v>
      </c>
      <c r="D1891" s="72" t="s">
        <v>3464</v>
      </c>
      <c r="E1891" t="s">
        <v>36</v>
      </c>
      <c r="F1891" t="s">
        <v>1654</v>
      </c>
      <c r="G1891" s="92">
        <v>42646.657824074071</v>
      </c>
      <c r="H1891" s="92">
        <v>42646.843726851854</v>
      </c>
      <c r="I1891" s="92">
        <v>42646.843715277777</v>
      </c>
      <c r="J1891" s="92"/>
      <c r="K1891" s="92">
        <v>42646.854120370372</v>
      </c>
      <c r="L1891" s="92">
        <f>IF(AND(单词表[[#This Row],[学英]]&lt;&gt;"",单词表[[#This Row],[学中]]&lt;&gt;"",单词表[[#This Row],[学词]]&lt;&gt;""),MAX(单词表[[#This Row],[学英]:[学词]]),"")</f>
        <v>42646.843726851854</v>
      </c>
      <c r="M1891" s="2" t="str">
        <f>IF(AND(单词表[[#This Row],[考英]]&lt;&gt;"",单词表[[#This Row],[考中]]&lt;&gt;""),MAX(单词表[[#This Row],[考英]:[考中]]),"")</f>
        <v/>
      </c>
      <c r="N1891" s="79"/>
    </row>
    <row r="1892" spans="1:14" hidden="1" x14ac:dyDescent="0.15">
      <c r="A1892">
        <v>1892</v>
      </c>
      <c r="B1892" t="s">
        <v>35</v>
      </c>
      <c r="C1892" t="s">
        <v>9</v>
      </c>
      <c r="D1892" s="72" t="s">
        <v>2042</v>
      </c>
      <c r="E1892" t="s">
        <v>38</v>
      </c>
      <c r="F1892" t="s">
        <v>3465</v>
      </c>
      <c r="G1892" s="92">
        <v>42646.657789351855</v>
      </c>
      <c r="H1892" s="92">
        <v>42646.657800925925</v>
      </c>
      <c r="I1892" s="92">
        <v>42646.657800925925</v>
      </c>
      <c r="J1892" s="92"/>
      <c r="K1892" s="92">
        <v>42646.661041666666</v>
      </c>
      <c r="L1892" s="92">
        <f>IF(AND(单词表[[#This Row],[学英]]&lt;&gt;"",单词表[[#This Row],[学中]]&lt;&gt;"",单词表[[#This Row],[学词]]&lt;&gt;""),MAX(单词表[[#This Row],[学英]:[学词]]),"")</f>
        <v>42646.657800925925</v>
      </c>
      <c r="M1892" s="2" t="str">
        <f>IF(AND(单词表[[#This Row],[考英]]&lt;&gt;"",单词表[[#This Row],[考中]]&lt;&gt;""),MAX(单词表[[#This Row],[考英]:[考中]]),"")</f>
        <v/>
      </c>
      <c r="N1892" s="79"/>
    </row>
    <row r="1893" spans="1:14" hidden="1" x14ac:dyDescent="0.15">
      <c r="A1893">
        <v>1893</v>
      </c>
      <c r="B1893" t="s">
        <v>35</v>
      </c>
      <c r="C1893" t="s">
        <v>9</v>
      </c>
      <c r="D1893" s="72" t="s">
        <v>3466</v>
      </c>
      <c r="E1893" t="s">
        <v>36</v>
      </c>
      <c r="F1893" t="s">
        <v>3467</v>
      </c>
      <c r="G1893" s="92">
        <v>42646.657743055555</v>
      </c>
      <c r="H1893" s="92">
        <v>42646.657754629632</v>
      </c>
      <c r="I1893" s="92">
        <v>42646.657743055555</v>
      </c>
      <c r="J1893" s="92"/>
      <c r="K1893" s="92">
        <v>42646.661249999997</v>
      </c>
      <c r="L1893" s="92">
        <f>IF(AND(单词表[[#This Row],[学英]]&lt;&gt;"",单词表[[#This Row],[学中]]&lt;&gt;"",单词表[[#This Row],[学词]]&lt;&gt;""),MAX(单词表[[#This Row],[学英]:[学词]]),"")</f>
        <v>42646.657754629632</v>
      </c>
      <c r="M1893" s="2" t="str">
        <f>IF(AND(单词表[[#This Row],[考英]]&lt;&gt;"",单词表[[#This Row],[考中]]&lt;&gt;""),MAX(单词表[[#This Row],[考英]:[考中]]),"")</f>
        <v/>
      </c>
      <c r="N1893" s="79"/>
    </row>
    <row r="1894" spans="1:14" hidden="1" x14ac:dyDescent="0.15">
      <c r="A1894">
        <v>1894</v>
      </c>
      <c r="B1894" t="s">
        <v>35</v>
      </c>
      <c r="C1894" t="s">
        <v>9</v>
      </c>
      <c r="D1894" s="72" t="s">
        <v>3468</v>
      </c>
      <c r="E1894" t="s">
        <v>38</v>
      </c>
      <c r="F1894" t="s">
        <v>3469</v>
      </c>
      <c r="G1894" s="92">
        <v>42646.657523148147</v>
      </c>
      <c r="H1894" s="92">
        <v>42646.86241898148</v>
      </c>
      <c r="I1894" s="92">
        <v>42646.862407407411</v>
      </c>
      <c r="J1894" s="92"/>
      <c r="K1894" s="92">
        <v>42646.865185185183</v>
      </c>
      <c r="L1894" s="92">
        <f>IF(AND(单词表[[#This Row],[学英]]&lt;&gt;"",单词表[[#This Row],[学中]]&lt;&gt;"",单词表[[#This Row],[学词]]&lt;&gt;""),MAX(单词表[[#This Row],[学英]:[学词]]),"")</f>
        <v>42646.86241898148</v>
      </c>
      <c r="M1894" s="2" t="str">
        <f>IF(AND(单词表[[#This Row],[考英]]&lt;&gt;"",单词表[[#This Row],[考中]]&lt;&gt;""),MAX(单词表[[#This Row],[考英]:[考中]]),"")</f>
        <v/>
      </c>
      <c r="N1894" s="79"/>
    </row>
    <row r="1895" spans="1:14" hidden="1" x14ac:dyDescent="0.15">
      <c r="A1895">
        <v>1895</v>
      </c>
      <c r="B1895" t="s">
        <v>35</v>
      </c>
      <c r="C1895" t="s">
        <v>9</v>
      </c>
      <c r="D1895" s="72" t="s">
        <v>3470</v>
      </c>
      <c r="E1895" t="s">
        <v>73</v>
      </c>
      <c r="F1895" t="s">
        <v>3471</v>
      </c>
      <c r="G1895" s="92">
        <v>42646.657488425924</v>
      </c>
      <c r="H1895" s="92">
        <v>42646.844560185185</v>
      </c>
      <c r="I1895" s="92">
        <v>42646.844548611109</v>
      </c>
      <c r="J1895" s="92"/>
      <c r="K1895" s="92">
        <v>42646.854259259257</v>
      </c>
      <c r="L1895" s="92">
        <f>IF(AND(单词表[[#This Row],[学英]]&lt;&gt;"",单词表[[#This Row],[学中]]&lt;&gt;"",单词表[[#This Row],[学词]]&lt;&gt;""),MAX(单词表[[#This Row],[学英]:[学词]]),"")</f>
        <v>42646.844560185185</v>
      </c>
      <c r="M1895" s="2" t="str">
        <f>IF(AND(单词表[[#This Row],[考英]]&lt;&gt;"",单词表[[#This Row],[考中]]&lt;&gt;""),MAX(单词表[[#This Row],[考英]:[考中]]),"")</f>
        <v/>
      </c>
      <c r="N1895" s="79"/>
    </row>
    <row r="1896" spans="1:14" hidden="1" x14ac:dyDescent="0.15">
      <c r="A1896">
        <v>1896</v>
      </c>
      <c r="B1896" t="s">
        <v>35</v>
      </c>
      <c r="C1896" t="s">
        <v>9</v>
      </c>
      <c r="D1896" s="72" t="s">
        <v>177</v>
      </c>
      <c r="E1896" t="s">
        <v>36</v>
      </c>
      <c r="F1896" t="s">
        <v>3472</v>
      </c>
      <c r="G1896" s="92">
        <v>42646.657442129632</v>
      </c>
      <c r="H1896" s="92">
        <v>42646.844641203701</v>
      </c>
      <c r="I1896" s="92">
        <v>42646.844618055555</v>
      </c>
      <c r="J1896" s="92"/>
      <c r="K1896" s="92">
        <v>42646.854328703703</v>
      </c>
      <c r="L1896" s="92">
        <f>IF(AND(单词表[[#This Row],[学英]]&lt;&gt;"",单词表[[#This Row],[学中]]&lt;&gt;"",单词表[[#This Row],[学词]]&lt;&gt;""),MAX(单词表[[#This Row],[学英]:[学词]]),"")</f>
        <v>42646.844641203701</v>
      </c>
      <c r="M1896" s="2" t="str">
        <f>IF(AND(单词表[[#This Row],[考英]]&lt;&gt;"",单词表[[#This Row],[考中]]&lt;&gt;""),MAX(单词表[[#This Row],[考英]:[考中]]),"")</f>
        <v/>
      </c>
      <c r="N1896" s="79"/>
    </row>
    <row r="1897" spans="1:14" hidden="1" x14ac:dyDescent="0.15">
      <c r="A1897">
        <v>1897</v>
      </c>
      <c r="B1897" t="s">
        <v>35</v>
      </c>
      <c r="C1897" t="s">
        <v>9</v>
      </c>
      <c r="D1897" s="72" t="s">
        <v>3473</v>
      </c>
      <c r="E1897" t="s">
        <v>36</v>
      </c>
      <c r="F1897" t="s">
        <v>3474</v>
      </c>
      <c r="G1897" s="92">
        <v>42646.657395833332</v>
      </c>
      <c r="H1897" s="92">
        <v>42646.657418981478</v>
      </c>
      <c r="I1897" s="92">
        <v>42646.657407407409</v>
      </c>
      <c r="J1897" s="92"/>
      <c r="K1897" s="92">
        <v>42646.661481481482</v>
      </c>
      <c r="L1897" s="92">
        <f>IF(AND(单词表[[#This Row],[学英]]&lt;&gt;"",单词表[[#This Row],[学中]]&lt;&gt;"",单词表[[#This Row],[学词]]&lt;&gt;""),MAX(单词表[[#This Row],[学英]:[学词]]),"")</f>
        <v>42646.657418981478</v>
      </c>
      <c r="M1897" s="2" t="str">
        <f>IF(AND(单词表[[#This Row],[考英]]&lt;&gt;"",单词表[[#This Row],[考中]]&lt;&gt;""),MAX(单词表[[#This Row],[考英]:[考中]]),"")</f>
        <v/>
      </c>
      <c r="N1897" s="79"/>
    </row>
    <row r="1898" spans="1:14" hidden="1" x14ac:dyDescent="0.15">
      <c r="A1898">
        <v>1898</v>
      </c>
      <c r="B1898" t="s">
        <v>35</v>
      </c>
      <c r="C1898" t="s">
        <v>9</v>
      </c>
      <c r="D1898" s="72" t="s">
        <v>2007</v>
      </c>
      <c r="E1898" t="s">
        <v>73</v>
      </c>
      <c r="F1898" t="s">
        <v>3475</v>
      </c>
      <c r="G1898" s="92">
        <v>42646.657361111109</v>
      </c>
      <c r="H1898" s="92">
        <v>42646.857858796298</v>
      </c>
      <c r="I1898" s="92">
        <v>42646.857835648145</v>
      </c>
      <c r="J1898" s="92"/>
      <c r="K1898" s="92">
        <v>42646.860833333332</v>
      </c>
      <c r="L1898" s="92">
        <f>IF(AND(单词表[[#This Row],[学英]]&lt;&gt;"",单词表[[#This Row],[学中]]&lt;&gt;"",单词表[[#This Row],[学词]]&lt;&gt;""),MAX(单词表[[#This Row],[学英]:[学词]]),"")</f>
        <v>42646.857858796298</v>
      </c>
      <c r="M1898" s="2" t="str">
        <f>IF(AND(单词表[[#This Row],[考英]]&lt;&gt;"",单词表[[#This Row],[考中]]&lt;&gt;""),MAX(单词表[[#This Row],[考英]:[考中]]),"")</f>
        <v/>
      </c>
      <c r="N1898" s="79"/>
    </row>
    <row r="1899" spans="1:14" hidden="1" x14ac:dyDescent="0.15">
      <c r="A1899">
        <v>1899</v>
      </c>
      <c r="B1899" t="s">
        <v>35</v>
      </c>
      <c r="C1899" t="s">
        <v>9</v>
      </c>
      <c r="D1899" s="72" t="s">
        <v>3476</v>
      </c>
      <c r="E1899" t="s">
        <v>36</v>
      </c>
      <c r="F1899" t="s">
        <v>5515</v>
      </c>
      <c r="G1899" s="92">
        <v>42646.657314814816</v>
      </c>
      <c r="H1899" s="92">
        <v>42646.844780092593</v>
      </c>
      <c r="I1899" s="92">
        <v>42646.844768518517</v>
      </c>
      <c r="J1899" s="92"/>
      <c r="K1899" s="92">
        <v>42646.854467592595</v>
      </c>
      <c r="L1899" s="92">
        <f>IF(AND(单词表[[#This Row],[学英]]&lt;&gt;"",单词表[[#This Row],[学中]]&lt;&gt;"",单词表[[#This Row],[学词]]&lt;&gt;""),MAX(单词表[[#This Row],[学英]:[学词]]),"")</f>
        <v>42646.844780092593</v>
      </c>
      <c r="M1899" s="2" t="str">
        <f>IF(AND(单词表[[#This Row],[考英]]&lt;&gt;"",单词表[[#This Row],[考中]]&lt;&gt;""),MAX(单词表[[#This Row],[考英]:[考中]]),"")</f>
        <v/>
      </c>
      <c r="N1899" s="79"/>
    </row>
    <row r="1900" spans="1:14" hidden="1" x14ac:dyDescent="0.15">
      <c r="A1900">
        <v>1900</v>
      </c>
      <c r="B1900" t="s">
        <v>35</v>
      </c>
      <c r="C1900" t="s">
        <v>9</v>
      </c>
      <c r="D1900" s="72" t="s">
        <v>3477</v>
      </c>
      <c r="E1900" t="s">
        <v>702</v>
      </c>
      <c r="F1900" t="s">
        <v>3478</v>
      </c>
      <c r="G1900" s="92">
        <v>42646.657280092593</v>
      </c>
      <c r="H1900" s="92">
        <v>42646.65729166667</v>
      </c>
      <c r="I1900" s="92">
        <v>42646.657280092593</v>
      </c>
      <c r="J1900" s="92"/>
      <c r="K1900" s="92">
        <v>42646.662847222222</v>
      </c>
      <c r="L1900" s="92">
        <f>IF(AND(单词表[[#This Row],[学英]]&lt;&gt;"",单词表[[#This Row],[学中]]&lt;&gt;"",单词表[[#This Row],[学词]]&lt;&gt;""),MAX(单词表[[#This Row],[学英]:[学词]]),"")</f>
        <v>42646.65729166667</v>
      </c>
      <c r="M1900" s="2" t="str">
        <f>IF(AND(单词表[[#This Row],[考英]]&lt;&gt;"",单词表[[#This Row],[考中]]&lt;&gt;""),MAX(单词表[[#This Row],[考英]:[考中]]),"")</f>
        <v/>
      </c>
      <c r="N1900" s="79"/>
    </row>
    <row r="1901" spans="1:14" hidden="1" x14ac:dyDescent="0.15">
      <c r="A1901">
        <v>1901</v>
      </c>
      <c r="B1901" t="s">
        <v>35</v>
      </c>
      <c r="C1901" t="s">
        <v>9</v>
      </c>
      <c r="D1901" s="72" t="s">
        <v>2326</v>
      </c>
      <c r="E1901" t="s">
        <v>36</v>
      </c>
      <c r="F1901" t="s">
        <v>3479</v>
      </c>
      <c r="G1901" s="92">
        <v>42646.844837962963</v>
      </c>
      <c r="H1901" s="92">
        <v>42646.844872685186</v>
      </c>
      <c r="I1901" s="92">
        <v>42646.844861111109</v>
      </c>
      <c r="J1901" s="92"/>
      <c r="K1901" s="92">
        <v>42646.854560185187</v>
      </c>
      <c r="L1901" s="92">
        <f>IF(AND(单词表[[#This Row],[学英]]&lt;&gt;"",单词表[[#This Row],[学中]]&lt;&gt;"",单词表[[#This Row],[学词]]&lt;&gt;""),MAX(单词表[[#This Row],[学英]:[学词]]),"")</f>
        <v>42646.844872685186</v>
      </c>
      <c r="M1901" s="2" t="str">
        <f>IF(AND(单词表[[#This Row],[考英]]&lt;&gt;"",单词表[[#This Row],[考中]]&lt;&gt;""),MAX(单词表[[#This Row],[考英]:[考中]]),"")</f>
        <v/>
      </c>
      <c r="N1901" s="79"/>
    </row>
    <row r="1902" spans="1:14" hidden="1" x14ac:dyDescent="0.15">
      <c r="A1902">
        <v>1902</v>
      </c>
      <c r="B1902" t="s">
        <v>35</v>
      </c>
      <c r="C1902" t="s">
        <v>9</v>
      </c>
      <c r="D1902" s="72" t="s">
        <v>3480</v>
      </c>
      <c r="E1902" t="s">
        <v>702</v>
      </c>
      <c r="F1902" t="s">
        <v>5516</v>
      </c>
      <c r="G1902" s="92">
        <v>42646.844918981478</v>
      </c>
      <c r="H1902" s="92">
        <v>42646.844953703701</v>
      </c>
      <c r="I1902" s="92">
        <v>42646.844942129632</v>
      </c>
      <c r="J1902" s="92"/>
      <c r="K1902" s="92">
        <v>42646.854629629626</v>
      </c>
      <c r="L1902" s="92">
        <f>IF(AND(单词表[[#This Row],[学英]]&lt;&gt;"",单词表[[#This Row],[学中]]&lt;&gt;"",单词表[[#This Row],[学词]]&lt;&gt;""),MAX(单词表[[#This Row],[学英]:[学词]]),"")</f>
        <v>42646.844953703701</v>
      </c>
      <c r="M1902" s="2" t="str">
        <f>IF(AND(单词表[[#This Row],[考英]]&lt;&gt;"",单词表[[#This Row],[考中]]&lt;&gt;""),MAX(单词表[[#This Row],[考英]:[考中]]),"")</f>
        <v/>
      </c>
      <c r="N1902" s="79"/>
    </row>
    <row r="1903" spans="1:14" hidden="1" x14ac:dyDescent="0.15">
      <c r="A1903">
        <v>1903</v>
      </c>
      <c r="B1903" t="s">
        <v>35</v>
      </c>
      <c r="C1903" t="s">
        <v>9</v>
      </c>
      <c r="D1903" s="72" t="s">
        <v>1133</v>
      </c>
      <c r="E1903" t="s">
        <v>36</v>
      </c>
      <c r="F1903" t="s">
        <v>5663</v>
      </c>
      <c r="G1903" s="92">
        <v>42646.845057870371</v>
      </c>
      <c r="H1903" s="92">
        <v>42646.85800925926</v>
      </c>
      <c r="I1903" s="92">
        <v>42646.857916666668</v>
      </c>
      <c r="J1903" s="92"/>
      <c r="K1903" s="92">
        <v>42646.860891203702</v>
      </c>
      <c r="L1903" s="92">
        <f>IF(AND(单词表[[#This Row],[学英]]&lt;&gt;"",单词表[[#This Row],[学中]]&lt;&gt;"",单词表[[#This Row],[学词]]&lt;&gt;""),MAX(单词表[[#This Row],[学英]:[学词]]),"")</f>
        <v>42646.85800925926</v>
      </c>
      <c r="M1903" s="2" t="str">
        <f>IF(AND(单词表[[#This Row],[考英]]&lt;&gt;"",单词表[[#This Row],[考中]]&lt;&gt;""),MAX(单词表[[#This Row],[考英]:[考中]]),"")</f>
        <v/>
      </c>
      <c r="N1903" s="79"/>
    </row>
    <row r="1904" spans="1:14" hidden="1" x14ac:dyDescent="0.15">
      <c r="A1904">
        <v>1904</v>
      </c>
      <c r="B1904" t="s">
        <v>35</v>
      </c>
      <c r="C1904" t="s">
        <v>9</v>
      </c>
      <c r="D1904" s="72" t="s">
        <v>3481</v>
      </c>
      <c r="E1904" t="s">
        <v>36</v>
      </c>
      <c r="F1904" t="s">
        <v>3482</v>
      </c>
      <c r="G1904" s="92">
        <v>42646.845138888886</v>
      </c>
      <c r="H1904" s="92">
        <v>42646.858078703706</v>
      </c>
      <c r="I1904" s="92">
        <v>42646.858055555553</v>
      </c>
      <c r="J1904" s="92"/>
      <c r="K1904" s="92">
        <v>42646.860949074071</v>
      </c>
      <c r="L1904" s="92">
        <f>IF(AND(单词表[[#This Row],[学英]]&lt;&gt;"",单词表[[#This Row],[学中]]&lt;&gt;"",单词表[[#This Row],[学词]]&lt;&gt;""),MAX(单词表[[#This Row],[学英]:[学词]]),"")</f>
        <v>42646.858078703706</v>
      </c>
      <c r="M1904" s="2" t="str">
        <f>IF(AND(单词表[[#This Row],[考英]]&lt;&gt;"",单词表[[#This Row],[考中]]&lt;&gt;""),MAX(单词表[[#This Row],[考英]:[考中]]),"")</f>
        <v/>
      </c>
      <c r="N1904" s="79"/>
    </row>
    <row r="1905" spans="1:14" hidden="1" x14ac:dyDescent="0.15">
      <c r="A1905">
        <v>1905</v>
      </c>
      <c r="B1905" t="s">
        <v>35</v>
      </c>
      <c r="C1905" t="s">
        <v>9</v>
      </c>
      <c r="D1905" s="72" t="s">
        <v>3059</v>
      </c>
      <c r="E1905" t="s">
        <v>36</v>
      </c>
      <c r="F1905" t="s">
        <v>3483</v>
      </c>
      <c r="G1905" s="92">
        <v>42646.657233796293</v>
      </c>
      <c r="H1905" s="92">
        <v>42646.65724537037</v>
      </c>
      <c r="I1905" s="92">
        <v>42646.65724537037</v>
      </c>
      <c r="J1905" s="92"/>
      <c r="K1905" s="92">
        <v>42646.835335648146</v>
      </c>
      <c r="L1905" s="92">
        <f>IF(AND(单词表[[#This Row],[学英]]&lt;&gt;"",单词表[[#This Row],[学中]]&lt;&gt;"",单词表[[#This Row],[学词]]&lt;&gt;""),MAX(单词表[[#This Row],[学英]:[学词]]),"")</f>
        <v>42646.65724537037</v>
      </c>
      <c r="M1905" s="2" t="str">
        <f>IF(AND(单词表[[#This Row],[考英]]&lt;&gt;"",单词表[[#This Row],[考中]]&lt;&gt;""),MAX(单词表[[#This Row],[考英]:[考中]]),"")</f>
        <v/>
      </c>
      <c r="N1905" s="79"/>
    </row>
    <row r="1906" spans="1:14" hidden="1" x14ac:dyDescent="0.15">
      <c r="A1906">
        <v>1906</v>
      </c>
      <c r="B1906" t="s">
        <v>35</v>
      </c>
      <c r="C1906" t="s">
        <v>9</v>
      </c>
      <c r="D1906" s="72" t="s">
        <v>3059</v>
      </c>
      <c r="E1906" t="s">
        <v>61</v>
      </c>
      <c r="F1906" t="s">
        <v>3484</v>
      </c>
      <c r="G1906" s="92">
        <v>42646.657199074078</v>
      </c>
      <c r="H1906" s="92">
        <v>42646.845243055555</v>
      </c>
      <c r="I1906" s="92">
        <v>42646.845231481479</v>
      </c>
      <c r="J1906" s="92"/>
      <c r="K1906" s="92">
        <v>42646.85491898148</v>
      </c>
      <c r="L1906" s="92">
        <f>IF(AND(单词表[[#This Row],[学英]]&lt;&gt;"",单词表[[#This Row],[学中]]&lt;&gt;"",单词表[[#This Row],[学词]]&lt;&gt;""),MAX(单词表[[#This Row],[学英]:[学词]]),"")</f>
        <v>42646.845243055555</v>
      </c>
      <c r="M1906" s="2" t="str">
        <f>IF(AND(单词表[[#This Row],[考英]]&lt;&gt;"",单词表[[#This Row],[考中]]&lt;&gt;""),MAX(单词表[[#This Row],[考英]:[考中]]),"")</f>
        <v/>
      </c>
      <c r="N1906" s="79"/>
    </row>
    <row r="1907" spans="1:14" hidden="1" x14ac:dyDescent="0.15">
      <c r="A1907">
        <v>1907</v>
      </c>
      <c r="B1907" t="s">
        <v>35</v>
      </c>
      <c r="C1907" t="s">
        <v>9</v>
      </c>
      <c r="D1907" s="72" t="s">
        <v>3485</v>
      </c>
      <c r="E1907" t="s">
        <v>36</v>
      </c>
      <c r="F1907" t="s">
        <v>3486</v>
      </c>
      <c r="G1907" s="92">
        <v>42646.653356481482</v>
      </c>
      <c r="H1907" s="92">
        <v>42646.845393518517</v>
      </c>
      <c r="I1907" s="92">
        <v>42646.845370370371</v>
      </c>
      <c r="J1907" s="92"/>
      <c r="K1907" s="92">
        <v>42646.854988425926</v>
      </c>
      <c r="L1907" s="92">
        <f>IF(AND(单词表[[#This Row],[学英]]&lt;&gt;"",单词表[[#This Row],[学中]]&lt;&gt;"",单词表[[#This Row],[学词]]&lt;&gt;""),MAX(单词表[[#This Row],[学英]:[学词]]),"")</f>
        <v>42646.845393518517</v>
      </c>
      <c r="M1907" s="2" t="str">
        <f>IF(AND(单词表[[#This Row],[考英]]&lt;&gt;"",单词表[[#This Row],[考中]]&lt;&gt;""),MAX(单词表[[#This Row],[考英]:[考中]]),"")</f>
        <v/>
      </c>
      <c r="N1907" s="79"/>
    </row>
    <row r="1908" spans="1:14" hidden="1" x14ac:dyDescent="0.15">
      <c r="A1908">
        <v>1908</v>
      </c>
      <c r="B1908" t="s">
        <v>35</v>
      </c>
      <c r="C1908" t="s">
        <v>9</v>
      </c>
      <c r="D1908" s="72" t="s">
        <v>3487</v>
      </c>
      <c r="E1908" t="s">
        <v>36</v>
      </c>
      <c r="F1908" t="s">
        <v>3402</v>
      </c>
      <c r="G1908" s="92">
        <v>42646.653275462966</v>
      </c>
      <c r="H1908" s="92">
        <v>42646.653298611112</v>
      </c>
      <c r="I1908" s="92">
        <v>42646.653287037036</v>
      </c>
      <c r="J1908" s="92"/>
      <c r="K1908" s="92">
        <v>42646.835706018515</v>
      </c>
      <c r="L1908" s="92">
        <f>IF(AND(单词表[[#This Row],[学英]]&lt;&gt;"",单词表[[#This Row],[学中]]&lt;&gt;"",单词表[[#This Row],[学词]]&lt;&gt;""),MAX(单词表[[#This Row],[学英]:[学词]]),"")</f>
        <v>42646.653298611112</v>
      </c>
      <c r="M1908" s="2" t="str">
        <f>IF(AND(单词表[[#This Row],[考英]]&lt;&gt;"",单词表[[#This Row],[考中]]&lt;&gt;""),MAX(单词表[[#This Row],[考英]:[考中]]),"")</f>
        <v/>
      </c>
      <c r="N1908" s="79"/>
    </row>
    <row r="1909" spans="1:14" hidden="1" x14ac:dyDescent="0.15">
      <c r="A1909">
        <v>1909</v>
      </c>
      <c r="B1909" t="s">
        <v>35</v>
      </c>
      <c r="C1909" t="s">
        <v>9</v>
      </c>
      <c r="D1909" s="72" t="s">
        <v>184</v>
      </c>
      <c r="E1909" t="s">
        <v>36</v>
      </c>
      <c r="F1909" t="s">
        <v>3488</v>
      </c>
      <c r="G1909" s="92">
        <v>42646.65315972222</v>
      </c>
      <c r="H1909" s="92">
        <v>42646.858124999999</v>
      </c>
      <c r="I1909" s="92">
        <v>42646.858113425929</v>
      </c>
      <c r="J1909" s="92"/>
      <c r="K1909" s="92">
        <v>42646.861018518517</v>
      </c>
      <c r="L1909" s="92">
        <f>IF(AND(单词表[[#This Row],[学英]]&lt;&gt;"",单词表[[#This Row],[学中]]&lt;&gt;"",单词表[[#This Row],[学词]]&lt;&gt;""),MAX(单词表[[#This Row],[学英]:[学词]]),"")</f>
        <v>42646.858124999999</v>
      </c>
      <c r="M1909" s="2" t="str">
        <f>IF(AND(单词表[[#This Row],[考英]]&lt;&gt;"",单词表[[#This Row],[考中]]&lt;&gt;""),MAX(单词表[[#This Row],[考英]:[考中]]),"")</f>
        <v/>
      </c>
      <c r="N1909" s="79"/>
    </row>
    <row r="1910" spans="1:14" hidden="1" x14ac:dyDescent="0.15">
      <c r="A1910">
        <v>1910</v>
      </c>
      <c r="B1910" t="s">
        <v>35</v>
      </c>
      <c r="C1910" t="s">
        <v>9</v>
      </c>
      <c r="D1910" s="72" t="s">
        <v>2957</v>
      </c>
      <c r="E1910" t="s">
        <v>36</v>
      </c>
      <c r="F1910" t="s">
        <v>3489</v>
      </c>
      <c r="G1910" s="92">
        <v>42646.653101851851</v>
      </c>
      <c r="H1910" s="92">
        <v>42646.845625000002</v>
      </c>
      <c r="I1910" s="92">
        <v>42646.845613425925</v>
      </c>
      <c r="J1910" s="92"/>
      <c r="K1910" s="92">
        <v>42646.855115740742</v>
      </c>
      <c r="L1910" s="92">
        <f>IF(AND(单词表[[#This Row],[学英]]&lt;&gt;"",单词表[[#This Row],[学中]]&lt;&gt;"",单词表[[#This Row],[学词]]&lt;&gt;""),MAX(单词表[[#This Row],[学英]:[学词]]),"")</f>
        <v>42646.845625000002</v>
      </c>
      <c r="M1910" s="2" t="str">
        <f>IF(AND(单词表[[#This Row],[考英]]&lt;&gt;"",单词表[[#This Row],[考中]]&lt;&gt;""),MAX(单词表[[#This Row],[考英]:[考中]]),"")</f>
        <v/>
      </c>
      <c r="N1910" s="79"/>
    </row>
    <row r="1911" spans="1:14" hidden="1" x14ac:dyDescent="0.15">
      <c r="A1911">
        <v>1911</v>
      </c>
      <c r="B1911" t="s">
        <v>35</v>
      </c>
      <c r="C1911" t="s">
        <v>9</v>
      </c>
      <c r="D1911" s="72" t="s">
        <v>3490</v>
      </c>
      <c r="E1911" t="s">
        <v>36</v>
      </c>
      <c r="F1911" t="s">
        <v>3491</v>
      </c>
      <c r="G1911" s="92">
        <v>42646.653009259258</v>
      </c>
      <c r="H1911" s="92">
        <v>42646.845682870371</v>
      </c>
      <c r="I1911" s="92">
        <v>42646.845671296294</v>
      </c>
      <c r="J1911" s="92"/>
      <c r="K1911" s="92">
        <v>42646.855162037034</v>
      </c>
      <c r="L1911" s="92">
        <f>IF(AND(单词表[[#This Row],[学英]]&lt;&gt;"",单词表[[#This Row],[学中]]&lt;&gt;"",单词表[[#This Row],[学词]]&lt;&gt;""),MAX(单词表[[#This Row],[学英]:[学词]]),"")</f>
        <v>42646.845682870371</v>
      </c>
      <c r="M1911" s="2" t="str">
        <f>IF(AND(单词表[[#This Row],[考英]]&lt;&gt;"",单词表[[#This Row],[考中]]&lt;&gt;""),MAX(单词表[[#This Row],[考英]:[考中]]),"")</f>
        <v/>
      </c>
      <c r="N1911" s="79"/>
    </row>
    <row r="1912" spans="1:14" hidden="1" x14ac:dyDescent="0.15">
      <c r="A1912">
        <v>1912</v>
      </c>
      <c r="B1912" t="s">
        <v>35</v>
      </c>
      <c r="C1912" t="s">
        <v>9</v>
      </c>
      <c r="D1912" s="72" t="s">
        <v>3492</v>
      </c>
      <c r="E1912" t="s">
        <v>61</v>
      </c>
      <c r="F1912" t="s">
        <v>3493</v>
      </c>
      <c r="G1912" s="92">
        <v>42646.652881944443</v>
      </c>
      <c r="H1912" s="92">
        <v>42646.845983796295</v>
      </c>
      <c r="I1912" s="92">
        <v>42646.845972222225</v>
      </c>
      <c r="J1912" s="92"/>
      <c r="K1912" s="92">
        <v>42646.855243055557</v>
      </c>
      <c r="L1912" s="92">
        <f>IF(AND(单词表[[#This Row],[学英]]&lt;&gt;"",单词表[[#This Row],[学中]]&lt;&gt;"",单词表[[#This Row],[学词]]&lt;&gt;""),MAX(单词表[[#This Row],[学英]:[学词]]),"")</f>
        <v>42646.845983796295</v>
      </c>
      <c r="M1912" s="2" t="str">
        <f>IF(AND(单词表[[#This Row],[考英]]&lt;&gt;"",单词表[[#This Row],[考中]]&lt;&gt;""),MAX(单词表[[#This Row],[考英]:[考中]]),"")</f>
        <v/>
      </c>
      <c r="N1912" s="79"/>
    </row>
    <row r="1913" spans="1:14" hidden="1" x14ac:dyDescent="0.15">
      <c r="A1913">
        <v>1913</v>
      </c>
      <c r="B1913" t="s">
        <v>35</v>
      </c>
      <c r="C1913" t="s">
        <v>9</v>
      </c>
      <c r="D1913" s="72" t="s">
        <v>166</v>
      </c>
      <c r="E1913" t="s">
        <v>36</v>
      </c>
      <c r="F1913" t="s">
        <v>167</v>
      </c>
      <c r="G1913" s="92">
        <v>42646.652581018519</v>
      </c>
      <c r="H1913" s="92">
        <v>42646.846215277779</v>
      </c>
      <c r="I1913" s="92">
        <v>42646.846203703702</v>
      </c>
      <c r="J1913" s="92"/>
      <c r="K1913" s="92">
        <v>42646.855312500003</v>
      </c>
      <c r="L1913" s="92">
        <f>IF(AND(单词表[[#This Row],[学英]]&lt;&gt;"",单词表[[#This Row],[学中]]&lt;&gt;"",单词表[[#This Row],[学词]]&lt;&gt;""),MAX(单词表[[#This Row],[学英]:[学词]]),"")</f>
        <v>42646.846215277779</v>
      </c>
      <c r="M1913" s="2" t="str">
        <f>IF(AND(单词表[[#This Row],[考英]]&lt;&gt;"",单词表[[#This Row],[考中]]&lt;&gt;""),MAX(单词表[[#This Row],[考英]:[考中]]),"")</f>
        <v/>
      </c>
      <c r="N1913" s="79"/>
    </row>
    <row r="1914" spans="1:14" hidden="1" x14ac:dyDescent="0.15">
      <c r="A1914">
        <v>1914</v>
      </c>
      <c r="B1914" t="s">
        <v>35</v>
      </c>
      <c r="C1914" t="s">
        <v>9</v>
      </c>
      <c r="D1914" s="72" t="s">
        <v>3494</v>
      </c>
      <c r="E1914" t="s">
        <v>702</v>
      </c>
      <c r="F1914" t="s">
        <v>3495</v>
      </c>
      <c r="G1914" s="92">
        <v>42646.652638888889</v>
      </c>
      <c r="H1914" s="92">
        <v>42646.65284722222</v>
      </c>
      <c r="I1914" s="92">
        <v>42646.65283564815</v>
      </c>
      <c r="J1914" s="92"/>
      <c r="K1914" s="92">
        <v>42646.83630787037</v>
      </c>
      <c r="L1914" s="92">
        <f>IF(AND(单词表[[#This Row],[学英]]&lt;&gt;"",单词表[[#This Row],[学中]]&lt;&gt;"",单词表[[#This Row],[学词]]&lt;&gt;""),MAX(单词表[[#This Row],[学英]:[学词]]),"")</f>
        <v>42646.65284722222</v>
      </c>
      <c r="M1914" s="2" t="str">
        <f>IF(AND(单词表[[#This Row],[考英]]&lt;&gt;"",单词表[[#This Row],[考中]]&lt;&gt;""),MAX(单词表[[#This Row],[考英]:[考中]]),"")</f>
        <v/>
      </c>
      <c r="N1914" s="79"/>
    </row>
    <row r="1915" spans="1:14" hidden="1" x14ac:dyDescent="0.15">
      <c r="A1915">
        <v>1915</v>
      </c>
      <c r="B1915" t="s">
        <v>35</v>
      </c>
      <c r="C1915" t="s">
        <v>9</v>
      </c>
      <c r="D1915" s="72" t="s">
        <v>3199</v>
      </c>
      <c r="E1915" t="s">
        <v>73</v>
      </c>
      <c r="F1915" t="s">
        <v>3496</v>
      </c>
      <c r="G1915" s="92">
        <v>42646.652696759258</v>
      </c>
      <c r="H1915" s="92">
        <v>42646.652708333335</v>
      </c>
      <c r="I1915" s="92">
        <v>42646.652708333335</v>
      </c>
      <c r="J1915" s="92"/>
      <c r="K1915" s="92">
        <v>42646.836469907408</v>
      </c>
      <c r="L1915" s="92">
        <f>IF(AND(单词表[[#This Row],[学英]]&lt;&gt;"",单词表[[#This Row],[学中]]&lt;&gt;"",单词表[[#This Row],[学词]]&lt;&gt;""),MAX(单词表[[#This Row],[学英]:[学词]]),"")</f>
        <v>42646.652708333335</v>
      </c>
      <c r="M1915" s="2" t="str">
        <f>IF(AND(单词表[[#This Row],[考英]]&lt;&gt;"",单词表[[#This Row],[考中]]&lt;&gt;""),MAX(单词表[[#This Row],[考英]:[考中]]),"")</f>
        <v/>
      </c>
      <c r="N1915" s="79"/>
    </row>
    <row r="1916" spans="1:14" hidden="1" x14ac:dyDescent="0.15">
      <c r="A1916">
        <v>1916</v>
      </c>
      <c r="B1916" t="s">
        <v>35</v>
      </c>
      <c r="C1916" t="s">
        <v>9</v>
      </c>
      <c r="D1916" s="72" t="s">
        <v>3497</v>
      </c>
      <c r="E1916" t="s">
        <v>36</v>
      </c>
      <c r="F1916" t="s">
        <v>3498</v>
      </c>
      <c r="G1916" s="92">
        <v>42646.652187500003</v>
      </c>
      <c r="H1916" s="92">
        <v>42646.65221064815</v>
      </c>
      <c r="I1916" s="92">
        <v>42646.652268518519</v>
      </c>
      <c r="J1916" s="92"/>
      <c r="K1916" s="92">
        <v>42646.836527777778</v>
      </c>
      <c r="L1916" s="92">
        <f>IF(AND(单词表[[#This Row],[学英]]&lt;&gt;"",单词表[[#This Row],[学中]]&lt;&gt;"",单词表[[#This Row],[学词]]&lt;&gt;""),MAX(单词表[[#This Row],[学英]:[学词]]),"")</f>
        <v>42646.652268518519</v>
      </c>
      <c r="M1916" s="2" t="str">
        <f>IF(AND(单词表[[#This Row],[考英]]&lt;&gt;"",单词表[[#This Row],[考中]]&lt;&gt;""),MAX(单词表[[#This Row],[考英]:[考中]]),"")</f>
        <v/>
      </c>
      <c r="N1916" s="79"/>
    </row>
    <row r="1917" spans="1:14" hidden="1" x14ac:dyDescent="0.15">
      <c r="A1917">
        <v>1917</v>
      </c>
      <c r="B1917" t="s">
        <v>35</v>
      </c>
      <c r="C1917" t="s">
        <v>9</v>
      </c>
      <c r="D1917" s="72" t="s">
        <v>3499</v>
      </c>
      <c r="E1917" t="s">
        <v>73</v>
      </c>
      <c r="F1917" t="s">
        <v>3500</v>
      </c>
      <c r="G1917" s="92">
        <v>42646.652129629627</v>
      </c>
      <c r="H1917" s="92">
        <v>42646.846307870372</v>
      </c>
      <c r="I1917" s="92">
        <v>42646.846296296295</v>
      </c>
      <c r="J1917" s="92"/>
      <c r="K1917" s="92">
        <v>42646.855393518519</v>
      </c>
      <c r="L1917" s="92">
        <f>IF(AND(单词表[[#This Row],[学英]]&lt;&gt;"",单词表[[#This Row],[学中]]&lt;&gt;"",单词表[[#This Row],[学词]]&lt;&gt;""),MAX(单词表[[#This Row],[学英]:[学词]]),"")</f>
        <v>42646.846307870372</v>
      </c>
      <c r="M1917" s="2" t="str">
        <f>IF(AND(单词表[[#This Row],[考英]]&lt;&gt;"",单词表[[#This Row],[考中]]&lt;&gt;""),MAX(单词表[[#This Row],[考英]:[考中]]),"")</f>
        <v/>
      </c>
      <c r="N1917" s="79"/>
    </row>
    <row r="1918" spans="1:14" hidden="1" x14ac:dyDescent="0.15">
      <c r="A1918">
        <v>1918</v>
      </c>
      <c r="B1918" t="s">
        <v>35</v>
      </c>
      <c r="C1918" t="s">
        <v>9</v>
      </c>
      <c r="D1918" s="72" t="s">
        <v>1551</v>
      </c>
      <c r="E1918" t="s">
        <v>36</v>
      </c>
      <c r="F1918" t="s">
        <v>5523</v>
      </c>
      <c r="G1918" s="92">
        <v>42646.652025462965</v>
      </c>
      <c r="H1918" s="92">
        <v>42646.858182870368</v>
      </c>
      <c r="I1918" s="92">
        <v>42646.858171296299</v>
      </c>
      <c r="J1918" s="92"/>
      <c r="K1918" s="92">
        <v>42646.861111111109</v>
      </c>
      <c r="L1918" s="92">
        <f>IF(AND(单词表[[#This Row],[学英]]&lt;&gt;"",单词表[[#This Row],[学中]]&lt;&gt;"",单词表[[#This Row],[学词]]&lt;&gt;""),MAX(单词表[[#This Row],[学英]:[学词]]),"")</f>
        <v>42646.858182870368</v>
      </c>
      <c r="M1918" s="2" t="str">
        <f>IF(AND(单词表[[#This Row],[考英]]&lt;&gt;"",单词表[[#This Row],[考中]]&lt;&gt;""),MAX(单词表[[#This Row],[考英]:[考中]]),"")</f>
        <v/>
      </c>
      <c r="N1918" s="79"/>
    </row>
    <row r="1919" spans="1:14" hidden="1" x14ac:dyDescent="0.15">
      <c r="A1919">
        <v>1919</v>
      </c>
      <c r="B1919" t="s">
        <v>35</v>
      </c>
      <c r="C1919" t="s">
        <v>9</v>
      </c>
      <c r="D1919" s="72" t="s">
        <v>1553</v>
      </c>
      <c r="E1919" t="s">
        <v>36</v>
      </c>
      <c r="F1919" t="s">
        <v>5524</v>
      </c>
      <c r="G1919" s="92">
        <v>42646.651956018519</v>
      </c>
      <c r="H1919" s="92">
        <v>42646.846516203703</v>
      </c>
      <c r="I1919" s="92">
        <v>42646.846504629626</v>
      </c>
      <c r="J1919" s="92"/>
      <c r="K1919" s="92">
        <v>42646.855636574073</v>
      </c>
      <c r="L1919" s="92">
        <f>IF(AND(单词表[[#This Row],[学英]]&lt;&gt;"",单词表[[#This Row],[学中]]&lt;&gt;"",单词表[[#This Row],[学词]]&lt;&gt;""),MAX(单词表[[#This Row],[学英]:[学词]]),"")</f>
        <v>42646.846516203703</v>
      </c>
      <c r="M1919" s="2" t="str">
        <f>IF(AND(单词表[[#This Row],[考英]]&lt;&gt;"",单词表[[#This Row],[考中]]&lt;&gt;""),MAX(单词表[[#This Row],[考英]:[考中]]),"")</f>
        <v/>
      </c>
      <c r="N1919" s="79"/>
    </row>
    <row r="1920" spans="1:14" hidden="1" x14ac:dyDescent="0.15">
      <c r="A1920">
        <v>1920</v>
      </c>
      <c r="B1920" t="s">
        <v>35</v>
      </c>
      <c r="C1920" t="s">
        <v>9</v>
      </c>
      <c r="D1920" s="72" t="s">
        <v>5636</v>
      </c>
      <c r="E1920" t="s">
        <v>73</v>
      </c>
      <c r="F1920" t="s">
        <v>3501</v>
      </c>
      <c r="G1920" s="92">
        <v>42646.651909722219</v>
      </c>
      <c r="H1920" s="92">
        <v>42646.846620370372</v>
      </c>
      <c r="I1920" s="92">
        <v>42646.846608796295</v>
      </c>
      <c r="J1920" s="92"/>
      <c r="K1920" s="92">
        <v>42646.855694444443</v>
      </c>
      <c r="L1920" s="92">
        <f>IF(AND(单词表[[#This Row],[学英]]&lt;&gt;"",单词表[[#This Row],[学中]]&lt;&gt;"",单词表[[#This Row],[学词]]&lt;&gt;""),MAX(单词表[[#This Row],[学英]:[学词]]),"")</f>
        <v>42646.846620370372</v>
      </c>
      <c r="M1920" s="2" t="str">
        <f>IF(AND(单词表[[#This Row],[考英]]&lt;&gt;"",单词表[[#This Row],[考中]]&lt;&gt;""),MAX(单词表[[#This Row],[考英]:[考中]]),"")</f>
        <v/>
      </c>
      <c r="N1920" s="79"/>
    </row>
    <row r="1921" spans="1:14" hidden="1" x14ac:dyDescent="0.15">
      <c r="A1921">
        <v>1921</v>
      </c>
      <c r="B1921" t="s">
        <v>35</v>
      </c>
      <c r="C1921" t="s">
        <v>9</v>
      </c>
      <c r="D1921" s="72" t="s">
        <v>3502</v>
      </c>
      <c r="E1921" t="s">
        <v>36</v>
      </c>
      <c r="F1921" t="s">
        <v>3503</v>
      </c>
      <c r="G1921" s="92">
        <v>42646.65185185185</v>
      </c>
      <c r="H1921" s="92">
        <v>42646.651863425926</v>
      </c>
      <c r="I1921" s="92">
        <v>42646.651863425926</v>
      </c>
      <c r="J1921" s="92"/>
      <c r="K1921" s="92">
        <v>42646.837048611109</v>
      </c>
      <c r="L1921" s="92">
        <f>IF(AND(单词表[[#This Row],[学英]]&lt;&gt;"",单词表[[#This Row],[学中]]&lt;&gt;"",单词表[[#This Row],[学词]]&lt;&gt;""),MAX(单词表[[#This Row],[学英]:[学词]]),"")</f>
        <v>42646.651863425926</v>
      </c>
      <c r="M1921" s="2" t="str">
        <f>IF(AND(单词表[[#This Row],[考英]]&lt;&gt;"",单词表[[#This Row],[考中]]&lt;&gt;""),MAX(单词表[[#This Row],[考英]:[考中]]),"")</f>
        <v/>
      </c>
      <c r="N1921" s="79"/>
    </row>
    <row r="1922" spans="1:14" hidden="1" x14ac:dyDescent="0.15">
      <c r="A1922">
        <v>1922</v>
      </c>
      <c r="B1922" t="s">
        <v>35</v>
      </c>
      <c r="C1922" t="s">
        <v>9</v>
      </c>
      <c r="D1922" s="72" t="s">
        <v>2606</v>
      </c>
      <c r="E1922" t="s">
        <v>36</v>
      </c>
      <c r="F1922" t="s">
        <v>3504</v>
      </c>
      <c r="G1922" s="92">
        <v>42646.651759259257</v>
      </c>
      <c r="H1922" s="92">
        <v>42646.846678240741</v>
      </c>
      <c r="I1922" s="92">
        <v>42646.846666666665</v>
      </c>
      <c r="J1922" s="92"/>
      <c r="K1922" s="92">
        <v>42646.855752314812</v>
      </c>
      <c r="L1922" s="92">
        <f>IF(AND(单词表[[#This Row],[学英]]&lt;&gt;"",单词表[[#This Row],[学中]]&lt;&gt;"",单词表[[#This Row],[学词]]&lt;&gt;""),MAX(单词表[[#This Row],[学英]:[学词]]),"")</f>
        <v>42646.846678240741</v>
      </c>
      <c r="M1922" s="2" t="str">
        <f>IF(AND(单词表[[#This Row],[考英]]&lt;&gt;"",单词表[[#This Row],[考中]]&lt;&gt;""),MAX(单词表[[#This Row],[考英]:[考中]]),"")</f>
        <v/>
      </c>
      <c r="N1922" s="79"/>
    </row>
    <row r="1923" spans="1:14" hidden="1" x14ac:dyDescent="0.15">
      <c r="A1923">
        <v>1923</v>
      </c>
      <c r="B1923" t="s">
        <v>35</v>
      </c>
      <c r="C1923" t="s">
        <v>9</v>
      </c>
      <c r="D1923" s="72" t="s">
        <v>3505</v>
      </c>
      <c r="E1923" t="s">
        <v>36</v>
      </c>
      <c r="F1923" t="s">
        <v>5525</v>
      </c>
      <c r="G1923" s="92">
        <v>42646.651736111111</v>
      </c>
      <c r="H1923" s="92">
        <v>42646.846782407411</v>
      </c>
      <c r="I1923" s="92">
        <v>42646.846770833334</v>
      </c>
      <c r="J1923" s="92"/>
      <c r="K1923" s="92">
        <v>42646.855798611112</v>
      </c>
      <c r="L1923" s="92">
        <f>IF(AND(单词表[[#This Row],[学英]]&lt;&gt;"",单词表[[#This Row],[学中]]&lt;&gt;"",单词表[[#This Row],[学词]]&lt;&gt;""),MAX(单词表[[#This Row],[学英]:[学词]]),"")</f>
        <v>42646.846782407411</v>
      </c>
      <c r="M1923" s="2" t="str">
        <f>IF(AND(单词表[[#This Row],[考英]]&lt;&gt;"",单词表[[#This Row],[考中]]&lt;&gt;""),MAX(单词表[[#This Row],[考英]:[考中]]),"")</f>
        <v/>
      </c>
      <c r="N1923" s="79"/>
    </row>
    <row r="1924" spans="1:14" hidden="1" x14ac:dyDescent="0.15">
      <c r="A1924">
        <v>1924</v>
      </c>
      <c r="B1924" t="s">
        <v>35</v>
      </c>
      <c r="C1924" t="s">
        <v>9</v>
      </c>
      <c r="D1924" s="72" t="s">
        <v>2285</v>
      </c>
      <c r="E1924" t="s">
        <v>36</v>
      </c>
      <c r="F1924" t="s">
        <v>2286</v>
      </c>
      <c r="G1924" s="92">
        <v>42646.651631944442</v>
      </c>
      <c r="H1924" s="92">
        <v>42646.651643518519</v>
      </c>
      <c r="I1924" s="92">
        <v>42646.651643518519</v>
      </c>
      <c r="J1924" s="92"/>
      <c r="K1924" s="92">
        <v>42646.837314814817</v>
      </c>
      <c r="L1924" s="92">
        <f>IF(AND(单词表[[#This Row],[学英]]&lt;&gt;"",单词表[[#This Row],[学中]]&lt;&gt;"",单词表[[#This Row],[学词]]&lt;&gt;""),MAX(单词表[[#This Row],[学英]:[学词]]),"")</f>
        <v>42646.651643518519</v>
      </c>
      <c r="M1924" s="2" t="str">
        <f>IF(AND(单词表[[#This Row],[考英]]&lt;&gt;"",单词表[[#This Row],[考中]]&lt;&gt;""),MAX(单词表[[#This Row],[考英]:[考中]]),"")</f>
        <v/>
      </c>
      <c r="N1924" s="79"/>
    </row>
    <row r="1925" spans="1:14" hidden="1" x14ac:dyDescent="0.15">
      <c r="A1925">
        <v>1925</v>
      </c>
      <c r="B1925" t="s">
        <v>35</v>
      </c>
      <c r="C1925" t="s">
        <v>9</v>
      </c>
      <c r="D1925" s="72" t="s">
        <v>3506</v>
      </c>
      <c r="E1925" t="s">
        <v>702</v>
      </c>
      <c r="F1925" t="s">
        <v>3507</v>
      </c>
      <c r="G1925" s="92">
        <v>42646.651585648149</v>
      </c>
      <c r="H1925" s="92">
        <v>42646.858807870369</v>
      </c>
      <c r="I1925" s="92">
        <v>42646.858796296299</v>
      </c>
      <c r="J1925" s="92"/>
      <c r="K1925" s="92">
        <v>42646.861180555556</v>
      </c>
      <c r="L1925" s="92">
        <f>IF(AND(单词表[[#This Row],[学英]]&lt;&gt;"",单词表[[#This Row],[学中]]&lt;&gt;"",单词表[[#This Row],[学词]]&lt;&gt;""),MAX(单词表[[#This Row],[学英]:[学词]]),"")</f>
        <v>42646.858807870369</v>
      </c>
      <c r="M1925" s="2" t="str">
        <f>IF(AND(单词表[[#This Row],[考英]]&lt;&gt;"",单词表[[#This Row],[考中]]&lt;&gt;""),MAX(单词表[[#This Row],[考英]:[考中]]),"")</f>
        <v/>
      </c>
      <c r="N1925" s="79"/>
    </row>
    <row r="1926" spans="1:14" hidden="1" x14ac:dyDescent="0.15">
      <c r="A1926">
        <v>1926</v>
      </c>
      <c r="B1926" t="s">
        <v>35</v>
      </c>
      <c r="C1926" t="s">
        <v>9</v>
      </c>
      <c r="D1926" s="72" t="s">
        <v>2665</v>
      </c>
      <c r="E1926" t="s">
        <v>36</v>
      </c>
      <c r="F1926" t="s">
        <v>3508</v>
      </c>
      <c r="G1926" s="92">
        <v>42646.651550925926</v>
      </c>
      <c r="H1926" s="92">
        <v>42646.651550925926</v>
      </c>
      <c r="I1926" s="92">
        <v>42646.651550925926</v>
      </c>
      <c r="J1926" s="92"/>
      <c r="K1926" s="92">
        <v>42646.837604166663</v>
      </c>
      <c r="L1926" s="92">
        <f>IF(AND(单词表[[#This Row],[学英]]&lt;&gt;"",单词表[[#This Row],[学中]]&lt;&gt;"",单词表[[#This Row],[学词]]&lt;&gt;""),MAX(单词表[[#This Row],[学英]:[学词]]),"")</f>
        <v>42646.651550925926</v>
      </c>
      <c r="M1926" s="2" t="str">
        <f>IF(AND(单词表[[#This Row],[考英]]&lt;&gt;"",单词表[[#This Row],[考中]]&lt;&gt;""),MAX(单词表[[#This Row],[考英]:[考中]]),"")</f>
        <v/>
      </c>
      <c r="N1926" s="79"/>
    </row>
    <row r="1927" spans="1:14" hidden="1" x14ac:dyDescent="0.15">
      <c r="A1927">
        <v>1927</v>
      </c>
      <c r="B1927" t="s">
        <v>35</v>
      </c>
      <c r="C1927" t="s">
        <v>9</v>
      </c>
      <c r="D1927" s="72" t="s">
        <v>1747</v>
      </c>
      <c r="E1927" t="s">
        <v>36</v>
      </c>
      <c r="F1927" t="s">
        <v>1748</v>
      </c>
      <c r="G1927" s="92">
        <v>42646.651504629626</v>
      </c>
      <c r="H1927" s="92">
        <v>42646.651516203703</v>
      </c>
      <c r="I1927" s="92">
        <v>42646.651516203703</v>
      </c>
      <c r="J1927" s="92"/>
      <c r="K1927" s="92">
        <v>42646.83766203704</v>
      </c>
      <c r="L1927" s="92">
        <f>IF(AND(单词表[[#This Row],[学英]]&lt;&gt;"",单词表[[#This Row],[学中]]&lt;&gt;"",单词表[[#This Row],[学词]]&lt;&gt;""),MAX(单词表[[#This Row],[学英]:[学词]]),"")</f>
        <v>42646.651516203703</v>
      </c>
      <c r="M1927" s="2" t="str">
        <f>IF(AND(单词表[[#This Row],[考英]]&lt;&gt;"",单词表[[#This Row],[考中]]&lt;&gt;""),MAX(单词表[[#This Row],[考英]:[考中]]),"")</f>
        <v/>
      </c>
      <c r="N1927" s="79"/>
    </row>
    <row r="1928" spans="1:14" hidden="1" x14ac:dyDescent="0.15">
      <c r="A1928">
        <v>1928</v>
      </c>
      <c r="B1928" t="s">
        <v>35</v>
      </c>
      <c r="C1928" t="s">
        <v>9</v>
      </c>
      <c r="D1928" s="72" t="s">
        <v>3509</v>
      </c>
      <c r="E1928" t="s">
        <v>36</v>
      </c>
      <c r="F1928" t="s">
        <v>1648</v>
      </c>
      <c r="G1928" s="92">
        <v>42646.651446759257</v>
      </c>
      <c r="H1928" s="92">
        <v>42646.847025462965</v>
      </c>
      <c r="I1928" s="92">
        <v>42646.847013888888</v>
      </c>
      <c r="J1928" s="92"/>
      <c r="K1928" s="92">
        <v>42646.855902777781</v>
      </c>
      <c r="L1928" s="92">
        <f>IF(AND(单词表[[#This Row],[学英]]&lt;&gt;"",单词表[[#This Row],[学中]]&lt;&gt;"",单词表[[#This Row],[学词]]&lt;&gt;""),MAX(单词表[[#This Row],[学英]:[学词]]),"")</f>
        <v>42646.847025462965</v>
      </c>
      <c r="M1928" s="2" t="str">
        <f>IF(AND(单词表[[#This Row],[考英]]&lt;&gt;"",单词表[[#This Row],[考中]]&lt;&gt;""),MAX(单词表[[#This Row],[考英]:[考中]]),"")</f>
        <v/>
      </c>
      <c r="N1928" s="79"/>
    </row>
    <row r="1929" spans="1:14" hidden="1" x14ac:dyDescent="0.15">
      <c r="A1929">
        <v>1929</v>
      </c>
      <c r="B1929" t="s">
        <v>35</v>
      </c>
      <c r="C1929" t="s">
        <v>9</v>
      </c>
      <c r="D1929" s="72" t="s">
        <v>3510</v>
      </c>
      <c r="E1929" t="s">
        <v>36</v>
      </c>
      <c r="F1929" t="s">
        <v>3511</v>
      </c>
      <c r="G1929" s="92">
        <v>42646.651400462964</v>
      </c>
      <c r="H1929" s="92">
        <v>42646.651423611111</v>
      </c>
      <c r="I1929" s="92">
        <v>42646.651412037034</v>
      </c>
      <c r="J1929" s="92"/>
      <c r="K1929" s="92">
        <v>42646.837962962964</v>
      </c>
      <c r="L1929" s="92">
        <f>IF(AND(单词表[[#This Row],[学英]]&lt;&gt;"",单词表[[#This Row],[学中]]&lt;&gt;"",单词表[[#This Row],[学词]]&lt;&gt;""),MAX(单词表[[#This Row],[学英]:[学词]]),"")</f>
        <v>42646.651423611111</v>
      </c>
      <c r="M1929" s="2" t="str">
        <f>IF(AND(单词表[[#This Row],[考英]]&lt;&gt;"",单词表[[#This Row],[考中]]&lt;&gt;""),MAX(单词表[[#This Row],[考英]:[考中]]),"")</f>
        <v/>
      </c>
      <c r="N1929" s="79"/>
    </row>
    <row r="1930" spans="1:14" hidden="1" x14ac:dyDescent="0.15">
      <c r="A1930">
        <v>1930</v>
      </c>
      <c r="B1930" t="s">
        <v>35</v>
      </c>
      <c r="C1930" t="s">
        <v>9</v>
      </c>
      <c r="D1930" s="72" t="s">
        <v>3512</v>
      </c>
      <c r="E1930" t="s">
        <v>36</v>
      </c>
      <c r="F1930" t="s">
        <v>3513</v>
      </c>
      <c r="G1930" s="92">
        <v>42646.651354166665</v>
      </c>
      <c r="H1930" s="92">
        <v>42646.651365740741</v>
      </c>
      <c r="I1930" s="92">
        <v>42646.651354166665</v>
      </c>
      <c r="J1930" s="92"/>
      <c r="K1930" s="92">
        <v>42646.838020833333</v>
      </c>
      <c r="L1930" s="92">
        <f>IF(AND(单词表[[#This Row],[学英]]&lt;&gt;"",单词表[[#This Row],[学中]]&lt;&gt;"",单词表[[#This Row],[学词]]&lt;&gt;""),MAX(单词表[[#This Row],[学英]:[学词]]),"")</f>
        <v>42646.651365740741</v>
      </c>
      <c r="M1930" s="2" t="str">
        <f>IF(AND(单词表[[#This Row],[考英]]&lt;&gt;"",单词表[[#This Row],[考中]]&lt;&gt;""),MAX(单词表[[#This Row],[考英]:[考中]]),"")</f>
        <v/>
      </c>
      <c r="N1930" s="79"/>
    </row>
    <row r="1931" spans="1:14" hidden="1" x14ac:dyDescent="0.15">
      <c r="A1931">
        <v>1931</v>
      </c>
      <c r="B1931" t="s">
        <v>35</v>
      </c>
      <c r="C1931" t="s">
        <v>9</v>
      </c>
      <c r="D1931" s="72" t="s">
        <v>3514</v>
      </c>
      <c r="E1931" t="s">
        <v>61</v>
      </c>
      <c r="F1931" t="s">
        <v>3515</v>
      </c>
      <c r="G1931" s="92">
        <v>42646.651296296295</v>
      </c>
      <c r="H1931" s="92">
        <v>42646.847094907411</v>
      </c>
      <c r="I1931" s="92">
        <v>42646.847083333334</v>
      </c>
      <c r="J1931" s="92"/>
      <c r="K1931" s="92">
        <v>42646.855983796297</v>
      </c>
      <c r="L1931" s="92">
        <f>IF(AND(单词表[[#This Row],[学英]]&lt;&gt;"",单词表[[#This Row],[学中]]&lt;&gt;"",单词表[[#This Row],[学词]]&lt;&gt;""),MAX(单词表[[#This Row],[学英]:[学词]]),"")</f>
        <v>42646.847094907411</v>
      </c>
      <c r="M1931" s="2" t="str">
        <f>IF(AND(单词表[[#This Row],[考英]]&lt;&gt;"",单词表[[#This Row],[考中]]&lt;&gt;""),MAX(单词表[[#This Row],[考英]:[考中]]),"")</f>
        <v/>
      </c>
      <c r="N1931" s="79"/>
    </row>
    <row r="1932" spans="1:14" hidden="1" x14ac:dyDescent="0.15">
      <c r="A1932">
        <v>1932</v>
      </c>
      <c r="B1932" t="s">
        <v>35</v>
      </c>
      <c r="C1932" t="s">
        <v>9</v>
      </c>
      <c r="D1932" s="72" t="s">
        <v>2369</v>
      </c>
      <c r="E1932" t="s">
        <v>36</v>
      </c>
      <c r="F1932" t="s">
        <v>2370</v>
      </c>
      <c r="G1932" s="92">
        <v>42646.651250000003</v>
      </c>
      <c r="H1932" s="92">
        <v>42646.651261574072</v>
      </c>
      <c r="I1932" s="92">
        <v>42646.651261574072</v>
      </c>
      <c r="J1932" s="92"/>
      <c r="K1932" s="92">
        <v>42646.838194444441</v>
      </c>
      <c r="L1932" s="92">
        <f>IF(AND(单词表[[#This Row],[学英]]&lt;&gt;"",单词表[[#This Row],[学中]]&lt;&gt;"",单词表[[#This Row],[学词]]&lt;&gt;""),MAX(单词表[[#This Row],[学英]:[学词]]),"")</f>
        <v>42646.651261574072</v>
      </c>
      <c r="M1932" s="2" t="str">
        <f>IF(AND(单词表[[#This Row],[考英]]&lt;&gt;"",单词表[[#This Row],[考中]]&lt;&gt;""),MAX(单词表[[#This Row],[考英]:[考中]]),"")</f>
        <v/>
      </c>
      <c r="N1932" s="79"/>
    </row>
    <row r="1933" spans="1:14" hidden="1" x14ac:dyDescent="0.15">
      <c r="A1933">
        <v>1933</v>
      </c>
      <c r="B1933" t="s">
        <v>35</v>
      </c>
      <c r="C1933" t="s">
        <v>9</v>
      </c>
      <c r="D1933" s="72" t="s">
        <v>3516</v>
      </c>
      <c r="E1933" t="s">
        <v>157</v>
      </c>
      <c r="F1933" t="s">
        <v>3517</v>
      </c>
      <c r="G1933" s="92">
        <v>42646.651203703703</v>
      </c>
      <c r="H1933" s="92">
        <v>42646.651226851849</v>
      </c>
      <c r="I1933" s="92">
        <v>42646.65121527778</v>
      </c>
      <c r="J1933" s="92"/>
      <c r="K1933" s="92">
        <v>42646.838240740741</v>
      </c>
      <c r="L1933" s="92">
        <f>IF(AND(单词表[[#This Row],[学英]]&lt;&gt;"",单词表[[#This Row],[学中]]&lt;&gt;"",单词表[[#This Row],[学词]]&lt;&gt;""),MAX(单词表[[#This Row],[学英]:[学词]]),"")</f>
        <v>42646.651226851849</v>
      </c>
      <c r="M1933" s="2" t="str">
        <f>IF(AND(单词表[[#This Row],[考英]]&lt;&gt;"",单词表[[#This Row],[考中]]&lt;&gt;""),MAX(单词表[[#This Row],[考英]:[考中]]),"")</f>
        <v/>
      </c>
      <c r="N1933" s="79"/>
    </row>
    <row r="1934" spans="1:14" hidden="1" x14ac:dyDescent="0.15">
      <c r="A1934">
        <v>1934</v>
      </c>
      <c r="B1934" t="s">
        <v>35</v>
      </c>
      <c r="C1934" t="s">
        <v>9</v>
      </c>
      <c r="D1934" s="72" t="s">
        <v>3518</v>
      </c>
      <c r="E1934" t="s">
        <v>61</v>
      </c>
      <c r="F1934" t="s">
        <v>3519</v>
      </c>
      <c r="G1934" s="92">
        <v>42646.651122685187</v>
      </c>
      <c r="H1934" s="92">
        <v>42646.84715277778</v>
      </c>
      <c r="I1934" s="92">
        <v>42646.847129629627</v>
      </c>
      <c r="J1934" s="92"/>
      <c r="K1934" s="92">
        <v>42646.856041666666</v>
      </c>
      <c r="L1934" s="92">
        <f>IF(AND(单词表[[#This Row],[学英]]&lt;&gt;"",单词表[[#This Row],[学中]]&lt;&gt;"",单词表[[#This Row],[学词]]&lt;&gt;""),MAX(单词表[[#This Row],[学英]:[学词]]),"")</f>
        <v>42646.84715277778</v>
      </c>
      <c r="M1934" s="2" t="str">
        <f>IF(AND(单词表[[#This Row],[考英]]&lt;&gt;"",单词表[[#This Row],[考中]]&lt;&gt;""),MAX(单词表[[#This Row],[考英]:[考中]]),"")</f>
        <v/>
      </c>
      <c r="N1934" s="79"/>
    </row>
    <row r="1935" spans="1:14" hidden="1" x14ac:dyDescent="0.15">
      <c r="A1935">
        <v>1935</v>
      </c>
      <c r="B1935" t="s">
        <v>35</v>
      </c>
      <c r="C1935" t="s">
        <v>9</v>
      </c>
      <c r="D1935" s="72" t="s">
        <v>3520</v>
      </c>
      <c r="E1935" t="s">
        <v>36</v>
      </c>
      <c r="F1935" t="s">
        <v>3521</v>
      </c>
      <c r="G1935" s="92">
        <v>42646.651087962964</v>
      </c>
      <c r="H1935" s="92">
        <v>42646.867384259262</v>
      </c>
      <c r="I1935" s="92">
        <v>42646.867361111108</v>
      </c>
      <c r="J1935" s="92"/>
      <c r="K1935" s="92">
        <v>42646.869872685187</v>
      </c>
      <c r="L1935" s="92">
        <f>IF(AND(单词表[[#This Row],[学英]]&lt;&gt;"",单词表[[#This Row],[学中]]&lt;&gt;"",单词表[[#This Row],[学词]]&lt;&gt;""),MAX(单词表[[#This Row],[学英]:[学词]]),"")</f>
        <v>42646.867384259262</v>
      </c>
      <c r="M1935" s="2" t="str">
        <f>IF(AND(单词表[[#This Row],[考英]]&lt;&gt;"",单词表[[#This Row],[考中]]&lt;&gt;""),MAX(单词表[[#This Row],[考英]:[考中]]),"")</f>
        <v/>
      </c>
      <c r="N1935" s="79"/>
    </row>
    <row r="1936" spans="1:14" hidden="1" x14ac:dyDescent="0.15">
      <c r="A1936">
        <v>1936</v>
      </c>
      <c r="B1936" t="s">
        <v>35</v>
      </c>
      <c r="C1936" t="s">
        <v>9</v>
      </c>
      <c r="D1936" s="72" t="s">
        <v>609</v>
      </c>
      <c r="E1936" t="s">
        <v>36</v>
      </c>
      <c r="F1936" t="s">
        <v>3522</v>
      </c>
      <c r="G1936" s="92">
        <v>42646.651041666664</v>
      </c>
      <c r="H1936" s="92">
        <v>42646.651053240741</v>
      </c>
      <c r="I1936" s="92">
        <v>42646.651053240741</v>
      </c>
      <c r="J1936" s="92"/>
      <c r="K1936" s="92">
        <v>42646.838425925926</v>
      </c>
      <c r="L1936" s="92">
        <f>IF(AND(单词表[[#This Row],[学英]]&lt;&gt;"",单词表[[#This Row],[学中]]&lt;&gt;"",单词表[[#This Row],[学词]]&lt;&gt;""),MAX(单词表[[#This Row],[学英]:[学词]]),"")</f>
        <v>42646.651053240741</v>
      </c>
      <c r="M1936" s="2" t="str">
        <f>IF(AND(单词表[[#This Row],[考英]]&lt;&gt;"",单词表[[#This Row],[考中]]&lt;&gt;""),MAX(单词表[[#This Row],[考英]:[考中]]),"")</f>
        <v/>
      </c>
      <c r="N1936" s="79"/>
    </row>
    <row r="1937" spans="1:14" hidden="1" x14ac:dyDescent="0.15">
      <c r="A1937">
        <v>1937</v>
      </c>
      <c r="B1937" t="s">
        <v>35</v>
      </c>
      <c r="C1937" t="s">
        <v>9</v>
      </c>
      <c r="D1937" s="72" t="s">
        <v>168</v>
      </c>
      <c r="E1937" t="s">
        <v>36</v>
      </c>
      <c r="F1937" t="s">
        <v>169</v>
      </c>
      <c r="G1937" s="92">
        <v>42646.650914351849</v>
      </c>
      <c r="H1937" s="92">
        <v>42646.651006944441</v>
      </c>
      <c r="I1937" s="92">
        <v>42646.650925925926</v>
      </c>
      <c r="J1937" s="92"/>
      <c r="K1937" s="92">
        <v>42646.838576388887</v>
      </c>
      <c r="L1937" s="92">
        <f>IF(AND(单词表[[#This Row],[学英]]&lt;&gt;"",单词表[[#This Row],[学中]]&lt;&gt;"",单词表[[#This Row],[学词]]&lt;&gt;""),MAX(单词表[[#This Row],[学英]:[学词]]),"")</f>
        <v>42646.651006944441</v>
      </c>
      <c r="M1937" s="2" t="str">
        <f>IF(AND(单词表[[#This Row],[考英]]&lt;&gt;"",单词表[[#This Row],[考中]]&lt;&gt;""),MAX(单词表[[#This Row],[考英]:[考中]]),"")</f>
        <v/>
      </c>
      <c r="N1937" s="79"/>
    </row>
    <row r="1938" spans="1:14" hidden="1" x14ac:dyDescent="0.15">
      <c r="A1938">
        <v>1938</v>
      </c>
      <c r="B1938" t="s">
        <v>35</v>
      </c>
      <c r="C1938" t="s">
        <v>9</v>
      </c>
      <c r="D1938" s="72" t="s">
        <v>1808</v>
      </c>
      <c r="E1938" t="s">
        <v>36</v>
      </c>
      <c r="F1938" t="s">
        <v>3523</v>
      </c>
      <c r="G1938" s="92">
        <v>42646.650810185187</v>
      </c>
      <c r="H1938" s="92">
        <v>42646.848368055558</v>
      </c>
      <c r="I1938" s="92">
        <v>42646.848356481481</v>
      </c>
      <c r="J1938" s="92"/>
      <c r="K1938" s="92">
        <v>42646.856168981481</v>
      </c>
      <c r="L1938" s="92">
        <f>IF(AND(单词表[[#This Row],[学英]]&lt;&gt;"",单词表[[#This Row],[学中]]&lt;&gt;"",单词表[[#This Row],[学词]]&lt;&gt;""),MAX(单词表[[#This Row],[学英]:[学词]]),"")</f>
        <v>42646.848368055558</v>
      </c>
      <c r="M1938" s="2" t="str">
        <f>IF(AND(单词表[[#This Row],[考英]]&lt;&gt;"",单词表[[#This Row],[考中]]&lt;&gt;""),MAX(单词表[[#This Row],[考英]:[考中]]),"")</f>
        <v/>
      </c>
      <c r="N1938" s="79"/>
    </row>
    <row r="1939" spans="1:14" hidden="1" x14ac:dyDescent="0.15">
      <c r="A1939">
        <v>1939</v>
      </c>
      <c r="B1939" t="s">
        <v>35</v>
      </c>
      <c r="C1939" t="s">
        <v>9</v>
      </c>
      <c r="D1939" s="72" t="s">
        <v>1808</v>
      </c>
      <c r="E1939" t="s">
        <v>61</v>
      </c>
      <c r="F1939" t="s">
        <v>3524</v>
      </c>
      <c r="G1939" s="92">
        <v>42646.650775462964</v>
      </c>
      <c r="H1939" s="92">
        <v>42646.650787037041</v>
      </c>
      <c r="I1939" s="92">
        <v>42646.650775462964</v>
      </c>
      <c r="J1939" s="92"/>
      <c r="K1939" s="92">
        <v>42646.838773148149</v>
      </c>
      <c r="L1939" s="92">
        <f>IF(AND(单词表[[#This Row],[学英]]&lt;&gt;"",单词表[[#This Row],[学中]]&lt;&gt;"",单词表[[#This Row],[学词]]&lt;&gt;""),MAX(单词表[[#This Row],[学英]:[学词]]),"")</f>
        <v>42646.650787037041</v>
      </c>
      <c r="M1939" s="2" t="str">
        <f>IF(AND(单词表[[#This Row],[考英]]&lt;&gt;"",单词表[[#This Row],[考中]]&lt;&gt;""),MAX(单词表[[#This Row],[考英]:[考中]]),"")</f>
        <v/>
      </c>
      <c r="N1939" s="79"/>
    </row>
    <row r="1940" spans="1:14" hidden="1" x14ac:dyDescent="0.15">
      <c r="A1940">
        <v>1940</v>
      </c>
      <c r="B1940" t="s">
        <v>35</v>
      </c>
      <c r="C1940" t="s">
        <v>9</v>
      </c>
      <c r="D1940" s="72" t="s">
        <v>3137</v>
      </c>
      <c r="E1940" t="s">
        <v>61</v>
      </c>
      <c r="F1940" t="s">
        <v>3525</v>
      </c>
      <c r="G1940" s="92">
        <v>42646.650729166664</v>
      </c>
      <c r="H1940" s="92">
        <v>42646.859432870369</v>
      </c>
      <c r="I1940" s="92">
        <v>42646.858900462961</v>
      </c>
      <c r="J1940" s="92"/>
      <c r="K1940" s="92">
        <v>42646.861319444448</v>
      </c>
      <c r="L1940" s="92">
        <f>IF(AND(单词表[[#This Row],[学英]]&lt;&gt;"",单词表[[#This Row],[学中]]&lt;&gt;"",单词表[[#This Row],[学词]]&lt;&gt;""),MAX(单词表[[#This Row],[学英]:[学词]]),"")</f>
        <v>42646.859432870369</v>
      </c>
      <c r="M1940" s="2" t="str">
        <f>IF(AND(单词表[[#This Row],[考英]]&lt;&gt;"",单词表[[#This Row],[考中]]&lt;&gt;""),MAX(单词表[[#This Row],[考英]:[考中]]),"")</f>
        <v/>
      </c>
      <c r="N1940" s="79"/>
    </row>
    <row r="1941" spans="1:14" hidden="1" x14ac:dyDescent="0.15">
      <c r="A1941">
        <v>1941</v>
      </c>
      <c r="B1941" t="s">
        <v>35</v>
      </c>
      <c r="C1941" t="s">
        <v>9</v>
      </c>
      <c r="D1941" s="72" t="s">
        <v>2178</v>
      </c>
      <c r="E1941" t="s">
        <v>1019</v>
      </c>
      <c r="F1941" t="s">
        <v>2196</v>
      </c>
      <c r="G1941" s="92">
        <v>42646.650648148148</v>
      </c>
      <c r="H1941" s="92">
        <v>42646.848599537036</v>
      </c>
      <c r="I1941" s="92">
        <v>42646.848576388889</v>
      </c>
      <c r="J1941" s="92"/>
      <c r="K1941" s="92">
        <v>42646.85633101852</v>
      </c>
      <c r="L1941" s="92">
        <f>IF(AND(单词表[[#This Row],[学英]]&lt;&gt;"",单词表[[#This Row],[学中]]&lt;&gt;"",单词表[[#This Row],[学词]]&lt;&gt;""),MAX(单词表[[#This Row],[学英]:[学词]]),"")</f>
        <v>42646.848599537036</v>
      </c>
      <c r="M1941" s="2" t="str">
        <f>IF(AND(单词表[[#This Row],[考英]]&lt;&gt;"",单词表[[#This Row],[考中]]&lt;&gt;""),MAX(单词表[[#This Row],[考英]:[考中]]),"")</f>
        <v/>
      </c>
      <c r="N1941" s="79"/>
    </row>
    <row r="1942" spans="1:14" hidden="1" x14ac:dyDescent="0.15">
      <c r="A1942">
        <v>1942</v>
      </c>
      <c r="B1942" t="s">
        <v>35</v>
      </c>
      <c r="C1942" t="s">
        <v>9</v>
      </c>
      <c r="D1942" s="72" t="s">
        <v>2180</v>
      </c>
      <c r="E1942" t="s">
        <v>1019</v>
      </c>
      <c r="F1942" t="s">
        <v>5526</v>
      </c>
      <c r="G1942" s="92">
        <v>42646.650590277779</v>
      </c>
      <c r="H1942" s="92">
        <v>42646.84915509259</v>
      </c>
      <c r="I1942" s="92">
        <v>42646.849131944444</v>
      </c>
      <c r="J1942" s="92"/>
      <c r="K1942" s="92">
        <v>42646.856388888889</v>
      </c>
      <c r="L1942" s="92">
        <f>IF(AND(单词表[[#This Row],[学英]]&lt;&gt;"",单词表[[#This Row],[学中]]&lt;&gt;"",单词表[[#This Row],[学词]]&lt;&gt;""),MAX(单词表[[#This Row],[学英]:[学词]]),"")</f>
        <v>42646.84915509259</v>
      </c>
      <c r="M1942" s="2" t="str">
        <f>IF(AND(单词表[[#This Row],[考英]]&lt;&gt;"",单词表[[#This Row],[考中]]&lt;&gt;""),MAX(单词表[[#This Row],[考英]:[考中]]),"")</f>
        <v/>
      </c>
      <c r="N1942" s="79"/>
    </row>
    <row r="1943" spans="1:14" hidden="1" x14ac:dyDescent="0.15">
      <c r="A1943">
        <v>1943</v>
      </c>
      <c r="B1943" t="s">
        <v>35</v>
      </c>
      <c r="C1943" t="s">
        <v>9</v>
      </c>
      <c r="D1943" s="72" t="s">
        <v>3526</v>
      </c>
      <c r="E1943" t="s">
        <v>702</v>
      </c>
      <c r="F1943" t="s">
        <v>3527</v>
      </c>
      <c r="G1943" s="92">
        <v>42646.650543981479</v>
      </c>
      <c r="H1943" s="92">
        <v>42646.650555555556</v>
      </c>
      <c r="I1943" s="92">
        <v>42646.650543981479</v>
      </c>
      <c r="J1943" s="92"/>
      <c r="K1943" s="92">
        <v>42646.839224537034</v>
      </c>
      <c r="L1943" s="92">
        <f>IF(AND(单词表[[#This Row],[学英]]&lt;&gt;"",单词表[[#This Row],[学中]]&lt;&gt;"",单词表[[#This Row],[学词]]&lt;&gt;""),MAX(单词表[[#This Row],[学英]:[学词]]),"")</f>
        <v>42646.650555555556</v>
      </c>
      <c r="M1943" s="2" t="str">
        <f>IF(AND(单词表[[#This Row],[考英]]&lt;&gt;"",单词表[[#This Row],[考中]]&lt;&gt;""),MAX(单词表[[#This Row],[考英]:[考中]]),"")</f>
        <v/>
      </c>
      <c r="N1943" s="79"/>
    </row>
    <row r="1944" spans="1:14" hidden="1" x14ac:dyDescent="0.15">
      <c r="A1944">
        <v>1944</v>
      </c>
      <c r="B1944" t="s">
        <v>35</v>
      </c>
      <c r="C1944" t="s">
        <v>9</v>
      </c>
      <c r="D1944" s="72" t="s">
        <v>170</v>
      </c>
      <c r="E1944" t="s">
        <v>36</v>
      </c>
      <c r="F1944" t="s">
        <v>171</v>
      </c>
      <c r="G1944" s="92">
        <v>42646.650509259256</v>
      </c>
      <c r="H1944" s="92">
        <v>42646.650520833333</v>
      </c>
      <c r="I1944" s="92">
        <v>42646.650520833333</v>
      </c>
      <c r="J1944" s="92"/>
      <c r="K1944" s="92">
        <v>42646.839282407411</v>
      </c>
      <c r="L1944" s="92">
        <f>IF(AND(单词表[[#This Row],[学英]]&lt;&gt;"",单词表[[#This Row],[学中]]&lt;&gt;"",单词表[[#This Row],[学词]]&lt;&gt;""),MAX(单词表[[#This Row],[学英]:[学词]]),"")</f>
        <v>42646.650520833333</v>
      </c>
      <c r="M1944" s="2" t="str">
        <f>IF(AND(单词表[[#This Row],[考英]]&lt;&gt;"",单词表[[#This Row],[考中]]&lt;&gt;""),MAX(单词表[[#This Row],[考英]:[考中]]),"")</f>
        <v/>
      </c>
      <c r="N1944" s="79"/>
    </row>
    <row r="1945" spans="1:14" hidden="1" x14ac:dyDescent="0.15">
      <c r="A1945">
        <v>1945</v>
      </c>
      <c r="B1945" t="s">
        <v>35</v>
      </c>
      <c r="C1945" t="s">
        <v>9</v>
      </c>
      <c r="D1945" s="72" t="s">
        <v>1379</v>
      </c>
      <c r="E1945" t="s">
        <v>73</v>
      </c>
      <c r="F1945" t="s">
        <v>635</v>
      </c>
      <c r="G1945" s="92">
        <v>42646.650462962964</v>
      </c>
      <c r="H1945" s="92">
        <v>42646.84920138889</v>
      </c>
      <c r="I1945" s="92">
        <v>42646.849189814813</v>
      </c>
      <c r="J1945" s="92"/>
      <c r="K1945" s="92">
        <v>42646.856458333335</v>
      </c>
      <c r="L1945" s="92">
        <f>IF(AND(单词表[[#This Row],[学英]]&lt;&gt;"",单词表[[#This Row],[学中]]&lt;&gt;"",单词表[[#This Row],[学词]]&lt;&gt;""),MAX(单词表[[#This Row],[学英]:[学词]]),"")</f>
        <v>42646.84920138889</v>
      </c>
      <c r="M1945" s="2" t="str">
        <f>IF(AND(单词表[[#This Row],[考英]]&lt;&gt;"",单词表[[#This Row],[考中]]&lt;&gt;""),MAX(单词表[[#This Row],[考英]:[考中]]),"")</f>
        <v/>
      </c>
      <c r="N1945" s="79"/>
    </row>
    <row r="1946" spans="1:14" hidden="1" x14ac:dyDescent="0.15">
      <c r="A1946">
        <v>1946</v>
      </c>
      <c r="B1946" t="s">
        <v>35</v>
      </c>
      <c r="C1946" t="s">
        <v>9</v>
      </c>
      <c r="D1946" s="72" t="s">
        <v>2939</v>
      </c>
      <c r="E1946" t="s">
        <v>36</v>
      </c>
      <c r="F1946" t="s">
        <v>2940</v>
      </c>
      <c r="G1946" s="92">
        <v>42646.650393518517</v>
      </c>
      <c r="H1946" s="92">
        <v>42646.849247685182</v>
      </c>
      <c r="I1946" s="92">
        <v>42646.849236111113</v>
      </c>
      <c r="J1946" s="92"/>
      <c r="K1946" s="92">
        <v>42646.856539351851</v>
      </c>
      <c r="L1946" s="92">
        <f>IF(AND(单词表[[#This Row],[学英]]&lt;&gt;"",单词表[[#This Row],[学中]]&lt;&gt;"",单词表[[#This Row],[学词]]&lt;&gt;""),MAX(单词表[[#This Row],[学英]:[学词]]),"")</f>
        <v>42646.849247685182</v>
      </c>
      <c r="M1946" s="2" t="str">
        <f>IF(AND(单词表[[#This Row],[考英]]&lt;&gt;"",单词表[[#This Row],[考中]]&lt;&gt;""),MAX(单词表[[#This Row],[考英]:[考中]]),"")</f>
        <v/>
      </c>
      <c r="N1946" s="79"/>
    </row>
    <row r="1947" spans="1:14" hidden="1" x14ac:dyDescent="0.15">
      <c r="A1947">
        <v>1947</v>
      </c>
      <c r="B1947" t="s">
        <v>35</v>
      </c>
      <c r="C1947" t="s">
        <v>9</v>
      </c>
      <c r="D1947" s="72" t="s">
        <v>2387</v>
      </c>
      <c r="E1947" t="s">
        <v>157</v>
      </c>
      <c r="F1947" t="s">
        <v>3528</v>
      </c>
      <c r="G1947" s="92">
        <v>42646.650335648148</v>
      </c>
      <c r="H1947" s="92">
        <v>42646.650358796294</v>
      </c>
      <c r="I1947" s="92">
        <v>42646.650347222225</v>
      </c>
      <c r="J1947" s="92"/>
      <c r="K1947" s="92">
        <v>42646.840185185189</v>
      </c>
      <c r="L1947" s="92">
        <f>IF(AND(单词表[[#This Row],[学英]]&lt;&gt;"",单词表[[#This Row],[学中]]&lt;&gt;"",单词表[[#This Row],[学词]]&lt;&gt;""),MAX(单词表[[#This Row],[学英]:[学词]]),"")</f>
        <v>42646.650358796294</v>
      </c>
      <c r="M1947" s="2" t="str">
        <f>IF(AND(单词表[[#This Row],[考英]]&lt;&gt;"",单词表[[#This Row],[考中]]&lt;&gt;""),MAX(单词表[[#This Row],[考英]:[考中]]),"")</f>
        <v/>
      </c>
      <c r="N1947" s="79"/>
    </row>
    <row r="1948" spans="1:14" hidden="1" x14ac:dyDescent="0.15">
      <c r="A1948">
        <v>1948</v>
      </c>
      <c r="B1948" t="s">
        <v>35</v>
      </c>
      <c r="C1948" t="s">
        <v>9</v>
      </c>
      <c r="D1948" s="72" t="s">
        <v>1530</v>
      </c>
      <c r="E1948" t="s">
        <v>36</v>
      </c>
      <c r="F1948" t="s">
        <v>1531</v>
      </c>
      <c r="G1948" s="92">
        <v>42646.650289351855</v>
      </c>
      <c r="H1948" s="92">
        <v>42646.650300925925</v>
      </c>
      <c r="I1948" s="92">
        <v>42646.650289351855</v>
      </c>
      <c r="J1948" s="92"/>
      <c r="K1948" s="92">
        <v>42646.840243055558</v>
      </c>
      <c r="L1948" s="92">
        <f>IF(AND(单词表[[#This Row],[学英]]&lt;&gt;"",单词表[[#This Row],[学中]]&lt;&gt;"",单词表[[#This Row],[学词]]&lt;&gt;""),MAX(单词表[[#This Row],[学英]:[学词]]),"")</f>
        <v>42646.650300925925</v>
      </c>
      <c r="M1948" s="2" t="str">
        <f>IF(AND(单词表[[#This Row],[考英]]&lt;&gt;"",单词表[[#This Row],[考中]]&lt;&gt;""),MAX(单词表[[#This Row],[考英]:[考中]]),"")</f>
        <v/>
      </c>
      <c r="N1948" s="79"/>
    </row>
    <row r="1949" spans="1:14" hidden="1" x14ac:dyDescent="0.15">
      <c r="A1949">
        <v>1949</v>
      </c>
      <c r="B1949" t="s">
        <v>35</v>
      </c>
      <c r="C1949" t="s">
        <v>9</v>
      </c>
      <c r="D1949" s="72" t="s">
        <v>1456</v>
      </c>
      <c r="E1949" t="s">
        <v>36</v>
      </c>
      <c r="F1949" t="s">
        <v>1457</v>
      </c>
      <c r="G1949" s="92">
        <v>42646.650231481479</v>
      </c>
      <c r="H1949" s="92">
        <v>42646.650254629632</v>
      </c>
      <c r="I1949" s="92">
        <v>42646.650243055556</v>
      </c>
      <c r="J1949" s="92"/>
      <c r="K1949" s="92">
        <v>42646.840289351851</v>
      </c>
      <c r="L1949" s="92">
        <f>IF(AND(单词表[[#This Row],[学英]]&lt;&gt;"",单词表[[#This Row],[学中]]&lt;&gt;"",单词表[[#This Row],[学词]]&lt;&gt;""),MAX(单词表[[#This Row],[学英]:[学词]]),"")</f>
        <v>42646.650254629632</v>
      </c>
      <c r="M1949" s="2" t="str">
        <f>IF(AND(单词表[[#This Row],[考英]]&lt;&gt;"",单词表[[#This Row],[考中]]&lt;&gt;""),MAX(单词表[[#This Row],[考英]:[考中]]),"")</f>
        <v/>
      </c>
      <c r="N1949" s="79"/>
    </row>
    <row r="1950" spans="1:14" hidden="1" x14ac:dyDescent="0.15">
      <c r="A1950">
        <v>1950</v>
      </c>
      <c r="B1950" t="s">
        <v>35</v>
      </c>
      <c r="C1950" t="s">
        <v>9</v>
      </c>
      <c r="D1950" s="72" t="s">
        <v>3529</v>
      </c>
      <c r="E1950" t="s">
        <v>1019</v>
      </c>
      <c r="F1950" t="s">
        <v>3530</v>
      </c>
      <c r="G1950" s="92">
        <v>42646.65016203704</v>
      </c>
      <c r="H1950" s="92">
        <v>42646.862557870372</v>
      </c>
      <c r="I1950" s="92">
        <v>42646.862546296295</v>
      </c>
      <c r="J1950" s="92"/>
      <c r="K1950" s="92">
        <v>42646.866666666669</v>
      </c>
      <c r="L1950" s="92">
        <f>IF(AND(单词表[[#This Row],[学英]]&lt;&gt;"",单词表[[#This Row],[学中]]&lt;&gt;"",单词表[[#This Row],[学词]]&lt;&gt;""),MAX(单词表[[#This Row],[学英]:[学词]]),"")</f>
        <v>42646.862557870372</v>
      </c>
      <c r="M1950" s="2" t="str">
        <f>IF(AND(单词表[[#This Row],[考英]]&lt;&gt;"",单词表[[#This Row],[考中]]&lt;&gt;""),MAX(单词表[[#This Row],[考英]:[考中]]),"")</f>
        <v/>
      </c>
      <c r="N1950" s="79"/>
    </row>
    <row r="1951" spans="1:14" hidden="1" x14ac:dyDescent="0.15">
      <c r="A1951">
        <v>1951</v>
      </c>
      <c r="B1951" t="s">
        <v>35</v>
      </c>
      <c r="C1951" t="s">
        <v>9</v>
      </c>
      <c r="D1951" s="72" t="s">
        <v>1840</v>
      </c>
      <c r="E1951" t="s">
        <v>73</v>
      </c>
      <c r="F1951" t="s">
        <v>3531</v>
      </c>
      <c r="G1951" s="92">
        <v>42646.650104166663</v>
      </c>
      <c r="H1951" s="92">
        <v>42646.65011574074</v>
      </c>
      <c r="I1951" s="92">
        <v>42646.65011574074</v>
      </c>
      <c r="J1951" s="92"/>
      <c r="K1951" s="92">
        <v>42646.840648148151</v>
      </c>
      <c r="L1951" s="92">
        <f>IF(AND(单词表[[#This Row],[学英]]&lt;&gt;"",单词表[[#This Row],[学中]]&lt;&gt;"",单词表[[#This Row],[学词]]&lt;&gt;""),MAX(单词表[[#This Row],[学英]:[学词]]),"")</f>
        <v>42646.65011574074</v>
      </c>
      <c r="M1951" s="2" t="str">
        <f>IF(AND(单词表[[#This Row],[考英]]&lt;&gt;"",单词表[[#This Row],[考中]]&lt;&gt;""),MAX(单词表[[#This Row],[考英]:[考中]]),"")</f>
        <v/>
      </c>
      <c r="N1951" s="79"/>
    </row>
    <row r="1952" spans="1:14" hidden="1" x14ac:dyDescent="0.15">
      <c r="A1952">
        <v>1952</v>
      </c>
      <c r="B1952" t="s">
        <v>35</v>
      </c>
      <c r="C1952" t="s">
        <v>9</v>
      </c>
      <c r="D1952" s="72" t="s">
        <v>867</v>
      </c>
      <c r="E1952" t="s">
        <v>36</v>
      </c>
      <c r="F1952" t="s">
        <v>3532</v>
      </c>
      <c r="G1952" s="92">
        <v>42646.650046296294</v>
      </c>
      <c r="H1952" s="92">
        <v>42646.872037037036</v>
      </c>
      <c r="I1952" s="92">
        <v>42646.872013888889</v>
      </c>
      <c r="J1952" s="92"/>
      <c r="K1952" s="92">
        <v>42646.873090277775</v>
      </c>
      <c r="L1952" s="92">
        <f>IF(AND(单词表[[#This Row],[学英]]&lt;&gt;"",单词表[[#This Row],[学中]]&lt;&gt;"",单词表[[#This Row],[学词]]&lt;&gt;""),MAX(单词表[[#This Row],[学英]:[学词]]),"")</f>
        <v>42646.872037037036</v>
      </c>
      <c r="M1952" s="2" t="str">
        <f>IF(AND(单词表[[#This Row],[考英]]&lt;&gt;"",单词表[[#This Row],[考中]]&lt;&gt;""),MAX(单词表[[#This Row],[考英]:[考中]]),"")</f>
        <v/>
      </c>
      <c r="N1952" s="79"/>
    </row>
    <row r="1953" spans="1:14" hidden="1" x14ac:dyDescent="0.15">
      <c r="A1953">
        <v>1953</v>
      </c>
      <c r="B1953" t="s">
        <v>35</v>
      </c>
      <c r="C1953" t="s">
        <v>9</v>
      </c>
      <c r="D1953" s="72" t="s">
        <v>3533</v>
      </c>
      <c r="E1953" t="s">
        <v>36</v>
      </c>
      <c r="F1953" t="s">
        <v>3534</v>
      </c>
      <c r="G1953" s="92">
        <v>42646.649965277778</v>
      </c>
      <c r="H1953" s="92">
        <v>42646.65</v>
      </c>
      <c r="I1953" s="92">
        <v>42646.649976851855</v>
      </c>
      <c r="J1953" s="92"/>
      <c r="K1953" s="92">
        <v>42646.840810185182</v>
      </c>
      <c r="L1953" s="92">
        <f>IF(AND(单词表[[#This Row],[学英]]&lt;&gt;"",单词表[[#This Row],[学中]]&lt;&gt;"",单词表[[#This Row],[学词]]&lt;&gt;""),MAX(单词表[[#This Row],[学英]:[学词]]),"")</f>
        <v>42646.65</v>
      </c>
      <c r="M1953" s="2" t="str">
        <f>IF(AND(单词表[[#This Row],[考英]]&lt;&gt;"",单词表[[#This Row],[考中]]&lt;&gt;""),MAX(单词表[[#This Row],[考英]:[考中]]),"")</f>
        <v/>
      </c>
      <c r="N1953" s="79"/>
    </row>
    <row r="1954" spans="1:14" hidden="1" x14ac:dyDescent="0.15">
      <c r="A1954">
        <v>1954</v>
      </c>
      <c r="B1954" t="s">
        <v>35</v>
      </c>
      <c r="C1954" t="s">
        <v>9</v>
      </c>
      <c r="D1954" s="72" t="s">
        <v>2600</v>
      </c>
      <c r="E1954" t="s">
        <v>61</v>
      </c>
      <c r="F1954" t="s">
        <v>2601</v>
      </c>
      <c r="G1954" s="92">
        <v>42646.649884259263</v>
      </c>
      <c r="H1954" s="92">
        <v>42646.649907407409</v>
      </c>
      <c r="I1954" s="92">
        <v>42646.649895833332</v>
      </c>
      <c r="J1954" s="92"/>
      <c r="K1954" s="92">
        <v>42646.840891203705</v>
      </c>
      <c r="L1954" s="92">
        <f>IF(AND(单词表[[#This Row],[学英]]&lt;&gt;"",单词表[[#This Row],[学中]]&lt;&gt;"",单词表[[#This Row],[学词]]&lt;&gt;""),MAX(单词表[[#This Row],[学英]:[学词]]),"")</f>
        <v>42646.649907407409</v>
      </c>
      <c r="M1954" s="2" t="str">
        <f>IF(AND(单词表[[#This Row],[考英]]&lt;&gt;"",单词表[[#This Row],[考中]]&lt;&gt;""),MAX(单词表[[#This Row],[考英]:[考中]]),"")</f>
        <v/>
      </c>
      <c r="N1954" s="79"/>
    </row>
    <row r="1955" spans="1:14" hidden="1" x14ac:dyDescent="0.15">
      <c r="A1955">
        <v>1955</v>
      </c>
      <c r="B1955" t="s">
        <v>35</v>
      </c>
      <c r="C1955" t="s">
        <v>9</v>
      </c>
      <c r="D1955" s="72" t="s">
        <v>3535</v>
      </c>
      <c r="E1955" t="s">
        <v>36</v>
      </c>
      <c r="F1955" t="s">
        <v>3536</v>
      </c>
      <c r="G1955" s="92">
        <v>42646.649791666663</v>
      </c>
      <c r="H1955" s="92">
        <v>42646.649814814817</v>
      </c>
      <c r="I1955" s="92">
        <v>42646.649826388886</v>
      </c>
      <c r="J1955" s="92"/>
      <c r="K1955" s="92">
        <v>42646.840949074074</v>
      </c>
      <c r="L1955" s="92">
        <f>IF(AND(单词表[[#This Row],[学英]]&lt;&gt;"",单词表[[#This Row],[学中]]&lt;&gt;"",单词表[[#This Row],[学词]]&lt;&gt;""),MAX(单词表[[#This Row],[学英]:[学词]]),"")</f>
        <v>42646.649826388886</v>
      </c>
      <c r="M1955" s="2" t="str">
        <f>IF(AND(单词表[[#This Row],[考英]]&lt;&gt;"",单词表[[#This Row],[考中]]&lt;&gt;""),MAX(单词表[[#This Row],[考英]:[考中]]),"")</f>
        <v/>
      </c>
      <c r="N1955" s="79"/>
    </row>
    <row r="1956" spans="1:14" hidden="1" x14ac:dyDescent="0.15">
      <c r="A1956">
        <v>1956</v>
      </c>
      <c r="B1956" t="s">
        <v>35</v>
      </c>
      <c r="C1956" t="s">
        <v>9</v>
      </c>
      <c r="D1956" s="72" t="s">
        <v>3537</v>
      </c>
      <c r="E1956" t="s">
        <v>736</v>
      </c>
      <c r="F1956" t="s">
        <v>5527</v>
      </c>
      <c r="G1956" s="92">
        <v>42646.649733796294</v>
      </c>
      <c r="H1956" s="92">
        <v>42646.871967592589</v>
      </c>
      <c r="I1956" s="92">
        <v>42646.871944444443</v>
      </c>
      <c r="J1956" s="92"/>
      <c r="K1956" s="92">
        <v>42646.873229166667</v>
      </c>
      <c r="L1956" s="92">
        <f>IF(AND(单词表[[#This Row],[学英]]&lt;&gt;"",单词表[[#This Row],[学中]]&lt;&gt;"",单词表[[#This Row],[学词]]&lt;&gt;""),MAX(单词表[[#This Row],[学英]:[学词]]),"")</f>
        <v>42646.871967592589</v>
      </c>
      <c r="M1956" s="2" t="str">
        <f>IF(AND(单词表[[#This Row],[考英]]&lt;&gt;"",单词表[[#This Row],[考中]]&lt;&gt;""),MAX(单词表[[#This Row],[考英]:[考中]]),"")</f>
        <v/>
      </c>
      <c r="N1956" s="79"/>
    </row>
    <row r="1957" spans="1:14" hidden="1" x14ac:dyDescent="0.15">
      <c r="A1957">
        <v>1957</v>
      </c>
      <c r="B1957" t="s">
        <v>35</v>
      </c>
      <c r="C1957" t="s">
        <v>9</v>
      </c>
      <c r="D1957" s="72" t="s">
        <v>2611</v>
      </c>
      <c r="E1957" t="s">
        <v>36</v>
      </c>
      <c r="F1957" t="s">
        <v>3538</v>
      </c>
      <c r="G1957" s="92">
        <v>42646.649699074071</v>
      </c>
      <c r="H1957" s="92">
        <v>42646.649710648147</v>
      </c>
      <c r="I1957" s="92">
        <v>42646.649699074071</v>
      </c>
      <c r="J1957" s="92"/>
      <c r="K1957" s="92">
        <v>42646.841087962966</v>
      </c>
      <c r="L1957" s="92">
        <f>IF(AND(单词表[[#This Row],[学英]]&lt;&gt;"",单词表[[#This Row],[学中]]&lt;&gt;"",单词表[[#This Row],[学词]]&lt;&gt;""),MAX(单词表[[#This Row],[学英]:[学词]]),"")</f>
        <v>42646.649710648147</v>
      </c>
      <c r="M1957" s="2" t="str">
        <f>IF(AND(单词表[[#This Row],[考英]]&lt;&gt;"",单词表[[#This Row],[考中]]&lt;&gt;""),MAX(单词表[[#This Row],[考英]:[考中]]),"")</f>
        <v/>
      </c>
      <c r="N1957" s="79"/>
    </row>
    <row r="1958" spans="1:14" hidden="1" x14ac:dyDescent="0.15">
      <c r="A1958">
        <v>1958</v>
      </c>
      <c r="B1958" t="s">
        <v>35</v>
      </c>
      <c r="C1958" t="s">
        <v>9</v>
      </c>
      <c r="D1958" s="72" t="s">
        <v>3539</v>
      </c>
      <c r="E1958" t="s">
        <v>702</v>
      </c>
      <c r="F1958" t="s">
        <v>3540</v>
      </c>
      <c r="G1958" s="92">
        <v>42646.649629629632</v>
      </c>
      <c r="H1958" s="92">
        <v>42646.649652777778</v>
      </c>
      <c r="I1958" s="92">
        <v>42646.649641203701</v>
      </c>
      <c r="J1958" s="92"/>
      <c r="K1958" s="92">
        <v>42646.841157407405</v>
      </c>
      <c r="L1958" s="92">
        <f>IF(AND(单词表[[#This Row],[学英]]&lt;&gt;"",单词表[[#This Row],[学中]]&lt;&gt;"",单词表[[#This Row],[学词]]&lt;&gt;""),MAX(单词表[[#This Row],[学英]:[学词]]),"")</f>
        <v>42646.649652777778</v>
      </c>
      <c r="M1958" s="2" t="str">
        <f>IF(AND(单词表[[#This Row],[考英]]&lt;&gt;"",单词表[[#This Row],[考中]]&lt;&gt;""),MAX(单词表[[#This Row],[考英]:[考中]]),"")</f>
        <v/>
      </c>
      <c r="N1958" s="79"/>
    </row>
    <row r="1959" spans="1:14" hidden="1" x14ac:dyDescent="0.15">
      <c r="A1959">
        <v>1959</v>
      </c>
      <c r="B1959" t="s">
        <v>35</v>
      </c>
      <c r="C1959" t="s">
        <v>9</v>
      </c>
      <c r="D1959" s="72" t="s">
        <v>3541</v>
      </c>
      <c r="E1959" t="s">
        <v>36</v>
      </c>
      <c r="F1959" t="s">
        <v>870</v>
      </c>
      <c r="G1959" s="92">
        <v>42646.649571759262</v>
      </c>
      <c r="H1959" s="92">
        <v>42646.649594907409</v>
      </c>
      <c r="I1959" s="92">
        <v>42646.649583333332</v>
      </c>
      <c r="J1959" s="92"/>
      <c r="K1959" s="92">
        <v>42646.841226851851</v>
      </c>
      <c r="L1959" s="92">
        <f>IF(AND(单词表[[#This Row],[学英]]&lt;&gt;"",单词表[[#This Row],[学中]]&lt;&gt;"",单词表[[#This Row],[学词]]&lt;&gt;""),MAX(单词表[[#This Row],[学英]:[学词]]),"")</f>
        <v>42646.649594907409</v>
      </c>
      <c r="M1959" s="2" t="str">
        <f>IF(AND(单词表[[#This Row],[考英]]&lt;&gt;"",单词表[[#This Row],[考中]]&lt;&gt;""),MAX(单词表[[#This Row],[考英]:[考中]]),"")</f>
        <v/>
      </c>
      <c r="N1959" s="79"/>
    </row>
    <row r="1960" spans="1:14" hidden="1" x14ac:dyDescent="0.15">
      <c r="A1960">
        <v>1960</v>
      </c>
      <c r="B1960" t="s">
        <v>35</v>
      </c>
      <c r="C1960" t="s">
        <v>9</v>
      </c>
      <c r="D1960" s="72" t="s">
        <v>2525</v>
      </c>
      <c r="E1960" t="s">
        <v>61</v>
      </c>
      <c r="F1960" t="s">
        <v>872</v>
      </c>
      <c r="G1960" s="92">
        <v>42646.649502314816</v>
      </c>
      <c r="H1960" s="92">
        <v>42646.84946759259</v>
      </c>
      <c r="I1960" s="92">
        <v>42646.849456018521</v>
      </c>
      <c r="J1960" s="92"/>
      <c r="K1960" s="92">
        <v>42646.856828703705</v>
      </c>
      <c r="L1960" s="92">
        <f>IF(AND(单词表[[#This Row],[学英]]&lt;&gt;"",单词表[[#This Row],[学中]]&lt;&gt;"",单词表[[#This Row],[学词]]&lt;&gt;""),MAX(单词表[[#This Row],[学英]:[学词]]),"")</f>
        <v>42646.84946759259</v>
      </c>
      <c r="M1960" s="2" t="str">
        <f>IF(AND(单词表[[#This Row],[考英]]&lt;&gt;"",单词表[[#This Row],[考中]]&lt;&gt;""),MAX(单词表[[#This Row],[考英]:[考中]]),"")</f>
        <v/>
      </c>
      <c r="N1960" s="79"/>
    </row>
    <row r="1961" spans="1:14" hidden="1" x14ac:dyDescent="0.15">
      <c r="A1961">
        <v>1961</v>
      </c>
      <c r="B1961" t="s">
        <v>35</v>
      </c>
      <c r="C1961" t="s">
        <v>9</v>
      </c>
      <c r="D1961" s="72" t="s">
        <v>1319</v>
      </c>
      <c r="E1961" t="s">
        <v>73</v>
      </c>
      <c r="F1961" t="s">
        <v>1320</v>
      </c>
      <c r="G1961" s="92">
        <v>42646.649467592593</v>
      </c>
      <c r="H1961" s="92">
        <v>42646.649467592593</v>
      </c>
      <c r="I1961" s="92">
        <v>42646.649467592593</v>
      </c>
      <c r="J1961" s="92"/>
      <c r="K1961" s="92">
        <v>42646.84138888889</v>
      </c>
      <c r="L1961" s="92">
        <f>IF(AND(单词表[[#This Row],[学英]]&lt;&gt;"",单词表[[#This Row],[学中]]&lt;&gt;"",单词表[[#This Row],[学词]]&lt;&gt;""),MAX(单词表[[#This Row],[学英]:[学词]]),"")</f>
        <v>42646.649467592593</v>
      </c>
      <c r="M1961" s="2" t="str">
        <f>IF(AND(单词表[[#This Row],[考英]]&lt;&gt;"",单词表[[#This Row],[考中]]&lt;&gt;""),MAX(单词表[[#This Row],[考英]:[考中]]),"")</f>
        <v/>
      </c>
      <c r="N1961" s="79"/>
    </row>
    <row r="1962" spans="1:14" hidden="1" x14ac:dyDescent="0.15">
      <c r="A1962">
        <v>1962</v>
      </c>
      <c r="B1962" t="s">
        <v>35</v>
      </c>
      <c r="C1962" t="s">
        <v>9</v>
      </c>
      <c r="D1962" s="72" t="s">
        <v>876</v>
      </c>
      <c r="E1962" t="s">
        <v>36</v>
      </c>
      <c r="F1962" t="s">
        <v>3542</v>
      </c>
      <c r="G1962" s="92">
        <v>42646.649409722224</v>
      </c>
      <c r="H1962" s="92">
        <v>42646.64943287037</v>
      </c>
      <c r="I1962" s="92">
        <v>42646.649421296293</v>
      </c>
      <c r="J1962" s="92"/>
      <c r="K1962" s="92">
        <v>42646.841458333336</v>
      </c>
      <c r="L1962" s="92">
        <f>IF(AND(单词表[[#This Row],[学英]]&lt;&gt;"",单词表[[#This Row],[学中]]&lt;&gt;"",单词表[[#This Row],[学词]]&lt;&gt;""),MAX(单词表[[#This Row],[学英]:[学词]]),"")</f>
        <v>42646.64943287037</v>
      </c>
      <c r="M1962" s="2" t="str">
        <f>IF(AND(单词表[[#This Row],[考英]]&lt;&gt;"",单词表[[#This Row],[考中]]&lt;&gt;""),MAX(单词表[[#This Row],[考英]:[考中]]),"")</f>
        <v/>
      </c>
      <c r="N1962" s="79"/>
    </row>
    <row r="1963" spans="1:14" hidden="1" x14ac:dyDescent="0.15">
      <c r="A1963">
        <v>1963</v>
      </c>
      <c r="B1963" t="s">
        <v>35</v>
      </c>
      <c r="C1963" t="s">
        <v>9</v>
      </c>
      <c r="D1963" s="72" t="s">
        <v>101</v>
      </c>
      <c r="E1963" t="s">
        <v>36</v>
      </c>
      <c r="F1963" t="s">
        <v>5665</v>
      </c>
      <c r="G1963" s="92">
        <v>42646.649328703701</v>
      </c>
      <c r="H1963" s="92">
        <v>42646.871874999997</v>
      </c>
      <c r="I1963" s="92">
        <v>42646.871863425928</v>
      </c>
      <c r="J1963" s="92"/>
      <c r="K1963" s="92">
        <v>42646.873298611114</v>
      </c>
      <c r="L1963" s="92">
        <f>IF(AND(单词表[[#This Row],[学英]]&lt;&gt;"",单词表[[#This Row],[学中]]&lt;&gt;"",单词表[[#This Row],[学词]]&lt;&gt;""),MAX(单词表[[#This Row],[学英]:[学词]]),"")</f>
        <v>42646.871874999997</v>
      </c>
      <c r="M1963" s="2" t="str">
        <f>IF(AND(单词表[[#This Row],[考英]]&lt;&gt;"",单词表[[#This Row],[考中]]&lt;&gt;""),MAX(单词表[[#This Row],[考英]:[考中]]),"")</f>
        <v/>
      </c>
      <c r="N1963" s="79"/>
    </row>
    <row r="1964" spans="1:14" hidden="1" x14ac:dyDescent="0.15">
      <c r="A1964">
        <v>1964</v>
      </c>
      <c r="B1964" t="s">
        <v>35</v>
      </c>
      <c r="C1964" t="s">
        <v>9</v>
      </c>
      <c r="D1964" s="72" t="s">
        <v>3543</v>
      </c>
      <c r="E1964" t="s">
        <v>1016</v>
      </c>
      <c r="F1964" t="s">
        <v>5528</v>
      </c>
      <c r="G1964" s="92">
        <v>42646.649247685185</v>
      </c>
      <c r="H1964" s="92">
        <v>42646.871793981481</v>
      </c>
      <c r="I1964" s="92">
        <v>42646.871770833335</v>
      </c>
      <c r="J1964" s="92"/>
      <c r="K1964" s="92">
        <v>42646.873356481483</v>
      </c>
      <c r="L1964" s="92">
        <f>IF(AND(单词表[[#This Row],[学英]]&lt;&gt;"",单词表[[#This Row],[学中]]&lt;&gt;"",单词表[[#This Row],[学词]]&lt;&gt;""),MAX(单词表[[#This Row],[学英]:[学词]]),"")</f>
        <v>42646.871793981481</v>
      </c>
      <c r="M1964" s="2" t="str">
        <f>IF(AND(单词表[[#This Row],[考英]]&lt;&gt;"",单词表[[#This Row],[考中]]&lt;&gt;""),MAX(单词表[[#This Row],[考英]:[考中]]),"")</f>
        <v/>
      </c>
      <c r="N1964" s="79"/>
    </row>
    <row r="1965" spans="1:14" hidden="1" x14ac:dyDescent="0.15">
      <c r="A1965">
        <v>1965</v>
      </c>
      <c r="B1965" t="s">
        <v>35</v>
      </c>
      <c r="C1965" t="s">
        <v>9</v>
      </c>
      <c r="D1965" s="72" t="s">
        <v>880</v>
      </c>
      <c r="E1965" t="s">
        <v>73</v>
      </c>
      <c r="F1965" t="s">
        <v>3544</v>
      </c>
      <c r="G1965" s="92">
        <v>42646.649201388886</v>
      </c>
      <c r="H1965" s="92">
        <v>42646.849687499998</v>
      </c>
      <c r="I1965" s="92">
        <v>42646.849664351852</v>
      </c>
      <c r="J1965" s="92"/>
      <c r="K1965" s="92">
        <v>42646.857048611113</v>
      </c>
      <c r="L1965" s="92">
        <f>IF(AND(单词表[[#This Row],[学英]]&lt;&gt;"",单词表[[#This Row],[学中]]&lt;&gt;"",单词表[[#This Row],[学词]]&lt;&gt;""),MAX(单词表[[#This Row],[学英]:[学词]]),"")</f>
        <v>42646.849687499998</v>
      </c>
      <c r="M1965" s="2" t="str">
        <f>IF(AND(单词表[[#This Row],[考英]]&lt;&gt;"",单词表[[#This Row],[考中]]&lt;&gt;""),MAX(单词表[[#This Row],[考英]:[考中]]),"")</f>
        <v/>
      </c>
      <c r="N1965" s="79"/>
    </row>
    <row r="1966" spans="1:14" hidden="1" x14ac:dyDescent="0.15">
      <c r="A1966">
        <v>1966</v>
      </c>
      <c r="B1966" t="s">
        <v>35</v>
      </c>
      <c r="C1966" t="s">
        <v>9</v>
      </c>
      <c r="D1966" s="72" t="s">
        <v>882</v>
      </c>
      <c r="E1966" t="s">
        <v>73</v>
      </c>
      <c r="F1966" t="s">
        <v>3545</v>
      </c>
      <c r="G1966" s="92">
        <v>42646.649074074077</v>
      </c>
      <c r="H1966" s="92">
        <v>42646.850057870368</v>
      </c>
      <c r="I1966" s="92">
        <v>42646.850046296298</v>
      </c>
      <c r="J1966" s="92"/>
      <c r="K1966" s="92">
        <v>42646.857129629629</v>
      </c>
      <c r="L1966" s="92">
        <f>IF(AND(单词表[[#This Row],[学英]]&lt;&gt;"",单词表[[#This Row],[学中]]&lt;&gt;"",单词表[[#This Row],[学词]]&lt;&gt;""),MAX(单词表[[#This Row],[学英]:[学词]]),"")</f>
        <v>42646.850057870368</v>
      </c>
      <c r="M1966" s="2" t="str">
        <f>IF(AND(单词表[[#This Row],[考英]]&lt;&gt;"",单词表[[#This Row],[考中]]&lt;&gt;""),MAX(单词表[[#This Row],[考英]:[考中]]),"")</f>
        <v/>
      </c>
      <c r="N1966" s="79"/>
    </row>
    <row r="1967" spans="1:14" hidden="1" x14ac:dyDescent="0.15">
      <c r="A1967">
        <v>1967</v>
      </c>
      <c r="B1967" t="s">
        <v>35</v>
      </c>
      <c r="C1967" t="s">
        <v>9</v>
      </c>
      <c r="D1967" s="72" t="s">
        <v>3546</v>
      </c>
      <c r="E1967" t="s">
        <v>73</v>
      </c>
      <c r="F1967" t="s">
        <v>3547</v>
      </c>
      <c r="G1967" s="92">
        <v>42646.649016203701</v>
      </c>
      <c r="H1967" s="92">
        <v>42646.649027777778</v>
      </c>
      <c r="I1967" s="92">
        <v>42646.649027777778</v>
      </c>
      <c r="J1967" s="92"/>
      <c r="K1967" s="92">
        <v>42646.841909722221</v>
      </c>
      <c r="L1967" s="92">
        <f>IF(AND(单词表[[#This Row],[学英]]&lt;&gt;"",单词表[[#This Row],[学中]]&lt;&gt;"",单词表[[#This Row],[学词]]&lt;&gt;""),MAX(单词表[[#This Row],[学英]:[学词]]),"")</f>
        <v>42646.649027777778</v>
      </c>
      <c r="M1967" s="2" t="str">
        <f>IF(AND(单词表[[#This Row],[考英]]&lt;&gt;"",单词表[[#This Row],[考中]]&lt;&gt;""),MAX(单词表[[#This Row],[考英]:[考中]]),"")</f>
        <v/>
      </c>
      <c r="N1967" s="79"/>
    </row>
    <row r="1968" spans="1:14" hidden="1" x14ac:dyDescent="0.15">
      <c r="A1968">
        <v>1968</v>
      </c>
      <c r="B1968" t="s">
        <v>35</v>
      </c>
      <c r="C1968" t="s">
        <v>9</v>
      </c>
      <c r="D1968" s="72" t="s">
        <v>2969</v>
      </c>
      <c r="E1968" t="s">
        <v>157</v>
      </c>
      <c r="F1968" t="s">
        <v>2970</v>
      </c>
      <c r="G1968" s="92">
        <v>42646.648969907408</v>
      </c>
      <c r="H1968" s="92">
        <v>42646.860092592593</v>
      </c>
      <c r="I1968" s="92">
        <v>42646.86005787037</v>
      </c>
      <c r="J1968" s="92"/>
      <c r="K1968" s="92">
        <v>42646.861805555556</v>
      </c>
      <c r="L1968" s="92">
        <f>IF(AND(单词表[[#This Row],[学英]]&lt;&gt;"",单词表[[#This Row],[学中]]&lt;&gt;"",单词表[[#This Row],[学词]]&lt;&gt;""),MAX(单词表[[#This Row],[学英]:[学词]]),"")</f>
        <v>42646.860092592593</v>
      </c>
      <c r="M1968" s="2" t="str">
        <f>IF(AND(单词表[[#This Row],[考英]]&lt;&gt;"",单词表[[#This Row],[考中]]&lt;&gt;""),MAX(单词表[[#This Row],[考英]:[考中]]),"")</f>
        <v/>
      </c>
      <c r="N1968" s="79"/>
    </row>
    <row r="1969" spans="1:14" hidden="1" x14ac:dyDescent="0.15">
      <c r="A1969">
        <v>1969</v>
      </c>
      <c r="B1969" t="s">
        <v>35</v>
      </c>
      <c r="C1969" t="s">
        <v>9</v>
      </c>
      <c r="D1969" s="72" t="s">
        <v>3548</v>
      </c>
      <c r="E1969" t="s">
        <v>38</v>
      </c>
      <c r="F1969" t="s">
        <v>3387</v>
      </c>
      <c r="G1969" s="92">
        <v>42646.648923611108</v>
      </c>
      <c r="H1969" s="92">
        <v>42646.871712962966</v>
      </c>
      <c r="I1969" s="92">
        <v>42646.871689814812</v>
      </c>
      <c r="J1969" s="92"/>
      <c r="K1969" s="92">
        <v>42646.873425925929</v>
      </c>
      <c r="L1969" s="92">
        <f>IF(AND(单词表[[#This Row],[学英]]&lt;&gt;"",单词表[[#This Row],[学中]]&lt;&gt;"",单词表[[#This Row],[学词]]&lt;&gt;""),MAX(单词表[[#This Row],[学英]:[学词]]),"")</f>
        <v>42646.871712962966</v>
      </c>
      <c r="M1969" s="2" t="str">
        <f>IF(AND(单词表[[#This Row],[考英]]&lt;&gt;"",单词表[[#This Row],[考中]]&lt;&gt;""),MAX(单词表[[#This Row],[考英]:[考中]]),"")</f>
        <v/>
      </c>
      <c r="N1969" s="79"/>
    </row>
    <row r="1970" spans="1:14" hidden="1" x14ac:dyDescent="0.15">
      <c r="A1970">
        <v>1970</v>
      </c>
      <c r="B1970" t="s">
        <v>35</v>
      </c>
      <c r="C1970" t="s">
        <v>9</v>
      </c>
      <c r="D1970" s="72" t="s">
        <v>3549</v>
      </c>
      <c r="E1970" t="s">
        <v>36</v>
      </c>
      <c r="F1970" t="s">
        <v>3550</v>
      </c>
      <c r="G1970" s="92">
        <v>42646.648854166669</v>
      </c>
      <c r="H1970" s="92">
        <v>42646.871342592596</v>
      </c>
      <c r="I1970" s="92">
        <v>42646.871319444443</v>
      </c>
      <c r="J1970" s="92"/>
      <c r="K1970" s="92">
        <v>42646.873472222222</v>
      </c>
      <c r="L1970" s="92">
        <f>IF(AND(单词表[[#This Row],[学英]]&lt;&gt;"",单词表[[#This Row],[学中]]&lt;&gt;"",单词表[[#This Row],[学词]]&lt;&gt;""),MAX(单词表[[#This Row],[学英]:[学词]]),"")</f>
        <v>42646.871342592596</v>
      </c>
      <c r="M1970" s="2" t="str">
        <f>IF(AND(单词表[[#This Row],[考英]]&lt;&gt;"",单词表[[#This Row],[考中]]&lt;&gt;""),MAX(单词表[[#This Row],[考英]:[考中]]),"")</f>
        <v/>
      </c>
      <c r="N1970" s="79"/>
    </row>
    <row r="1971" spans="1:14" hidden="1" x14ac:dyDescent="0.15">
      <c r="A1971">
        <v>1971</v>
      </c>
      <c r="B1971" t="s">
        <v>35</v>
      </c>
      <c r="C1971" t="s">
        <v>9</v>
      </c>
      <c r="D1971" s="72" t="s">
        <v>884</v>
      </c>
      <c r="E1971" t="s">
        <v>36</v>
      </c>
      <c r="F1971" t="s">
        <v>3551</v>
      </c>
      <c r="G1971" s="92">
        <v>42646.648784722223</v>
      </c>
      <c r="H1971" s="92">
        <v>42646.648796296293</v>
      </c>
      <c r="I1971" s="92">
        <v>42646.648784722223</v>
      </c>
      <c r="J1971" s="92"/>
      <c r="K1971" s="92">
        <v>42646.842291666668</v>
      </c>
      <c r="L1971" s="92">
        <f>IF(AND(单词表[[#This Row],[学英]]&lt;&gt;"",单词表[[#This Row],[学中]]&lt;&gt;"",单词表[[#This Row],[学词]]&lt;&gt;""),MAX(单词表[[#This Row],[学英]:[学词]]),"")</f>
        <v>42646.648796296293</v>
      </c>
      <c r="M1971" s="2" t="str">
        <f>IF(AND(单词表[[#This Row],[考英]]&lt;&gt;"",单词表[[#This Row],[考中]]&lt;&gt;""),MAX(单词表[[#This Row],[考英]:[考中]]),"")</f>
        <v/>
      </c>
      <c r="N1971" s="79"/>
    </row>
    <row r="1972" spans="1:14" hidden="1" x14ac:dyDescent="0.15">
      <c r="A1972">
        <v>1972</v>
      </c>
      <c r="B1972" t="s">
        <v>35</v>
      </c>
      <c r="C1972" t="s">
        <v>9</v>
      </c>
      <c r="D1972" s="72" t="s">
        <v>2566</v>
      </c>
      <c r="E1972" t="s">
        <v>36</v>
      </c>
      <c r="F1972" t="s">
        <v>3552</v>
      </c>
      <c r="G1972" s="92">
        <v>42646.648726851854</v>
      </c>
      <c r="H1972" s="92">
        <v>42646.648738425924</v>
      </c>
      <c r="I1972" s="92">
        <v>42646.648726851854</v>
      </c>
      <c r="J1972" s="92"/>
      <c r="K1972" s="92">
        <v>42646.842361111114</v>
      </c>
      <c r="L1972" s="92">
        <f>IF(AND(单词表[[#This Row],[学英]]&lt;&gt;"",单词表[[#This Row],[学中]]&lt;&gt;"",单词表[[#This Row],[学词]]&lt;&gt;""),MAX(单词表[[#This Row],[学英]:[学词]]),"")</f>
        <v>42646.648738425924</v>
      </c>
      <c r="M1972" s="2" t="str">
        <f>IF(AND(单词表[[#This Row],[考英]]&lt;&gt;"",单词表[[#This Row],[考中]]&lt;&gt;""),MAX(单词表[[#This Row],[考英]:[考中]]),"")</f>
        <v/>
      </c>
      <c r="N1972" s="79"/>
    </row>
    <row r="1973" spans="1:14" hidden="1" x14ac:dyDescent="0.15">
      <c r="A1973">
        <v>1973</v>
      </c>
      <c r="B1973" t="s">
        <v>35</v>
      </c>
      <c r="C1973" t="s">
        <v>9</v>
      </c>
      <c r="D1973" s="72" t="s">
        <v>544</v>
      </c>
      <c r="E1973" t="s">
        <v>61</v>
      </c>
      <c r="F1973" t="s">
        <v>5664</v>
      </c>
      <c r="G1973" s="92">
        <v>42646.648668981485</v>
      </c>
      <c r="H1973" s="92">
        <v>42646.851770833331</v>
      </c>
      <c r="I1973" s="92">
        <v>42646.851759259262</v>
      </c>
      <c r="J1973" s="92"/>
      <c r="K1973" s="92">
        <v>42646.85738425926</v>
      </c>
      <c r="L1973" s="92">
        <f>IF(AND(单词表[[#This Row],[学英]]&lt;&gt;"",单词表[[#This Row],[学中]]&lt;&gt;"",单词表[[#This Row],[学词]]&lt;&gt;""),MAX(单词表[[#This Row],[学英]:[学词]]),"")</f>
        <v>42646.851770833331</v>
      </c>
      <c r="M1973" s="2" t="str">
        <f>IF(AND(单词表[[#This Row],[考英]]&lt;&gt;"",单词表[[#This Row],[考中]]&lt;&gt;""),MAX(单词表[[#This Row],[考英]:[考中]]),"")</f>
        <v/>
      </c>
      <c r="N1973" s="79"/>
    </row>
    <row r="1974" spans="1:14" hidden="1" x14ac:dyDescent="0.15">
      <c r="A1974">
        <v>1974</v>
      </c>
      <c r="B1974" t="s">
        <v>35</v>
      </c>
      <c r="C1974" t="s">
        <v>9</v>
      </c>
      <c r="D1974" s="72" t="s">
        <v>3553</v>
      </c>
      <c r="E1974" t="s">
        <v>73</v>
      </c>
      <c r="F1974" t="s">
        <v>3554</v>
      </c>
      <c r="G1974" s="92">
        <v>42646.648622685185</v>
      </c>
      <c r="H1974" s="92">
        <v>42646.860254629632</v>
      </c>
      <c r="I1974" s="92">
        <v>42646.860243055555</v>
      </c>
      <c r="J1974" s="92"/>
      <c r="K1974" s="92">
        <v>42646.862118055556</v>
      </c>
      <c r="L1974" s="92">
        <f>IF(AND(单词表[[#This Row],[学英]]&lt;&gt;"",单词表[[#This Row],[学中]]&lt;&gt;"",单词表[[#This Row],[学词]]&lt;&gt;""),MAX(单词表[[#This Row],[学英]:[学词]]),"")</f>
        <v>42646.860254629632</v>
      </c>
      <c r="M1974" s="2" t="str">
        <f>IF(AND(单词表[[#This Row],[考英]]&lt;&gt;"",单词表[[#This Row],[考中]]&lt;&gt;""),MAX(单词表[[#This Row],[考英]:[考中]]),"")</f>
        <v/>
      </c>
      <c r="N1974" s="79"/>
    </row>
    <row r="1975" spans="1:14" hidden="1" x14ac:dyDescent="0.15">
      <c r="A1975">
        <v>1975</v>
      </c>
      <c r="B1975" t="s">
        <v>35</v>
      </c>
      <c r="C1975" t="s">
        <v>9</v>
      </c>
      <c r="D1975" s="72" t="s">
        <v>2615</v>
      </c>
      <c r="E1975" t="s">
        <v>36</v>
      </c>
      <c r="F1975" t="s">
        <v>5529</v>
      </c>
      <c r="G1975" s="92">
        <v>42646.648564814815</v>
      </c>
      <c r="H1975" s="92">
        <v>42646.648587962962</v>
      </c>
      <c r="I1975" s="92">
        <v>42646.648576388892</v>
      </c>
      <c r="J1975" s="92"/>
      <c r="K1975" s="92">
        <v>42646.842881944445</v>
      </c>
      <c r="L1975" s="92">
        <f>IF(AND(单词表[[#This Row],[学英]]&lt;&gt;"",单词表[[#This Row],[学中]]&lt;&gt;"",单词表[[#This Row],[学词]]&lt;&gt;""),MAX(单词表[[#This Row],[学英]:[学词]]),"")</f>
        <v>42646.648587962962</v>
      </c>
      <c r="M1975" s="2" t="str">
        <f>IF(AND(单词表[[#This Row],[考英]]&lt;&gt;"",单词表[[#This Row],[考中]]&lt;&gt;""),MAX(单词表[[#This Row],[考英]:[考中]]),"")</f>
        <v/>
      </c>
      <c r="N1975" s="79"/>
    </row>
    <row r="1976" spans="1:14" hidden="1" x14ac:dyDescent="0.15">
      <c r="A1976">
        <v>1976</v>
      </c>
      <c r="B1976" t="s">
        <v>35</v>
      </c>
      <c r="C1976" t="s">
        <v>9</v>
      </c>
      <c r="D1976" s="72" t="s">
        <v>3145</v>
      </c>
      <c r="E1976" t="s">
        <v>36</v>
      </c>
      <c r="F1976" t="s">
        <v>3555</v>
      </c>
      <c r="G1976" s="92">
        <v>42646.648518518516</v>
      </c>
      <c r="H1976" s="92">
        <v>42646.648530092592</v>
      </c>
      <c r="I1976" s="92">
        <v>42646.648530092592</v>
      </c>
      <c r="J1976" s="92"/>
      <c r="K1976" s="92">
        <v>42646.842951388891</v>
      </c>
      <c r="L1976" s="92">
        <f>IF(AND(单词表[[#This Row],[学英]]&lt;&gt;"",单词表[[#This Row],[学中]]&lt;&gt;"",单词表[[#This Row],[学词]]&lt;&gt;""),MAX(单词表[[#This Row],[学英]:[学词]]),"")</f>
        <v>42646.648530092592</v>
      </c>
      <c r="M1976" s="2" t="str">
        <f>IF(AND(单词表[[#This Row],[考英]]&lt;&gt;"",单词表[[#This Row],[考中]]&lt;&gt;""),MAX(单词表[[#This Row],[考英]:[考中]]),"")</f>
        <v/>
      </c>
      <c r="N1976" s="79"/>
    </row>
    <row r="1977" spans="1:14" hidden="1" x14ac:dyDescent="0.15">
      <c r="A1977">
        <v>1977</v>
      </c>
      <c r="B1977" t="s">
        <v>35</v>
      </c>
      <c r="C1977" t="s">
        <v>9</v>
      </c>
      <c r="D1977" s="72" t="s">
        <v>551</v>
      </c>
      <c r="E1977" t="s">
        <v>36</v>
      </c>
      <c r="F1977" t="s">
        <v>3556</v>
      </c>
      <c r="G1977" s="92">
        <v>42646.648449074077</v>
      </c>
      <c r="H1977" s="92">
        <v>42646.860462962963</v>
      </c>
      <c r="I1977" s="92">
        <v>42646.860451388886</v>
      </c>
      <c r="J1977" s="92"/>
      <c r="K1977" s="92">
        <v>42646.862199074072</v>
      </c>
      <c r="L1977" s="92">
        <f>IF(AND(单词表[[#This Row],[学英]]&lt;&gt;"",单词表[[#This Row],[学中]]&lt;&gt;"",单词表[[#This Row],[学词]]&lt;&gt;""),MAX(单词表[[#This Row],[学英]:[学词]]),"")</f>
        <v>42646.860462962963</v>
      </c>
      <c r="M1977" s="2" t="str">
        <f>IF(AND(单词表[[#This Row],[考英]]&lt;&gt;"",单词表[[#This Row],[考中]]&lt;&gt;""),MAX(单词表[[#This Row],[考英]:[考中]]),"")</f>
        <v/>
      </c>
      <c r="N1977" s="79"/>
    </row>
    <row r="1978" spans="1:14" hidden="1" x14ac:dyDescent="0.15">
      <c r="A1978">
        <v>1978</v>
      </c>
      <c r="B1978" t="s">
        <v>35</v>
      </c>
      <c r="C1978" t="s">
        <v>9</v>
      </c>
      <c r="D1978" s="72" t="s">
        <v>927</v>
      </c>
      <c r="E1978" t="s">
        <v>73</v>
      </c>
      <c r="F1978" t="s">
        <v>2909</v>
      </c>
      <c r="G1978" s="92">
        <v>42646.648379629631</v>
      </c>
      <c r="H1978" s="92">
        <v>42646.648402777777</v>
      </c>
      <c r="I1978" s="92">
        <v>42646.6483912037</v>
      </c>
      <c r="J1978" s="92"/>
      <c r="K1978" s="92">
        <v>42646.843206018515</v>
      </c>
      <c r="L1978" s="92">
        <f>IF(AND(单词表[[#This Row],[学英]]&lt;&gt;"",单词表[[#This Row],[学中]]&lt;&gt;"",单词表[[#This Row],[学词]]&lt;&gt;""),MAX(单词表[[#This Row],[学英]:[学词]]),"")</f>
        <v>42646.648402777777</v>
      </c>
      <c r="M1978" s="2" t="str">
        <f>IF(AND(单词表[[#This Row],[考英]]&lt;&gt;"",单词表[[#This Row],[考中]]&lt;&gt;""),MAX(单词表[[#This Row],[考英]:[考中]]),"")</f>
        <v/>
      </c>
      <c r="N1978" s="79"/>
    </row>
    <row r="1979" spans="1:14" hidden="1" x14ac:dyDescent="0.15">
      <c r="A1979">
        <v>1979</v>
      </c>
      <c r="B1979" t="s">
        <v>35</v>
      </c>
      <c r="C1979" t="s">
        <v>9</v>
      </c>
      <c r="D1979" s="72" t="s">
        <v>3557</v>
      </c>
      <c r="E1979" t="s">
        <v>36</v>
      </c>
      <c r="F1979" t="s">
        <v>3558</v>
      </c>
      <c r="G1979" s="92">
        <v>42646.648310185185</v>
      </c>
      <c r="H1979" s="92">
        <v>42646.648333333331</v>
      </c>
      <c r="I1979" s="92">
        <v>42646.648344907408</v>
      </c>
      <c r="J1979" s="92"/>
      <c r="K1979" s="92">
        <v>42646.843252314815</v>
      </c>
      <c r="L1979" s="92">
        <f>IF(AND(单词表[[#This Row],[学英]]&lt;&gt;"",单词表[[#This Row],[学中]]&lt;&gt;"",单词表[[#This Row],[学词]]&lt;&gt;""),MAX(单词表[[#This Row],[学英]:[学词]]),"")</f>
        <v>42646.648344907408</v>
      </c>
      <c r="M1979" s="2" t="str">
        <f>IF(AND(单词表[[#This Row],[考英]]&lt;&gt;"",单词表[[#This Row],[考中]]&lt;&gt;""),MAX(单词表[[#This Row],[考英]:[考中]]),"")</f>
        <v/>
      </c>
      <c r="N1979" s="79"/>
    </row>
    <row r="1980" spans="1:14" hidden="1" x14ac:dyDescent="0.15">
      <c r="A1980">
        <v>1980</v>
      </c>
      <c r="B1980" t="s">
        <v>35</v>
      </c>
      <c r="C1980" t="s">
        <v>9</v>
      </c>
      <c r="D1980" s="72" t="s">
        <v>5638</v>
      </c>
      <c r="E1980" t="s">
        <v>1016</v>
      </c>
      <c r="F1980" t="s">
        <v>3559</v>
      </c>
      <c r="G1980" s="92">
        <v>42646.648263888892</v>
      </c>
      <c r="H1980" s="92">
        <v>42646.648275462961</v>
      </c>
      <c r="I1980" s="92">
        <v>42646.648275462961</v>
      </c>
      <c r="J1980" s="92"/>
      <c r="K1980" s="92">
        <v>42646.843344907407</v>
      </c>
      <c r="L1980" s="92">
        <f>IF(AND(单词表[[#This Row],[学英]]&lt;&gt;"",单词表[[#This Row],[学中]]&lt;&gt;"",单词表[[#This Row],[学词]]&lt;&gt;""),MAX(单词表[[#This Row],[学英]:[学词]]),"")</f>
        <v>42646.648275462961</v>
      </c>
      <c r="M1980" s="2" t="str">
        <f>IF(AND(单词表[[#This Row],[考英]]&lt;&gt;"",单词表[[#This Row],[考中]]&lt;&gt;""),MAX(单词表[[#This Row],[考英]:[考中]]),"")</f>
        <v/>
      </c>
      <c r="N1980" s="79"/>
    </row>
    <row r="1981" spans="1:14" hidden="1" x14ac:dyDescent="0.15">
      <c r="A1981">
        <v>1981</v>
      </c>
      <c r="B1981" t="s">
        <v>35</v>
      </c>
      <c r="C1981" t="s">
        <v>10</v>
      </c>
      <c r="D1981" s="72" t="s">
        <v>3560</v>
      </c>
      <c r="E1981" t="s">
        <v>61</v>
      </c>
      <c r="F1981" t="s">
        <v>3561</v>
      </c>
      <c r="G1981" s="92">
        <v>42647.404224537036</v>
      </c>
      <c r="H1981" s="92">
        <v>42647.40425925926</v>
      </c>
      <c r="I1981" s="92">
        <v>42647.404236111113</v>
      </c>
      <c r="J1981" s="92"/>
      <c r="K1981" s="92">
        <v>42647.408009259256</v>
      </c>
      <c r="L1981" s="92">
        <f>IF(AND(单词表[[#This Row],[学英]]&lt;&gt;"",单词表[[#This Row],[学中]]&lt;&gt;"",单词表[[#This Row],[学词]]&lt;&gt;""),MAX(单词表[[#This Row],[学英]:[学词]]),"")</f>
        <v>42647.40425925926</v>
      </c>
      <c r="M1981" s="2" t="str">
        <f>IF(AND(单词表[[#This Row],[考英]]&lt;&gt;"",单词表[[#This Row],[考中]]&lt;&gt;""),MAX(单词表[[#This Row],[考英]:[考中]]),"")</f>
        <v/>
      </c>
      <c r="N1981" s="79"/>
    </row>
    <row r="1982" spans="1:14" hidden="1" x14ac:dyDescent="0.15">
      <c r="A1982">
        <v>1982</v>
      </c>
      <c r="B1982" t="s">
        <v>35</v>
      </c>
      <c r="C1982" t="s">
        <v>10</v>
      </c>
      <c r="D1982" s="72" t="s">
        <v>951</v>
      </c>
      <c r="E1982" t="s">
        <v>36</v>
      </c>
      <c r="F1982" t="s">
        <v>952</v>
      </c>
      <c r="G1982" s="92">
        <v>42647.404305555552</v>
      </c>
      <c r="H1982" s="92">
        <v>42647.404340277775</v>
      </c>
      <c r="I1982" s="92">
        <v>42647.404328703706</v>
      </c>
      <c r="J1982" s="92"/>
      <c r="K1982" s="92">
        <v>42647.408078703702</v>
      </c>
      <c r="L1982" s="92">
        <f>IF(AND(单词表[[#This Row],[学英]]&lt;&gt;"",单词表[[#This Row],[学中]]&lt;&gt;"",单词表[[#This Row],[学词]]&lt;&gt;""),MAX(单词表[[#This Row],[学英]:[学词]]),"")</f>
        <v>42647.404340277775</v>
      </c>
      <c r="M1982" s="2" t="str">
        <f>IF(AND(单词表[[#This Row],[考英]]&lt;&gt;"",单词表[[#This Row],[考中]]&lt;&gt;""),MAX(单词表[[#This Row],[考英]:[考中]]),"")</f>
        <v/>
      </c>
      <c r="N1982" s="79"/>
    </row>
    <row r="1983" spans="1:14" hidden="1" x14ac:dyDescent="0.15">
      <c r="A1983">
        <v>1983</v>
      </c>
      <c r="B1983" t="s">
        <v>35</v>
      </c>
      <c r="C1983" t="s">
        <v>10</v>
      </c>
      <c r="D1983" s="72" t="s">
        <v>1314</v>
      </c>
      <c r="E1983" t="s">
        <v>36</v>
      </c>
      <c r="F1983" t="s">
        <v>3562</v>
      </c>
      <c r="G1983" s="92">
        <v>42647.404386574075</v>
      </c>
      <c r="H1983" s="92">
        <v>42647.404409722221</v>
      </c>
      <c r="I1983" s="92">
        <v>42647.404398148145</v>
      </c>
      <c r="J1983" s="92"/>
      <c r="K1983" s="92">
        <v>42647.408125000002</v>
      </c>
      <c r="L1983" s="92">
        <f>IF(AND(单词表[[#This Row],[学英]]&lt;&gt;"",单词表[[#This Row],[学中]]&lt;&gt;"",单词表[[#This Row],[学词]]&lt;&gt;""),MAX(单词表[[#This Row],[学英]:[学词]]),"")</f>
        <v>42647.404409722221</v>
      </c>
      <c r="M1983" s="2" t="str">
        <f>IF(AND(单词表[[#This Row],[考英]]&lt;&gt;"",单词表[[#This Row],[考中]]&lt;&gt;""),MAX(单词表[[#This Row],[考英]:[考中]]),"")</f>
        <v/>
      </c>
      <c r="N1983" s="79"/>
    </row>
    <row r="1984" spans="1:14" hidden="1" x14ac:dyDescent="0.15">
      <c r="A1984">
        <v>1984</v>
      </c>
      <c r="B1984" t="s">
        <v>35</v>
      </c>
      <c r="C1984" t="s">
        <v>10</v>
      </c>
      <c r="D1984" s="72" t="s">
        <v>2836</v>
      </c>
      <c r="E1984" t="s">
        <v>36</v>
      </c>
      <c r="F1984" t="s">
        <v>3563</v>
      </c>
      <c r="G1984" s="92">
        <v>42647.404456018521</v>
      </c>
      <c r="H1984" s="92">
        <v>42647.404490740744</v>
      </c>
      <c r="I1984" s="92">
        <v>42647.404467592591</v>
      </c>
      <c r="J1984" s="92"/>
      <c r="K1984" s="92">
        <v>42647.408182870371</v>
      </c>
      <c r="L1984" s="92">
        <f>IF(AND(单词表[[#This Row],[学英]]&lt;&gt;"",单词表[[#This Row],[学中]]&lt;&gt;"",单词表[[#This Row],[学词]]&lt;&gt;""),MAX(单词表[[#This Row],[学英]:[学词]]),"")</f>
        <v>42647.404490740744</v>
      </c>
      <c r="M1984" s="2" t="str">
        <f>IF(AND(单词表[[#This Row],[考英]]&lt;&gt;"",单词表[[#This Row],[考中]]&lt;&gt;""),MAX(单词表[[#This Row],[考英]:[考中]]),"")</f>
        <v/>
      </c>
      <c r="N1984" s="79"/>
    </row>
    <row r="1985" spans="1:14" hidden="1" x14ac:dyDescent="0.15">
      <c r="A1985">
        <v>1985</v>
      </c>
      <c r="B1985" t="s">
        <v>35</v>
      </c>
      <c r="C1985" t="s">
        <v>10</v>
      </c>
      <c r="D1985" s="72" t="s">
        <v>1001</v>
      </c>
      <c r="E1985" t="s">
        <v>36</v>
      </c>
      <c r="F1985" t="s">
        <v>1002</v>
      </c>
      <c r="G1985" s="92">
        <v>42647.404537037037</v>
      </c>
      <c r="H1985" s="92">
        <v>42647.404560185183</v>
      </c>
      <c r="I1985" s="92">
        <v>42647.404548611114</v>
      </c>
      <c r="J1985" s="92"/>
      <c r="K1985" s="92">
        <v>42647.40824074074</v>
      </c>
      <c r="L1985" s="92">
        <f>IF(AND(单词表[[#This Row],[学英]]&lt;&gt;"",单词表[[#This Row],[学中]]&lt;&gt;"",单词表[[#This Row],[学词]]&lt;&gt;""),MAX(单词表[[#This Row],[学英]:[学词]]),"")</f>
        <v>42647.404560185183</v>
      </c>
      <c r="M1985" s="2" t="str">
        <f>IF(AND(单词表[[#This Row],[考英]]&lt;&gt;"",单词表[[#This Row],[考中]]&lt;&gt;""),MAX(单词表[[#This Row],[考英]:[考中]]),"")</f>
        <v/>
      </c>
      <c r="N1985" s="79"/>
    </row>
    <row r="1986" spans="1:14" hidden="1" x14ac:dyDescent="0.15">
      <c r="A1986">
        <v>1986</v>
      </c>
      <c r="B1986" t="s">
        <v>35</v>
      </c>
      <c r="C1986" t="s">
        <v>10</v>
      </c>
      <c r="D1986" s="72" t="s">
        <v>907</v>
      </c>
      <c r="E1986" t="s">
        <v>73</v>
      </c>
      <c r="F1986" t="s">
        <v>3564</v>
      </c>
      <c r="G1986" s="92">
        <v>42647.404594907406</v>
      </c>
      <c r="H1986" s="92">
        <v>42647.404629629629</v>
      </c>
      <c r="I1986" s="92">
        <v>42647.404618055552</v>
      </c>
      <c r="J1986" s="92"/>
      <c r="K1986" s="92">
        <v>42647.408310185187</v>
      </c>
      <c r="L1986" s="92">
        <f>IF(AND(单词表[[#This Row],[学英]]&lt;&gt;"",单词表[[#This Row],[学中]]&lt;&gt;"",单词表[[#This Row],[学词]]&lt;&gt;""),MAX(单词表[[#This Row],[学英]:[学词]]),"")</f>
        <v>42647.404629629629</v>
      </c>
      <c r="M1986" s="2" t="str">
        <f>IF(AND(单词表[[#This Row],[考英]]&lt;&gt;"",单词表[[#This Row],[考中]]&lt;&gt;""),MAX(单词表[[#This Row],[考英]:[考中]]),"")</f>
        <v/>
      </c>
      <c r="N1986" s="79"/>
    </row>
    <row r="1987" spans="1:14" hidden="1" x14ac:dyDescent="0.15">
      <c r="A1987">
        <v>1987</v>
      </c>
      <c r="B1987" t="s">
        <v>35</v>
      </c>
      <c r="C1987" t="s">
        <v>10</v>
      </c>
      <c r="D1987" s="72" t="s">
        <v>3565</v>
      </c>
      <c r="E1987" t="s">
        <v>36</v>
      </c>
      <c r="F1987" t="s">
        <v>3566</v>
      </c>
      <c r="G1987" s="92">
        <v>42647.404664351852</v>
      </c>
      <c r="H1987" s="92">
        <v>42647.404687499999</v>
      </c>
      <c r="I1987" s="92">
        <v>42647.404675925929</v>
      </c>
      <c r="J1987" s="92"/>
      <c r="K1987" s="92">
        <v>42647.408356481479</v>
      </c>
      <c r="L1987" s="92">
        <f>IF(AND(单词表[[#This Row],[学英]]&lt;&gt;"",单词表[[#This Row],[学中]]&lt;&gt;"",单词表[[#This Row],[学词]]&lt;&gt;""),MAX(单词表[[#This Row],[学英]:[学词]]),"")</f>
        <v>42647.404687499999</v>
      </c>
      <c r="M1987" s="2" t="str">
        <f>IF(AND(单词表[[#This Row],[考英]]&lt;&gt;"",单词表[[#This Row],[考中]]&lt;&gt;""),MAX(单词表[[#This Row],[考英]:[考中]]),"")</f>
        <v/>
      </c>
      <c r="N1987" s="79"/>
    </row>
    <row r="1988" spans="1:14" hidden="1" x14ac:dyDescent="0.15">
      <c r="A1988">
        <v>1988</v>
      </c>
      <c r="B1988" t="s">
        <v>35</v>
      </c>
      <c r="C1988" t="s">
        <v>10</v>
      </c>
      <c r="D1988" s="72" t="s">
        <v>1848</v>
      </c>
      <c r="E1988" t="s">
        <v>736</v>
      </c>
      <c r="F1988" t="s">
        <v>3567</v>
      </c>
      <c r="G1988" s="92">
        <v>42647.404733796298</v>
      </c>
      <c r="H1988" s="92">
        <v>42647.418738425928</v>
      </c>
      <c r="I1988" s="92">
        <v>42647.418634259258</v>
      </c>
      <c r="J1988" s="92"/>
      <c r="K1988" s="92">
        <v>42647.418993055559</v>
      </c>
      <c r="L1988" s="92">
        <f>IF(AND(单词表[[#This Row],[学英]]&lt;&gt;"",单词表[[#This Row],[学中]]&lt;&gt;"",单词表[[#This Row],[学词]]&lt;&gt;""),MAX(单词表[[#This Row],[学英]:[学词]]),"")</f>
        <v>42647.418738425928</v>
      </c>
      <c r="M1988" s="2" t="str">
        <f>IF(AND(单词表[[#This Row],[考英]]&lt;&gt;"",单词表[[#This Row],[考中]]&lt;&gt;""),MAX(单词表[[#This Row],[考英]:[考中]]),"")</f>
        <v/>
      </c>
      <c r="N1988" s="79"/>
    </row>
    <row r="1989" spans="1:14" hidden="1" x14ac:dyDescent="0.15">
      <c r="A1989">
        <v>1989</v>
      </c>
      <c r="B1989" t="s">
        <v>35</v>
      </c>
      <c r="C1989" t="s">
        <v>10</v>
      </c>
      <c r="D1989" s="72" t="s">
        <v>3568</v>
      </c>
      <c r="E1989" t="s">
        <v>73</v>
      </c>
      <c r="F1989" t="s">
        <v>3569</v>
      </c>
      <c r="G1989" s="92">
        <v>42647.404814814814</v>
      </c>
      <c r="H1989" s="92">
        <v>42647.404849537037</v>
      </c>
      <c r="I1989" s="92">
        <v>42647.40483796296</v>
      </c>
      <c r="J1989" s="92"/>
      <c r="K1989" s="92">
        <v>42647.408495370371</v>
      </c>
      <c r="L1989" s="92">
        <f>IF(AND(单词表[[#This Row],[学英]]&lt;&gt;"",单词表[[#This Row],[学中]]&lt;&gt;"",单词表[[#This Row],[学词]]&lt;&gt;""),MAX(单词表[[#This Row],[学英]:[学词]]),"")</f>
        <v>42647.404849537037</v>
      </c>
      <c r="M1989" s="2" t="str">
        <f>IF(AND(单词表[[#This Row],[考英]]&lt;&gt;"",单词表[[#This Row],[考中]]&lt;&gt;""),MAX(单词表[[#This Row],[考英]:[考中]]),"")</f>
        <v/>
      </c>
      <c r="N1989" s="79"/>
    </row>
    <row r="1990" spans="1:14" hidden="1" x14ac:dyDescent="0.15">
      <c r="A1990">
        <v>1990</v>
      </c>
      <c r="B1990" t="s">
        <v>35</v>
      </c>
      <c r="C1990" t="s">
        <v>10</v>
      </c>
      <c r="D1990" s="72" t="s">
        <v>1936</v>
      </c>
      <c r="E1990" t="s">
        <v>36</v>
      </c>
      <c r="F1990" t="s">
        <v>1937</v>
      </c>
      <c r="G1990" s="92">
        <v>42647.404895833337</v>
      </c>
      <c r="H1990" s="92">
        <v>42647.404930555553</v>
      </c>
      <c r="I1990" s="92">
        <v>42647.404907407406</v>
      </c>
      <c r="J1990" s="92"/>
      <c r="K1990" s="92">
        <v>42647.408564814818</v>
      </c>
      <c r="L1990" s="92">
        <f>IF(AND(单词表[[#This Row],[学英]]&lt;&gt;"",单词表[[#This Row],[学中]]&lt;&gt;"",单词表[[#This Row],[学词]]&lt;&gt;""),MAX(单词表[[#This Row],[学英]:[学词]]),"")</f>
        <v>42647.404930555553</v>
      </c>
      <c r="M1990" s="2" t="str">
        <f>IF(AND(单词表[[#This Row],[考英]]&lt;&gt;"",单词表[[#This Row],[考中]]&lt;&gt;""),MAX(单词表[[#This Row],[考英]:[考中]]),"")</f>
        <v/>
      </c>
      <c r="N1990" s="79"/>
    </row>
    <row r="1991" spans="1:14" hidden="1" x14ac:dyDescent="0.15">
      <c r="A1991">
        <v>1991</v>
      </c>
      <c r="B1991" t="s">
        <v>35</v>
      </c>
      <c r="C1991" t="s">
        <v>10</v>
      </c>
      <c r="D1991" s="72" t="s">
        <v>3570</v>
      </c>
      <c r="E1991" t="s">
        <v>73</v>
      </c>
      <c r="F1991" t="s">
        <v>3571</v>
      </c>
      <c r="G1991" s="92">
        <v>42647.404999999999</v>
      </c>
      <c r="H1991" s="92">
        <v>42647.418425925927</v>
      </c>
      <c r="I1991" s="92">
        <v>42647.418414351851</v>
      </c>
      <c r="J1991" s="92"/>
      <c r="K1991" s="92">
        <v>42647.419062499997</v>
      </c>
      <c r="L1991" s="92">
        <f>IF(AND(单词表[[#This Row],[学英]]&lt;&gt;"",单词表[[#This Row],[学中]]&lt;&gt;"",单词表[[#This Row],[学词]]&lt;&gt;""),MAX(单词表[[#This Row],[学英]:[学词]]),"")</f>
        <v>42647.418425925927</v>
      </c>
      <c r="M1991" s="2" t="str">
        <f>IF(AND(单词表[[#This Row],[考英]]&lt;&gt;"",单词表[[#This Row],[考中]]&lt;&gt;""),MAX(单词表[[#This Row],[考英]:[考中]]),"")</f>
        <v/>
      </c>
      <c r="N1991" s="79"/>
    </row>
    <row r="1992" spans="1:14" hidden="1" x14ac:dyDescent="0.15">
      <c r="A1992">
        <v>1992</v>
      </c>
      <c r="B1992" t="s">
        <v>35</v>
      </c>
      <c r="C1992" t="s">
        <v>10</v>
      </c>
      <c r="D1992" s="72" t="s">
        <v>3572</v>
      </c>
      <c r="E1992" t="s">
        <v>73</v>
      </c>
      <c r="F1992" t="s">
        <v>3573</v>
      </c>
      <c r="G1992" s="92">
        <v>42647.405104166668</v>
      </c>
      <c r="H1992" s="92">
        <v>42647.417893518519</v>
      </c>
      <c r="I1992" s="92">
        <v>42647.417881944442</v>
      </c>
      <c r="J1992" s="92"/>
      <c r="K1992" s="92">
        <v>42647.419236111113</v>
      </c>
      <c r="L1992" s="92">
        <f>IF(AND(单词表[[#This Row],[学英]]&lt;&gt;"",单词表[[#This Row],[学中]]&lt;&gt;"",单词表[[#This Row],[学词]]&lt;&gt;""),MAX(单词表[[#This Row],[学英]:[学词]]),"")</f>
        <v>42647.417893518519</v>
      </c>
      <c r="M1992" s="2" t="str">
        <f>IF(AND(单词表[[#This Row],[考英]]&lt;&gt;"",单词表[[#This Row],[考中]]&lt;&gt;""),MAX(单词表[[#This Row],[考英]:[考中]]),"")</f>
        <v/>
      </c>
      <c r="N1992" s="79"/>
    </row>
    <row r="1993" spans="1:14" hidden="1" x14ac:dyDescent="0.15">
      <c r="A1993">
        <v>1993</v>
      </c>
      <c r="B1993" t="s">
        <v>35</v>
      </c>
      <c r="C1993" t="s">
        <v>10</v>
      </c>
      <c r="D1993" s="72" t="s">
        <v>3574</v>
      </c>
      <c r="E1993" t="s">
        <v>36</v>
      </c>
      <c r="F1993" t="s">
        <v>3575</v>
      </c>
      <c r="G1993" s="92">
        <v>42647.405173611114</v>
      </c>
      <c r="H1993" s="92">
        <v>42647.40520833333</v>
      </c>
      <c r="I1993" s="92">
        <v>42647.40519675926</v>
      </c>
      <c r="J1993" s="92"/>
      <c r="K1993" s="92">
        <v>42647.408796296295</v>
      </c>
      <c r="L1993" s="92">
        <f>IF(AND(单词表[[#This Row],[学英]]&lt;&gt;"",单词表[[#This Row],[学中]]&lt;&gt;"",单词表[[#This Row],[学词]]&lt;&gt;""),MAX(单词表[[#This Row],[学英]:[学词]]),"")</f>
        <v>42647.40520833333</v>
      </c>
      <c r="M1993" s="2" t="str">
        <f>IF(AND(单词表[[#This Row],[考英]]&lt;&gt;"",单词表[[#This Row],[考中]]&lt;&gt;""),MAX(单词表[[#This Row],[考英]:[考中]]),"")</f>
        <v/>
      </c>
      <c r="N1993" s="79"/>
    </row>
    <row r="1994" spans="1:14" hidden="1" x14ac:dyDescent="0.15">
      <c r="A1994">
        <v>1994</v>
      </c>
      <c r="B1994" t="s">
        <v>35</v>
      </c>
      <c r="C1994" t="s">
        <v>10</v>
      </c>
      <c r="D1994" s="72" t="s">
        <v>905</v>
      </c>
      <c r="E1994" t="s">
        <v>36</v>
      </c>
      <c r="F1994" t="s">
        <v>3576</v>
      </c>
      <c r="G1994" s="92">
        <v>42647.40525462963</v>
      </c>
      <c r="H1994" s="92">
        <v>42647.405289351853</v>
      </c>
      <c r="I1994" s="92">
        <v>42647.405277777776</v>
      </c>
      <c r="J1994" s="92"/>
      <c r="K1994" s="92">
        <v>42647.408865740741</v>
      </c>
      <c r="L1994" s="92">
        <f>IF(AND(单词表[[#This Row],[学英]]&lt;&gt;"",单词表[[#This Row],[学中]]&lt;&gt;"",单词表[[#This Row],[学词]]&lt;&gt;""),MAX(单词表[[#This Row],[学英]:[学词]]),"")</f>
        <v>42647.405289351853</v>
      </c>
      <c r="M1994" s="2" t="str">
        <f>IF(AND(单词表[[#This Row],[考英]]&lt;&gt;"",单词表[[#This Row],[考中]]&lt;&gt;""),MAX(单词表[[#This Row],[考英]:[考中]]),"")</f>
        <v/>
      </c>
      <c r="N1994" s="79"/>
    </row>
    <row r="1995" spans="1:14" hidden="1" x14ac:dyDescent="0.15">
      <c r="A1995">
        <v>1995</v>
      </c>
      <c r="B1995" t="s">
        <v>35</v>
      </c>
      <c r="C1995" t="s">
        <v>10</v>
      </c>
      <c r="D1995" s="72" t="s">
        <v>107</v>
      </c>
      <c r="E1995" t="s">
        <v>73</v>
      </c>
      <c r="F1995" t="s">
        <v>108</v>
      </c>
      <c r="G1995" s="92">
        <v>42647.405335648145</v>
      </c>
      <c r="H1995" s="92">
        <v>42647.417662037034</v>
      </c>
      <c r="I1995" s="92">
        <v>42647.417650462965</v>
      </c>
      <c r="J1995" s="92"/>
      <c r="K1995" s="92">
        <v>42647.419293981482</v>
      </c>
      <c r="L1995" s="92">
        <f>IF(AND(单词表[[#This Row],[学英]]&lt;&gt;"",单词表[[#This Row],[学中]]&lt;&gt;"",单词表[[#This Row],[学词]]&lt;&gt;""),MAX(单词表[[#This Row],[学英]:[学词]]),"")</f>
        <v>42647.417662037034</v>
      </c>
      <c r="M1995" s="2" t="str">
        <f>IF(AND(单词表[[#This Row],[考英]]&lt;&gt;"",单词表[[#This Row],[考中]]&lt;&gt;""),MAX(单词表[[#This Row],[考英]:[考中]]),"")</f>
        <v/>
      </c>
      <c r="N1995" s="79"/>
    </row>
    <row r="1996" spans="1:14" hidden="1" x14ac:dyDescent="0.15">
      <c r="A1996">
        <v>1996</v>
      </c>
      <c r="B1996" t="s">
        <v>35</v>
      </c>
      <c r="C1996" t="s">
        <v>10</v>
      </c>
      <c r="D1996" s="72" t="s">
        <v>3577</v>
      </c>
      <c r="E1996" t="s">
        <v>36</v>
      </c>
      <c r="F1996" t="s">
        <v>3578</v>
      </c>
      <c r="G1996" s="92">
        <v>42647.405428240738</v>
      </c>
      <c r="H1996" s="92">
        <v>42647.405451388891</v>
      </c>
      <c r="I1996" s="92">
        <v>42647.405439814815</v>
      </c>
      <c r="J1996" s="92"/>
      <c r="K1996" s="92">
        <v>42647.409004629626</v>
      </c>
      <c r="L1996" s="92">
        <f>IF(AND(单词表[[#This Row],[学英]]&lt;&gt;"",单词表[[#This Row],[学中]]&lt;&gt;"",单词表[[#This Row],[学词]]&lt;&gt;""),MAX(单词表[[#This Row],[学英]:[学词]]),"")</f>
        <v>42647.405451388891</v>
      </c>
      <c r="M1996" s="2" t="str">
        <f>IF(AND(单词表[[#This Row],[考英]]&lt;&gt;"",单词表[[#This Row],[考中]]&lt;&gt;""),MAX(单词表[[#This Row],[考英]:[考中]]),"")</f>
        <v/>
      </c>
      <c r="N1996" s="79"/>
    </row>
    <row r="1997" spans="1:14" hidden="1" x14ac:dyDescent="0.15">
      <c r="A1997">
        <v>1997</v>
      </c>
      <c r="B1997" t="s">
        <v>35</v>
      </c>
      <c r="C1997" t="s">
        <v>10</v>
      </c>
      <c r="D1997" s="72" t="s">
        <v>2721</v>
      </c>
      <c r="E1997" t="s">
        <v>36</v>
      </c>
      <c r="F1997" t="s">
        <v>3579</v>
      </c>
      <c r="G1997" s="92">
        <v>42647.405486111114</v>
      </c>
      <c r="H1997" s="92">
        <v>42647.405509259261</v>
      </c>
      <c r="I1997" s="92">
        <v>42647.405497685184</v>
      </c>
      <c r="J1997" s="92"/>
      <c r="K1997" s="92">
        <v>42647.409062500003</v>
      </c>
      <c r="L1997" s="92">
        <f>IF(AND(单词表[[#This Row],[学英]]&lt;&gt;"",单词表[[#This Row],[学中]]&lt;&gt;"",单词表[[#This Row],[学词]]&lt;&gt;""),MAX(单词表[[#This Row],[学英]:[学词]]),"")</f>
        <v>42647.405509259261</v>
      </c>
      <c r="M1997" s="2" t="str">
        <f>IF(AND(单词表[[#This Row],[考英]]&lt;&gt;"",单词表[[#This Row],[考中]]&lt;&gt;""),MAX(单词表[[#This Row],[考英]:[考中]]),"")</f>
        <v/>
      </c>
      <c r="N1997" s="79"/>
    </row>
    <row r="1998" spans="1:14" hidden="1" x14ac:dyDescent="0.15">
      <c r="A1998">
        <v>1998</v>
      </c>
      <c r="B1998" t="s">
        <v>35</v>
      </c>
      <c r="C1998" t="s">
        <v>10</v>
      </c>
      <c r="D1998" s="72" t="s">
        <v>3580</v>
      </c>
      <c r="E1998" t="s">
        <v>1019</v>
      </c>
      <c r="F1998" t="s">
        <v>3581</v>
      </c>
      <c r="G1998" s="92">
        <v>42647.405555555553</v>
      </c>
      <c r="H1998" s="92">
        <v>42647.405590277776</v>
      </c>
      <c r="I1998" s="92">
        <v>42647.405578703707</v>
      </c>
      <c r="J1998" s="92"/>
      <c r="K1998" s="92">
        <v>42647.409155092595</v>
      </c>
      <c r="L1998" s="92">
        <f>IF(AND(单词表[[#This Row],[学英]]&lt;&gt;"",单词表[[#This Row],[学中]]&lt;&gt;"",单词表[[#This Row],[学词]]&lt;&gt;""),MAX(单词表[[#This Row],[学英]:[学词]]),"")</f>
        <v>42647.405590277776</v>
      </c>
      <c r="M1998" s="2" t="str">
        <f>IF(AND(单词表[[#This Row],[考英]]&lt;&gt;"",单词表[[#This Row],[考中]]&lt;&gt;""),MAX(单词表[[#This Row],[考英]:[考中]]),"")</f>
        <v/>
      </c>
      <c r="N1998" s="79"/>
    </row>
    <row r="1999" spans="1:14" hidden="1" x14ac:dyDescent="0.15">
      <c r="A1999">
        <v>1999</v>
      </c>
      <c r="B1999" t="s">
        <v>35</v>
      </c>
      <c r="C1999" t="s">
        <v>10</v>
      </c>
      <c r="D1999" s="72" t="s">
        <v>719</v>
      </c>
      <c r="E1999" t="s">
        <v>73</v>
      </c>
      <c r="F1999" t="s">
        <v>3582</v>
      </c>
      <c r="G1999" s="92">
        <v>42647.405636574076</v>
      </c>
      <c r="H1999" s="92">
        <v>42647.417592592596</v>
      </c>
      <c r="I1999" s="92">
        <v>42647.417581018519</v>
      </c>
      <c r="J1999" s="92"/>
      <c r="K1999" s="92">
        <v>42647.419363425928</v>
      </c>
      <c r="L1999" s="92">
        <f>IF(AND(单词表[[#This Row],[学英]]&lt;&gt;"",单词表[[#This Row],[学中]]&lt;&gt;"",单词表[[#This Row],[学词]]&lt;&gt;""),MAX(单词表[[#This Row],[学英]:[学词]]),"")</f>
        <v>42647.417592592596</v>
      </c>
      <c r="M1999" s="2" t="str">
        <f>IF(AND(单词表[[#This Row],[考英]]&lt;&gt;"",单词表[[#This Row],[考中]]&lt;&gt;""),MAX(单词表[[#This Row],[考英]:[考中]]),"")</f>
        <v/>
      </c>
      <c r="N1999" s="79"/>
    </row>
    <row r="2000" spans="1:14" hidden="1" x14ac:dyDescent="0.15">
      <c r="A2000">
        <v>2000</v>
      </c>
      <c r="B2000" t="s">
        <v>35</v>
      </c>
      <c r="C2000" t="s">
        <v>10</v>
      </c>
      <c r="D2000" s="72" t="s">
        <v>3583</v>
      </c>
      <c r="E2000" t="s">
        <v>73</v>
      </c>
      <c r="F2000" t="s">
        <v>3584</v>
      </c>
      <c r="G2000" s="92">
        <v>42647.405706018515</v>
      </c>
      <c r="H2000" s="92">
        <v>42647.41678240741</v>
      </c>
      <c r="I2000" s="92">
        <v>42647.416770833333</v>
      </c>
      <c r="J2000" s="92"/>
      <c r="K2000" s="92">
        <v>42647.419444444444</v>
      </c>
      <c r="L2000" s="92">
        <f>IF(AND(单词表[[#This Row],[学英]]&lt;&gt;"",单词表[[#This Row],[学中]]&lt;&gt;"",单词表[[#This Row],[学词]]&lt;&gt;""),MAX(单词表[[#This Row],[学英]:[学词]]),"")</f>
        <v>42647.41678240741</v>
      </c>
      <c r="M2000" s="2" t="str">
        <f>IF(AND(单词表[[#This Row],[考英]]&lt;&gt;"",单词表[[#This Row],[考中]]&lt;&gt;""),MAX(单词表[[#This Row],[考英]:[考中]]),"")</f>
        <v/>
      </c>
      <c r="N2000" s="79"/>
    </row>
    <row r="2001" spans="1:14" hidden="1" x14ac:dyDescent="0.15">
      <c r="A2001">
        <v>2001</v>
      </c>
      <c r="B2001" t="s">
        <v>35</v>
      </c>
      <c r="C2001" t="s">
        <v>10</v>
      </c>
      <c r="D2001" s="72" t="s">
        <v>3585</v>
      </c>
      <c r="E2001" t="s">
        <v>73</v>
      </c>
      <c r="F2001" t="s">
        <v>3586</v>
      </c>
      <c r="G2001" s="92">
        <v>42647.406168981484</v>
      </c>
      <c r="H2001" s="92">
        <v>42647.4062037037</v>
      </c>
      <c r="I2001" s="92">
        <v>42647.406192129631</v>
      </c>
      <c r="J2001" s="92"/>
      <c r="K2001" s="92">
        <v>42647.409421296295</v>
      </c>
      <c r="L2001" s="92">
        <f>IF(AND(单词表[[#This Row],[学英]]&lt;&gt;"",单词表[[#This Row],[学中]]&lt;&gt;"",单词表[[#This Row],[学词]]&lt;&gt;""),MAX(单词表[[#This Row],[学英]:[学词]]),"")</f>
        <v>42647.4062037037</v>
      </c>
      <c r="M2001" s="2" t="str">
        <f>IF(AND(单词表[[#This Row],[考英]]&lt;&gt;"",单词表[[#This Row],[考中]]&lt;&gt;""),MAX(单词表[[#This Row],[考英]:[考中]]),"")</f>
        <v/>
      </c>
      <c r="N2001" s="79"/>
    </row>
    <row r="2002" spans="1:14" hidden="1" x14ac:dyDescent="0.15">
      <c r="A2002">
        <v>2002</v>
      </c>
      <c r="B2002" t="s">
        <v>35</v>
      </c>
      <c r="C2002" t="s">
        <v>10</v>
      </c>
      <c r="D2002" s="72" t="s">
        <v>3587</v>
      </c>
      <c r="E2002" t="s">
        <v>73</v>
      </c>
      <c r="F2002" t="s">
        <v>3588</v>
      </c>
      <c r="G2002" s="92">
        <v>42647.40625</v>
      </c>
      <c r="H2002" s="92">
        <v>42647.4062962963</v>
      </c>
      <c r="I2002" s="92">
        <v>42647.406273148146</v>
      </c>
      <c r="J2002" s="92"/>
      <c r="K2002" s="92">
        <v>42647.409502314818</v>
      </c>
      <c r="L2002" s="92">
        <f>IF(AND(单词表[[#This Row],[学英]]&lt;&gt;"",单词表[[#This Row],[学中]]&lt;&gt;"",单词表[[#This Row],[学词]]&lt;&gt;""),MAX(单词表[[#This Row],[学英]:[学词]]),"")</f>
        <v>42647.4062962963</v>
      </c>
      <c r="M2002" s="2" t="str">
        <f>IF(AND(单词表[[#This Row],[考英]]&lt;&gt;"",单词表[[#This Row],[考中]]&lt;&gt;""),MAX(单词表[[#This Row],[考英]:[考中]]),"")</f>
        <v/>
      </c>
      <c r="N2002" s="79"/>
    </row>
    <row r="2003" spans="1:14" hidden="1" x14ac:dyDescent="0.15">
      <c r="A2003">
        <v>2003</v>
      </c>
      <c r="B2003" t="s">
        <v>35</v>
      </c>
      <c r="C2003" t="s">
        <v>10</v>
      </c>
      <c r="D2003" s="72" t="s">
        <v>3589</v>
      </c>
      <c r="E2003" t="s">
        <v>702</v>
      </c>
      <c r="F2003" t="s">
        <v>3590</v>
      </c>
      <c r="G2003" s="92">
        <v>42647.406331018516</v>
      </c>
      <c r="H2003" s="92">
        <v>42647.406354166669</v>
      </c>
      <c r="I2003" s="92">
        <v>42647.406342592592</v>
      </c>
      <c r="J2003" s="92"/>
      <c r="K2003" s="92">
        <v>42647.409560185188</v>
      </c>
      <c r="L2003" s="92">
        <f>IF(AND(单词表[[#This Row],[学英]]&lt;&gt;"",单词表[[#This Row],[学中]]&lt;&gt;"",单词表[[#This Row],[学词]]&lt;&gt;""),MAX(单词表[[#This Row],[学英]:[学词]]),"")</f>
        <v>42647.406354166669</v>
      </c>
      <c r="M2003" s="2" t="str">
        <f>IF(AND(单词表[[#This Row],[考英]]&lt;&gt;"",单词表[[#This Row],[考中]]&lt;&gt;""),MAX(单词表[[#This Row],[考英]:[考中]]),"")</f>
        <v/>
      </c>
      <c r="N2003" s="79"/>
    </row>
    <row r="2004" spans="1:14" hidden="1" x14ac:dyDescent="0.15">
      <c r="A2004">
        <v>2004</v>
      </c>
      <c r="B2004" t="s">
        <v>35</v>
      </c>
      <c r="C2004" t="s">
        <v>10</v>
      </c>
      <c r="D2004" s="72" t="s">
        <v>3591</v>
      </c>
      <c r="E2004" t="s">
        <v>702</v>
      </c>
      <c r="F2004" t="s">
        <v>3592</v>
      </c>
      <c r="G2004" s="92">
        <v>42647.406469907408</v>
      </c>
      <c r="H2004" s="92">
        <v>42647.406504629631</v>
      </c>
      <c r="I2004" s="92">
        <v>42647.406493055554</v>
      </c>
      <c r="J2004" s="92"/>
      <c r="K2004" s="92">
        <v>42647.409629629627</v>
      </c>
      <c r="L2004" s="92">
        <f>IF(AND(单词表[[#This Row],[学英]]&lt;&gt;"",单词表[[#This Row],[学中]]&lt;&gt;"",单词表[[#This Row],[学词]]&lt;&gt;""),MAX(单词表[[#This Row],[学英]:[学词]]),"")</f>
        <v>42647.406504629631</v>
      </c>
      <c r="M2004" s="2" t="str">
        <f>IF(AND(单词表[[#This Row],[考英]]&lt;&gt;"",单词表[[#This Row],[考中]]&lt;&gt;""),MAX(单词表[[#This Row],[考英]:[考中]]),"")</f>
        <v/>
      </c>
      <c r="N2004" s="79"/>
    </row>
    <row r="2005" spans="1:14" hidden="1" x14ac:dyDescent="0.15">
      <c r="A2005">
        <v>2005</v>
      </c>
      <c r="B2005" t="s">
        <v>35</v>
      </c>
      <c r="C2005" t="s">
        <v>10</v>
      </c>
      <c r="D2005" s="72" t="s">
        <v>929</v>
      </c>
      <c r="E2005" t="s">
        <v>36</v>
      </c>
      <c r="F2005" t="s">
        <v>3593</v>
      </c>
      <c r="G2005" s="92">
        <v>42647.406550925924</v>
      </c>
      <c r="H2005" s="92">
        <v>42647.406574074077</v>
      </c>
      <c r="I2005" s="92">
        <v>42647.4065625</v>
      </c>
      <c r="J2005" s="92"/>
      <c r="K2005" s="92">
        <v>42647.409710648149</v>
      </c>
      <c r="L2005" s="92">
        <f>IF(AND(单词表[[#This Row],[学英]]&lt;&gt;"",单词表[[#This Row],[学中]]&lt;&gt;"",单词表[[#This Row],[学词]]&lt;&gt;""),MAX(单词表[[#This Row],[学英]:[学词]]),"")</f>
        <v>42647.406574074077</v>
      </c>
      <c r="M2005" s="2" t="str">
        <f>IF(AND(单词表[[#This Row],[考英]]&lt;&gt;"",单词表[[#This Row],[考中]]&lt;&gt;""),MAX(单词表[[#This Row],[考英]:[考中]]),"")</f>
        <v/>
      </c>
      <c r="N2005" s="79"/>
    </row>
    <row r="2006" spans="1:14" hidden="1" x14ac:dyDescent="0.15">
      <c r="A2006">
        <v>2006</v>
      </c>
      <c r="B2006" t="s">
        <v>35</v>
      </c>
      <c r="C2006" t="s">
        <v>10</v>
      </c>
      <c r="D2006" s="72" t="s">
        <v>3594</v>
      </c>
      <c r="E2006" t="s">
        <v>61</v>
      </c>
      <c r="F2006" t="s">
        <v>599</v>
      </c>
      <c r="G2006" s="92">
        <v>42647.40662037037</v>
      </c>
      <c r="H2006" s="92">
        <v>42647.416527777779</v>
      </c>
      <c r="I2006" s="92">
        <v>42647.416504629633</v>
      </c>
      <c r="J2006" s="92"/>
      <c r="K2006" s="92">
        <v>42647.419618055559</v>
      </c>
      <c r="L2006" s="92">
        <f>IF(AND(单词表[[#This Row],[学英]]&lt;&gt;"",单词表[[#This Row],[学中]]&lt;&gt;"",单词表[[#This Row],[学词]]&lt;&gt;""),MAX(单词表[[#This Row],[学英]:[学词]]),"")</f>
        <v>42647.416527777779</v>
      </c>
      <c r="M2006" s="2" t="str">
        <f>IF(AND(单词表[[#This Row],[考英]]&lt;&gt;"",单词表[[#This Row],[考中]]&lt;&gt;""),MAX(单词表[[#This Row],[考英]:[考中]]),"")</f>
        <v/>
      </c>
      <c r="N2006" s="79"/>
    </row>
    <row r="2007" spans="1:14" hidden="1" x14ac:dyDescent="0.15">
      <c r="A2007">
        <v>2007</v>
      </c>
      <c r="B2007" t="s">
        <v>35</v>
      </c>
      <c r="C2007" t="s">
        <v>10</v>
      </c>
      <c r="D2007" s="72" t="s">
        <v>3595</v>
      </c>
      <c r="E2007" t="s">
        <v>1021</v>
      </c>
      <c r="F2007" t="s">
        <v>3596</v>
      </c>
      <c r="G2007" s="92">
        <v>42647.406712962962</v>
      </c>
      <c r="H2007" s="92">
        <v>42647.412303240744</v>
      </c>
      <c r="I2007" s="92">
        <v>42647.412291666667</v>
      </c>
      <c r="J2007" s="92"/>
      <c r="K2007" s="92">
        <v>42647.419803240744</v>
      </c>
      <c r="L2007" s="92">
        <f>IF(AND(单词表[[#This Row],[学英]]&lt;&gt;"",单词表[[#This Row],[学中]]&lt;&gt;"",单词表[[#This Row],[学词]]&lt;&gt;""),MAX(单词表[[#This Row],[学英]:[学词]]),"")</f>
        <v>42647.412303240744</v>
      </c>
      <c r="M2007" s="2" t="str">
        <f>IF(AND(单词表[[#This Row],[考英]]&lt;&gt;"",单词表[[#This Row],[考中]]&lt;&gt;""),MAX(单词表[[#This Row],[考英]:[考中]]),"")</f>
        <v/>
      </c>
      <c r="N2007" s="79"/>
    </row>
    <row r="2008" spans="1:14" hidden="1" x14ac:dyDescent="0.15">
      <c r="A2008">
        <v>2008</v>
      </c>
      <c r="B2008" t="s">
        <v>35</v>
      </c>
      <c r="C2008" t="s">
        <v>10</v>
      </c>
      <c r="D2008" s="72" t="s">
        <v>3597</v>
      </c>
      <c r="E2008" t="s">
        <v>1019</v>
      </c>
      <c r="F2008" t="s">
        <v>3598</v>
      </c>
      <c r="G2008" s="92">
        <v>42647.406805555554</v>
      </c>
      <c r="H2008" s="92">
        <v>42647.412245370368</v>
      </c>
      <c r="I2008" s="92">
        <v>42647.412222222221</v>
      </c>
      <c r="J2008" s="92"/>
      <c r="K2008" s="92">
        <v>42647.41983796296</v>
      </c>
      <c r="L2008" s="92">
        <f>IF(AND(单词表[[#This Row],[学英]]&lt;&gt;"",单词表[[#This Row],[学中]]&lt;&gt;"",单词表[[#This Row],[学词]]&lt;&gt;""),MAX(单词表[[#This Row],[学英]:[学词]]),"")</f>
        <v>42647.412245370368</v>
      </c>
      <c r="M2008" s="2" t="str">
        <f>IF(AND(单词表[[#This Row],[考英]]&lt;&gt;"",单词表[[#This Row],[考中]]&lt;&gt;""),MAX(单词表[[#This Row],[考英]:[考中]]),"")</f>
        <v/>
      </c>
      <c r="N2008" s="79"/>
    </row>
    <row r="2009" spans="1:14" hidden="1" x14ac:dyDescent="0.15">
      <c r="A2009">
        <v>2009</v>
      </c>
      <c r="B2009" t="s">
        <v>35</v>
      </c>
      <c r="C2009" t="s">
        <v>10</v>
      </c>
      <c r="D2009" s="72" t="s">
        <v>216</v>
      </c>
      <c r="E2009" t="s">
        <v>73</v>
      </c>
      <c r="F2009" t="s">
        <v>329</v>
      </c>
      <c r="G2009" s="92">
        <v>42647.406886574077</v>
      </c>
      <c r="H2009" s="92">
        <v>42647.412175925929</v>
      </c>
      <c r="I2009" s="92">
        <v>42647.412164351852</v>
      </c>
      <c r="J2009" s="92"/>
      <c r="K2009" s="92">
        <v>42647.419907407406</v>
      </c>
      <c r="L2009" s="92">
        <f>IF(AND(单词表[[#This Row],[学英]]&lt;&gt;"",单词表[[#This Row],[学中]]&lt;&gt;"",单词表[[#This Row],[学词]]&lt;&gt;""),MAX(单词表[[#This Row],[学英]:[学词]]),"")</f>
        <v>42647.412175925929</v>
      </c>
      <c r="M2009" s="2" t="str">
        <f>IF(AND(单词表[[#This Row],[考英]]&lt;&gt;"",单词表[[#This Row],[考中]]&lt;&gt;""),MAX(单词表[[#This Row],[考英]:[考中]]),"")</f>
        <v/>
      </c>
      <c r="N2009" s="79"/>
    </row>
    <row r="2010" spans="1:14" hidden="1" x14ac:dyDescent="0.15">
      <c r="A2010">
        <v>2010</v>
      </c>
      <c r="B2010" t="s">
        <v>35</v>
      </c>
      <c r="C2010" t="s">
        <v>10</v>
      </c>
      <c r="D2010" s="72" t="s">
        <v>1398</v>
      </c>
      <c r="E2010" t="s">
        <v>36</v>
      </c>
      <c r="F2010" t="s">
        <v>1399</v>
      </c>
      <c r="G2010" s="92">
        <v>42647.406967592593</v>
      </c>
      <c r="H2010" s="92">
        <v>42647.407013888886</v>
      </c>
      <c r="I2010" s="92">
        <v>42647.407002314816</v>
      </c>
      <c r="J2010" s="92"/>
      <c r="K2010" s="92">
        <v>42647.410150462965</v>
      </c>
      <c r="L2010" s="92">
        <f>IF(AND(单词表[[#This Row],[学英]]&lt;&gt;"",单词表[[#This Row],[学中]]&lt;&gt;"",单词表[[#This Row],[学词]]&lt;&gt;""),MAX(单词表[[#This Row],[学英]:[学词]]),"")</f>
        <v>42647.407013888886</v>
      </c>
      <c r="M2010" s="2" t="str">
        <f>IF(AND(单词表[[#This Row],[考英]]&lt;&gt;"",单词表[[#This Row],[考中]]&lt;&gt;""),MAX(单词表[[#This Row],[考英]:[考中]]),"")</f>
        <v/>
      </c>
      <c r="N2010" s="79"/>
    </row>
    <row r="2011" spans="1:14" hidden="1" x14ac:dyDescent="0.15">
      <c r="A2011">
        <v>2011</v>
      </c>
      <c r="B2011" t="s">
        <v>35</v>
      </c>
      <c r="C2011" t="s">
        <v>10</v>
      </c>
      <c r="D2011" s="72" t="s">
        <v>3599</v>
      </c>
      <c r="E2011" t="s">
        <v>36</v>
      </c>
      <c r="F2011" t="s">
        <v>996</v>
      </c>
      <c r="G2011" s="92">
        <v>42647.407083333332</v>
      </c>
      <c r="H2011" s="92">
        <v>42647.412106481483</v>
      </c>
      <c r="I2011" s="92">
        <v>42647.412094907406</v>
      </c>
      <c r="J2011" s="92"/>
      <c r="K2011" s="92">
        <v>42647.419965277775</v>
      </c>
      <c r="L2011" s="92">
        <f>IF(AND(单词表[[#This Row],[学英]]&lt;&gt;"",单词表[[#This Row],[学中]]&lt;&gt;"",单词表[[#This Row],[学词]]&lt;&gt;""),MAX(单词表[[#This Row],[学英]:[学词]]),"")</f>
        <v>42647.412106481483</v>
      </c>
      <c r="M2011" s="2" t="str">
        <f>IF(AND(单词表[[#This Row],[考英]]&lt;&gt;"",单词表[[#This Row],[考中]]&lt;&gt;""),MAX(单词表[[#This Row],[考英]:[考中]]),"")</f>
        <v/>
      </c>
      <c r="N2011" s="79"/>
    </row>
    <row r="2012" spans="1:14" hidden="1" x14ac:dyDescent="0.15">
      <c r="A2012">
        <v>2012</v>
      </c>
      <c r="B2012" t="s">
        <v>35</v>
      </c>
      <c r="C2012" t="s">
        <v>10</v>
      </c>
      <c r="D2012" s="72" t="s">
        <v>3600</v>
      </c>
      <c r="E2012" t="s">
        <v>73</v>
      </c>
      <c r="F2012" t="s">
        <v>3601</v>
      </c>
      <c r="G2012" s="92">
        <v>42647.407175925924</v>
      </c>
      <c r="H2012" s="92">
        <v>42647.407199074078</v>
      </c>
      <c r="I2012" s="92">
        <v>42647.407187500001</v>
      </c>
      <c r="J2012" s="92"/>
      <c r="K2012" s="92">
        <v>42647.410312499997</v>
      </c>
      <c r="L2012" s="92">
        <f>IF(AND(单词表[[#This Row],[学英]]&lt;&gt;"",单词表[[#This Row],[学中]]&lt;&gt;"",单词表[[#This Row],[学词]]&lt;&gt;""),MAX(单词表[[#This Row],[学英]:[学词]]),"")</f>
        <v>42647.407199074078</v>
      </c>
      <c r="M2012" s="2" t="str">
        <f>IF(AND(单词表[[#This Row],[考英]]&lt;&gt;"",单词表[[#This Row],[考中]]&lt;&gt;""),MAX(单词表[[#This Row],[考英]:[考中]]),"")</f>
        <v/>
      </c>
      <c r="N2012" s="79"/>
    </row>
    <row r="2013" spans="1:14" hidden="1" x14ac:dyDescent="0.15">
      <c r="A2013">
        <v>2013</v>
      </c>
      <c r="B2013" t="s">
        <v>35</v>
      </c>
      <c r="C2013" t="s">
        <v>10</v>
      </c>
      <c r="D2013" s="72" t="s">
        <v>2715</v>
      </c>
      <c r="E2013" t="s">
        <v>73</v>
      </c>
      <c r="F2013" t="s">
        <v>3602</v>
      </c>
      <c r="G2013" s="92">
        <v>42649.466585648152</v>
      </c>
      <c r="H2013" s="92">
        <v>42649.470497685186</v>
      </c>
      <c r="I2013" s="92">
        <v>42649.470497685186</v>
      </c>
      <c r="J2013" s="92"/>
      <c r="K2013" s="92">
        <v>42649.470601851855</v>
      </c>
      <c r="L2013" s="92">
        <f>IF(AND(单词表[[#This Row],[学英]]&lt;&gt;"",单词表[[#This Row],[学中]]&lt;&gt;"",单词表[[#This Row],[学词]]&lt;&gt;""),MAX(单词表[[#This Row],[学英]:[学词]]),"")</f>
        <v>42649.470497685186</v>
      </c>
      <c r="M2013" s="2" t="str">
        <f>IF(AND(单词表[[#This Row],[考英]]&lt;&gt;"",单词表[[#This Row],[考中]]&lt;&gt;""),MAX(单词表[[#This Row],[考英]:[考中]]),"")</f>
        <v/>
      </c>
      <c r="N2013" s="79"/>
    </row>
    <row r="2014" spans="1:14" hidden="1" x14ac:dyDescent="0.15">
      <c r="A2014">
        <v>2014</v>
      </c>
      <c r="B2014" t="s">
        <v>35</v>
      </c>
      <c r="C2014" t="s">
        <v>10</v>
      </c>
      <c r="D2014" s="72" t="s">
        <v>507</v>
      </c>
      <c r="E2014" t="s">
        <v>73</v>
      </c>
      <c r="F2014" t="s">
        <v>3603</v>
      </c>
      <c r="G2014" s="92">
        <v>42649.466620370367</v>
      </c>
      <c r="H2014" s="92">
        <v>42649.474120370367</v>
      </c>
      <c r="I2014" s="92">
        <v>42649.474120370367</v>
      </c>
      <c r="J2014" s="92"/>
      <c r="K2014" s="92">
        <v>42649.502812500003</v>
      </c>
      <c r="L2014" s="92">
        <f>IF(AND(单词表[[#This Row],[学英]]&lt;&gt;"",单词表[[#This Row],[学中]]&lt;&gt;"",单词表[[#This Row],[学词]]&lt;&gt;""),MAX(单词表[[#This Row],[学英]:[学词]]),"")</f>
        <v>42649.474120370367</v>
      </c>
      <c r="M2014" s="2" t="str">
        <f>IF(AND(单词表[[#This Row],[考英]]&lt;&gt;"",单词表[[#This Row],[考中]]&lt;&gt;""),MAX(单词表[[#This Row],[考英]:[考中]]),"")</f>
        <v/>
      </c>
      <c r="N2014" s="79"/>
    </row>
    <row r="2015" spans="1:14" hidden="1" x14ac:dyDescent="0.15">
      <c r="A2015">
        <v>2015</v>
      </c>
      <c r="B2015" t="s">
        <v>35</v>
      </c>
      <c r="C2015" t="s">
        <v>10</v>
      </c>
      <c r="D2015" s="72" t="s">
        <v>2815</v>
      </c>
      <c r="E2015" t="s">
        <v>73</v>
      </c>
      <c r="F2015" t="s">
        <v>3604</v>
      </c>
      <c r="G2015" s="92">
        <v>42649.46665509259</v>
      </c>
      <c r="H2015" s="92">
        <v>42649.474212962959</v>
      </c>
      <c r="I2015" s="92">
        <v>42649.47420138889</v>
      </c>
      <c r="J2015" s="92"/>
      <c r="K2015" s="92">
        <v>42649.502986111111</v>
      </c>
      <c r="L2015" s="92">
        <f>IF(AND(单词表[[#This Row],[学英]]&lt;&gt;"",单词表[[#This Row],[学中]]&lt;&gt;"",单词表[[#This Row],[学词]]&lt;&gt;""),MAX(单词表[[#This Row],[学英]:[学词]]),"")</f>
        <v>42649.474212962959</v>
      </c>
      <c r="M2015" s="2" t="str">
        <f>IF(AND(单词表[[#This Row],[考英]]&lt;&gt;"",单词表[[#This Row],[考中]]&lt;&gt;""),MAX(单词表[[#This Row],[考英]:[考中]]),"")</f>
        <v/>
      </c>
      <c r="N2015" s="79"/>
    </row>
    <row r="2016" spans="1:14" hidden="1" x14ac:dyDescent="0.15">
      <c r="A2016">
        <v>2016</v>
      </c>
      <c r="B2016" t="s">
        <v>35</v>
      </c>
      <c r="C2016" t="s">
        <v>10</v>
      </c>
      <c r="D2016" s="72" t="s">
        <v>3605</v>
      </c>
      <c r="E2016" t="s">
        <v>73</v>
      </c>
      <c r="F2016" t="s">
        <v>3606</v>
      </c>
      <c r="G2016" s="92">
        <v>42649.46670138889</v>
      </c>
      <c r="H2016" s="92">
        <v>42649.467592592591</v>
      </c>
      <c r="I2016" s="92">
        <v>42649.467592592591</v>
      </c>
      <c r="J2016" s="92"/>
      <c r="K2016" s="92">
        <v>42649.471041666664</v>
      </c>
      <c r="L2016" s="92">
        <f>IF(AND(单词表[[#This Row],[学英]]&lt;&gt;"",单词表[[#This Row],[学中]]&lt;&gt;"",单词表[[#This Row],[学词]]&lt;&gt;""),MAX(单词表[[#This Row],[学英]:[学词]]),"")</f>
        <v>42649.467592592591</v>
      </c>
      <c r="M2016" s="2" t="str">
        <f>IF(AND(单词表[[#This Row],[考英]]&lt;&gt;"",单词表[[#This Row],[考中]]&lt;&gt;""),MAX(单词表[[#This Row],[考英]:[考中]]),"")</f>
        <v/>
      </c>
      <c r="N2016" s="79"/>
    </row>
    <row r="2017" spans="1:14" ht="12.75" hidden="1" customHeight="1" x14ac:dyDescent="0.15">
      <c r="A2017">
        <v>2017</v>
      </c>
      <c r="B2017" t="s">
        <v>35</v>
      </c>
      <c r="C2017" t="s">
        <v>10</v>
      </c>
      <c r="D2017" s="72" t="s">
        <v>1885</v>
      </c>
      <c r="E2017" t="s">
        <v>36</v>
      </c>
      <c r="F2017" t="s">
        <v>3426</v>
      </c>
      <c r="G2017" s="92">
        <v>42649.467638888891</v>
      </c>
      <c r="H2017" s="92">
        <v>42649.467627314814</v>
      </c>
      <c r="I2017" s="92">
        <v>42649.467627314814</v>
      </c>
      <c r="J2017" s="92"/>
      <c r="K2017" s="92">
        <v>42649.471099537041</v>
      </c>
      <c r="L2017" s="92">
        <f>IF(AND(单词表[[#This Row],[学英]]&lt;&gt;"",单词表[[#This Row],[学中]]&lt;&gt;"",单词表[[#This Row],[学词]]&lt;&gt;""),MAX(单词表[[#This Row],[学英]:[学词]]),"")</f>
        <v>42649.467638888891</v>
      </c>
      <c r="M2017" s="2" t="str">
        <f>IF(AND(单词表[[#This Row],[考英]]&lt;&gt;"",单词表[[#This Row],[考中]]&lt;&gt;""),MAX(单词表[[#This Row],[考英]:[考中]]),"")</f>
        <v/>
      </c>
      <c r="N2017" s="79"/>
    </row>
    <row r="2018" spans="1:14" hidden="1" x14ac:dyDescent="0.15">
      <c r="A2018">
        <v>2018</v>
      </c>
      <c r="B2018" t="s">
        <v>35</v>
      </c>
      <c r="C2018" t="s">
        <v>10</v>
      </c>
      <c r="D2018" s="72" t="s">
        <v>2155</v>
      </c>
      <c r="E2018" t="s">
        <v>702</v>
      </c>
      <c r="F2018" t="s">
        <v>3607</v>
      </c>
      <c r="G2018" s="92">
        <v>42649.467662037037</v>
      </c>
      <c r="H2018" s="92">
        <v>42649.467673611114</v>
      </c>
      <c r="I2018" s="92">
        <v>42649.467662037037</v>
      </c>
      <c r="J2018" s="92"/>
      <c r="K2018" s="92">
        <v>42649.47115740741</v>
      </c>
      <c r="L2018" s="92">
        <f>IF(AND(单词表[[#This Row],[学英]]&lt;&gt;"",单词表[[#This Row],[学中]]&lt;&gt;"",单词表[[#This Row],[学词]]&lt;&gt;""),MAX(单词表[[#This Row],[学英]:[学词]]),"")</f>
        <v>42649.467673611114</v>
      </c>
      <c r="M2018" s="2" t="str">
        <f>IF(AND(单词表[[#This Row],[考英]]&lt;&gt;"",单词表[[#This Row],[考中]]&lt;&gt;""),MAX(单词表[[#This Row],[考英]:[考中]]),"")</f>
        <v/>
      </c>
      <c r="N2018" s="79"/>
    </row>
    <row r="2019" spans="1:14" hidden="1" x14ac:dyDescent="0.15">
      <c r="A2019">
        <v>2019</v>
      </c>
      <c r="B2019" t="s">
        <v>35</v>
      </c>
      <c r="C2019" t="s">
        <v>10</v>
      </c>
      <c r="D2019" s="72" t="s">
        <v>3608</v>
      </c>
      <c r="E2019" t="s">
        <v>36</v>
      </c>
      <c r="F2019" t="s">
        <v>3609</v>
      </c>
      <c r="G2019" s="92">
        <v>42649.467731481483</v>
      </c>
      <c r="H2019" s="92">
        <v>42649.474282407406</v>
      </c>
      <c r="I2019" s="92">
        <v>42649.474282407406</v>
      </c>
      <c r="J2019" s="92"/>
      <c r="K2019" s="92">
        <v>42649.503159722219</v>
      </c>
      <c r="L2019" s="92">
        <f>IF(AND(单词表[[#This Row],[学英]]&lt;&gt;"",单词表[[#This Row],[学中]]&lt;&gt;"",单词表[[#This Row],[学词]]&lt;&gt;""),MAX(单词表[[#This Row],[学英]:[学词]]),"")</f>
        <v>42649.474282407406</v>
      </c>
      <c r="M2019" s="2" t="str">
        <f>IF(AND(单词表[[#This Row],[考英]]&lt;&gt;"",单词表[[#This Row],[考中]]&lt;&gt;""),MAX(单词表[[#This Row],[考英]:[考中]]),"")</f>
        <v/>
      </c>
      <c r="N2019" s="79"/>
    </row>
    <row r="2020" spans="1:14" hidden="1" x14ac:dyDescent="0.15">
      <c r="A2020">
        <v>2020</v>
      </c>
      <c r="B2020" t="s">
        <v>35</v>
      </c>
      <c r="C2020" t="s">
        <v>10</v>
      </c>
      <c r="D2020" s="72" t="s">
        <v>2568</v>
      </c>
      <c r="E2020" t="s">
        <v>36</v>
      </c>
      <c r="F2020" t="s">
        <v>3610</v>
      </c>
      <c r="G2020" s="92">
        <v>42649.467824074076</v>
      </c>
      <c r="H2020" s="92">
        <v>42649.474351851852</v>
      </c>
      <c r="I2020" s="92">
        <v>42649.474340277775</v>
      </c>
      <c r="J2020" s="92"/>
      <c r="K2020" s="92">
        <v>42649.503182870372</v>
      </c>
      <c r="L2020" s="92">
        <f>IF(AND(单词表[[#This Row],[学英]]&lt;&gt;"",单词表[[#This Row],[学中]]&lt;&gt;"",单词表[[#This Row],[学词]]&lt;&gt;""),MAX(单词表[[#This Row],[学英]:[学词]]),"")</f>
        <v>42649.474351851852</v>
      </c>
      <c r="M2020" s="2" t="str">
        <f>IF(AND(单词表[[#This Row],[考英]]&lt;&gt;"",单词表[[#This Row],[考中]]&lt;&gt;""),MAX(单词表[[#This Row],[考英]:[考中]]),"")</f>
        <v/>
      </c>
      <c r="N2020" s="79"/>
    </row>
    <row r="2021" spans="1:14" hidden="1" x14ac:dyDescent="0.15">
      <c r="A2021">
        <v>2021</v>
      </c>
      <c r="B2021" t="s">
        <v>35</v>
      </c>
      <c r="C2021" t="s">
        <v>10</v>
      </c>
      <c r="D2021" s="72" t="s">
        <v>3611</v>
      </c>
      <c r="E2021" t="s">
        <v>36</v>
      </c>
      <c r="F2021" t="s">
        <v>3612</v>
      </c>
      <c r="G2021" s="92">
        <v>42649.467939814815</v>
      </c>
      <c r="H2021" s="92">
        <v>42649.47446759259</v>
      </c>
      <c r="I2021" s="92">
        <v>42649.474456018521</v>
      </c>
      <c r="J2021" s="92"/>
      <c r="K2021" s="92">
        <v>42649.503217592595</v>
      </c>
      <c r="L2021" s="92">
        <f>IF(AND(单词表[[#This Row],[学英]]&lt;&gt;"",单词表[[#This Row],[学中]]&lt;&gt;"",单词表[[#This Row],[学词]]&lt;&gt;""),MAX(单词表[[#This Row],[学英]:[学词]]),"")</f>
        <v>42649.47446759259</v>
      </c>
      <c r="M2021" s="2" t="str">
        <f>IF(AND(单词表[[#This Row],[考英]]&lt;&gt;"",单词表[[#This Row],[考中]]&lt;&gt;""),MAX(单词表[[#This Row],[考英]:[考中]]),"")</f>
        <v/>
      </c>
      <c r="N2021" s="79"/>
    </row>
    <row r="2022" spans="1:14" hidden="1" x14ac:dyDescent="0.15">
      <c r="A2022">
        <v>2022</v>
      </c>
      <c r="B2022" t="s">
        <v>35</v>
      </c>
      <c r="C2022" t="s">
        <v>10</v>
      </c>
      <c r="D2022" s="72" t="s">
        <v>3613</v>
      </c>
      <c r="E2022" t="s">
        <v>36</v>
      </c>
      <c r="F2022" t="s">
        <v>2878</v>
      </c>
      <c r="G2022" s="92">
        <v>42649.467974537038</v>
      </c>
      <c r="H2022" s="92">
        <v>42649.467986111114</v>
      </c>
      <c r="I2022" s="92">
        <v>42649.467986111114</v>
      </c>
      <c r="J2022" s="92"/>
      <c r="K2022" s="92">
        <v>42649.471400462964</v>
      </c>
      <c r="L2022" s="92">
        <f>IF(AND(单词表[[#This Row],[学英]]&lt;&gt;"",单词表[[#This Row],[学中]]&lt;&gt;"",单词表[[#This Row],[学词]]&lt;&gt;""),MAX(单词表[[#This Row],[学英]:[学词]]),"")</f>
        <v>42649.467986111114</v>
      </c>
      <c r="M2022" s="2" t="str">
        <f>IF(AND(单词表[[#This Row],[考英]]&lt;&gt;"",单词表[[#This Row],[考中]]&lt;&gt;""),MAX(单词表[[#This Row],[考英]:[考中]]),"")</f>
        <v/>
      </c>
      <c r="N2022" s="79"/>
    </row>
    <row r="2023" spans="1:14" hidden="1" x14ac:dyDescent="0.15">
      <c r="A2023">
        <v>2023</v>
      </c>
      <c r="B2023" t="s">
        <v>35</v>
      </c>
      <c r="C2023" t="s">
        <v>10</v>
      </c>
      <c r="D2023" s="72" t="s">
        <v>686</v>
      </c>
      <c r="E2023" t="s">
        <v>36</v>
      </c>
      <c r="F2023" t="s">
        <v>687</v>
      </c>
      <c r="G2023" s="92">
        <v>42649.468043981484</v>
      </c>
      <c r="H2023" s="92">
        <v>42649.474560185183</v>
      </c>
      <c r="I2023" s="92">
        <v>42649.474548611113</v>
      </c>
      <c r="J2023" s="92"/>
      <c r="K2023" s="92">
        <v>42649.503263888888</v>
      </c>
      <c r="L2023" s="92">
        <f>IF(AND(单词表[[#This Row],[学英]]&lt;&gt;"",单词表[[#This Row],[学中]]&lt;&gt;"",单词表[[#This Row],[学词]]&lt;&gt;""),MAX(单词表[[#This Row],[学英]:[学词]]),"")</f>
        <v>42649.474560185183</v>
      </c>
      <c r="M2023" s="2" t="str">
        <f>IF(AND(单词表[[#This Row],[考英]]&lt;&gt;"",单词表[[#This Row],[考中]]&lt;&gt;""),MAX(单词表[[#This Row],[考英]:[考中]]),"")</f>
        <v/>
      </c>
      <c r="N2023" s="79"/>
    </row>
    <row r="2024" spans="1:14" hidden="1" x14ac:dyDescent="0.15">
      <c r="A2024">
        <v>2024</v>
      </c>
      <c r="B2024" t="s">
        <v>35</v>
      </c>
      <c r="C2024" t="s">
        <v>10</v>
      </c>
      <c r="D2024" s="72" t="s">
        <v>3614</v>
      </c>
      <c r="E2024" t="s">
        <v>36</v>
      </c>
      <c r="F2024" t="s">
        <v>3615</v>
      </c>
      <c r="G2024" s="92">
        <v>42649.468182870369</v>
      </c>
      <c r="H2024" s="92">
        <v>42649.468194444446</v>
      </c>
      <c r="I2024" s="92">
        <v>42649.468182870369</v>
      </c>
      <c r="J2024" s="92"/>
      <c r="K2024" s="92">
        <v>42649.47152777778</v>
      </c>
      <c r="L2024" s="92">
        <f>IF(AND(单词表[[#This Row],[学英]]&lt;&gt;"",单词表[[#This Row],[学中]]&lt;&gt;"",单词表[[#This Row],[学词]]&lt;&gt;""),MAX(单词表[[#This Row],[学英]:[学词]]),"")</f>
        <v>42649.468194444446</v>
      </c>
      <c r="M2024" s="2" t="str">
        <f>IF(AND(单词表[[#This Row],[考英]]&lt;&gt;"",单词表[[#This Row],[考中]]&lt;&gt;""),MAX(单词表[[#This Row],[考英]:[考中]]),"")</f>
        <v/>
      </c>
      <c r="N2024" s="79"/>
    </row>
    <row r="2025" spans="1:14" hidden="1" x14ac:dyDescent="0.15">
      <c r="A2025">
        <v>2025</v>
      </c>
      <c r="B2025" t="s">
        <v>35</v>
      </c>
      <c r="C2025" t="s">
        <v>10</v>
      </c>
      <c r="D2025" s="72" t="s">
        <v>3616</v>
      </c>
      <c r="E2025" t="s">
        <v>702</v>
      </c>
      <c r="F2025" t="s">
        <v>3617</v>
      </c>
      <c r="G2025" s="92">
        <v>42649.468217592592</v>
      </c>
      <c r="H2025" s="92">
        <v>42649.468229166669</v>
      </c>
      <c r="I2025" s="92">
        <v>42649.468229166669</v>
      </c>
      <c r="J2025" s="92"/>
      <c r="K2025" s="92">
        <v>42649.471562500003</v>
      </c>
      <c r="L2025" s="92">
        <f>IF(AND(单词表[[#This Row],[学英]]&lt;&gt;"",单词表[[#This Row],[学中]]&lt;&gt;"",单词表[[#This Row],[学词]]&lt;&gt;""),MAX(单词表[[#This Row],[学英]:[学词]]),"")</f>
        <v>42649.468229166669</v>
      </c>
      <c r="M2025" s="2" t="str">
        <f>IF(AND(单词表[[#This Row],[考英]]&lt;&gt;"",单词表[[#This Row],[考中]]&lt;&gt;""),MAX(单词表[[#This Row],[考英]:[考中]]),"")</f>
        <v/>
      </c>
      <c r="N2025" s="79"/>
    </row>
    <row r="2026" spans="1:14" hidden="1" x14ac:dyDescent="0.15">
      <c r="A2026">
        <v>2026</v>
      </c>
      <c r="B2026" t="s">
        <v>35</v>
      </c>
      <c r="C2026" t="s">
        <v>10</v>
      </c>
      <c r="D2026" s="72" t="s">
        <v>767</v>
      </c>
      <c r="E2026" t="s">
        <v>36</v>
      </c>
      <c r="F2026" t="s">
        <v>3618</v>
      </c>
      <c r="G2026" s="92">
        <v>42649.468252314815</v>
      </c>
      <c r="H2026" s="92">
        <v>42649.468263888892</v>
      </c>
      <c r="I2026" s="92">
        <v>42649.468263888892</v>
      </c>
      <c r="J2026" s="92"/>
      <c r="K2026" s="92">
        <v>42649.471597222226</v>
      </c>
      <c r="L2026" s="92">
        <f>IF(AND(单词表[[#This Row],[学英]]&lt;&gt;"",单词表[[#This Row],[学中]]&lt;&gt;"",单词表[[#This Row],[学词]]&lt;&gt;""),MAX(单词表[[#This Row],[学英]:[学词]]),"")</f>
        <v>42649.468263888892</v>
      </c>
      <c r="M2026" s="2" t="str">
        <f>IF(AND(单词表[[#This Row],[考英]]&lt;&gt;"",单词表[[#This Row],[考中]]&lt;&gt;""),MAX(单词表[[#This Row],[考英]:[考中]]),"")</f>
        <v/>
      </c>
      <c r="N2026" s="79"/>
    </row>
    <row r="2027" spans="1:14" hidden="1" x14ac:dyDescent="0.15">
      <c r="A2027">
        <v>2027</v>
      </c>
      <c r="B2027" t="s">
        <v>35</v>
      </c>
      <c r="C2027" t="s">
        <v>10</v>
      </c>
      <c r="D2027" s="72" t="s">
        <v>2901</v>
      </c>
      <c r="E2027" t="s">
        <v>36</v>
      </c>
      <c r="F2027" t="s">
        <v>2902</v>
      </c>
      <c r="G2027" s="92">
        <v>42649.468344907407</v>
      </c>
      <c r="H2027" s="92">
        <v>42649.468356481484</v>
      </c>
      <c r="I2027" s="92">
        <v>42649.468344907407</v>
      </c>
      <c r="J2027" s="92"/>
      <c r="K2027" s="92">
        <v>42649.471631944441</v>
      </c>
      <c r="L2027" s="92">
        <f>IF(AND(单词表[[#This Row],[学英]]&lt;&gt;"",单词表[[#This Row],[学中]]&lt;&gt;"",单词表[[#This Row],[学词]]&lt;&gt;""),MAX(单词表[[#This Row],[学英]:[学词]]),"")</f>
        <v>42649.468356481484</v>
      </c>
      <c r="M2027" s="2" t="str">
        <f>IF(AND(单词表[[#This Row],[考英]]&lt;&gt;"",单词表[[#This Row],[考中]]&lt;&gt;""),MAX(单词表[[#This Row],[考英]:[考中]]),"")</f>
        <v/>
      </c>
      <c r="N2027" s="79"/>
    </row>
    <row r="2028" spans="1:14" hidden="1" x14ac:dyDescent="0.15">
      <c r="A2028">
        <v>2028</v>
      </c>
      <c r="B2028" t="s">
        <v>35</v>
      </c>
      <c r="C2028" t="s">
        <v>10</v>
      </c>
      <c r="D2028" s="72" t="s">
        <v>3619</v>
      </c>
      <c r="E2028" t="s">
        <v>359</v>
      </c>
      <c r="F2028" t="s">
        <v>3620</v>
      </c>
      <c r="G2028" s="92">
        <v>42649.468414351853</v>
      </c>
      <c r="H2028" s="92">
        <v>42649.504317129627</v>
      </c>
      <c r="I2028" s="92">
        <v>42649.504305555558</v>
      </c>
      <c r="J2028" s="92"/>
      <c r="K2028" s="92">
        <v>42649.504421296297</v>
      </c>
      <c r="L2028" s="92">
        <f>IF(AND(单词表[[#This Row],[学英]]&lt;&gt;"",单词表[[#This Row],[学中]]&lt;&gt;"",单词表[[#This Row],[学词]]&lt;&gt;""),MAX(单词表[[#This Row],[学英]:[学词]]),"")</f>
        <v>42649.504317129627</v>
      </c>
      <c r="M2028" s="2" t="str">
        <f>IF(AND(单词表[[#This Row],[考英]]&lt;&gt;"",单词表[[#This Row],[考中]]&lt;&gt;""),MAX(单词表[[#This Row],[考英]:[考中]]),"")</f>
        <v/>
      </c>
      <c r="N2028" s="79"/>
    </row>
    <row r="2029" spans="1:14" hidden="1" x14ac:dyDescent="0.15">
      <c r="A2029">
        <v>2029</v>
      </c>
      <c r="B2029" t="s">
        <v>35</v>
      </c>
      <c r="C2029" t="s">
        <v>10</v>
      </c>
      <c r="D2029" s="72" t="s">
        <v>204</v>
      </c>
      <c r="E2029" t="s">
        <v>1021</v>
      </c>
      <c r="F2029" t="s">
        <v>205</v>
      </c>
      <c r="G2029" s="92">
        <v>42649.468449074076</v>
      </c>
      <c r="H2029" s="92">
        <v>42649.468460648146</v>
      </c>
      <c r="I2029" s="92">
        <v>42649.468449074076</v>
      </c>
      <c r="J2029" s="92"/>
      <c r="K2029" s="92">
        <v>42649.471747685187</v>
      </c>
      <c r="L2029" s="92">
        <f>IF(AND(单词表[[#This Row],[学英]]&lt;&gt;"",单词表[[#This Row],[学中]]&lt;&gt;"",单词表[[#This Row],[学词]]&lt;&gt;""),MAX(单词表[[#This Row],[学英]:[学词]]),"")</f>
        <v>42649.468460648146</v>
      </c>
      <c r="M2029" s="2" t="str">
        <f>IF(AND(单词表[[#This Row],[考英]]&lt;&gt;"",单词表[[#This Row],[考中]]&lt;&gt;""),MAX(单词表[[#This Row],[考英]:[考中]]),"")</f>
        <v/>
      </c>
      <c r="N2029" s="79"/>
    </row>
    <row r="2030" spans="1:14" hidden="1" x14ac:dyDescent="0.15">
      <c r="A2030">
        <v>2030</v>
      </c>
      <c r="B2030" t="s">
        <v>35</v>
      </c>
      <c r="C2030" t="s">
        <v>10</v>
      </c>
      <c r="D2030" s="72" t="s">
        <v>3621</v>
      </c>
      <c r="E2030" t="s">
        <v>61</v>
      </c>
      <c r="F2030" t="s">
        <v>3622</v>
      </c>
      <c r="G2030" s="92">
        <v>42649.4684837963</v>
      </c>
      <c r="H2030" s="92">
        <v>42649.501828703702</v>
      </c>
      <c r="I2030" s="92">
        <v>42649.501828703702</v>
      </c>
      <c r="J2030" s="92"/>
      <c r="K2030" s="92">
        <v>42649.503425925926</v>
      </c>
      <c r="L2030" s="92">
        <f>IF(AND(单词表[[#This Row],[学英]]&lt;&gt;"",单词表[[#This Row],[学中]]&lt;&gt;"",单词表[[#This Row],[学词]]&lt;&gt;""),MAX(单词表[[#This Row],[学英]:[学词]]),"")</f>
        <v>42649.501828703702</v>
      </c>
      <c r="M2030" s="2" t="str">
        <f>IF(AND(单词表[[#This Row],[考英]]&lt;&gt;"",单词表[[#This Row],[考中]]&lt;&gt;""),MAX(单词表[[#This Row],[考英]:[考中]]),"")</f>
        <v/>
      </c>
      <c r="N2030" s="79"/>
    </row>
    <row r="2031" spans="1:14" hidden="1" x14ac:dyDescent="0.15">
      <c r="A2031">
        <v>2031</v>
      </c>
      <c r="B2031" t="s">
        <v>35</v>
      </c>
      <c r="C2031" t="s">
        <v>10</v>
      </c>
      <c r="D2031" s="72" t="s">
        <v>3623</v>
      </c>
      <c r="E2031" t="s">
        <v>61</v>
      </c>
      <c r="F2031" t="s">
        <v>3624</v>
      </c>
      <c r="G2031" s="92">
        <v>42649.468564814815</v>
      </c>
      <c r="H2031" s="92">
        <v>42649.468564814815</v>
      </c>
      <c r="I2031" s="92">
        <v>42649.468564814815</v>
      </c>
      <c r="J2031" s="92"/>
      <c r="K2031" s="92">
        <v>42649.472141203703</v>
      </c>
      <c r="L2031" s="92">
        <f>IF(AND(单词表[[#This Row],[学英]]&lt;&gt;"",单词表[[#This Row],[学中]]&lt;&gt;"",单词表[[#This Row],[学词]]&lt;&gt;""),MAX(单词表[[#This Row],[学英]:[学词]]),"")</f>
        <v>42649.468564814815</v>
      </c>
      <c r="M2031" s="2" t="str">
        <f>IF(AND(单词表[[#This Row],[考英]]&lt;&gt;"",单词表[[#This Row],[考中]]&lt;&gt;""),MAX(单词表[[#This Row],[考英]:[考中]]),"")</f>
        <v/>
      </c>
      <c r="N2031" s="79"/>
    </row>
    <row r="2032" spans="1:14" hidden="1" x14ac:dyDescent="0.15">
      <c r="A2032">
        <v>2032</v>
      </c>
      <c r="B2032" t="s">
        <v>35</v>
      </c>
      <c r="C2032" t="s">
        <v>10</v>
      </c>
      <c r="D2032" s="72" t="s">
        <v>3625</v>
      </c>
      <c r="E2032" t="s">
        <v>36</v>
      </c>
      <c r="F2032" t="s">
        <v>3626</v>
      </c>
      <c r="G2032" s="92">
        <v>42649.468877314815</v>
      </c>
      <c r="H2032" s="92">
        <v>42649.468900462962</v>
      </c>
      <c r="I2032" s="92">
        <v>42649.468888888892</v>
      </c>
      <c r="J2032" s="92"/>
      <c r="K2032" s="92">
        <v>42649.472175925926</v>
      </c>
      <c r="L2032" s="92">
        <f>IF(AND(单词表[[#This Row],[学英]]&lt;&gt;"",单词表[[#This Row],[学中]]&lt;&gt;"",单词表[[#This Row],[学词]]&lt;&gt;""),MAX(单词表[[#This Row],[学英]:[学词]]),"")</f>
        <v>42649.468900462962</v>
      </c>
      <c r="M2032" s="2" t="str">
        <f>IF(AND(单词表[[#This Row],[考英]]&lt;&gt;"",单词表[[#This Row],[考中]]&lt;&gt;""),MAX(单词表[[#This Row],[考英]:[考中]]),"")</f>
        <v/>
      </c>
      <c r="N2032" s="79"/>
    </row>
    <row r="2033" spans="1:14" hidden="1" x14ac:dyDescent="0.15">
      <c r="A2033">
        <v>2033</v>
      </c>
      <c r="B2033" t="s">
        <v>35</v>
      </c>
      <c r="C2033" t="s">
        <v>10</v>
      </c>
      <c r="D2033" s="72" t="s">
        <v>1466</v>
      </c>
      <c r="E2033" t="s">
        <v>36</v>
      </c>
      <c r="F2033" t="s">
        <v>1467</v>
      </c>
      <c r="G2033" s="92">
        <v>42649.468923611108</v>
      </c>
      <c r="H2033" s="92">
        <v>42649.501875000002</v>
      </c>
      <c r="I2033" s="92">
        <v>42649.501875000002</v>
      </c>
      <c r="J2033" s="92"/>
      <c r="K2033" s="92">
        <v>42649.503472222219</v>
      </c>
      <c r="L2033" s="92">
        <f>IF(AND(单词表[[#This Row],[学英]]&lt;&gt;"",单词表[[#This Row],[学中]]&lt;&gt;"",单词表[[#This Row],[学词]]&lt;&gt;""),MAX(单词表[[#This Row],[学英]:[学词]]),"")</f>
        <v>42649.501875000002</v>
      </c>
      <c r="M2033" s="2" t="str">
        <f>IF(AND(单词表[[#This Row],[考英]]&lt;&gt;"",单词表[[#This Row],[考中]]&lt;&gt;""),MAX(单词表[[#This Row],[考英]:[考中]]),"")</f>
        <v/>
      </c>
      <c r="N2033" s="79"/>
    </row>
    <row r="2034" spans="1:14" hidden="1" x14ac:dyDescent="0.15">
      <c r="A2034">
        <v>2034</v>
      </c>
      <c r="B2034" t="s">
        <v>35</v>
      </c>
      <c r="C2034" t="s">
        <v>10</v>
      </c>
      <c r="D2034" s="72" t="s">
        <v>3627</v>
      </c>
      <c r="E2034" t="s">
        <v>61</v>
      </c>
      <c r="F2034" t="s">
        <v>3628</v>
      </c>
      <c r="G2034" s="92">
        <v>42649.469004629631</v>
      </c>
      <c r="H2034" s="92">
        <v>42649.501921296294</v>
      </c>
      <c r="I2034" s="92">
        <v>42649.501898148148</v>
      </c>
      <c r="J2034" s="92"/>
      <c r="K2034" s="92">
        <v>42649.503518518519</v>
      </c>
      <c r="L2034" s="92">
        <f>IF(AND(单词表[[#This Row],[学英]]&lt;&gt;"",单词表[[#This Row],[学中]]&lt;&gt;"",单词表[[#This Row],[学词]]&lt;&gt;""),MAX(单词表[[#This Row],[学英]:[学词]]),"")</f>
        <v>42649.501921296294</v>
      </c>
      <c r="M2034" s="2" t="str">
        <f>IF(AND(单词表[[#This Row],[考英]]&lt;&gt;"",单词表[[#This Row],[考中]]&lt;&gt;""),MAX(单词表[[#This Row],[考英]:[考中]]),"")</f>
        <v/>
      </c>
      <c r="N2034" s="79"/>
    </row>
    <row r="2035" spans="1:14" hidden="1" x14ac:dyDescent="0.15">
      <c r="A2035">
        <v>2035</v>
      </c>
      <c r="B2035" t="s">
        <v>35</v>
      </c>
      <c r="C2035" t="s">
        <v>10</v>
      </c>
      <c r="D2035" s="72" t="s">
        <v>2990</v>
      </c>
      <c r="E2035" t="s">
        <v>36</v>
      </c>
      <c r="F2035" t="s">
        <v>3629</v>
      </c>
      <c r="G2035" s="92">
        <v>42649.469074074077</v>
      </c>
      <c r="H2035" s="92">
        <v>42649.469085648147</v>
      </c>
      <c r="I2035" s="92">
        <v>42649.469074074077</v>
      </c>
      <c r="J2035" s="92"/>
      <c r="K2035" s="92">
        <v>42649.472453703704</v>
      </c>
      <c r="L2035" s="92">
        <f>IF(AND(单词表[[#This Row],[学英]]&lt;&gt;"",单词表[[#This Row],[学中]]&lt;&gt;"",单词表[[#This Row],[学词]]&lt;&gt;""),MAX(单词表[[#This Row],[学英]:[学词]]),"")</f>
        <v>42649.469085648147</v>
      </c>
      <c r="M2035" s="2" t="str">
        <f>IF(AND(单词表[[#This Row],[考英]]&lt;&gt;"",单词表[[#This Row],[考中]]&lt;&gt;""),MAX(单词表[[#This Row],[考英]:[考中]]),"")</f>
        <v/>
      </c>
      <c r="N2035" s="79"/>
    </row>
    <row r="2036" spans="1:14" hidden="1" x14ac:dyDescent="0.15">
      <c r="A2036">
        <v>2036</v>
      </c>
      <c r="B2036" t="s">
        <v>35</v>
      </c>
      <c r="C2036" t="s">
        <v>10</v>
      </c>
      <c r="D2036" s="72" t="s">
        <v>3630</v>
      </c>
      <c r="E2036" t="s">
        <v>73</v>
      </c>
      <c r="F2036" t="s">
        <v>3631</v>
      </c>
      <c r="G2036" s="92">
        <v>42649.469155092593</v>
      </c>
      <c r="H2036" s="92">
        <v>42649.469166666669</v>
      </c>
      <c r="I2036" s="92">
        <v>42649.469155092593</v>
      </c>
      <c r="J2036" s="92"/>
      <c r="K2036" s="92">
        <v>42649.472488425927</v>
      </c>
      <c r="L2036" s="92">
        <f>IF(AND(单词表[[#This Row],[学英]]&lt;&gt;"",单词表[[#This Row],[学中]]&lt;&gt;"",单词表[[#This Row],[学词]]&lt;&gt;""),MAX(单词表[[#This Row],[学英]:[学词]]),"")</f>
        <v>42649.469166666669</v>
      </c>
      <c r="M2036" s="2" t="str">
        <f>IF(AND(单词表[[#This Row],[考英]]&lt;&gt;"",单词表[[#This Row],[考中]]&lt;&gt;""),MAX(单词表[[#This Row],[考英]:[考中]]),"")</f>
        <v/>
      </c>
      <c r="N2036" s="79"/>
    </row>
    <row r="2037" spans="1:14" hidden="1" x14ac:dyDescent="0.15">
      <c r="A2037">
        <v>2037</v>
      </c>
      <c r="B2037" t="s">
        <v>35</v>
      </c>
      <c r="C2037" t="s">
        <v>10</v>
      </c>
      <c r="D2037" s="72" t="s">
        <v>3632</v>
      </c>
      <c r="E2037" t="s">
        <v>36</v>
      </c>
      <c r="F2037" t="s">
        <v>3633</v>
      </c>
      <c r="G2037" s="92">
        <v>42649.469201388885</v>
      </c>
      <c r="H2037" s="92">
        <v>42649.501979166664</v>
      </c>
      <c r="I2037" s="92">
        <v>42649.501967592594</v>
      </c>
      <c r="J2037" s="92"/>
      <c r="K2037" s="92">
        <v>42649.503553240742</v>
      </c>
      <c r="L2037" s="92">
        <f>IF(AND(单词表[[#This Row],[学英]]&lt;&gt;"",单词表[[#This Row],[学中]]&lt;&gt;"",单词表[[#This Row],[学词]]&lt;&gt;""),MAX(单词表[[#This Row],[学英]:[学词]]),"")</f>
        <v>42649.501979166664</v>
      </c>
      <c r="M2037" s="2" t="str">
        <f>IF(AND(单词表[[#This Row],[考英]]&lt;&gt;"",单词表[[#This Row],[考中]]&lt;&gt;""),MAX(单词表[[#This Row],[考英]:[考中]]),"")</f>
        <v/>
      </c>
      <c r="N2037" s="79"/>
    </row>
    <row r="2038" spans="1:14" hidden="1" x14ac:dyDescent="0.15">
      <c r="A2038">
        <v>2038</v>
      </c>
      <c r="B2038" t="s">
        <v>35</v>
      </c>
      <c r="C2038" t="s">
        <v>10</v>
      </c>
      <c r="D2038" s="72" t="s">
        <v>1294</v>
      </c>
      <c r="E2038" t="s">
        <v>73</v>
      </c>
      <c r="F2038" t="s">
        <v>3634</v>
      </c>
      <c r="G2038" s="92">
        <v>42649.469236111108</v>
      </c>
      <c r="H2038" s="92">
        <v>42649.469247685185</v>
      </c>
      <c r="I2038" s="92">
        <v>42649.469247685185</v>
      </c>
      <c r="J2038" s="92"/>
      <c r="K2038" s="92">
        <v>42649.472615740742</v>
      </c>
      <c r="L2038" s="92">
        <f>IF(AND(单词表[[#This Row],[学英]]&lt;&gt;"",单词表[[#This Row],[学中]]&lt;&gt;"",单词表[[#This Row],[学词]]&lt;&gt;""),MAX(单词表[[#This Row],[学英]:[学词]]),"")</f>
        <v>42649.469247685185</v>
      </c>
      <c r="M2038" s="2" t="str">
        <f>IF(AND(单词表[[#This Row],[考英]]&lt;&gt;"",单词表[[#This Row],[考中]]&lt;&gt;""),MAX(单词表[[#This Row],[考英]:[考中]]),"")</f>
        <v/>
      </c>
      <c r="N2038" s="79"/>
    </row>
    <row r="2039" spans="1:14" hidden="1" x14ac:dyDescent="0.15">
      <c r="A2039">
        <v>2039</v>
      </c>
      <c r="B2039" t="s">
        <v>35</v>
      </c>
      <c r="C2039" t="s">
        <v>10</v>
      </c>
      <c r="D2039" s="72" t="s">
        <v>2412</v>
      </c>
      <c r="E2039" t="s">
        <v>36</v>
      </c>
      <c r="F2039" t="s">
        <v>3635</v>
      </c>
      <c r="G2039" s="92">
        <v>42649.469270833331</v>
      </c>
      <c r="H2039" s="92">
        <v>42649.469282407408</v>
      </c>
      <c r="I2039" s="92">
        <v>42649.469282407408</v>
      </c>
      <c r="J2039" s="92"/>
      <c r="K2039" s="92">
        <v>42649.472650462965</v>
      </c>
      <c r="L2039" s="92">
        <f>IF(AND(单词表[[#This Row],[学英]]&lt;&gt;"",单词表[[#This Row],[学中]]&lt;&gt;"",单词表[[#This Row],[学词]]&lt;&gt;""),MAX(单词表[[#This Row],[学英]:[学词]]),"")</f>
        <v>42649.469282407408</v>
      </c>
      <c r="M2039" s="2" t="str">
        <f>IF(AND(单词表[[#This Row],[考英]]&lt;&gt;"",单词表[[#This Row],[考中]]&lt;&gt;""),MAX(单词表[[#This Row],[考英]:[考中]]),"")</f>
        <v/>
      </c>
      <c r="N2039" s="79"/>
    </row>
    <row r="2040" spans="1:14" hidden="1" x14ac:dyDescent="0.15">
      <c r="A2040">
        <v>2040</v>
      </c>
      <c r="B2040" t="s">
        <v>35</v>
      </c>
      <c r="C2040" t="s">
        <v>10</v>
      </c>
      <c r="D2040" s="72" t="s">
        <v>3636</v>
      </c>
      <c r="E2040" t="s">
        <v>36</v>
      </c>
      <c r="F2040" t="s">
        <v>3637</v>
      </c>
      <c r="G2040" s="92">
        <v>42649.469305555554</v>
      </c>
      <c r="H2040" s="92">
        <v>42649.502060185187</v>
      </c>
      <c r="I2040" s="92">
        <v>42649.502060185187</v>
      </c>
      <c r="J2040" s="92"/>
      <c r="K2040" s="92">
        <v>42649.503761574073</v>
      </c>
      <c r="L2040" s="92">
        <f>IF(AND(单词表[[#This Row],[学英]]&lt;&gt;"",单词表[[#This Row],[学中]]&lt;&gt;"",单词表[[#This Row],[学词]]&lt;&gt;""),MAX(单词表[[#This Row],[学英]:[学词]]),"")</f>
        <v>42649.502060185187</v>
      </c>
      <c r="M2040" s="2" t="str">
        <f>IF(AND(单词表[[#This Row],[考英]]&lt;&gt;"",单词表[[#This Row],[考中]]&lt;&gt;""),MAX(单词表[[#This Row],[考英]:[考中]]),"")</f>
        <v/>
      </c>
      <c r="N2040" s="79"/>
    </row>
    <row r="2041" spans="1:14" hidden="1" x14ac:dyDescent="0.15">
      <c r="A2041">
        <v>2041</v>
      </c>
      <c r="B2041" t="s">
        <v>35</v>
      </c>
      <c r="C2041" t="s">
        <v>10</v>
      </c>
      <c r="D2041" s="72" t="s">
        <v>2851</v>
      </c>
      <c r="E2041" t="s">
        <v>36</v>
      </c>
      <c r="F2041" t="s">
        <v>3638</v>
      </c>
      <c r="G2041" s="92">
        <v>42649.469398148147</v>
      </c>
      <c r="H2041" s="92">
        <v>42649.502152777779</v>
      </c>
      <c r="I2041" s="92">
        <v>42649.502141203702</v>
      </c>
      <c r="J2041" s="92"/>
      <c r="K2041" s="92">
        <v>42649.503796296296</v>
      </c>
      <c r="L2041" s="92">
        <f>IF(AND(单词表[[#This Row],[学英]]&lt;&gt;"",单词表[[#This Row],[学中]]&lt;&gt;"",单词表[[#This Row],[学词]]&lt;&gt;""),MAX(单词表[[#This Row],[学英]:[学词]]),"")</f>
        <v>42649.502152777779</v>
      </c>
      <c r="M2041" s="2" t="str">
        <f>IF(AND(单词表[[#This Row],[考英]]&lt;&gt;"",单词表[[#This Row],[考中]]&lt;&gt;""),MAX(单词表[[#This Row],[考英]:[考中]]),"")</f>
        <v/>
      </c>
      <c r="N2041" s="79"/>
    </row>
    <row r="2042" spans="1:14" hidden="1" x14ac:dyDescent="0.15">
      <c r="A2042">
        <v>2042</v>
      </c>
      <c r="B2042" t="s">
        <v>35</v>
      </c>
      <c r="C2042" t="s">
        <v>10</v>
      </c>
      <c r="D2042" s="72" t="s">
        <v>3639</v>
      </c>
      <c r="E2042" t="s">
        <v>36</v>
      </c>
      <c r="F2042" t="s">
        <v>3640</v>
      </c>
      <c r="G2042" s="92">
        <v>42649.469444444447</v>
      </c>
      <c r="H2042" s="92">
        <v>42649.504340277781</v>
      </c>
      <c r="I2042" s="92">
        <v>42649.504328703704</v>
      </c>
      <c r="J2042" s="92"/>
      <c r="K2042" s="92">
        <v>42649.50445601852</v>
      </c>
      <c r="L2042" s="92">
        <f>IF(AND(单词表[[#This Row],[学英]]&lt;&gt;"",单词表[[#This Row],[学中]]&lt;&gt;"",单词表[[#This Row],[学词]]&lt;&gt;""),MAX(单词表[[#This Row],[学英]:[学词]]),"")</f>
        <v>42649.504340277781</v>
      </c>
      <c r="M2042" s="2" t="str">
        <f>IF(AND(单词表[[#This Row],[考英]]&lt;&gt;"",单词表[[#This Row],[考中]]&lt;&gt;""),MAX(单词表[[#This Row],[考英]:[考中]]),"")</f>
        <v/>
      </c>
      <c r="N2042" s="79"/>
    </row>
    <row r="2043" spans="1:14" hidden="1" x14ac:dyDescent="0.15">
      <c r="A2043">
        <v>2043</v>
      </c>
      <c r="B2043" t="s">
        <v>35</v>
      </c>
      <c r="C2043" t="s">
        <v>10</v>
      </c>
      <c r="D2043" s="72" t="s">
        <v>68</v>
      </c>
      <c r="E2043" t="s">
        <v>36</v>
      </c>
      <c r="F2043" t="s">
        <v>69</v>
      </c>
      <c r="G2043" s="92">
        <v>42649.469525462962</v>
      </c>
      <c r="H2043" s="92">
        <v>42649.469537037039</v>
      </c>
      <c r="I2043" s="92">
        <v>42649.469537037039</v>
      </c>
      <c r="J2043" s="92"/>
      <c r="K2043" s="92">
        <v>42649.472858796296</v>
      </c>
      <c r="L2043" s="92">
        <f>IF(AND(单词表[[#This Row],[学英]]&lt;&gt;"",单词表[[#This Row],[学中]]&lt;&gt;"",单词表[[#This Row],[学词]]&lt;&gt;""),MAX(单词表[[#This Row],[学英]:[学词]]),"")</f>
        <v>42649.469537037039</v>
      </c>
      <c r="M2043" s="2" t="str">
        <f>IF(AND(单词表[[#This Row],[考英]]&lt;&gt;"",单词表[[#This Row],[考中]]&lt;&gt;""),MAX(单词表[[#This Row],[考英]:[考中]]),"")</f>
        <v/>
      </c>
      <c r="N2043" s="79"/>
    </row>
    <row r="2044" spans="1:14" hidden="1" x14ac:dyDescent="0.15">
      <c r="A2044">
        <v>2044</v>
      </c>
      <c r="B2044" t="s">
        <v>35</v>
      </c>
      <c r="C2044" t="s">
        <v>10</v>
      </c>
      <c r="D2044" s="72" t="s">
        <v>3641</v>
      </c>
      <c r="E2044" t="s">
        <v>73</v>
      </c>
      <c r="F2044" t="s">
        <v>3642</v>
      </c>
      <c r="G2044" s="92">
        <v>42649.469571759262</v>
      </c>
      <c r="H2044" s="92">
        <v>42649.502245370371</v>
      </c>
      <c r="I2044" s="92">
        <v>42649.502245370371</v>
      </c>
      <c r="J2044" s="92"/>
      <c r="K2044" s="92">
        <v>42649.503912037035</v>
      </c>
      <c r="L2044" s="92">
        <f>IF(AND(单词表[[#This Row],[学英]]&lt;&gt;"",单词表[[#This Row],[学中]]&lt;&gt;"",单词表[[#This Row],[学词]]&lt;&gt;""),MAX(单词表[[#This Row],[学英]:[学词]]),"")</f>
        <v>42649.502245370371</v>
      </c>
      <c r="M2044" s="2" t="str">
        <f>IF(AND(单词表[[#This Row],[考英]]&lt;&gt;"",单词表[[#This Row],[考中]]&lt;&gt;""),MAX(单词表[[#This Row],[考英]:[考中]]),"")</f>
        <v/>
      </c>
      <c r="N2044" s="79"/>
    </row>
    <row r="2045" spans="1:14" hidden="1" x14ac:dyDescent="0.15">
      <c r="A2045">
        <v>2045</v>
      </c>
      <c r="B2045" t="s">
        <v>35</v>
      </c>
      <c r="C2045" t="s">
        <v>10</v>
      </c>
      <c r="D2045" s="72" t="s">
        <v>2358</v>
      </c>
      <c r="E2045" t="s">
        <v>36</v>
      </c>
      <c r="F2045" t="s">
        <v>3643</v>
      </c>
      <c r="G2045" s="92">
        <v>42649.469687500001</v>
      </c>
      <c r="H2045" s="92">
        <v>42649.469699074078</v>
      </c>
      <c r="I2045" s="92">
        <v>42649.469687500001</v>
      </c>
      <c r="J2045" s="92"/>
      <c r="K2045" s="92">
        <v>42649.472962962966</v>
      </c>
      <c r="L2045" s="92">
        <f>IF(AND(单词表[[#This Row],[学英]]&lt;&gt;"",单词表[[#This Row],[学中]]&lt;&gt;"",单词表[[#This Row],[学词]]&lt;&gt;""),MAX(单词表[[#This Row],[学英]:[学词]]),"")</f>
        <v>42649.469699074078</v>
      </c>
      <c r="M2045" s="2" t="str">
        <f>IF(AND(单词表[[#This Row],[考英]]&lt;&gt;"",单词表[[#This Row],[考中]]&lt;&gt;""),MAX(单词表[[#This Row],[考英]:[考中]]),"")</f>
        <v/>
      </c>
      <c r="N2045" s="79"/>
    </row>
    <row r="2046" spans="1:14" hidden="1" x14ac:dyDescent="0.15">
      <c r="A2046">
        <v>2046</v>
      </c>
      <c r="B2046" t="s">
        <v>35</v>
      </c>
      <c r="C2046" t="s">
        <v>10</v>
      </c>
      <c r="D2046" s="72" t="s">
        <v>3644</v>
      </c>
      <c r="E2046" t="s">
        <v>36</v>
      </c>
      <c r="F2046" t="s">
        <v>3645</v>
      </c>
      <c r="G2046" s="92">
        <v>42649.469722222224</v>
      </c>
      <c r="H2046" s="92">
        <v>42649.502326388887</v>
      </c>
      <c r="I2046" s="92">
        <v>42649.502314814818</v>
      </c>
      <c r="J2046" s="92"/>
      <c r="K2046" s="92">
        <v>42649.503958333335</v>
      </c>
      <c r="L2046" s="92">
        <f>IF(AND(单词表[[#This Row],[学英]]&lt;&gt;"",单词表[[#This Row],[学中]]&lt;&gt;"",单词表[[#This Row],[学词]]&lt;&gt;""),MAX(单词表[[#This Row],[学英]:[学词]]),"")</f>
        <v>42649.502326388887</v>
      </c>
      <c r="M2046" s="2" t="str">
        <f>IF(AND(单词表[[#This Row],[考英]]&lt;&gt;"",单词表[[#This Row],[考中]]&lt;&gt;""),MAX(单词表[[#This Row],[考英]:[考中]]),"")</f>
        <v/>
      </c>
      <c r="N2046" s="79"/>
    </row>
    <row r="2047" spans="1:14" hidden="1" x14ac:dyDescent="0.15">
      <c r="A2047">
        <v>2047</v>
      </c>
      <c r="B2047" t="s">
        <v>35</v>
      </c>
      <c r="C2047" t="s">
        <v>10</v>
      </c>
      <c r="D2047" s="72" t="s">
        <v>914</v>
      </c>
      <c r="E2047" t="s">
        <v>73</v>
      </c>
      <c r="F2047" t="s">
        <v>3646</v>
      </c>
      <c r="G2047" s="92">
        <v>42649.46979166667</v>
      </c>
      <c r="H2047" s="92">
        <v>42649.46980324074</v>
      </c>
      <c r="I2047" s="92">
        <v>42649.46979166667</v>
      </c>
      <c r="J2047" s="92"/>
      <c r="K2047" s="92">
        <v>42649.473043981481</v>
      </c>
      <c r="L2047" s="92">
        <f>IF(AND(单词表[[#This Row],[学英]]&lt;&gt;"",单词表[[#This Row],[学中]]&lt;&gt;"",单词表[[#This Row],[学词]]&lt;&gt;""),MAX(单词表[[#This Row],[学英]:[学词]]),"")</f>
        <v>42649.46980324074</v>
      </c>
      <c r="M2047" s="2" t="str">
        <f>IF(AND(单词表[[#This Row],[考英]]&lt;&gt;"",单词表[[#This Row],[考中]]&lt;&gt;""),MAX(单词表[[#This Row],[考英]:[考中]]),"")</f>
        <v/>
      </c>
      <c r="N2047" s="79"/>
    </row>
    <row r="2048" spans="1:14" hidden="1" x14ac:dyDescent="0.15">
      <c r="A2048">
        <v>2048</v>
      </c>
      <c r="B2048" t="s">
        <v>35</v>
      </c>
      <c r="C2048" t="s">
        <v>10</v>
      </c>
      <c r="D2048" s="72" t="s">
        <v>3647</v>
      </c>
      <c r="E2048" t="s">
        <v>36</v>
      </c>
      <c r="F2048" t="s">
        <v>3648</v>
      </c>
      <c r="G2048" s="92">
        <v>42649.469826388886</v>
      </c>
      <c r="H2048" s="92">
        <v>42649.502430555556</v>
      </c>
      <c r="I2048" s="92">
        <v>42649.502418981479</v>
      </c>
      <c r="J2048" s="92"/>
      <c r="K2048" s="92">
        <v>42649.504108796296</v>
      </c>
      <c r="L2048" s="92">
        <f>IF(AND(单词表[[#This Row],[学英]]&lt;&gt;"",单词表[[#This Row],[学中]]&lt;&gt;"",单词表[[#This Row],[学词]]&lt;&gt;""),MAX(单词表[[#This Row],[学英]:[学词]]),"")</f>
        <v>42649.502430555556</v>
      </c>
      <c r="M2048" s="2" t="str">
        <f>IF(AND(单词表[[#This Row],[考英]]&lt;&gt;"",单词表[[#This Row],[考中]]&lt;&gt;""),MAX(单词表[[#This Row],[考英]:[考中]]),"")</f>
        <v/>
      </c>
      <c r="N2048" s="79"/>
    </row>
    <row r="2049" spans="1:14" hidden="1" x14ac:dyDescent="0.15">
      <c r="A2049">
        <v>2049</v>
      </c>
      <c r="B2049" t="s">
        <v>35</v>
      </c>
      <c r="C2049" t="s">
        <v>10</v>
      </c>
      <c r="D2049" s="72" t="s">
        <v>3649</v>
      </c>
      <c r="E2049" t="s">
        <v>36</v>
      </c>
      <c r="F2049" t="s">
        <v>3650</v>
      </c>
      <c r="G2049" s="92">
        <v>42649.469861111109</v>
      </c>
      <c r="H2049" s="92">
        <v>42649.502476851849</v>
      </c>
      <c r="I2049" s="92">
        <v>42649.502476851849</v>
      </c>
      <c r="J2049" s="92"/>
      <c r="K2049" s="92">
        <v>42649.504155092596</v>
      </c>
      <c r="L2049" s="92">
        <f>IF(AND(单词表[[#This Row],[学英]]&lt;&gt;"",单词表[[#This Row],[学中]]&lt;&gt;"",单词表[[#This Row],[学词]]&lt;&gt;""),MAX(单词表[[#This Row],[学英]:[学词]]),"")</f>
        <v>42649.502476851849</v>
      </c>
      <c r="M2049" s="2" t="str">
        <f>IF(AND(单词表[[#This Row],[考英]]&lt;&gt;"",单词表[[#This Row],[考中]]&lt;&gt;""),MAX(单词表[[#This Row],[考英]:[考中]]),"")</f>
        <v/>
      </c>
      <c r="N2049" s="79"/>
    </row>
    <row r="2050" spans="1:14" hidden="1" x14ac:dyDescent="0.15">
      <c r="A2050">
        <v>2050</v>
      </c>
      <c r="B2050" t="s">
        <v>35</v>
      </c>
      <c r="C2050" t="s">
        <v>10</v>
      </c>
      <c r="D2050" s="72" t="s">
        <v>3651</v>
      </c>
      <c r="E2050" t="s">
        <v>36</v>
      </c>
      <c r="F2050" t="s">
        <v>3652</v>
      </c>
      <c r="G2050" s="92">
        <v>42649.469884259262</v>
      </c>
      <c r="H2050" s="92">
        <v>42649.469918981478</v>
      </c>
      <c r="I2050" s="92">
        <v>42649.469895833332</v>
      </c>
      <c r="J2050" s="92"/>
      <c r="K2050" s="92">
        <v>42649.47320601852</v>
      </c>
      <c r="L2050" s="92">
        <f>IF(AND(单词表[[#This Row],[学英]]&lt;&gt;"",单词表[[#This Row],[学中]]&lt;&gt;"",单词表[[#This Row],[学词]]&lt;&gt;""),MAX(单词表[[#This Row],[学英]:[学词]]),"")</f>
        <v>42649.469918981478</v>
      </c>
      <c r="M2050" s="2" t="str">
        <f>IF(AND(单词表[[#This Row],[考英]]&lt;&gt;"",单词表[[#This Row],[考中]]&lt;&gt;""),MAX(单词表[[#This Row],[考英]:[考中]]),"")</f>
        <v/>
      </c>
      <c r="N2050" s="79"/>
    </row>
    <row r="2051" spans="1:14" hidden="1" x14ac:dyDescent="0.15">
      <c r="A2051">
        <v>2051</v>
      </c>
      <c r="B2051" t="s">
        <v>35</v>
      </c>
      <c r="C2051" t="s">
        <v>10</v>
      </c>
      <c r="D2051" s="72" t="s">
        <v>3653</v>
      </c>
      <c r="E2051" t="s">
        <v>36</v>
      </c>
      <c r="F2051" t="s">
        <v>3654</v>
      </c>
      <c r="G2051" s="92">
        <v>42649.469953703701</v>
      </c>
      <c r="H2051" s="92">
        <v>42649.502581018518</v>
      </c>
      <c r="I2051" s="92">
        <v>42649.502581018518</v>
      </c>
      <c r="J2051" s="92"/>
      <c r="K2051" s="92">
        <v>42649.504189814812</v>
      </c>
      <c r="L2051" s="92">
        <f>IF(AND(单词表[[#This Row],[学英]]&lt;&gt;"",单词表[[#This Row],[学中]]&lt;&gt;"",单词表[[#This Row],[学词]]&lt;&gt;""),MAX(单词表[[#This Row],[学英]:[学词]]),"")</f>
        <v>42649.502581018518</v>
      </c>
      <c r="M2051" s="2" t="str">
        <f>IF(AND(单词表[[#This Row],[考英]]&lt;&gt;"",单词表[[#This Row],[考中]]&lt;&gt;""),MAX(单词表[[#This Row],[考英]:[考中]]),"")</f>
        <v/>
      </c>
      <c r="N2051" s="79"/>
    </row>
    <row r="2052" spans="1:14" hidden="1" x14ac:dyDescent="0.15">
      <c r="A2052">
        <v>2052</v>
      </c>
      <c r="B2052" t="s">
        <v>35</v>
      </c>
      <c r="C2052" t="s">
        <v>10</v>
      </c>
      <c r="D2052" s="72" t="s">
        <v>2655</v>
      </c>
      <c r="E2052" t="s">
        <v>36</v>
      </c>
      <c r="F2052" t="s">
        <v>3655</v>
      </c>
      <c r="G2052" s="92">
        <v>42649.470011574071</v>
      </c>
      <c r="H2052" s="92">
        <v>42649.470023148147</v>
      </c>
      <c r="I2052" s="92">
        <v>42649.470011574071</v>
      </c>
      <c r="J2052" s="92"/>
      <c r="K2052" s="92">
        <v>42649.473310185182</v>
      </c>
      <c r="L2052" s="92">
        <f>IF(AND(单词表[[#This Row],[学英]]&lt;&gt;"",单词表[[#This Row],[学中]]&lt;&gt;"",单词表[[#This Row],[学词]]&lt;&gt;""),MAX(单词表[[#This Row],[学英]:[学词]]),"")</f>
        <v>42649.470023148147</v>
      </c>
      <c r="M2052" s="2" t="str">
        <f>IF(AND(单词表[[#This Row],[考英]]&lt;&gt;"",单词表[[#This Row],[考中]]&lt;&gt;""),MAX(单词表[[#This Row],[考英]:[考中]]),"")</f>
        <v/>
      </c>
      <c r="N2052" s="79"/>
    </row>
    <row r="2053" spans="1:14" hidden="1" x14ac:dyDescent="0.15">
      <c r="A2053">
        <v>2053</v>
      </c>
      <c r="B2053" t="s">
        <v>35</v>
      </c>
      <c r="C2053" t="s">
        <v>11</v>
      </c>
      <c r="D2053" s="72" t="s">
        <v>1494</v>
      </c>
      <c r="E2053" t="s">
        <v>36</v>
      </c>
      <c r="F2053" t="s">
        <v>3656</v>
      </c>
      <c r="G2053" s="92">
        <v>42650.417337962965</v>
      </c>
      <c r="H2053" s="92">
        <v>42650.417349537034</v>
      </c>
      <c r="I2053" s="92">
        <v>42650.417337962965</v>
      </c>
      <c r="J2053" s="92"/>
      <c r="K2053" s="92">
        <v>42650.418402777781</v>
      </c>
      <c r="L2053" s="92">
        <f>IF(AND(单词表[[#This Row],[学英]]&lt;&gt;"",单词表[[#This Row],[学中]]&lt;&gt;"",单词表[[#This Row],[学词]]&lt;&gt;""),MAX(单词表[[#This Row],[学英]:[学词]]),"")</f>
        <v>42650.417349537034</v>
      </c>
      <c r="M2053" s="2" t="str">
        <f>IF(AND(单词表[[#This Row],[考英]]&lt;&gt;"",单词表[[#This Row],[考中]]&lt;&gt;""),MAX(单词表[[#This Row],[考英]:[考中]]),"")</f>
        <v/>
      </c>
      <c r="N2053" s="79"/>
    </row>
    <row r="2054" spans="1:14" hidden="1" x14ac:dyDescent="0.15">
      <c r="A2054">
        <v>2054</v>
      </c>
      <c r="B2054" t="s">
        <v>35</v>
      </c>
      <c r="C2054" t="s">
        <v>11</v>
      </c>
      <c r="D2054" s="72" t="s">
        <v>1566</v>
      </c>
      <c r="E2054" t="s">
        <v>36</v>
      </c>
      <c r="F2054" t="s">
        <v>3657</v>
      </c>
      <c r="G2054" s="92">
        <v>42650.417372685188</v>
      </c>
      <c r="H2054" s="92">
        <v>42650.417384259257</v>
      </c>
      <c r="I2054" s="92">
        <v>42650.417372685188</v>
      </c>
      <c r="J2054" s="92"/>
      <c r="K2054" s="92">
        <v>42650.418449074074</v>
      </c>
      <c r="L2054" s="92">
        <f>IF(AND(单词表[[#This Row],[学英]]&lt;&gt;"",单词表[[#This Row],[学中]]&lt;&gt;"",单词表[[#This Row],[学词]]&lt;&gt;""),MAX(单词表[[#This Row],[学英]:[学词]]),"")</f>
        <v>42650.417384259257</v>
      </c>
      <c r="M2054" s="2" t="str">
        <f>IF(AND(单词表[[#This Row],[考英]]&lt;&gt;"",单词表[[#This Row],[考中]]&lt;&gt;""),MAX(单词表[[#This Row],[考英]:[考中]]),"")</f>
        <v/>
      </c>
      <c r="N2054" s="79"/>
    </row>
    <row r="2055" spans="1:14" hidden="1" x14ac:dyDescent="0.15">
      <c r="A2055">
        <v>2055</v>
      </c>
      <c r="B2055" t="s">
        <v>35</v>
      </c>
      <c r="C2055" t="s">
        <v>11</v>
      </c>
      <c r="D2055" s="72" t="s">
        <v>3658</v>
      </c>
      <c r="E2055" t="s">
        <v>36</v>
      </c>
      <c r="F2055" t="s">
        <v>5530</v>
      </c>
      <c r="G2055" s="92">
        <v>42650.417407407411</v>
      </c>
      <c r="H2055" s="92">
        <v>42650.419768518521</v>
      </c>
      <c r="I2055" s="92">
        <v>42650.419756944444</v>
      </c>
      <c r="J2055" s="92"/>
      <c r="K2055" s="92">
        <v>42650.420243055552</v>
      </c>
      <c r="L2055" s="92">
        <f>IF(AND(单词表[[#This Row],[学英]]&lt;&gt;"",单词表[[#This Row],[学中]]&lt;&gt;"",单词表[[#This Row],[学词]]&lt;&gt;""),MAX(单词表[[#This Row],[学英]:[学词]]),"")</f>
        <v>42650.419768518521</v>
      </c>
      <c r="M2055" s="2" t="str">
        <f>IF(AND(单词表[[#This Row],[考英]]&lt;&gt;"",单词表[[#This Row],[考中]]&lt;&gt;""),MAX(单词表[[#This Row],[考英]:[考中]]),"")</f>
        <v/>
      </c>
      <c r="N2055" s="79"/>
    </row>
    <row r="2056" spans="1:14" hidden="1" x14ac:dyDescent="0.15">
      <c r="A2056">
        <v>2056</v>
      </c>
      <c r="B2056" t="s">
        <v>35</v>
      </c>
      <c r="C2056" t="s">
        <v>11</v>
      </c>
      <c r="D2056" s="72" t="s">
        <v>3659</v>
      </c>
      <c r="E2056" t="s">
        <v>36</v>
      </c>
      <c r="F2056" t="s">
        <v>3660</v>
      </c>
      <c r="G2056" s="92">
        <v>42650.417453703703</v>
      </c>
      <c r="H2056" s="92">
        <v>42650.419791666667</v>
      </c>
      <c r="I2056" s="92">
        <v>42650.419791666667</v>
      </c>
      <c r="J2056" s="92"/>
      <c r="K2056" s="92">
        <v>42650.420266203706</v>
      </c>
      <c r="L2056" s="92">
        <f>IF(AND(单词表[[#This Row],[学英]]&lt;&gt;"",单词表[[#This Row],[学中]]&lt;&gt;"",单词表[[#This Row],[学词]]&lt;&gt;""),MAX(单词表[[#This Row],[学英]:[学词]]),"")</f>
        <v>42650.419791666667</v>
      </c>
      <c r="M2056" s="2" t="str">
        <f>IF(AND(单词表[[#This Row],[考英]]&lt;&gt;"",单词表[[#This Row],[考中]]&lt;&gt;""),MAX(单词表[[#This Row],[考英]:[考中]]),"")</f>
        <v/>
      </c>
      <c r="N2056" s="79"/>
    </row>
    <row r="2057" spans="1:14" hidden="1" x14ac:dyDescent="0.15">
      <c r="A2057">
        <v>2057</v>
      </c>
      <c r="B2057" t="s">
        <v>35</v>
      </c>
      <c r="C2057" t="s">
        <v>11</v>
      </c>
      <c r="D2057" s="72" t="s">
        <v>3661</v>
      </c>
      <c r="E2057" t="s">
        <v>36</v>
      </c>
      <c r="F2057" t="s">
        <v>3662</v>
      </c>
      <c r="G2057" s="92">
        <v>42650.417488425926</v>
      </c>
      <c r="H2057" s="92">
        <v>42650.41982638889</v>
      </c>
      <c r="I2057" s="92">
        <v>42650.419814814813</v>
      </c>
      <c r="J2057" s="92"/>
      <c r="K2057" s="92">
        <v>42650.420312499999</v>
      </c>
      <c r="L2057" s="92">
        <f>IF(AND(单词表[[#This Row],[学英]]&lt;&gt;"",单词表[[#This Row],[学中]]&lt;&gt;"",单词表[[#This Row],[学词]]&lt;&gt;""),MAX(单词表[[#This Row],[学英]:[学词]]),"")</f>
        <v>42650.41982638889</v>
      </c>
      <c r="M2057" s="2" t="str">
        <f>IF(AND(单词表[[#This Row],[考英]]&lt;&gt;"",单词表[[#This Row],[考中]]&lt;&gt;""),MAX(单词表[[#This Row],[考英]:[考中]]),"")</f>
        <v/>
      </c>
      <c r="N2057" s="79"/>
    </row>
    <row r="2058" spans="1:14" hidden="1" x14ac:dyDescent="0.15">
      <c r="A2058">
        <v>2058</v>
      </c>
      <c r="B2058" t="s">
        <v>35</v>
      </c>
      <c r="C2058" t="s">
        <v>11</v>
      </c>
      <c r="D2058" s="72" t="s">
        <v>3661</v>
      </c>
      <c r="E2058" t="s">
        <v>73</v>
      </c>
      <c r="F2058" t="s">
        <v>3663</v>
      </c>
      <c r="G2058" s="92">
        <v>42650.417511574073</v>
      </c>
      <c r="H2058" s="92">
        <v>42650.419872685183</v>
      </c>
      <c r="I2058" s="92">
        <v>42650.419849537036</v>
      </c>
      <c r="J2058" s="92"/>
      <c r="K2058" s="92">
        <v>42650.420358796298</v>
      </c>
      <c r="L2058" s="92">
        <f>IF(AND(单词表[[#This Row],[学英]]&lt;&gt;"",单词表[[#This Row],[学中]]&lt;&gt;"",单词表[[#This Row],[学词]]&lt;&gt;""),MAX(单词表[[#This Row],[学英]:[学词]]),"")</f>
        <v>42650.419872685183</v>
      </c>
      <c r="M2058" s="2" t="str">
        <f>IF(AND(单词表[[#This Row],[考英]]&lt;&gt;"",单词表[[#This Row],[考中]]&lt;&gt;""),MAX(单词表[[#This Row],[考英]:[考中]]),"")</f>
        <v/>
      </c>
      <c r="N2058" s="79"/>
    </row>
    <row r="2059" spans="1:14" hidden="1" x14ac:dyDescent="0.15">
      <c r="A2059">
        <v>2059</v>
      </c>
      <c r="B2059" t="s">
        <v>35</v>
      </c>
      <c r="C2059" t="s">
        <v>11</v>
      </c>
      <c r="D2059" s="72" t="s">
        <v>3664</v>
      </c>
      <c r="E2059" t="s">
        <v>36</v>
      </c>
      <c r="F2059" t="s">
        <v>3665</v>
      </c>
      <c r="G2059" s="92">
        <v>42650.417546296296</v>
      </c>
      <c r="H2059" s="92">
        <v>42650.419907407406</v>
      </c>
      <c r="I2059" s="92">
        <v>42650.419895833336</v>
      </c>
      <c r="J2059" s="92"/>
      <c r="K2059" s="92">
        <v>42650.420543981483</v>
      </c>
      <c r="L2059" s="92">
        <f>IF(AND(单词表[[#This Row],[学英]]&lt;&gt;"",单词表[[#This Row],[学中]]&lt;&gt;"",单词表[[#This Row],[学词]]&lt;&gt;""),MAX(单词表[[#This Row],[学英]:[学词]]),"")</f>
        <v>42650.419907407406</v>
      </c>
      <c r="M2059" s="2" t="str">
        <f>IF(AND(单词表[[#This Row],[考英]]&lt;&gt;"",单词表[[#This Row],[考中]]&lt;&gt;""),MAX(单词表[[#This Row],[考英]:[考中]]),"")</f>
        <v/>
      </c>
      <c r="N2059" s="79"/>
    </row>
    <row r="2060" spans="1:14" hidden="1" x14ac:dyDescent="0.15">
      <c r="A2060">
        <v>2060</v>
      </c>
      <c r="B2060" t="s">
        <v>35</v>
      </c>
      <c r="C2060" t="s">
        <v>11</v>
      </c>
      <c r="D2060" s="72" t="s">
        <v>3666</v>
      </c>
      <c r="E2060" t="s">
        <v>702</v>
      </c>
      <c r="F2060" t="s">
        <v>3667</v>
      </c>
      <c r="G2060" s="92">
        <v>42650.417581018519</v>
      </c>
      <c r="H2060" s="92">
        <v>42650.417592592596</v>
      </c>
      <c r="I2060" s="92">
        <v>42650.417592592596</v>
      </c>
      <c r="J2060" s="92"/>
      <c r="K2060" s="92">
        <v>42650.418819444443</v>
      </c>
      <c r="L2060" s="92">
        <f>IF(AND(单词表[[#This Row],[学英]]&lt;&gt;"",单词表[[#This Row],[学中]]&lt;&gt;"",单词表[[#This Row],[学词]]&lt;&gt;""),MAX(单词表[[#This Row],[学英]:[学词]]),"")</f>
        <v>42650.417592592596</v>
      </c>
      <c r="M2060" s="2" t="str">
        <f>IF(AND(单词表[[#This Row],[考英]]&lt;&gt;"",单词表[[#This Row],[考中]]&lt;&gt;""),MAX(单词表[[#This Row],[考英]:[考中]]),"")</f>
        <v/>
      </c>
      <c r="N2060" s="79"/>
    </row>
    <row r="2061" spans="1:14" hidden="1" x14ac:dyDescent="0.15">
      <c r="A2061">
        <v>2061</v>
      </c>
      <c r="B2061" t="s">
        <v>35</v>
      </c>
      <c r="C2061" t="s">
        <v>11</v>
      </c>
      <c r="D2061" s="72" t="s">
        <v>3668</v>
      </c>
      <c r="E2061" t="s">
        <v>36</v>
      </c>
      <c r="F2061" t="s">
        <v>3669</v>
      </c>
      <c r="G2061" s="92">
        <v>42650.417615740742</v>
      </c>
      <c r="H2061" s="92">
        <v>42650.417615740742</v>
      </c>
      <c r="I2061" s="92">
        <v>42650.417615740742</v>
      </c>
      <c r="J2061" s="92"/>
      <c r="K2061" s="92">
        <v>42650.418865740743</v>
      </c>
      <c r="L2061" s="92">
        <f>IF(AND(单词表[[#This Row],[学英]]&lt;&gt;"",单词表[[#This Row],[学中]]&lt;&gt;"",单词表[[#This Row],[学词]]&lt;&gt;""),MAX(单词表[[#This Row],[学英]:[学词]]),"")</f>
        <v>42650.417615740742</v>
      </c>
      <c r="M2061" s="2" t="str">
        <f>IF(AND(单词表[[#This Row],[考英]]&lt;&gt;"",单词表[[#This Row],[考中]]&lt;&gt;""),MAX(单词表[[#This Row],[考英]:[考中]]),"")</f>
        <v/>
      </c>
      <c r="N2061" s="79"/>
    </row>
    <row r="2062" spans="1:14" hidden="1" x14ac:dyDescent="0.15">
      <c r="A2062">
        <v>2062</v>
      </c>
      <c r="B2062" t="s">
        <v>35</v>
      </c>
      <c r="C2062" t="s">
        <v>11</v>
      </c>
      <c r="D2062" s="72" t="s">
        <v>3668</v>
      </c>
      <c r="E2062" t="s">
        <v>61</v>
      </c>
      <c r="F2062" t="s">
        <v>3670</v>
      </c>
      <c r="G2062" s="92">
        <v>42650.417638888888</v>
      </c>
      <c r="H2062" s="92">
        <v>42650.417650462965</v>
      </c>
      <c r="I2062" s="92">
        <v>42650.417650462965</v>
      </c>
      <c r="J2062" s="92"/>
      <c r="K2062" s="92">
        <v>42650.418912037036</v>
      </c>
      <c r="L2062" s="92">
        <f>IF(AND(单词表[[#This Row],[学英]]&lt;&gt;"",单词表[[#This Row],[学中]]&lt;&gt;"",单词表[[#This Row],[学词]]&lt;&gt;""),MAX(单词表[[#This Row],[学英]:[学词]]),"")</f>
        <v>42650.417650462965</v>
      </c>
      <c r="M2062" s="2" t="str">
        <f>IF(AND(单词表[[#This Row],[考英]]&lt;&gt;"",单词表[[#This Row],[考中]]&lt;&gt;""),MAX(单词表[[#This Row],[考英]:[考中]]),"")</f>
        <v/>
      </c>
      <c r="N2062" s="79"/>
    </row>
    <row r="2063" spans="1:14" hidden="1" x14ac:dyDescent="0.15">
      <c r="A2063">
        <v>2063</v>
      </c>
      <c r="B2063" t="s">
        <v>35</v>
      </c>
      <c r="C2063" t="s">
        <v>11</v>
      </c>
      <c r="D2063" s="72" t="s">
        <v>2089</v>
      </c>
      <c r="E2063" t="s">
        <v>38</v>
      </c>
      <c r="F2063" t="s">
        <v>5531</v>
      </c>
      <c r="G2063" s="92">
        <v>42650.417673611111</v>
      </c>
      <c r="H2063" s="92">
        <v>42650.419953703706</v>
      </c>
      <c r="I2063" s="92">
        <v>42650.419942129629</v>
      </c>
      <c r="J2063" s="92"/>
      <c r="K2063" s="92">
        <v>42650.420578703706</v>
      </c>
      <c r="L2063" s="92">
        <f>IF(AND(单词表[[#This Row],[学英]]&lt;&gt;"",单词表[[#This Row],[学中]]&lt;&gt;"",单词表[[#This Row],[学词]]&lt;&gt;""),MAX(单词表[[#This Row],[学英]:[学词]]),"")</f>
        <v>42650.419953703706</v>
      </c>
      <c r="M2063" s="2" t="str">
        <f>IF(AND(单词表[[#This Row],[考英]]&lt;&gt;"",单词表[[#This Row],[考中]]&lt;&gt;""),MAX(单词表[[#This Row],[考英]:[考中]]),"")</f>
        <v/>
      </c>
      <c r="N2063" s="79"/>
    </row>
    <row r="2064" spans="1:14" hidden="1" x14ac:dyDescent="0.15">
      <c r="A2064">
        <v>2064</v>
      </c>
      <c r="B2064" t="s">
        <v>35</v>
      </c>
      <c r="C2064" t="s">
        <v>11</v>
      </c>
      <c r="D2064" s="72" t="s">
        <v>3671</v>
      </c>
      <c r="E2064" t="s">
        <v>36</v>
      </c>
      <c r="F2064" t="s">
        <v>3672</v>
      </c>
      <c r="G2064" s="92">
        <v>42650.417719907404</v>
      </c>
      <c r="H2064" s="92">
        <v>42650.420960648145</v>
      </c>
      <c r="I2064" s="92">
        <v>42650.420949074076</v>
      </c>
      <c r="J2064" s="92"/>
      <c r="K2064" s="92">
        <v>42650.421030092592</v>
      </c>
      <c r="L2064" s="92">
        <f>IF(AND(单词表[[#This Row],[学英]]&lt;&gt;"",单词表[[#This Row],[学中]]&lt;&gt;"",单词表[[#This Row],[学词]]&lt;&gt;""),MAX(单词表[[#This Row],[学英]:[学词]]),"")</f>
        <v>42650.420960648145</v>
      </c>
      <c r="M2064" s="2" t="str">
        <f>IF(AND(单词表[[#This Row],[考英]]&lt;&gt;"",单词表[[#This Row],[考中]]&lt;&gt;""),MAX(单词表[[#This Row],[考英]:[考中]]),"")</f>
        <v/>
      </c>
      <c r="N2064" s="79"/>
    </row>
    <row r="2065" spans="1:14" hidden="1" x14ac:dyDescent="0.15">
      <c r="A2065">
        <v>2065</v>
      </c>
      <c r="B2065" t="s">
        <v>35</v>
      </c>
      <c r="C2065" t="s">
        <v>11</v>
      </c>
      <c r="D2065" s="72" t="s">
        <v>2574</v>
      </c>
      <c r="E2065" t="s">
        <v>36</v>
      </c>
      <c r="F2065" t="s">
        <v>3673</v>
      </c>
      <c r="G2065" s="92">
        <v>42650.417743055557</v>
      </c>
      <c r="H2065" s="92">
        <v>42650.417766203704</v>
      </c>
      <c r="I2065" s="92">
        <v>42650.417754629627</v>
      </c>
      <c r="J2065" s="92"/>
      <c r="K2065" s="92">
        <v>42650.419085648151</v>
      </c>
      <c r="L2065" s="92">
        <f>IF(AND(单词表[[#This Row],[学英]]&lt;&gt;"",单词表[[#This Row],[学中]]&lt;&gt;"",单词表[[#This Row],[学词]]&lt;&gt;""),MAX(单词表[[#This Row],[学英]:[学词]]),"")</f>
        <v>42650.417766203704</v>
      </c>
      <c r="M2065" s="2" t="str">
        <f>IF(AND(单词表[[#This Row],[考英]]&lt;&gt;"",单词表[[#This Row],[考中]]&lt;&gt;""),MAX(单词表[[#This Row],[考英]:[考中]]),"")</f>
        <v/>
      </c>
      <c r="N2065" s="79"/>
    </row>
    <row r="2066" spans="1:14" hidden="1" x14ac:dyDescent="0.15">
      <c r="A2066">
        <v>2066</v>
      </c>
      <c r="B2066" t="s">
        <v>35</v>
      </c>
      <c r="C2066" t="s">
        <v>11</v>
      </c>
      <c r="D2066" s="72" t="s">
        <v>3674</v>
      </c>
      <c r="E2066" t="s">
        <v>702</v>
      </c>
      <c r="F2066" t="s">
        <v>3675</v>
      </c>
      <c r="G2066" s="92">
        <v>42650.41777777778</v>
      </c>
      <c r="H2066" s="92">
        <v>42650.41778935185</v>
      </c>
      <c r="I2066" s="92">
        <v>42650.41778935185</v>
      </c>
      <c r="J2066" s="92"/>
      <c r="K2066" s="92">
        <v>42650.41914351852</v>
      </c>
      <c r="L2066" s="92">
        <f>IF(AND(单词表[[#This Row],[学英]]&lt;&gt;"",单词表[[#This Row],[学中]]&lt;&gt;"",单词表[[#This Row],[学词]]&lt;&gt;""),MAX(单词表[[#This Row],[学英]:[学词]]),"")</f>
        <v>42650.41778935185</v>
      </c>
      <c r="M2066" s="2" t="str">
        <f>IF(AND(单词表[[#This Row],[考英]]&lt;&gt;"",单词表[[#This Row],[考中]]&lt;&gt;""),MAX(单词表[[#This Row],[考英]:[考中]]),"")</f>
        <v/>
      </c>
      <c r="N2066" s="79"/>
    </row>
    <row r="2067" spans="1:14" hidden="1" x14ac:dyDescent="0.15">
      <c r="A2067">
        <v>2067</v>
      </c>
      <c r="B2067" t="s">
        <v>35</v>
      </c>
      <c r="C2067" t="s">
        <v>11</v>
      </c>
      <c r="D2067" s="72" t="s">
        <v>902</v>
      </c>
      <c r="E2067" t="s">
        <v>36</v>
      </c>
      <c r="F2067" t="s">
        <v>3676</v>
      </c>
      <c r="G2067" s="92">
        <v>42650.417824074073</v>
      </c>
      <c r="H2067" s="92">
        <v>42650.420011574075</v>
      </c>
      <c r="I2067" s="92">
        <v>42650.42</v>
      </c>
      <c r="J2067" s="92"/>
      <c r="K2067" s="92">
        <v>42650.420671296299</v>
      </c>
      <c r="L2067" s="92">
        <f>IF(AND(单词表[[#This Row],[学英]]&lt;&gt;"",单词表[[#This Row],[学中]]&lt;&gt;"",单词表[[#This Row],[学词]]&lt;&gt;""),MAX(单词表[[#This Row],[学英]:[学词]]),"")</f>
        <v>42650.420011574075</v>
      </c>
      <c r="M2067" s="2" t="str">
        <f>IF(AND(单词表[[#This Row],[考英]]&lt;&gt;"",单词表[[#This Row],[考中]]&lt;&gt;""),MAX(单词表[[#This Row],[考英]:[考中]]),"")</f>
        <v/>
      </c>
      <c r="N2067" s="79"/>
    </row>
    <row r="2068" spans="1:14" hidden="1" x14ac:dyDescent="0.15">
      <c r="A2068">
        <v>2068</v>
      </c>
      <c r="B2068" t="s">
        <v>35</v>
      </c>
      <c r="C2068" t="s">
        <v>11</v>
      </c>
      <c r="D2068" s="72" t="s">
        <v>3677</v>
      </c>
      <c r="E2068" t="s">
        <v>702</v>
      </c>
      <c r="F2068" t="s">
        <v>3678</v>
      </c>
      <c r="G2068" s="92">
        <v>42650.417870370373</v>
      </c>
      <c r="H2068" s="92">
        <v>42650.420046296298</v>
      </c>
      <c r="I2068" s="92">
        <v>42650.420034722221</v>
      </c>
      <c r="J2068" s="92"/>
      <c r="K2068" s="92">
        <v>42650.420717592591</v>
      </c>
      <c r="L2068" s="92">
        <f>IF(AND(单词表[[#This Row],[学英]]&lt;&gt;"",单词表[[#This Row],[学中]]&lt;&gt;"",单词表[[#This Row],[学词]]&lt;&gt;""),MAX(单词表[[#This Row],[学英]:[学词]]),"")</f>
        <v>42650.420046296298</v>
      </c>
      <c r="M2068" s="2" t="str">
        <f>IF(AND(单词表[[#This Row],[考英]]&lt;&gt;"",单词表[[#This Row],[考中]]&lt;&gt;""),MAX(单词表[[#This Row],[考英]:[考中]]),"")</f>
        <v/>
      </c>
      <c r="N2068" s="79"/>
    </row>
    <row r="2069" spans="1:14" hidden="1" x14ac:dyDescent="0.15">
      <c r="A2069">
        <v>2069</v>
      </c>
      <c r="B2069" t="s">
        <v>35</v>
      </c>
      <c r="C2069" t="s">
        <v>11</v>
      </c>
      <c r="D2069" s="72" t="s">
        <v>2971</v>
      </c>
      <c r="E2069" t="s">
        <v>702</v>
      </c>
      <c r="F2069" t="s">
        <v>2972</v>
      </c>
      <c r="G2069" s="92">
        <v>42650.417916666665</v>
      </c>
      <c r="H2069" s="92">
        <v>42650.417928240742</v>
      </c>
      <c r="I2069" s="92">
        <v>42650.417928240742</v>
      </c>
      <c r="J2069" s="92"/>
      <c r="K2069" s="92">
        <v>42650.419340277775</v>
      </c>
      <c r="L2069" s="92">
        <f>IF(AND(单词表[[#This Row],[学英]]&lt;&gt;"",单词表[[#This Row],[学中]]&lt;&gt;"",单词表[[#This Row],[学词]]&lt;&gt;""),MAX(单词表[[#This Row],[学英]:[学词]]),"")</f>
        <v>42650.417928240742</v>
      </c>
      <c r="M2069" s="2" t="str">
        <f>IF(AND(单词表[[#This Row],[考英]]&lt;&gt;"",单词表[[#This Row],[考中]]&lt;&gt;""),MAX(单词表[[#This Row],[考英]:[考中]]),"")</f>
        <v/>
      </c>
      <c r="N2069" s="79"/>
    </row>
    <row r="2070" spans="1:14" hidden="1" x14ac:dyDescent="0.15">
      <c r="A2070">
        <v>2070</v>
      </c>
      <c r="B2070" t="s">
        <v>35</v>
      </c>
      <c r="C2070" t="s">
        <v>11</v>
      </c>
      <c r="D2070" s="72" t="s">
        <v>2075</v>
      </c>
      <c r="E2070" t="s">
        <v>36</v>
      </c>
      <c r="F2070" t="s">
        <v>3679</v>
      </c>
      <c r="G2070" s="92">
        <v>42650.417951388888</v>
      </c>
      <c r="H2070" s="92">
        <v>42650.417974537035</v>
      </c>
      <c r="I2070" s="92">
        <v>42650.417962962965</v>
      </c>
      <c r="J2070" s="92"/>
      <c r="K2070" s="92">
        <v>42650.419398148151</v>
      </c>
      <c r="L2070" s="92">
        <f>IF(AND(单词表[[#This Row],[学英]]&lt;&gt;"",单词表[[#This Row],[学中]]&lt;&gt;"",单词表[[#This Row],[学词]]&lt;&gt;""),MAX(单词表[[#This Row],[学英]:[学词]]),"")</f>
        <v>42650.417974537035</v>
      </c>
      <c r="M2070" s="2" t="str">
        <f>IF(AND(单词表[[#This Row],[考英]]&lt;&gt;"",单词表[[#This Row],[考中]]&lt;&gt;""),MAX(单词表[[#This Row],[考英]:[考中]]),"")</f>
        <v/>
      </c>
      <c r="N2070" s="79"/>
    </row>
    <row r="2071" spans="1:14" hidden="1" x14ac:dyDescent="0.15">
      <c r="A2071">
        <v>2071</v>
      </c>
      <c r="B2071" t="s">
        <v>35</v>
      </c>
      <c r="C2071" t="s">
        <v>11</v>
      </c>
      <c r="D2071" s="72" t="s">
        <v>3680</v>
      </c>
      <c r="E2071" t="s">
        <v>36</v>
      </c>
      <c r="F2071" t="s">
        <v>3681</v>
      </c>
      <c r="G2071" s="92">
        <v>42650.417997685188</v>
      </c>
      <c r="H2071" s="92">
        <v>42650.420081018521</v>
      </c>
      <c r="I2071" s="92">
        <v>42650.420069444444</v>
      </c>
      <c r="J2071" s="92"/>
      <c r="K2071" s="92">
        <v>42650.42082175926</v>
      </c>
      <c r="L2071" s="92">
        <f>IF(AND(单词表[[#This Row],[学英]]&lt;&gt;"",单词表[[#This Row],[学中]]&lt;&gt;"",单词表[[#This Row],[学词]]&lt;&gt;""),MAX(单词表[[#This Row],[学英]:[学词]]),"")</f>
        <v>42650.420081018521</v>
      </c>
      <c r="M2071" s="2" t="str">
        <f>IF(AND(单词表[[#This Row],[考英]]&lt;&gt;"",单词表[[#This Row],[考中]]&lt;&gt;""),MAX(单词表[[#This Row],[考英]:[考中]]),"")</f>
        <v/>
      </c>
      <c r="N2071" s="79"/>
    </row>
    <row r="2072" spans="1:14" hidden="1" x14ac:dyDescent="0.15">
      <c r="A2072">
        <v>2072</v>
      </c>
      <c r="B2072" t="s">
        <v>35</v>
      </c>
      <c r="C2072" t="s">
        <v>11</v>
      </c>
      <c r="D2072" s="72" t="s">
        <v>3682</v>
      </c>
      <c r="E2072" t="s">
        <v>73</v>
      </c>
      <c r="F2072" t="s">
        <v>3683</v>
      </c>
      <c r="G2072" s="92">
        <v>42650.418032407404</v>
      </c>
      <c r="H2072" s="92">
        <v>42650.418032407404</v>
      </c>
      <c r="I2072" s="92">
        <v>42650.418032407404</v>
      </c>
      <c r="J2072" s="92"/>
      <c r="K2072" s="92">
        <v>42650.419502314813</v>
      </c>
      <c r="L2072" s="92">
        <f>IF(AND(单词表[[#This Row],[学英]]&lt;&gt;"",单词表[[#This Row],[学中]]&lt;&gt;"",单词表[[#This Row],[学词]]&lt;&gt;""),MAX(单词表[[#This Row],[学英]:[学词]]),"")</f>
        <v>42650.418032407404</v>
      </c>
      <c r="M2072" s="2" t="str">
        <f>IF(AND(单词表[[#This Row],[考英]]&lt;&gt;"",单词表[[#This Row],[考中]]&lt;&gt;""),MAX(单词表[[#This Row],[考英]:[考中]]),"")</f>
        <v/>
      </c>
      <c r="N2072" s="79"/>
    </row>
    <row r="2073" spans="1:14" hidden="1" x14ac:dyDescent="0.15">
      <c r="A2073">
        <v>2073</v>
      </c>
      <c r="B2073" t="s">
        <v>35</v>
      </c>
      <c r="C2073" t="s">
        <v>11</v>
      </c>
      <c r="D2073" s="72" t="s">
        <v>3684</v>
      </c>
      <c r="E2073" t="s">
        <v>36</v>
      </c>
      <c r="F2073" t="s">
        <v>3685</v>
      </c>
      <c r="G2073" s="92">
        <v>42650.418078703704</v>
      </c>
      <c r="H2073" s="92">
        <v>42650.418090277781</v>
      </c>
      <c r="I2073" s="92">
        <v>42650.418078703704</v>
      </c>
      <c r="J2073" s="92"/>
      <c r="K2073" s="92">
        <v>42650.419548611113</v>
      </c>
      <c r="L2073" s="92">
        <f>IF(AND(单词表[[#This Row],[学英]]&lt;&gt;"",单词表[[#This Row],[学中]]&lt;&gt;"",单词表[[#This Row],[学词]]&lt;&gt;""),MAX(单词表[[#This Row],[学英]:[学词]]),"")</f>
        <v>42650.418090277781</v>
      </c>
      <c r="M2073" s="2" t="str">
        <f>IF(AND(单词表[[#This Row],[考英]]&lt;&gt;"",单词表[[#This Row],[考中]]&lt;&gt;""),MAX(单词表[[#This Row],[考英]:[考中]]),"")</f>
        <v/>
      </c>
      <c r="N2073" s="79"/>
    </row>
    <row r="2074" spans="1:14" hidden="1" x14ac:dyDescent="0.15">
      <c r="A2074">
        <v>2074</v>
      </c>
      <c r="B2074" t="s">
        <v>35</v>
      </c>
      <c r="C2074" t="s">
        <v>11</v>
      </c>
      <c r="D2074" s="72" t="s">
        <v>3686</v>
      </c>
      <c r="E2074" t="s">
        <v>36</v>
      </c>
      <c r="F2074" t="s">
        <v>3687</v>
      </c>
      <c r="G2074" s="92">
        <v>42650.418124999997</v>
      </c>
      <c r="H2074" s="92">
        <v>42650.418136574073</v>
      </c>
      <c r="I2074" s="92">
        <v>42650.418124999997</v>
      </c>
      <c r="J2074" s="92"/>
      <c r="K2074" s="92">
        <v>42650.419594907406</v>
      </c>
      <c r="L2074" s="92">
        <f>IF(AND(单词表[[#This Row],[学英]]&lt;&gt;"",单词表[[#This Row],[学中]]&lt;&gt;"",单词表[[#This Row],[学词]]&lt;&gt;""),MAX(单词表[[#This Row],[学英]:[学词]]),"")</f>
        <v>42650.418136574073</v>
      </c>
      <c r="M2074" s="2" t="str">
        <f>IF(AND(单词表[[#This Row],[考英]]&lt;&gt;"",单词表[[#This Row],[考中]]&lt;&gt;""),MAX(单词表[[#This Row],[考英]:[考中]]),"")</f>
        <v/>
      </c>
      <c r="N2074" s="79"/>
    </row>
    <row r="2075" spans="1:14" hidden="1" x14ac:dyDescent="0.15">
      <c r="A2075">
        <v>2075</v>
      </c>
      <c r="B2075" t="s">
        <v>35</v>
      </c>
      <c r="C2075" t="s">
        <v>11</v>
      </c>
      <c r="D2075" s="72" t="s">
        <v>2360</v>
      </c>
      <c r="E2075" t="s">
        <v>61</v>
      </c>
      <c r="F2075" t="s">
        <v>3688</v>
      </c>
      <c r="G2075" s="92">
        <v>42651.782812500001</v>
      </c>
      <c r="H2075" s="92">
        <v>42651.782835648148</v>
      </c>
      <c r="I2075" s="92">
        <v>42651.782824074071</v>
      </c>
      <c r="J2075" s="92"/>
      <c r="K2075" s="92">
        <v>42651.785381944443</v>
      </c>
      <c r="L2075" s="92">
        <f>IF(AND(单词表[[#This Row],[学英]]&lt;&gt;"",单词表[[#This Row],[学中]]&lt;&gt;"",单词表[[#This Row],[学词]]&lt;&gt;""),MAX(单词表[[#This Row],[学英]:[学词]]),"")</f>
        <v>42651.782835648148</v>
      </c>
      <c r="M2075" s="2" t="str">
        <f>IF(AND(单词表[[#This Row],[考英]]&lt;&gt;"",单词表[[#This Row],[考中]]&lt;&gt;""),MAX(单词表[[#This Row],[考英]:[考中]]),"")</f>
        <v/>
      </c>
      <c r="N2075" s="79"/>
    </row>
    <row r="2076" spans="1:14" hidden="1" x14ac:dyDescent="0.15">
      <c r="A2076">
        <v>2076</v>
      </c>
      <c r="B2076" t="s">
        <v>35</v>
      </c>
      <c r="C2076" t="s">
        <v>11</v>
      </c>
      <c r="D2076" s="72" t="s">
        <v>2962</v>
      </c>
      <c r="E2076" t="s">
        <v>36</v>
      </c>
      <c r="F2076" t="s">
        <v>3689</v>
      </c>
      <c r="G2076" s="92">
        <v>42651.782858796294</v>
      </c>
      <c r="H2076" s="92">
        <v>42651.782881944448</v>
      </c>
      <c r="I2076" s="92">
        <v>42651.782858796294</v>
      </c>
      <c r="J2076" s="92"/>
      <c r="K2076" s="92">
        <v>42651.785428240742</v>
      </c>
      <c r="L2076" s="92">
        <f>IF(AND(单词表[[#This Row],[学英]]&lt;&gt;"",单词表[[#This Row],[学中]]&lt;&gt;"",单词表[[#This Row],[学词]]&lt;&gt;""),MAX(单词表[[#This Row],[学英]:[学词]]),"")</f>
        <v>42651.782881944448</v>
      </c>
      <c r="M2076" s="2" t="str">
        <f>IF(AND(单词表[[#This Row],[考英]]&lt;&gt;"",单词表[[#This Row],[考中]]&lt;&gt;""),MAX(单词表[[#This Row],[考英]:[考中]]),"")</f>
        <v/>
      </c>
      <c r="N2076" s="79"/>
    </row>
    <row r="2077" spans="1:14" hidden="1" x14ac:dyDescent="0.15">
      <c r="A2077">
        <v>2077</v>
      </c>
      <c r="B2077" t="s">
        <v>35</v>
      </c>
      <c r="C2077" t="s">
        <v>11</v>
      </c>
      <c r="D2077" s="72" t="s">
        <v>2984</v>
      </c>
      <c r="E2077" t="s">
        <v>36</v>
      </c>
      <c r="F2077" t="s">
        <v>3690</v>
      </c>
      <c r="G2077" s="92">
        <v>42651.783101851855</v>
      </c>
      <c r="H2077" s="92">
        <v>42651.783125000002</v>
      </c>
      <c r="I2077" s="92">
        <v>42651.783113425925</v>
      </c>
      <c r="J2077" s="92"/>
      <c r="K2077" s="92">
        <v>42651.785474537035</v>
      </c>
      <c r="L2077" s="92">
        <f>IF(AND(单词表[[#This Row],[学英]]&lt;&gt;"",单词表[[#This Row],[学中]]&lt;&gt;"",单词表[[#This Row],[学词]]&lt;&gt;""),MAX(单词表[[#This Row],[学英]:[学词]]),"")</f>
        <v>42651.783125000002</v>
      </c>
      <c r="M2077" s="2" t="str">
        <f>IF(AND(单词表[[#This Row],[考英]]&lt;&gt;"",单词表[[#This Row],[考中]]&lt;&gt;""),MAX(单词表[[#This Row],[考英]:[考中]]),"")</f>
        <v/>
      </c>
      <c r="N2077" s="79"/>
    </row>
    <row r="2078" spans="1:14" hidden="1" x14ac:dyDescent="0.15">
      <c r="A2078">
        <v>2078</v>
      </c>
      <c r="B2078" t="s">
        <v>35</v>
      </c>
      <c r="C2078" t="s">
        <v>11</v>
      </c>
      <c r="D2078" s="72" t="s">
        <v>3691</v>
      </c>
      <c r="E2078" t="s">
        <v>36</v>
      </c>
      <c r="F2078" t="s">
        <v>3692</v>
      </c>
      <c r="G2078" s="92">
        <v>42651.783136574071</v>
      </c>
      <c r="H2078" s="92">
        <v>42651.823252314818</v>
      </c>
      <c r="I2078" s="92">
        <v>42651.823252314818</v>
      </c>
      <c r="J2078" s="92"/>
      <c r="K2078" s="92">
        <v>42651.823680555557</v>
      </c>
      <c r="L2078" s="92">
        <f>IF(AND(单词表[[#This Row],[学英]]&lt;&gt;"",单词表[[#This Row],[学中]]&lt;&gt;"",单词表[[#This Row],[学词]]&lt;&gt;""),MAX(单词表[[#This Row],[学英]:[学词]]),"")</f>
        <v>42651.823252314818</v>
      </c>
      <c r="M2078" s="2" t="str">
        <f>IF(AND(单词表[[#This Row],[考英]]&lt;&gt;"",单词表[[#This Row],[考中]]&lt;&gt;""),MAX(单词表[[#This Row],[考英]:[考中]]),"")</f>
        <v/>
      </c>
      <c r="N2078" s="79"/>
    </row>
    <row r="2079" spans="1:14" hidden="1" x14ac:dyDescent="0.15">
      <c r="A2079">
        <v>2079</v>
      </c>
      <c r="B2079" t="s">
        <v>35</v>
      </c>
      <c r="C2079" t="s">
        <v>11</v>
      </c>
      <c r="D2079" s="72" t="s">
        <v>3693</v>
      </c>
      <c r="E2079" t="s">
        <v>73</v>
      </c>
      <c r="F2079" t="s">
        <v>3694</v>
      </c>
      <c r="G2079" s="92">
        <v>42651.783194444448</v>
      </c>
      <c r="H2079" s="92">
        <v>42651.783217592594</v>
      </c>
      <c r="I2079" s="92">
        <v>42651.783206018517</v>
      </c>
      <c r="J2079" s="92"/>
      <c r="K2079" s="92">
        <v>42651.785601851851</v>
      </c>
      <c r="L2079" s="92">
        <f>IF(AND(单词表[[#This Row],[学英]]&lt;&gt;"",单词表[[#This Row],[学中]]&lt;&gt;"",单词表[[#This Row],[学词]]&lt;&gt;""),MAX(单词表[[#This Row],[学英]:[学词]]),"")</f>
        <v>42651.783217592594</v>
      </c>
      <c r="M2079" s="2" t="str">
        <f>IF(AND(单词表[[#This Row],[考英]]&lt;&gt;"",单词表[[#This Row],[考中]]&lt;&gt;""),MAX(单词表[[#This Row],[考英]:[考中]]),"")</f>
        <v/>
      </c>
      <c r="N2079" s="79"/>
    </row>
    <row r="2080" spans="1:14" hidden="1" x14ac:dyDescent="0.15">
      <c r="A2080">
        <v>2080</v>
      </c>
      <c r="B2080" t="s">
        <v>35</v>
      </c>
      <c r="C2080" t="s">
        <v>11</v>
      </c>
      <c r="D2080" s="72" t="s">
        <v>3695</v>
      </c>
      <c r="E2080" t="s">
        <v>702</v>
      </c>
      <c r="F2080" t="s">
        <v>3696</v>
      </c>
      <c r="G2080" s="92">
        <v>42651.78324074074</v>
      </c>
      <c r="H2080" s="92">
        <v>42651.783252314817</v>
      </c>
      <c r="I2080" s="92">
        <v>42651.783252314817</v>
      </c>
      <c r="J2080" s="92"/>
      <c r="K2080" s="92">
        <v>42651.78565972222</v>
      </c>
      <c r="L2080" s="92">
        <f>IF(AND(单词表[[#This Row],[学英]]&lt;&gt;"",单词表[[#This Row],[学中]]&lt;&gt;"",单词表[[#This Row],[学词]]&lt;&gt;""),MAX(单词表[[#This Row],[学英]:[学词]]),"")</f>
        <v>42651.783252314817</v>
      </c>
      <c r="M2080" s="2" t="str">
        <f>IF(AND(单词表[[#This Row],[考英]]&lt;&gt;"",单词表[[#This Row],[考中]]&lt;&gt;""),MAX(单词表[[#This Row],[考英]:[考中]]),"")</f>
        <v/>
      </c>
      <c r="N2080" s="79"/>
    </row>
    <row r="2081" spans="1:14" hidden="1" x14ac:dyDescent="0.15">
      <c r="A2081">
        <v>2081</v>
      </c>
      <c r="B2081" t="s">
        <v>35</v>
      </c>
      <c r="C2081" t="s">
        <v>11</v>
      </c>
      <c r="D2081" s="72" t="s">
        <v>2190</v>
      </c>
      <c r="E2081" t="s">
        <v>73</v>
      </c>
      <c r="F2081" t="s">
        <v>3697</v>
      </c>
      <c r="G2081" s="92">
        <v>42651.783275462964</v>
      </c>
      <c r="H2081" s="92">
        <v>42651.78329861111</v>
      </c>
      <c r="I2081" s="92">
        <v>42651.78328703704</v>
      </c>
      <c r="J2081" s="92"/>
      <c r="K2081" s="92">
        <v>42651.785717592589</v>
      </c>
      <c r="L2081" s="92">
        <f>IF(AND(单词表[[#This Row],[学英]]&lt;&gt;"",单词表[[#This Row],[学中]]&lt;&gt;"",单词表[[#This Row],[学词]]&lt;&gt;""),MAX(单词表[[#This Row],[学英]:[学词]]),"")</f>
        <v>42651.78329861111</v>
      </c>
      <c r="M2081" s="2" t="str">
        <f>IF(AND(单词表[[#This Row],[考英]]&lt;&gt;"",单词表[[#This Row],[考中]]&lt;&gt;""),MAX(单词表[[#This Row],[考英]:[考中]]),"")</f>
        <v/>
      </c>
      <c r="N2081" s="79"/>
    </row>
    <row r="2082" spans="1:14" hidden="1" x14ac:dyDescent="0.15">
      <c r="A2082">
        <v>2082</v>
      </c>
      <c r="B2082" t="s">
        <v>35</v>
      </c>
      <c r="C2082" t="s">
        <v>11</v>
      </c>
      <c r="D2082" s="72" t="s">
        <v>3698</v>
      </c>
      <c r="E2082" t="s">
        <v>61</v>
      </c>
      <c r="F2082" t="s">
        <v>5532</v>
      </c>
      <c r="G2082" s="92">
        <v>42651.783310185187</v>
      </c>
      <c r="H2082" s="92">
        <v>42651.823287037034</v>
      </c>
      <c r="I2082" s="92">
        <v>42651.823275462964</v>
      </c>
      <c r="J2082" s="92"/>
      <c r="K2082" s="92">
        <v>42651.82371527778</v>
      </c>
      <c r="L2082" s="92">
        <f>IF(AND(单词表[[#This Row],[学英]]&lt;&gt;"",单词表[[#This Row],[学中]]&lt;&gt;"",单词表[[#This Row],[学词]]&lt;&gt;""),MAX(单词表[[#This Row],[学英]:[学词]]),"")</f>
        <v>42651.823287037034</v>
      </c>
      <c r="M2082" s="2" t="str">
        <f>IF(AND(单词表[[#This Row],[考英]]&lt;&gt;"",单词表[[#This Row],[考中]]&lt;&gt;""),MAX(单词表[[#This Row],[考英]:[考中]]),"")</f>
        <v/>
      </c>
      <c r="N2082" s="79"/>
    </row>
    <row r="2083" spans="1:14" hidden="1" x14ac:dyDescent="0.15">
      <c r="A2083">
        <v>2083</v>
      </c>
      <c r="B2083" t="s">
        <v>35</v>
      </c>
      <c r="C2083" t="s">
        <v>11</v>
      </c>
      <c r="D2083" s="72" t="s">
        <v>2844</v>
      </c>
      <c r="E2083" t="s">
        <v>36</v>
      </c>
      <c r="F2083" t="s">
        <v>3699</v>
      </c>
      <c r="G2083" s="92">
        <v>42651.78334490741</v>
      </c>
      <c r="H2083" s="92">
        <v>42651.823310185187</v>
      </c>
      <c r="I2083" s="92">
        <v>42651.823310185187</v>
      </c>
      <c r="J2083" s="92"/>
      <c r="K2083" s="92">
        <v>42651.823750000003</v>
      </c>
      <c r="L2083" s="92">
        <f>IF(AND(单词表[[#This Row],[学英]]&lt;&gt;"",单词表[[#This Row],[学中]]&lt;&gt;"",单词表[[#This Row],[学词]]&lt;&gt;""),MAX(单词表[[#This Row],[学英]:[学词]]),"")</f>
        <v>42651.823310185187</v>
      </c>
      <c r="M2083" s="2" t="str">
        <f>IF(AND(单词表[[#This Row],[考英]]&lt;&gt;"",单词表[[#This Row],[考中]]&lt;&gt;""),MAX(单词表[[#This Row],[考英]:[考中]]),"")</f>
        <v/>
      </c>
      <c r="N2083" s="79"/>
    </row>
    <row r="2084" spans="1:14" hidden="1" x14ac:dyDescent="0.15">
      <c r="A2084">
        <v>2084</v>
      </c>
      <c r="B2084" t="s">
        <v>35</v>
      </c>
      <c r="C2084" t="s">
        <v>11</v>
      </c>
      <c r="D2084" s="72" t="s">
        <v>2484</v>
      </c>
      <c r="E2084" t="s">
        <v>61</v>
      </c>
      <c r="F2084" t="s">
        <v>3700</v>
      </c>
      <c r="G2084" s="92">
        <v>42651.783379629633</v>
      </c>
      <c r="H2084" s="92">
        <v>42651.783402777779</v>
      </c>
      <c r="I2084" s="92">
        <v>42651.783391203702</v>
      </c>
      <c r="J2084" s="92"/>
      <c r="K2084" s="92">
        <v>42651.785879629628</v>
      </c>
      <c r="L2084" s="92">
        <f>IF(AND(单词表[[#This Row],[学英]]&lt;&gt;"",单词表[[#This Row],[学中]]&lt;&gt;"",单词表[[#This Row],[学词]]&lt;&gt;""),MAX(单词表[[#This Row],[学英]:[学词]]),"")</f>
        <v>42651.783402777779</v>
      </c>
      <c r="M2084" s="2" t="str">
        <f>IF(AND(单词表[[#This Row],[考英]]&lt;&gt;"",单词表[[#This Row],[考中]]&lt;&gt;""),MAX(单词表[[#This Row],[考英]:[考中]]),"")</f>
        <v/>
      </c>
      <c r="N2084" s="79"/>
    </row>
    <row r="2085" spans="1:14" hidden="1" x14ac:dyDescent="0.15">
      <c r="A2085">
        <v>2085</v>
      </c>
      <c r="B2085" t="s">
        <v>35</v>
      </c>
      <c r="C2085" t="s">
        <v>11</v>
      </c>
      <c r="D2085" s="72" t="s">
        <v>2251</v>
      </c>
      <c r="E2085" t="s">
        <v>61</v>
      </c>
      <c r="F2085" t="s">
        <v>5533</v>
      </c>
      <c r="G2085" s="92">
        <v>42651.783425925925</v>
      </c>
      <c r="H2085" s="92">
        <v>42651.783437500002</v>
      </c>
      <c r="I2085" s="92">
        <v>42651.783437500002</v>
      </c>
      <c r="J2085" s="92"/>
      <c r="K2085" s="92">
        <v>42651.785914351851</v>
      </c>
      <c r="L2085" s="92">
        <f>IF(AND(单词表[[#This Row],[学英]]&lt;&gt;"",单词表[[#This Row],[学中]]&lt;&gt;"",单词表[[#This Row],[学词]]&lt;&gt;""),MAX(单词表[[#This Row],[学英]:[学词]]),"")</f>
        <v>42651.783437500002</v>
      </c>
      <c r="M2085" s="2" t="str">
        <f>IF(AND(单词表[[#This Row],[考英]]&lt;&gt;"",单词表[[#This Row],[考中]]&lt;&gt;""),MAX(单词表[[#This Row],[考英]:[考中]]),"")</f>
        <v/>
      </c>
      <c r="N2085" s="79"/>
    </row>
    <row r="2086" spans="1:14" hidden="1" x14ac:dyDescent="0.15">
      <c r="A2086">
        <v>2086</v>
      </c>
      <c r="B2086" t="s">
        <v>35</v>
      </c>
      <c r="C2086" t="s">
        <v>11</v>
      </c>
      <c r="D2086" s="72" t="s">
        <v>3701</v>
      </c>
      <c r="E2086" t="s">
        <v>702</v>
      </c>
      <c r="F2086" t="s">
        <v>3702</v>
      </c>
      <c r="G2086" s="92">
        <v>42651.783472222225</v>
      </c>
      <c r="H2086" s="92">
        <v>42651.823344907411</v>
      </c>
      <c r="I2086" s="92">
        <v>42651.823333333334</v>
      </c>
      <c r="J2086" s="92"/>
      <c r="K2086" s="92">
        <v>42651.823784722219</v>
      </c>
      <c r="L2086" s="92">
        <f>IF(AND(单词表[[#This Row],[学英]]&lt;&gt;"",单词表[[#This Row],[学中]]&lt;&gt;"",单词表[[#This Row],[学词]]&lt;&gt;""),MAX(单词表[[#This Row],[学英]:[学词]]),"")</f>
        <v>42651.823344907411</v>
      </c>
      <c r="M2086" s="2" t="str">
        <f>IF(AND(单词表[[#This Row],[考英]]&lt;&gt;"",单词表[[#This Row],[考中]]&lt;&gt;""),MAX(单词表[[#This Row],[考英]:[考中]]),"")</f>
        <v/>
      </c>
      <c r="N2086" s="79"/>
    </row>
    <row r="2087" spans="1:14" hidden="1" x14ac:dyDescent="0.15">
      <c r="A2087">
        <v>2087</v>
      </c>
      <c r="B2087" t="s">
        <v>35</v>
      </c>
      <c r="C2087" t="s">
        <v>11</v>
      </c>
      <c r="D2087" s="72" t="s">
        <v>3703</v>
      </c>
      <c r="E2087" t="s">
        <v>702</v>
      </c>
      <c r="F2087" t="s">
        <v>3704</v>
      </c>
      <c r="G2087" s="92">
        <v>42651.783564814818</v>
      </c>
      <c r="H2087" s="92">
        <v>42651.783576388887</v>
      </c>
      <c r="I2087" s="92">
        <v>42651.783576388887</v>
      </c>
      <c r="J2087" s="92"/>
      <c r="K2087" s="92">
        <v>42651.786053240743</v>
      </c>
      <c r="L2087" s="92">
        <f>IF(AND(单词表[[#This Row],[学英]]&lt;&gt;"",单词表[[#This Row],[学中]]&lt;&gt;"",单词表[[#This Row],[学词]]&lt;&gt;""),MAX(单词表[[#This Row],[学英]:[学词]]),"")</f>
        <v>42651.783576388887</v>
      </c>
      <c r="M2087" s="2" t="str">
        <f>IF(AND(单词表[[#This Row],[考英]]&lt;&gt;"",单词表[[#This Row],[考中]]&lt;&gt;""),MAX(单词表[[#This Row],[考英]:[考中]]),"")</f>
        <v/>
      </c>
      <c r="N2087" s="79"/>
    </row>
    <row r="2088" spans="1:14" hidden="1" x14ac:dyDescent="0.15">
      <c r="A2088">
        <v>2088</v>
      </c>
      <c r="B2088" t="s">
        <v>35</v>
      </c>
      <c r="C2088" t="s">
        <v>11</v>
      </c>
      <c r="D2088" s="72" t="s">
        <v>3705</v>
      </c>
      <c r="E2088" t="s">
        <v>36</v>
      </c>
      <c r="F2088" t="s">
        <v>3706</v>
      </c>
      <c r="G2088" s="92">
        <v>42651.783888888887</v>
      </c>
      <c r="H2088" s="92">
        <v>42651.783900462964</v>
      </c>
      <c r="I2088" s="92">
        <v>42651.783900462964</v>
      </c>
      <c r="J2088" s="92"/>
      <c r="K2088" s="92">
        <v>42651.786087962966</v>
      </c>
      <c r="L2088" s="92">
        <f>IF(AND(单词表[[#This Row],[学英]]&lt;&gt;"",单词表[[#This Row],[学中]]&lt;&gt;"",单词表[[#This Row],[学词]]&lt;&gt;""),MAX(单词表[[#This Row],[学英]:[学词]]),"")</f>
        <v>42651.783900462964</v>
      </c>
      <c r="M2088" s="2" t="str">
        <f>IF(AND(单词表[[#This Row],[考英]]&lt;&gt;"",单词表[[#This Row],[考中]]&lt;&gt;""),MAX(单词表[[#This Row],[考英]:[考中]]),"")</f>
        <v/>
      </c>
      <c r="N2088" s="79"/>
    </row>
    <row r="2089" spans="1:14" hidden="1" x14ac:dyDescent="0.15">
      <c r="A2089">
        <v>2089</v>
      </c>
      <c r="B2089" t="s">
        <v>35</v>
      </c>
      <c r="C2089" t="s">
        <v>11</v>
      </c>
      <c r="D2089" s="72" t="s">
        <v>1704</v>
      </c>
      <c r="E2089" t="s">
        <v>36</v>
      </c>
      <c r="F2089" t="s">
        <v>3707</v>
      </c>
      <c r="G2089" s="92">
        <v>42651.78392361111</v>
      </c>
      <c r="H2089" s="92">
        <v>42651.783935185187</v>
      </c>
      <c r="I2089" s="92">
        <v>42651.783935185187</v>
      </c>
      <c r="J2089" s="92"/>
      <c r="K2089" s="92">
        <v>42651.786134259259</v>
      </c>
      <c r="L2089" s="92">
        <f>IF(AND(单词表[[#This Row],[学英]]&lt;&gt;"",单词表[[#This Row],[学中]]&lt;&gt;"",单词表[[#This Row],[学词]]&lt;&gt;""),MAX(单词表[[#This Row],[学英]:[学词]]),"")</f>
        <v>42651.783935185187</v>
      </c>
      <c r="M2089" s="2" t="str">
        <f>IF(AND(单词表[[#This Row],[考英]]&lt;&gt;"",单词表[[#This Row],[考中]]&lt;&gt;""),MAX(单词表[[#This Row],[考英]:[考中]]),"")</f>
        <v/>
      </c>
      <c r="N2089" s="79"/>
    </row>
    <row r="2090" spans="1:14" hidden="1" x14ac:dyDescent="0.15">
      <c r="A2090">
        <v>2090</v>
      </c>
      <c r="B2090" t="s">
        <v>35</v>
      </c>
      <c r="C2090" t="s">
        <v>11</v>
      </c>
      <c r="D2090" s="72" t="s">
        <v>3708</v>
      </c>
      <c r="E2090" t="s">
        <v>36</v>
      </c>
      <c r="F2090" t="s">
        <v>3709</v>
      </c>
      <c r="G2090" s="92">
        <v>42651.783958333333</v>
      </c>
      <c r="H2090" s="92">
        <v>42651.78398148148</v>
      </c>
      <c r="I2090" s="92">
        <v>42651.78398148148</v>
      </c>
      <c r="J2090" s="92"/>
      <c r="K2090" s="92">
        <v>42651.786168981482</v>
      </c>
      <c r="L2090" s="92">
        <f>IF(AND(单词表[[#This Row],[学英]]&lt;&gt;"",单词表[[#This Row],[学中]]&lt;&gt;"",单词表[[#This Row],[学词]]&lt;&gt;""),MAX(单词表[[#This Row],[学英]:[学词]]),"")</f>
        <v>42651.78398148148</v>
      </c>
      <c r="M2090" s="2" t="str">
        <f>IF(AND(单词表[[#This Row],[考英]]&lt;&gt;"",单词表[[#This Row],[考中]]&lt;&gt;""),MAX(单词表[[#This Row],[考英]:[考中]]),"")</f>
        <v/>
      </c>
      <c r="N2090" s="79"/>
    </row>
    <row r="2091" spans="1:14" hidden="1" x14ac:dyDescent="0.15">
      <c r="A2091">
        <v>2091</v>
      </c>
      <c r="B2091" t="s">
        <v>35</v>
      </c>
      <c r="C2091" t="s">
        <v>11</v>
      </c>
      <c r="D2091" s="72" t="s">
        <v>3710</v>
      </c>
      <c r="E2091" t="s">
        <v>736</v>
      </c>
      <c r="F2091" t="s">
        <v>3711</v>
      </c>
      <c r="G2091" s="92">
        <v>42651.784039351849</v>
      </c>
      <c r="H2091" s="92">
        <v>42651.823368055557</v>
      </c>
      <c r="I2091" s="92">
        <v>42651.823368055557</v>
      </c>
      <c r="J2091" s="92"/>
      <c r="K2091" s="92">
        <v>42651.823842592596</v>
      </c>
      <c r="L2091" s="92">
        <f>IF(AND(单词表[[#This Row],[学英]]&lt;&gt;"",单词表[[#This Row],[学中]]&lt;&gt;"",单词表[[#This Row],[学词]]&lt;&gt;""),MAX(单词表[[#This Row],[学英]:[学词]]),"")</f>
        <v>42651.823368055557</v>
      </c>
      <c r="M2091" s="2" t="str">
        <f>IF(AND(单词表[[#This Row],[考英]]&lt;&gt;"",单词表[[#This Row],[考中]]&lt;&gt;""),MAX(单词表[[#This Row],[考英]:[考中]]),"")</f>
        <v/>
      </c>
      <c r="N2091" s="79"/>
    </row>
    <row r="2092" spans="1:14" hidden="1" x14ac:dyDescent="0.15">
      <c r="A2092">
        <v>2092</v>
      </c>
      <c r="B2092" t="s">
        <v>35</v>
      </c>
      <c r="C2092" t="s">
        <v>11</v>
      </c>
      <c r="D2092" s="72" t="s">
        <v>3712</v>
      </c>
      <c r="E2092" t="s">
        <v>36</v>
      </c>
      <c r="F2092" t="s">
        <v>5534</v>
      </c>
      <c r="G2092" s="92">
        <v>42651.784074074072</v>
      </c>
      <c r="H2092" s="92">
        <v>42651.784085648149</v>
      </c>
      <c r="I2092" s="92">
        <v>42651.784074074072</v>
      </c>
      <c r="J2092" s="92"/>
      <c r="K2092" s="92">
        <v>42651.786273148151</v>
      </c>
      <c r="L2092" s="92">
        <f>IF(AND(单词表[[#This Row],[学英]]&lt;&gt;"",单词表[[#This Row],[学中]]&lt;&gt;"",单词表[[#This Row],[学词]]&lt;&gt;""),MAX(单词表[[#This Row],[学英]:[学词]]),"")</f>
        <v>42651.784085648149</v>
      </c>
      <c r="M2092" s="2" t="str">
        <f>IF(AND(单词表[[#This Row],[考英]]&lt;&gt;"",单词表[[#This Row],[考中]]&lt;&gt;""),MAX(单词表[[#This Row],[考英]:[考中]]),"")</f>
        <v/>
      </c>
      <c r="N2092" s="79"/>
    </row>
    <row r="2093" spans="1:14" hidden="1" x14ac:dyDescent="0.15">
      <c r="A2093">
        <v>2093</v>
      </c>
      <c r="B2093" t="s">
        <v>35</v>
      </c>
      <c r="C2093" t="s">
        <v>11</v>
      </c>
      <c r="D2093" s="72" t="s">
        <v>2071</v>
      </c>
      <c r="E2093" t="s">
        <v>61</v>
      </c>
      <c r="F2093" t="s">
        <v>3713</v>
      </c>
      <c r="G2093" s="92">
        <v>42651.784108796295</v>
      </c>
      <c r="H2093" s="92">
        <v>42651.784108796295</v>
      </c>
      <c r="I2093" s="92">
        <v>42651.784108796295</v>
      </c>
      <c r="J2093" s="92"/>
      <c r="K2093" s="92">
        <v>42651.78633101852</v>
      </c>
      <c r="L2093" s="92">
        <f>IF(AND(单词表[[#This Row],[学英]]&lt;&gt;"",单词表[[#This Row],[学中]]&lt;&gt;"",单词表[[#This Row],[学词]]&lt;&gt;""),MAX(单词表[[#This Row],[学英]:[学词]]),"")</f>
        <v>42651.784108796295</v>
      </c>
      <c r="M2093" s="2" t="str">
        <f>IF(AND(单词表[[#This Row],[考英]]&lt;&gt;"",单词表[[#This Row],[考中]]&lt;&gt;""),MAX(单词表[[#This Row],[考英]:[考中]]),"")</f>
        <v/>
      </c>
      <c r="N2093" s="79"/>
    </row>
    <row r="2094" spans="1:14" hidden="1" x14ac:dyDescent="0.15">
      <c r="A2094">
        <v>2094</v>
      </c>
      <c r="B2094" t="s">
        <v>35</v>
      </c>
      <c r="C2094" t="s">
        <v>11</v>
      </c>
      <c r="D2094" s="72" t="s">
        <v>3714</v>
      </c>
      <c r="E2094" t="s">
        <v>36</v>
      </c>
      <c r="F2094" t="s">
        <v>3715</v>
      </c>
      <c r="G2094" s="92">
        <v>42651.784131944441</v>
      </c>
      <c r="H2094" s="92">
        <v>42651.82340277778</v>
      </c>
      <c r="I2094" s="92">
        <v>42651.82340277778</v>
      </c>
      <c r="J2094" s="92"/>
      <c r="K2094" s="92">
        <v>42651.823888888888</v>
      </c>
      <c r="L2094" s="92">
        <f>IF(AND(单词表[[#This Row],[学英]]&lt;&gt;"",单词表[[#This Row],[学中]]&lt;&gt;"",单词表[[#This Row],[学词]]&lt;&gt;""),MAX(单词表[[#This Row],[学英]:[学词]]),"")</f>
        <v>42651.82340277778</v>
      </c>
      <c r="M2094" s="2" t="str">
        <f>IF(AND(单词表[[#This Row],[考英]]&lt;&gt;"",单词表[[#This Row],[考中]]&lt;&gt;""),MAX(单词表[[#This Row],[考英]:[考中]]),"")</f>
        <v/>
      </c>
      <c r="N2094" s="79"/>
    </row>
    <row r="2095" spans="1:14" hidden="1" x14ac:dyDescent="0.15">
      <c r="A2095">
        <v>2095</v>
      </c>
      <c r="B2095" t="s">
        <v>35</v>
      </c>
      <c r="C2095" t="s">
        <v>11</v>
      </c>
      <c r="D2095" s="72" t="s">
        <v>3716</v>
      </c>
      <c r="E2095" t="s">
        <v>36</v>
      </c>
      <c r="F2095" t="s">
        <v>3717</v>
      </c>
      <c r="G2095" s="92">
        <v>42651.784178240741</v>
      </c>
      <c r="H2095" s="92">
        <v>42651.823472222219</v>
      </c>
      <c r="I2095" s="92">
        <v>42651.823460648149</v>
      </c>
      <c r="J2095" s="92"/>
      <c r="K2095" s="92">
        <v>42651.823935185188</v>
      </c>
      <c r="L2095" s="92">
        <f>IF(AND(单词表[[#This Row],[学英]]&lt;&gt;"",单词表[[#This Row],[学中]]&lt;&gt;"",单词表[[#This Row],[学词]]&lt;&gt;""),MAX(单词表[[#This Row],[学英]:[学词]]),"")</f>
        <v>42651.823472222219</v>
      </c>
      <c r="M2095" s="2" t="str">
        <f>IF(AND(单词表[[#This Row],[考英]]&lt;&gt;"",单词表[[#This Row],[考中]]&lt;&gt;""),MAX(单词表[[#This Row],[考英]:[考中]]),"")</f>
        <v/>
      </c>
      <c r="N2095" s="79"/>
    </row>
    <row r="2096" spans="1:14" hidden="1" x14ac:dyDescent="0.15">
      <c r="A2096">
        <v>2096</v>
      </c>
      <c r="B2096" t="s">
        <v>35</v>
      </c>
      <c r="C2096" t="s">
        <v>11</v>
      </c>
      <c r="D2096" s="72" t="s">
        <v>3718</v>
      </c>
      <c r="E2096" t="s">
        <v>1016</v>
      </c>
      <c r="F2096" t="s">
        <v>3719</v>
      </c>
      <c r="G2096" s="92">
        <v>42651.784212962964</v>
      </c>
      <c r="H2096" s="92">
        <v>42651.784236111111</v>
      </c>
      <c r="I2096" s="92">
        <v>42651.784224537034</v>
      </c>
      <c r="J2096" s="92"/>
      <c r="K2096" s="92">
        <v>42651.786481481482</v>
      </c>
      <c r="L2096" s="92">
        <f>IF(AND(单词表[[#This Row],[学英]]&lt;&gt;"",单词表[[#This Row],[学中]]&lt;&gt;"",单词表[[#This Row],[学词]]&lt;&gt;""),MAX(单词表[[#This Row],[学英]:[学词]]),"")</f>
        <v>42651.784236111111</v>
      </c>
      <c r="M2096" s="2" t="str">
        <f>IF(AND(单词表[[#This Row],[考英]]&lt;&gt;"",单词表[[#This Row],[考中]]&lt;&gt;""),MAX(单词表[[#This Row],[考英]:[考中]]),"")</f>
        <v/>
      </c>
      <c r="N2096" s="79"/>
    </row>
    <row r="2097" spans="1:14" hidden="1" x14ac:dyDescent="0.15">
      <c r="A2097">
        <v>2097</v>
      </c>
      <c r="B2097" t="s">
        <v>35</v>
      </c>
      <c r="C2097" t="s">
        <v>11</v>
      </c>
      <c r="D2097" s="72" t="s">
        <v>560</v>
      </c>
      <c r="E2097" t="s">
        <v>36</v>
      </c>
      <c r="F2097" t="s">
        <v>3720</v>
      </c>
      <c r="G2097" s="92">
        <v>42651.784259259257</v>
      </c>
      <c r="H2097" s="92">
        <v>42651.823506944442</v>
      </c>
      <c r="I2097" s="92">
        <v>42651.823495370372</v>
      </c>
      <c r="J2097" s="92"/>
      <c r="K2097" s="92">
        <v>42651.823981481481</v>
      </c>
      <c r="L2097" s="92">
        <f>IF(AND(单词表[[#This Row],[学英]]&lt;&gt;"",单词表[[#This Row],[学中]]&lt;&gt;"",单词表[[#This Row],[学词]]&lt;&gt;""),MAX(单词表[[#This Row],[学英]:[学词]]),"")</f>
        <v>42651.823506944442</v>
      </c>
      <c r="M2097" s="2" t="str">
        <f>IF(AND(单词表[[#This Row],[考英]]&lt;&gt;"",单词表[[#This Row],[考中]]&lt;&gt;""),MAX(单词表[[#This Row],[考英]:[考中]]),"")</f>
        <v/>
      </c>
      <c r="N2097" s="79"/>
    </row>
    <row r="2098" spans="1:14" hidden="1" x14ac:dyDescent="0.15">
      <c r="A2098">
        <v>2098</v>
      </c>
      <c r="B2098" t="s">
        <v>35</v>
      </c>
      <c r="C2098" t="s">
        <v>11</v>
      </c>
      <c r="D2098" s="72" t="s">
        <v>2231</v>
      </c>
      <c r="E2098" t="s">
        <v>73</v>
      </c>
      <c r="F2098" t="s">
        <v>3721</v>
      </c>
      <c r="G2098" s="92">
        <v>42651.78429398148</v>
      </c>
      <c r="H2098" s="92">
        <v>42651.784328703703</v>
      </c>
      <c r="I2098" s="92">
        <v>42651.784305555557</v>
      </c>
      <c r="J2098" s="92"/>
      <c r="K2098" s="92">
        <v>42651.786574074074</v>
      </c>
      <c r="L2098" s="92">
        <f>IF(AND(单词表[[#This Row],[学英]]&lt;&gt;"",单词表[[#This Row],[学中]]&lt;&gt;"",单词表[[#This Row],[学词]]&lt;&gt;""),MAX(单词表[[#This Row],[学英]:[学词]]),"")</f>
        <v>42651.784328703703</v>
      </c>
      <c r="M2098" s="2" t="str">
        <f>IF(AND(单词表[[#This Row],[考英]]&lt;&gt;"",单词表[[#This Row],[考中]]&lt;&gt;""),MAX(单词表[[#This Row],[考英]:[考中]]),"")</f>
        <v/>
      </c>
      <c r="N2098" s="79"/>
    </row>
    <row r="2099" spans="1:14" hidden="1" x14ac:dyDescent="0.15">
      <c r="A2099">
        <v>2099</v>
      </c>
      <c r="B2099" t="s">
        <v>35</v>
      </c>
      <c r="C2099" t="s">
        <v>11</v>
      </c>
      <c r="D2099" s="72" t="s">
        <v>2349</v>
      </c>
      <c r="E2099" t="s">
        <v>36</v>
      </c>
      <c r="F2099" t="s">
        <v>3722</v>
      </c>
      <c r="G2099" s="92">
        <v>42651.784351851849</v>
      </c>
      <c r="H2099" s="92">
        <v>42651.784375000003</v>
      </c>
      <c r="I2099" s="92">
        <v>42651.784351851849</v>
      </c>
      <c r="J2099" s="92"/>
      <c r="K2099" s="92">
        <v>42651.786608796298</v>
      </c>
      <c r="L2099" s="92">
        <f>IF(AND(单词表[[#This Row],[学英]]&lt;&gt;"",单词表[[#This Row],[学中]]&lt;&gt;"",单词表[[#This Row],[学词]]&lt;&gt;""),MAX(单词表[[#This Row],[学英]:[学词]]),"")</f>
        <v>42651.784375000003</v>
      </c>
      <c r="M2099" s="2" t="str">
        <f>IF(AND(单词表[[#This Row],[考英]]&lt;&gt;"",单词表[[#This Row],[考中]]&lt;&gt;""),MAX(单词表[[#This Row],[考英]:[考中]]),"")</f>
        <v/>
      </c>
      <c r="N2099" s="79"/>
    </row>
    <row r="2100" spans="1:14" hidden="1" x14ac:dyDescent="0.15">
      <c r="A2100">
        <v>2100</v>
      </c>
      <c r="B2100" t="s">
        <v>35</v>
      </c>
      <c r="C2100" t="s">
        <v>11</v>
      </c>
      <c r="D2100" s="72" t="s">
        <v>1540</v>
      </c>
      <c r="E2100" t="s">
        <v>36</v>
      </c>
      <c r="F2100" t="s">
        <v>1541</v>
      </c>
      <c r="G2100" s="92">
        <v>42651.784398148149</v>
      </c>
      <c r="H2100" s="92">
        <v>42651.784409722219</v>
      </c>
      <c r="I2100" s="92">
        <v>42651.784398148149</v>
      </c>
      <c r="J2100" s="92"/>
      <c r="K2100" s="92">
        <v>42651.78665509259</v>
      </c>
      <c r="L2100" s="92">
        <f>IF(AND(单词表[[#This Row],[学英]]&lt;&gt;"",单词表[[#This Row],[学中]]&lt;&gt;"",单词表[[#This Row],[学词]]&lt;&gt;""),MAX(单词表[[#This Row],[学英]:[学词]]),"")</f>
        <v>42651.784409722219</v>
      </c>
      <c r="M2100" s="2" t="str">
        <f>IF(AND(单词表[[#This Row],[考英]]&lt;&gt;"",单词表[[#This Row],[考中]]&lt;&gt;""),MAX(单词表[[#This Row],[考英]:[考中]]),"")</f>
        <v/>
      </c>
      <c r="N2100" s="79"/>
    </row>
    <row r="2101" spans="1:14" hidden="1" x14ac:dyDescent="0.15">
      <c r="A2101">
        <v>2101</v>
      </c>
      <c r="B2101" t="s">
        <v>35</v>
      </c>
      <c r="C2101" t="s">
        <v>11</v>
      </c>
      <c r="D2101" s="72" t="s">
        <v>3723</v>
      </c>
      <c r="E2101" t="s">
        <v>1016</v>
      </c>
      <c r="F2101" t="s">
        <v>3724</v>
      </c>
      <c r="G2101" s="92">
        <v>42651.784432870372</v>
      </c>
      <c r="H2101" s="92">
        <v>42651.784444444442</v>
      </c>
      <c r="I2101" s="92">
        <v>42651.784444444442</v>
      </c>
      <c r="J2101" s="92"/>
      <c r="K2101" s="92">
        <v>42651.78670138889</v>
      </c>
      <c r="L2101" s="92">
        <f>IF(AND(单词表[[#This Row],[学英]]&lt;&gt;"",单词表[[#This Row],[学中]]&lt;&gt;"",单词表[[#This Row],[学词]]&lt;&gt;""),MAX(单词表[[#This Row],[学英]:[学词]]),"")</f>
        <v>42651.784444444442</v>
      </c>
      <c r="M2101" s="2" t="str">
        <f>IF(AND(单词表[[#This Row],[考英]]&lt;&gt;"",单词表[[#This Row],[考中]]&lt;&gt;""),MAX(单词表[[#This Row],[考英]:[考中]]),"")</f>
        <v/>
      </c>
      <c r="N2101" s="79"/>
    </row>
    <row r="2102" spans="1:14" hidden="1" x14ac:dyDescent="0.15">
      <c r="A2102">
        <v>2102</v>
      </c>
      <c r="B2102" t="s">
        <v>35</v>
      </c>
      <c r="C2102" t="s">
        <v>11</v>
      </c>
      <c r="D2102" s="72" t="s">
        <v>3725</v>
      </c>
      <c r="E2102" t="s">
        <v>3304</v>
      </c>
      <c r="F2102" t="s">
        <v>5535</v>
      </c>
      <c r="G2102" s="92">
        <v>42651.784467592595</v>
      </c>
      <c r="H2102" s="92">
        <v>42651.784490740742</v>
      </c>
      <c r="I2102" s="92">
        <v>42651.784479166665</v>
      </c>
      <c r="J2102" s="92"/>
      <c r="K2102" s="92">
        <v>42651.786759259259</v>
      </c>
      <c r="L2102" s="92">
        <f>IF(AND(单词表[[#This Row],[学英]]&lt;&gt;"",单词表[[#This Row],[学中]]&lt;&gt;"",单词表[[#This Row],[学词]]&lt;&gt;""),MAX(单词表[[#This Row],[学英]:[学词]]),"")</f>
        <v>42651.784490740742</v>
      </c>
      <c r="M2102" s="2" t="str">
        <f>IF(AND(单词表[[#This Row],[考英]]&lt;&gt;"",单词表[[#This Row],[考中]]&lt;&gt;""),MAX(单词表[[#This Row],[考英]:[考中]]),"")</f>
        <v/>
      </c>
      <c r="N2102" s="79"/>
    </row>
    <row r="2103" spans="1:14" hidden="1" x14ac:dyDescent="0.15">
      <c r="A2103">
        <v>2103</v>
      </c>
      <c r="B2103" t="s">
        <v>35</v>
      </c>
      <c r="C2103" t="s">
        <v>11</v>
      </c>
      <c r="D2103" s="72" t="s">
        <v>2320</v>
      </c>
      <c r="E2103" t="s">
        <v>157</v>
      </c>
      <c r="F2103" t="s">
        <v>3726</v>
      </c>
      <c r="G2103" s="92">
        <v>42651.785092592596</v>
      </c>
      <c r="H2103" s="92">
        <v>42651.823564814818</v>
      </c>
      <c r="I2103" s="92">
        <v>42651.823564814818</v>
      </c>
      <c r="J2103" s="92"/>
      <c r="K2103" s="92">
        <v>42651.824097222219</v>
      </c>
      <c r="L2103" s="92">
        <f>IF(AND(单词表[[#This Row],[学英]]&lt;&gt;"",单词表[[#This Row],[学中]]&lt;&gt;"",单词表[[#This Row],[学词]]&lt;&gt;""),MAX(单词表[[#This Row],[学英]:[学词]]),"")</f>
        <v>42651.823564814818</v>
      </c>
      <c r="M2103" s="2" t="str">
        <f>IF(AND(单词表[[#This Row],[考英]]&lt;&gt;"",单词表[[#This Row],[考中]]&lt;&gt;""),MAX(单词表[[#This Row],[考英]:[考中]]),"")</f>
        <v/>
      </c>
      <c r="N2103" s="79"/>
    </row>
    <row r="2104" spans="1:14" hidden="1" x14ac:dyDescent="0.15">
      <c r="A2104">
        <v>2104</v>
      </c>
      <c r="B2104" t="s">
        <v>35</v>
      </c>
      <c r="C2104" t="s">
        <v>11</v>
      </c>
      <c r="D2104" s="72" t="s">
        <v>3727</v>
      </c>
      <c r="E2104" t="s">
        <v>36</v>
      </c>
      <c r="F2104" t="s">
        <v>3728</v>
      </c>
      <c r="G2104" s="92">
        <v>42651.785162037035</v>
      </c>
      <c r="H2104" s="92">
        <v>42651.785162037035</v>
      </c>
      <c r="I2104" s="92">
        <v>42651.785162037035</v>
      </c>
      <c r="J2104" s="92"/>
      <c r="K2104" s="92">
        <v>42651.786863425928</v>
      </c>
      <c r="L2104" s="92">
        <f>IF(AND(单词表[[#This Row],[学英]]&lt;&gt;"",单词表[[#This Row],[学中]]&lt;&gt;"",单词表[[#This Row],[学词]]&lt;&gt;""),MAX(单词表[[#This Row],[学英]:[学词]]),"")</f>
        <v>42651.785162037035</v>
      </c>
      <c r="M2104" s="2" t="str">
        <f>IF(AND(单词表[[#This Row],[考英]]&lt;&gt;"",单词表[[#This Row],[考中]]&lt;&gt;""),MAX(单词表[[#This Row],[考英]:[考中]]),"")</f>
        <v/>
      </c>
      <c r="N2104" s="79"/>
    </row>
    <row r="2105" spans="1:14" hidden="1" x14ac:dyDescent="0.15">
      <c r="A2105">
        <v>2105</v>
      </c>
      <c r="B2105" t="s">
        <v>35</v>
      </c>
      <c r="C2105" t="s">
        <v>12</v>
      </c>
      <c r="D2105" s="72" t="s">
        <v>369</v>
      </c>
      <c r="E2105" t="s">
        <v>61</v>
      </c>
      <c r="F2105" t="s">
        <v>1672</v>
      </c>
      <c r="G2105" s="92">
        <v>42652.890162037038</v>
      </c>
      <c r="H2105" s="92">
        <v>42652.890173611115</v>
      </c>
      <c r="I2105" s="92">
        <v>42652.890173611115</v>
      </c>
      <c r="J2105" s="92"/>
      <c r="K2105" s="92">
        <v>42662.78733796296</v>
      </c>
      <c r="L2105" s="92">
        <f>IF(AND(单词表[[#This Row],[学英]]&lt;&gt;"",单词表[[#This Row],[学中]]&lt;&gt;"",单词表[[#This Row],[学词]]&lt;&gt;""),MAX(单词表[[#This Row],[学英]:[学词]]),"")</f>
        <v>42652.890173611115</v>
      </c>
      <c r="M2105" s="2" t="str">
        <f>IF(AND(单词表[[#This Row],[考英]]&lt;&gt;"",单词表[[#This Row],[考中]]&lt;&gt;""),MAX(单词表[[#This Row],[考英]:[考中]]),"")</f>
        <v/>
      </c>
      <c r="N2105" s="79"/>
    </row>
    <row r="2106" spans="1:14" hidden="1" x14ac:dyDescent="0.15">
      <c r="A2106">
        <v>2106</v>
      </c>
      <c r="B2106" t="s">
        <v>35</v>
      </c>
      <c r="C2106" t="s">
        <v>12</v>
      </c>
      <c r="D2106" s="72" t="s">
        <v>2862</v>
      </c>
      <c r="E2106" t="s">
        <v>36</v>
      </c>
      <c r="F2106" t="s">
        <v>5536</v>
      </c>
      <c r="G2106" s="92">
        <v>42652.890405092592</v>
      </c>
      <c r="H2106" s="92">
        <v>42662.793124999997</v>
      </c>
      <c r="I2106" s="92">
        <v>42662.793124999997</v>
      </c>
      <c r="J2106" s="92"/>
      <c r="K2106" s="92">
        <v>42662.797349537039</v>
      </c>
      <c r="L2106" s="92">
        <f>IF(AND(单词表[[#This Row],[学英]]&lt;&gt;"",单词表[[#This Row],[学中]]&lt;&gt;"",单词表[[#This Row],[学词]]&lt;&gt;""),MAX(单词表[[#This Row],[学英]:[学词]]),"")</f>
        <v>42662.793124999997</v>
      </c>
      <c r="M2106" s="2" t="str">
        <f>IF(AND(单词表[[#This Row],[考英]]&lt;&gt;"",单词表[[#This Row],[考中]]&lt;&gt;""),MAX(单词表[[#This Row],[考英]:[考中]]),"")</f>
        <v/>
      </c>
      <c r="N2106" s="79"/>
    </row>
    <row r="2107" spans="1:14" hidden="1" x14ac:dyDescent="0.15">
      <c r="A2107">
        <v>2107</v>
      </c>
      <c r="B2107" t="s">
        <v>35</v>
      </c>
      <c r="C2107" t="s">
        <v>12</v>
      </c>
      <c r="D2107" s="72" t="s">
        <v>3729</v>
      </c>
      <c r="E2107" t="s">
        <v>702</v>
      </c>
      <c r="F2107" t="s">
        <v>3730</v>
      </c>
      <c r="G2107" s="92">
        <v>42652.890462962961</v>
      </c>
      <c r="H2107" s="92">
        <v>42652.890486111108</v>
      </c>
      <c r="I2107" s="92">
        <v>42652.890474537038</v>
      </c>
      <c r="J2107" s="92"/>
      <c r="K2107" s="92">
        <v>42662.787476851852</v>
      </c>
      <c r="L2107" s="92">
        <f>IF(AND(单词表[[#This Row],[学英]]&lt;&gt;"",单词表[[#This Row],[学中]]&lt;&gt;"",单词表[[#This Row],[学词]]&lt;&gt;""),MAX(单词表[[#This Row],[学英]:[学词]]),"")</f>
        <v>42652.890486111108</v>
      </c>
      <c r="M2107" s="2" t="str">
        <f>IF(AND(单词表[[#This Row],[考英]]&lt;&gt;"",单词表[[#This Row],[考中]]&lt;&gt;""),MAX(单词表[[#This Row],[考英]:[考中]]),"")</f>
        <v/>
      </c>
      <c r="N2107" s="79"/>
    </row>
    <row r="2108" spans="1:14" hidden="1" x14ac:dyDescent="0.15">
      <c r="A2108">
        <v>2108</v>
      </c>
      <c r="B2108" t="s">
        <v>35</v>
      </c>
      <c r="C2108" t="s">
        <v>12</v>
      </c>
      <c r="D2108" s="72" t="s">
        <v>1019</v>
      </c>
      <c r="E2108" t="s">
        <v>36</v>
      </c>
      <c r="F2108" t="s">
        <v>3443</v>
      </c>
      <c r="G2108" s="92">
        <v>42652.890543981484</v>
      </c>
      <c r="H2108" s="92">
        <v>42652.890555555554</v>
      </c>
      <c r="I2108" s="92">
        <v>42652.890555555554</v>
      </c>
      <c r="J2108" s="92"/>
      <c r="K2108" s="92">
        <v>42662.787534722222</v>
      </c>
      <c r="L2108" s="92">
        <f>IF(AND(单词表[[#This Row],[学英]]&lt;&gt;"",单词表[[#This Row],[学中]]&lt;&gt;"",单词表[[#This Row],[学词]]&lt;&gt;""),MAX(单词表[[#This Row],[学英]:[学词]]),"")</f>
        <v>42652.890555555554</v>
      </c>
      <c r="M2108" s="2" t="str">
        <f>IF(AND(单词表[[#This Row],[考英]]&lt;&gt;"",单词表[[#This Row],[考中]]&lt;&gt;""),MAX(单词表[[#This Row],[考英]:[考中]]),"")</f>
        <v/>
      </c>
      <c r="N2108" s="79"/>
    </row>
    <row r="2109" spans="1:14" hidden="1" x14ac:dyDescent="0.15">
      <c r="A2109">
        <v>2109</v>
      </c>
      <c r="B2109" t="s">
        <v>35</v>
      </c>
      <c r="C2109" t="s">
        <v>12</v>
      </c>
      <c r="D2109" s="72" t="s">
        <v>3731</v>
      </c>
      <c r="E2109" t="s">
        <v>1016</v>
      </c>
      <c r="F2109" t="s">
        <v>3732</v>
      </c>
      <c r="G2109" s="92">
        <v>42652.8905787037</v>
      </c>
      <c r="H2109" s="92">
        <v>42662.793495370373</v>
      </c>
      <c r="I2109" s="92">
        <v>42662.793495370373</v>
      </c>
      <c r="J2109" s="92"/>
      <c r="K2109" s="92">
        <v>42662.797395833331</v>
      </c>
      <c r="L2109" s="92">
        <f>IF(AND(单词表[[#This Row],[学英]]&lt;&gt;"",单词表[[#This Row],[学中]]&lt;&gt;"",单词表[[#This Row],[学词]]&lt;&gt;""),MAX(单词表[[#This Row],[学英]:[学词]]),"")</f>
        <v>42662.793495370373</v>
      </c>
      <c r="M2109" s="2" t="str">
        <f>IF(AND(单词表[[#This Row],[考英]]&lt;&gt;"",单词表[[#This Row],[考中]]&lt;&gt;""),MAX(单词表[[#This Row],[考英]:[考中]]),"")</f>
        <v/>
      </c>
      <c r="N2109" s="79"/>
    </row>
    <row r="2110" spans="1:14" hidden="1" x14ac:dyDescent="0.15">
      <c r="A2110">
        <v>2110</v>
      </c>
      <c r="B2110" t="s">
        <v>35</v>
      </c>
      <c r="C2110" t="s">
        <v>12</v>
      </c>
      <c r="D2110" s="72" t="s">
        <v>3733</v>
      </c>
      <c r="E2110" t="s">
        <v>73</v>
      </c>
      <c r="F2110" t="s">
        <v>836</v>
      </c>
      <c r="G2110" s="92">
        <v>42652.890636574077</v>
      </c>
      <c r="H2110" s="92">
        <v>42652.890648148146</v>
      </c>
      <c r="I2110" s="92">
        <v>42652.890636574077</v>
      </c>
      <c r="J2110" s="92"/>
      <c r="K2110" s="92">
        <v>42662.78765046296</v>
      </c>
      <c r="L2110" s="92">
        <f>IF(AND(单词表[[#This Row],[学英]]&lt;&gt;"",单词表[[#This Row],[学中]]&lt;&gt;"",单词表[[#This Row],[学词]]&lt;&gt;""),MAX(单词表[[#This Row],[学英]:[学词]]),"")</f>
        <v>42652.890648148146</v>
      </c>
      <c r="M2110" s="2" t="str">
        <f>IF(AND(单词表[[#This Row],[考英]]&lt;&gt;"",单词表[[#This Row],[考中]]&lt;&gt;""),MAX(单词表[[#This Row],[考英]:[考中]]),"")</f>
        <v/>
      </c>
      <c r="N2110" s="79"/>
    </row>
    <row r="2111" spans="1:14" hidden="1" x14ac:dyDescent="0.15">
      <c r="A2111">
        <v>2111</v>
      </c>
      <c r="B2111" t="s">
        <v>35</v>
      </c>
      <c r="C2111" t="s">
        <v>12</v>
      </c>
      <c r="D2111" s="72" t="s">
        <v>2918</v>
      </c>
      <c r="E2111" t="s">
        <v>36</v>
      </c>
      <c r="F2111" t="s">
        <v>2919</v>
      </c>
      <c r="G2111" s="92">
        <v>42652.890983796293</v>
      </c>
      <c r="H2111" s="92">
        <v>42652.89099537037</v>
      </c>
      <c r="I2111" s="92">
        <v>42652.89099537037</v>
      </c>
      <c r="J2111" s="92"/>
      <c r="K2111" s="92">
        <v>42662.787685185183</v>
      </c>
      <c r="L2111" s="92">
        <f>IF(AND(单词表[[#This Row],[学英]]&lt;&gt;"",单词表[[#This Row],[学中]]&lt;&gt;"",单词表[[#This Row],[学词]]&lt;&gt;""),MAX(单词表[[#This Row],[学英]:[学词]]),"")</f>
        <v>42652.89099537037</v>
      </c>
      <c r="M2111" s="2" t="str">
        <f>IF(AND(单词表[[#This Row],[考英]]&lt;&gt;"",单词表[[#This Row],[考中]]&lt;&gt;""),MAX(单词表[[#This Row],[考英]:[考中]]),"")</f>
        <v/>
      </c>
      <c r="N2111" s="79"/>
    </row>
    <row r="2112" spans="1:14" hidden="1" x14ac:dyDescent="0.15">
      <c r="A2112">
        <v>2112</v>
      </c>
      <c r="B2112" t="s">
        <v>35</v>
      </c>
      <c r="C2112" t="s">
        <v>12</v>
      </c>
      <c r="D2112" s="72" t="s">
        <v>3734</v>
      </c>
      <c r="E2112" t="s">
        <v>36</v>
      </c>
      <c r="F2112" t="s">
        <v>3735</v>
      </c>
      <c r="G2112" s="92">
        <v>42652.891030092593</v>
      </c>
      <c r="H2112" s="92">
        <v>42652.891041666669</v>
      </c>
      <c r="I2112" s="92">
        <v>42652.891041666669</v>
      </c>
      <c r="J2112" s="92"/>
      <c r="K2112" s="92">
        <v>42662.787719907406</v>
      </c>
      <c r="L2112" s="92">
        <f>IF(AND(单词表[[#This Row],[学英]]&lt;&gt;"",单词表[[#This Row],[学中]]&lt;&gt;"",单词表[[#This Row],[学词]]&lt;&gt;""),MAX(单词表[[#This Row],[学英]:[学词]]),"")</f>
        <v>42652.891041666669</v>
      </c>
      <c r="M2112" s="2" t="str">
        <f>IF(AND(单词表[[#This Row],[考英]]&lt;&gt;"",单词表[[#This Row],[考中]]&lt;&gt;""),MAX(单词表[[#This Row],[考英]:[考中]]),"")</f>
        <v/>
      </c>
      <c r="N2112" s="79"/>
    </row>
    <row r="2113" spans="1:14" hidden="1" x14ac:dyDescent="0.15">
      <c r="A2113">
        <v>2113</v>
      </c>
      <c r="B2113" t="s">
        <v>35</v>
      </c>
      <c r="C2113" t="s">
        <v>12</v>
      </c>
      <c r="D2113" s="72" t="s">
        <v>2522</v>
      </c>
      <c r="E2113" t="s">
        <v>36</v>
      </c>
      <c r="F2113" t="s">
        <v>5537</v>
      </c>
      <c r="G2113" s="92">
        <v>42652.891076388885</v>
      </c>
      <c r="H2113" s="92">
        <v>42652.891076388885</v>
      </c>
      <c r="I2113" s="92">
        <v>42652.891064814816</v>
      </c>
      <c r="J2113" s="92"/>
      <c r="K2113" s="92">
        <v>42662.787754629629</v>
      </c>
      <c r="L2113" s="92">
        <f>IF(AND(单词表[[#This Row],[学英]]&lt;&gt;"",单词表[[#This Row],[学中]]&lt;&gt;"",单词表[[#This Row],[学词]]&lt;&gt;""),MAX(单词表[[#This Row],[学英]:[学词]]),"")</f>
        <v>42652.891076388885</v>
      </c>
      <c r="M2113" s="2" t="str">
        <f>IF(AND(单词表[[#This Row],[考英]]&lt;&gt;"",单词表[[#This Row],[考中]]&lt;&gt;""),MAX(单词表[[#This Row],[考英]:[考中]]),"")</f>
        <v/>
      </c>
      <c r="N2113" s="79"/>
    </row>
    <row r="2114" spans="1:14" hidden="1" x14ac:dyDescent="0.15">
      <c r="A2114">
        <v>2114</v>
      </c>
      <c r="B2114" t="s">
        <v>35</v>
      </c>
      <c r="C2114" t="s">
        <v>12</v>
      </c>
      <c r="D2114" s="72" t="s">
        <v>3736</v>
      </c>
      <c r="E2114" t="s">
        <v>702</v>
      </c>
      <c r="F2114" t="s">
        <v>3737</v>
      </c>
      <c r="G2114" s="92">
        <v>42652.891111111108</v>
      </c>
      <c r="H2114" s="92">
        <v>42652.896851851852</v>
      </c>
      <c r="I2114" s="92">
        <v>42652.896840277775</v>
      </c>
      <c r="J2114" s="92"/>
      <c r="K2114" s="92">
        <v>42662.787800925929</v>
      </c>
      <c r="L2114" s="92">
        <f>IF(AND(单词表[[#This Row],[学英]]&lt;&gt;"",单词表[[#This Row],[学中]]&lt;&gt;"",单词表[[#This Row],[学词]]&lt;&gt;""),MAX(单词表[[#This Row],[学英]:[学词]]),"")</f>
        <v>42652.896851851852</v>
      </c>
      <c r="M2114" s="2" t="str">
        <f>IF(AND(单词表[[#This Row],[考英]]&lt;&gt;"",单词表[[#This Row],[考中]]&lt;&gt;""),MAX(单词表[[#This Row],[考英]:[考中]]),"")</f>
        <v/>
      </c>
      <c r="N2114" s="79"/>
    </row>
    <row r="2115" spans="1:14" hidden="1" x14ac:dyDescent="0.15">
      <c r="A2115">
        <v>2115</v>
      </c>
      <c r="B2115" t="s">
        <v>35</v>
      </c>
      <c r="C2115" t="s">
        <v>12</v>
      </c>
      <c r="D2115" s="72" t="s">
        <v>3738</v>
      </c>
      <c r="E2115" t="s">
        <v>73</v>
      </c>
      <c r="F2115" t="s">
        <v>3739</v>
      </c>
      <c r="G2115" s="92">
        <v>42652.891180555554</v>
      </c>
      <c r="H2115" s="92">
        <v>42662.793738425928</v>
      </c>
      <c r="I2115" s="92">
        <v>42662.793738425928</v>
      </c>
      <c r="J2115" s="92"/>
      <c r="K2115" s="92">
        <v>42662.797453703701</v>
      </c>
      <c r="L2115" s="92">
        <f>IF(AND(单词表[[#This Row],[学英]]&lt;&gt;"",单词表[[#This Row],[学中]]&lt;&gt;"",单词表[[#This Row],[学词]]&lt;&gt;""),MAX(单词表[[#This Row],[学英]:[学词]]),"")</f>
        <v>42662.793738425928</v>
      </c>
      <c r="M2115" s="2" t="str">
        <f>IF(AND(单词表[[#This Row],[考英]]&lt;&gt;"",单词表[[#This Row],[考中]]&lt;&gt;""),MAX(单词表[[#This Row],[考英]:[考中]]),"")</f>
        <v/>
      </c>
      <c r="N2115" s="79"/>
    </row>
    <row r="2116" spans="1:14" hidden="1" x14ac:dyDescent="0.15">
      <c r="A2116">
        <v>2116</v>
      </c>
      <c r="B2116" t="s">
        <v>35</v>
      </c>
      <c r="C2116" t="s">
        <v>12</v>
      </c>
      <c r="D2116" s="72" t="s">
        <v>3740</v>
      </c>
      <c r="E2116" t="s">
        <v>36</v>
      </c>
      <c r="F2116" t="s">
        <v>3741</v>
      </c>
      <c r="G2116" s="92">
        <v>42652.891226851854</v>
      </c>
      <c r="H2116" s="92">
        <v>42652.891238425924</v>
      </c>
      <c r="I2116" s="92">
        <v>42652.891238425924</v>
      </c>
      <c r="J2116" s="92"/>
      <c r="K2116" s="92">
        <v>42662.787916666668</v>
      </c>
      <c r="L2116" s="92">
        <f>IF(AND(单词表[[#This Row],[学英]]&lt;&gt;"",单词表[[#This Row],[学中]]&lt;&gt;"",单词表[[#This Row],[学词]]&lt;&gt;""),MAX(单词表[[#This Row],[学英]:[学词]]),"")</f>
        <v>42652.891238425924</v>
      </c>
      <c r="M2116" s="2" t="str">
        <f>IF(AND(单词表[[#This Row],[考英]]&lt;&gt;"",单词表[[#This Row],[考中]]&lt;&gt;""),MAX(单词表[[#This Row],[考英]:[考中]]),"")</f>
        <v/>
      </c>
      <c r="N2116" s="79"/>
    </row>
    <row r="2117" spans="1:14" hidden="1" x14ac:dyDescent="0.15">
      <c r="A2117">
        <v>2117</v>
      </c>
      <c r="B2117" t="s">
        <v>35</v>
      </c>
      <c r="C2117" t="s">
        <v>12</v>
      </c>
      <c r="D2117" s="72" t="s">
        <v>3742</v>
      </c>
      <c r="E2117" t="s">
        <v>36</v>
      </c>
      <c r="F2117" t="s">
        <v>3743</v>
      </c>
      <c r="G2117" s="92">
        <v>42652.891284722224</v>
      </c>
      <c r="H2117" s="92">
        <v>42652.891284722224</v>
      </c>
      <c r="I2117" s="92">
        <v>42652.891284722224</v>
      </c>
      <c r="J2117" s="92"/>
      <c r="K2117" s="92">
        <v>42662.787962962961</v>
      </c>
      <c r="L2117" s="92">
        <f>IF(AND(单词表[[#This Row],[学英]]&lt;&gt;"",单词表[[#This Row],[学中]]&lt;&gt;"",单词表[[#This Row],[学词]]&lt;&gt;""),MAX(单词表[[#This Row],[学英]:[学词]]),"")</f>
        <v>42652.891284722224</v>
      </c>
      <c r="M2117" s="2" t="str">
        <f>IF(AND(单词表[[#This Row],[考英]]&lt;&gt;"",单词表[[#This Row],[考中]]&lt;&gt;""),MAX(单词表[[#This Row],[考英]:[考中]]),"")</f>
        <v/>
      </c>
      <c r="N2117" s="79"/>
    </row>
    <row r="2118" spans="1:14" hidden="1" x14ac:dyDescent="0.15">
      <c r="A2118">
        <v>2118</v>
      </c>
      <c r="B2118" t="s">
        <v>35</v>
      </c>
      <c r="C2118" t="s">
        <v>12</v>
      </c>
      <c r="D2118" s="72" t="s">
        <v>3744</v>
      </c>
      <c r="E2118" t="s">
        <v>36</v>
      </c>
      <c r="F2118" t="s">
        <v>3507</v>
      </c>
      <c r="G2118" s="92">
        <v>42652.891365740739</v>
      </c>
      <c r="H2118" s="92">
        <v>42652.891377314816</v>
      </c>
      <c r="I2118" s="92">
        <v>42652.891377314816</v>
      </c>
      <c r="J2118" s="92"/>
      <c r="K2118" s="92">
        <v>42662.78800925926</v>
      </c>
      <c r="L2118" s="92">
        <f>IF(AND(单词表[[#This Row],[学英]]&lt;&gt;"",单词表[[#This Row],[学中]]&lt;&gt;"",单词表[[#This Row],[学词]]&lt;&gt;""),MAX(单词表[[#This Row],[学英]:[学词]]),"")</f>
        <v>42652.891377314816</v>
      </c>
      <c r="M2118" s="2" t="str">
        <f>IF(AND(单词表[[#This Row],[考英]]&lt;&gt;"",单词表[[#This Row],[考中]]&lt;&gt;""),MAX(单词表[[#This Row],[考英]:[考中]]),"")</f>
        <v/>
      </c>
      <c r="N2118" s="79"/>
    </row>
    <row r="2119" spans="1:14" hidden="1" x14ac:dyDescent="0.15">
      <c r="A2119">
        <v>2119</v>
      </c>
      <c r="B2119" t="s">
        <v>35</v>
      </c>
      <c r="C2119" t="s">
        <v>12</v>
      </c>
      <c r="D2119" s="72" t="s">
        <v>493</v>
      </c>
      <c r="E2119" t="s">
        <v>36</v>
      </c>
      <c r="F2119" t="s">
        <v>3745</v>
      </c>
      <c r="G2119" s="92">
        <v>42652.891446759262</v>
      </c>
      <c r="H2119" s="92">
        <v>42652.891469907408</v>
      </c>
      <c r="I2119" s="92">
        <v>42652.891458333332</v>
      </c>
      <c r="J2119" s="92"/>
      <c r="K2119" s="92">
        <v>42662.788043981483</v>
      </c>
      <c r="L2119" s="92">
        <f>IF(AND(单词表[[#This Row],[学英]]&lt;&gt;"",单词表[[#This Row],[学中]]&lt;&gt;"",单词表[[#This Row],[学词]]&lt;&gt;""),MAX(单词表[[#This Row],[学英]:[学词]]),"")</f>
        <v>42652.891469907408</v>
      </c>
      <c r="M2119" s="2" t="str">
        <f>IF(AND(单词表[[#This Row],[考英]]&lt;&gt;"",单词表[[#This Row],[考中]]&lt;&gt;""),MAX(单词表[[#This Row],[考英]:[考中]]),"")</f>
        <v/>
      </c>
      <c r="N2119" s="79"/>
    </row>
    <row r="2120" spans="1:14" hidden="1" x14ac:dyDescent="0.15">
      <c r="A2120">
        <v>2120</v>
      </c>
      <c r="B2120" t="s">
        <v>35</v>
      </c>
      <c r="C2120" t="s">
        <v>12</v>
      </c>
      <c r="D2120" s="72" t="s">
        <v>2347</v>
      </c>
      <c r="E2120" t="s">
        <v>702</v>
      </c>
      <c r="F2120" t="s">
        <v>3746</v>
      </c>
      <c r="G2120" s="92">
        <v>42652.891493055555</v>
      </c>
      <c r="H2120" s="92">
        <v>42652.891504629632</v>
      </c>
      <c r="I2120" s="92">
        <v>42652.891504629632</v>
      </c>
      <c r="J2120" s="92"/>
      <c r="K2120" s="92">
        <v>42662.788090277776</v>
      </c>
      <c r="L2120" s="92">
        <f>IF(AND(单词表[[#This Row],[学英]]&lt;&gt;"",单词表[[#This Row],[学中]]&lt;&gt;"",单词表[[#This Row],[学词]]&lt;&gt;""),MAX(单词表[[#This Row],[学英]:[学词]]),"")</f>
        <v>42652.891504629632</v>
      </c>
      <c r="M2120" s="2" t="str">
        <f>IF(AND(单词表[[#This Row],[考英]]&lt;&gt;"",单词表[[#This Row],[考中]]&lt;&gt;""),MAX(单词表[[#This Row],[考英]:[考中]]),"")</f>
        <v/>
      </c>
      <c r="N2120" s="79"/>
    </row>
    <row r="2121" spans="1:14" hidden="1" x14ac:dyDescent="0.15">
      <c r="A2121">
        <v>2121</v>
      </c>
      <c r="B2121" t="s">
        <v>35</v>
      </c>
      <c r="C2121" t="s">
        <v>12</v>
      </c>
      <c r="D2121" s="72" t="s">
        <v>3747</v>
      </c>
      <c r="E2121" t="s">
        <v>36</v>
      </c>
      <c r="F2121" t="s">
        <v>3748</v>
      </c>
      <c r="G2121" s="92">
        <v>42652.89162037037</v>
      </c>
      <c r="H2121" s="92">
        <v>42662.793819444443</v>
      </c>
      <c r="I2121" s="92">
        <v>42662.793819444443</v>
      </c>
      <c r="J2121" s="92"/>
      <c r="K2121" s="92">
        <v>42662.797500000001</v>
      </c>
      <c r="L2121" s="92">
        <f>IF(AND(单词表[[#This Row],[学英]]&lt;&gt;"",单词表[[#This Row],[学中]]&lt;&gt;"",单词表[[#This Row],[学词]]&lt;&gt;""),MAX(单词表[[#This Row],[学英]:[学词]]),"")</f>
        <v>42662.793819444443</v>
      </c>
      <c r="M2121" s="2" t="str">
        <f>IF(AND(单词表[[#This Row],[考英]]&lt;&gt;"",单词表[[#This Row],[考中]]&lt;&gt;""),MAX(单词表[[#This Row],[考英]:[考中]]),"")</f>
        <v/>
      </c>
      <c r="N2121" s="79"/>
    </row>
    <row r="2122" spans="1:14" hidden="1" x14ac:dyDescent="0.15">
      <c r="A2122">
        <v>2122</v>
      </c>
      <c r="B2122" t="s">
        <v>35</v>
      </c>
      <c r="C2122" t="s">
        <v>12</v>
      </c>
      <c r="D2122" s="72" t="s">
        <v>3749</v>
      </c>
      <c r="E2122" t="s">
        <v>36</v>
      </c>
      <c r="F2122" t="s">
        <v>3750</v>
      </c>
      <c r="G2122" s="92">
        <v>42652.89167824074</v>
      </c>
      <c r="H2122" s="92">
        <v>42662.793865740743</v>
      </c>
      <c r="I2122" s="92">
        <v>42662.793865740743</v>
      </c>
      <c r="J2122" s="92"/>
      <c r="K2122" s="92">
        <v>42662.797546296293</v>
      </c>
      <c r="L2122" s="92">
        <f>IF(AND(单词表[[#This Row],[学英]]&lt;&gt;"",单词表[[#This Row],[学中]]&lt;&gt;"",单词表[[#This Row],[学词]]&lt;&gt;""),MAX(单词表[[#This Row],[学英]:[学词]]),"")</f>
        <v>42662.793865740743</v>
      </c>
      <c r="M2122" s="2" t="str">
        <f>IF(AND(单词表[[#This Row],[考英]]&lt;&gt;"",单词表[[#This Row],[考中]]&lt;&gt;""),MAX(单词表[[#This Row],[考英]:[考中]]),"")</f>
        <v/>
      </c>
      <c r="N2122" s="79"/>
    </row>
    <row r="2123" spans="1:14" hidden="1" x14ac:dyDescent="0.15">
      <c r="A2123">
        <v>2123</v>
      </c>
      <c r="B2123" t="s">
        <v>35</v>
      </c>
      <c r="C2123" t="s">
        <v>12</v>
      </c>
      <c r="D2123" s="72" t="s">
        <v>3749</v>
      </c>
      <c r="E2123" t="s">
        <v>73</v>
      </c>
      <c r="F2123" t="s">
        <v>3751</v>
      </c>
      <c r="G2123" s="92">
        <v>42652.891736111109</v>
      </c>
      <c r="H2123" s="92">
        <v>42652.891747685186</v>
      </c>
      <c r="I2123" s="92">
        <v>42652.891736111109</v>
      </c>
      <c r="J2123" s="92"/>
      <c r="K2123" s="92">
        <v>42662.788263888891</v>
      </c>
      <c r="L2123" s="92">
        <f>IF(AND(单词表[[#This Row],[学英]]&lt;&gt;"",单词表[[#This Row],[学中]]&lt;&gt;"",单词表[[#This Row],[学词]]&lt;&gt;""),MAX(单词表[[#This Row],[学英]:[学词]]),"")</f>
        <v>42652.891747685186</v>
      </c>
      <c r="M2123" s="2" t="str">
        <f>IF(AND(单词表[[#This Row],[考英]]&lt;&gt;"",单词表[[#This Row],[考中]]&lt;&gt;""),MAX(单词表[[#This Row],[考英]:[考中]]),"")</f>
        <v/>
      </c>
      <c r="N2123" s="79"/>
    </row>
    <row r="2124" spans="1:14" hidden="1" x14ac:dyDescent="0.15">
      <c r="A2124">
        <v>2124</v>
      </c>
      <c r="B2124" t="s">
        <v>35</v>
      </c>
      <c r="C2124" t="s">
        <v>12</v>
      </c>
      <c r="D2124" s="72" t="s">
        <v>3752</v>
      </c>
      <c r="E2124" t="s">
        <v>61</v>
      </c>
      <c r="F2124" t="s">
        <v>5538</v>
      </c>
      <c r="G2124" s="92">
        <v>42652.891805555555</v>
      </c>
      <c r="H2124" s="92">
        <v>42652.891817129632</v>
      </c>
      <c r="I2124" s="92">
        <v>42652.891805555555</v>
      </c>
      <c r="J2124" s="92"/>
      <c r="K2124" s="92">
        <v>42662.788310185184</v>
      </c>
      <c r="L2124" s="92">
        <f>IF(AND(单词表[[#This Row],[学英]]&lt;&gt;"",单词表[[#This Row],[学中]]&lt;&gt;"",单词表[[#This Row],[学词]]&lt;&gt;""),MAX(单词表[[#This Row],[学英]:[学词]]),"")</f>
        <v>42652.891817129632</v>
      </c>
      <c r="M2124" s="2" t="str">
        <f>IF(AND(单词表[[#This Row],[考英]]&lt;&gt;"",单词表[[#This Row],[考中]]&lt;&gt;""),MAX(单词表[[#This Row],[考英]:[考中]]),"")</f>
        <v/>
      </c>
      <c r="N2124" s="79"/>
    </row>
    <row r="2125" spans="1:14" hidden="1" x14ac:dyDescent="0.15">
      <c r="A2125">
        <v>2125</v>
      </c>
      <c r="B2125" t="s">
        <v>35</v>
      </c>
      <c r="C2125" t="s">
        <v>12</v>
      </c>
      <c r="D2125" s="72" t="s">
        <v>3753</v>
      </c>
      <c r="E2125" t="s">
        <v>36</v>
      </c>
      <c r="F2125" t="s">
        <v>3735</v>
      </c>
      <c r="G2125" s="92">
        <v>42652.891863425924</v>
      </c>
      <c r="H2125" s="92">
        <v>42652.891863425924</v>
      </c>
      <c r="I2125" s="92">
        <v>42652.891863425924</v>
      </c>
      <c r="J2125" s="92"/>
      <c r="K2125" s="92">
        <v>42662.788344907407</v>
      </c>
      <c r="L2125" s="92">
        <f>IF(AND(单词表[[#This Row],[学英]]&lt;&gt;"",单词表[[#This Row],[学中]]&lt;&gt;"",单词表[[#This Row],[学词]]&lt;&gt;""),MAX(单词表[[#This Row],[学英]:[学词]]),"")</f>
        <v>42652.891863425924</v>
      </c>
      <c r="M2125" s="2" t="str">
        <f>IF(AND(单词表[[#This Row],[考英]]&lt;&gt;"",单词表[[#This Row],[考中]]&lt;&gt;""),MAX(单词表[[#This Row],[考英]:[考中]]),"")</f>
        <v/>
      </c>
      <c r="N2125" s="79"/>
    </row>
    <row r="2126" spans="1:14" hidden="1" x14ac:dyDescent="0.15">
      <c r="A2126">
        <v>2126</v>
      </c>
      <c r="B2126" t="s">
        <v>35</v>
      </c>
      <c r="C2126" t="s">
        <v>12</v>
      </c>
      <c r="D2126" s="72" t="s">
        <v>3219</v>
      </c>
      <c r="E2126" t="s">
        <v>36</v>
      </c>
      <c r="F2126" t="s">
        <v>5539</v>
      </c>
      <c r="G2126" s="92">
        <v>42652.891909722224</v>
      </c>
      <c r="H2126" s="92">
        <v>42652.891921296294</v>
      </c>
      <c r="I2126" s="92">
        <v>42652.891921296294</v>
      </c>
      <c r="J2126" s="92"/>
      <c r="K2126" s="92">
        <v>42662.78837962963</v>
      </c>
      <c r="L2126" s="92">
        <f>IF(AND(单词表[[#This Row],[学英]]&lt;&gt;"",单词表[[#This Row],[学中]]&lt;&gt;"",单词表[[#This Row],[学词]]&lt;&gt;""),MAX(单词表[[#This Row],[学英]:[学词]]),"")</f>
        <v>42652.891921296294</v>
      </c>
      <c r="M2126" s="2" t="str">
        <f>IF(AND(单词表[[#This Row],[考英]]&lt;&gt;"",单词表[[#This Row],[考中]]&lt;&gt;""),MAX(单词表[[#This Row],[考英]:[考中]]),"")</f>
        <v/>
      </c>
      <c r="N2126" s="79"/>
    </row>
    <row r="2127" spans="1:14" hidden="1" x14ac:dyDescent="0.15">
      <c r="A2127">
        <v>2127</v>
      </c>
      <c r="B2127" t="s">
        <v>35</v>
      </c>
      <c r="C2127" t="s">
        <v>12</v>
      </c>
      <c r="D2127" s="72" t="s">
        <v>607</v>
      </c>
      <c r="E2127" t="s">
        <v>36</v>
      </c>
      <c r="F2127" t="s">
        <v>3754</v>
      </c>
      <c r="G2127" s="92">
        <v>42652.891956018517</v>
      </c>
      <c r="H2127" s="92">
        <v>42652.891967592594</v>
      </c>
      <c r="I2127" s="92">
        <v>42652.891956018517</v>
      </c>
      <c r="J2127" s="92"/>
      <c r="K2127" s="92">
        <v>42662.788414351853</v>
      </c>
      <c r="L2127" s="92">
        <f>IF(AND(单词表[[#This Row],[学英]]&lt;&gt;"",单词表[[#This Row],[学中]]&lt;&gt;"",单词表[[#This Row],[学词]]&lt;&gt;""),MAX(单词表[[#This Row],[学英]:[学词]]),"")</f>
        <v>42652.891967592594</v>
      </c>
      <c r="M2127" s="2" t="str">
        <f>IF(AND(单词表[[#This Row],[考英]]&lt;&gt;"",单词表[[#This Row],[考中]]&lt;&gt;""),MAX(单词表[[#This Row],[考英]:[考中]]),"")</f>
        <v/>
      </c>
      <c r="N2127" s="79"/>
    </row>
    <row r="2128" spans="1:14" hidden="1" x14ac:dyDescent="0.15">
      <c r="A2128">
        <v>2128</v>
      </c>
      <c r="B2128" t="s">
        <v>35</v>
      </c>
      <c r="C2128" t="s">
        <v>12</v>
      </c>
      <c r="D2128" s="72" t="s">
        <v>3755</v>
      </c>
      <c r="E2128" t="s">
        <v>36</v>
      </c>
      <c r="F2128" t="s">
        <v>3756</v>
      </c>
      <c r="G2128" s="92">
        <v>42652.89199074074</v>
      </c>
      <c r="H2128" s="92">
        <v>42652.892002314817</v>
      </c>
      <c r="I2128" s="92">
        <v>42652.892002314817</v>
      </c>
      <c r="J2128" s="92"/>
      <c r="K2128" s="92">
        <v>42662.788472222222</v>
      </c>
      <c r="L2128" s="92">
        <f>IF(AND(单词表[[#This Row],[学英]]&lt;&gt;"",单词表[[#This Row],[学中]]&lt;&gt;"",单词表[[#This Row],[学词]]&lt;&gt;""),MAX(单词表[[#This Row],[学英]:[学词]]),"")</f>
        <v>42652.892002314817</v>
      </c>
      <c r="M2128" s="2" t="str">
        <f>IF(AND(单词表[[#This Row],[考英]]&lt;&gt;"",单词表[[#This Row],[考中]]&lt;&gt;""),MAX(单词表[[#This Row],[考英]:[考中]]),"")</f>
        <v/>
      </c>
      <c r="N2128" s="79"/>
    </row>
    <row r="2129" spans="1:14" hidden="1" x14ac:dyDescent="0.15">
      <c r="A2129">
        <v>2129</v>
      </c>
      <c r="B2129" t="s">
        <v>35</v>
      </c>
      <c r="C2129" t="s">
        <v>12</v>
      </c>
      <c r="D2129" s="72" t="s">
        <v>3757</v>
      </c>
      <c r="E2129" t="s">
        <v>61</v>
      </c>
      <c r="F2129" t="s">
        <v>3758</v>
      </c>
      <c r="G2129" s="92">
        <v>42652.892083333332</v>
      </c>
      <c r="H2129" s="92">
        <v>42652.896956018521</v>
      </c>
      <c r="I2129" s="92">
        <v>42652.896967592591</v>
      </c>
      <c r="J2129" s="92"/>
      <c r="K2129" s="92">
        <v>42662.788518518515</v>
      </c>
      <c r="L2129" s="92">
        <f>IF(AND(单词表[[#This Row],[学英]]&lt;&gt;"",单词表[[#This Row],[学中]]&lt;&gt;"",单词表[[#This Row],[学词]]&lt;&gt;""),MAX(单词表[[#This Row],[学英]:[学词]]),"")</f>
        <v>42652.896967592591</v>
      </c>
      <c r="M2129" s="2" t="str">
        <f>IF(AND(单词表[[#This Row],[考英]]&lt;&gt;"",单词表[[#This Row],[考中]]&lt;&gt;""),MAX(单词表[[#This Row],[考英]:[考中]]),"")</f>
        <v/>
      </c>
      <c r="N2129" s="79"/>
    </row>
    <row r="2130" spans="1:14" hidden="1" x14ac:dyDescent="0.15">
      <c r="A2130">
        <v>2130</v>
      </c>
      <c r="B2130" t="s">
        <v>35</v>
      </c>
      <c r="C2130" t="s">
        <v>12</v>
      </c>
      <c r="D2130" s="72" t="s">
        <v>3759</v>
      </c>
      <c r="E2130" t="s">
        <v>36</v>
      </c>
      <c r="F2130" t="s">
        <v>3760</v>
      </c>
      <c r="G2130" s="92">
        <v>42652.892164351855</v>
      </c>
      <c r="H2130" s="92">
        <v>42652.892175925925</v>
      </c>
      <c r="I2130" s="92">
        <v>42652.892164351855</v>
      </c>
      <c r="J2130" s="92"/>
      <c r="K2130" s="92">
        <v>42662.788576388892</v>
      </c>
      <c r="L2130" s="92">
        <f>IF(AND(单词表[[#This Row],[学英]]&lt;&gt;"",单词表[[#This Row],[学中]]&lt;&gt;"",单词表[[#This Row],[学词]]&lt;&gt;""),MAX(单词表[[#This Row],[学英]:[学词]]),"")</f>
        <v>42652.892175925925</v>
      </c>
      <c r="M2130" s="2" t="str">
        <f>IF(AND(单词表[[#This Row],[考英]]&lt;&gt;"",单词表[[#This Row],[考中]]&lt;&gt;""),MAX(单词表[[#This Row],[考英]:[考中]]),"")</f>
        <v/>
      </c>
      <c r="N2130" s="79"/>
    </row>
    <row r="2131" spans="1:14" hidden="1" x14ac:dyDescent="0.15">
      <c r="A2131">
        <v>2131</v>
      </c>
      <c r="B2131" t="s">
        <v>35</v>
      </c>
      <c r="C2131" t="s">
        <v>12</v>
      </c>
      <c r="D2131" s="72" t="s">
        <v>3761</v>
      </c>
      <c r="E2131" t="s">
        <v>157</v>
      </c>
      <c r="F2131" t="s">
        <v>3762</v>
      </c>
      <c r="G2131" s="92">
        <v>42652.892245370371</v>
      </c>
      <c r="H2131" s="92">
        <v>42652.892245370371</v>
      </c>
      <c r="I2131" s="92">
        <v>42652.892245370371</v>
      </c>
      <c r="J2131" s="92"/>
      <c r="K2131" s="92">
        <v>42662.788634259261</v>
      </c>
      <c r="L2131" s="92">
        <f>IF(AND(单词表[[#This Row],[学英]]&lt;&gt;"",单词表[[#This Row],[学中]]&lt;&gt;"",单词表[[#This Row],[学词]]&lt;&gt;""),MAX(单词表[[#This Row],[学英]:[学词]]),"")</f>
        <v>42652.892245370371</v>
      </c>
      <c r="M2131" s="2" t="str">
        <f>IF(AND(单词表[[#This Row],[考英]]&lt;&gt;"",单词表[[#This Row],[考中]]&lt;&gt;""),MAX(单词表[[#This Row],[考英]:[考中]]),"")</f>
        <v/>
      </c>
      <c r="N2131" s="79"/>
    </row>
    <row r="2132" spans="1:14" hidden="1" x14ac:dyDescent="0.15">
      <c r="A2132">
        <v>2132</v>
      </c>
      <c r="B2132" t="s">
        <v>35</v>
      </c>
      <c r="C2132" t="s">
        <v>12</v>
      </c>
      <c r="D2132" s="72" t="s">
        <v>3763</v>
      </c>
      <c r="E2132" t="s">
        <v>61</v>
      </c>
      <c r="F2132" t="s">
        <v>3764</v>
      </c>
      <c r="G2132" s="92">
        <v>42652.892291666663</v>
      </c>
      <c r="H2132" s="92">
        <v>42662.793969907405</v>
      </c>
      <c r="I2132" s="92">
        <v>42662.793958333335</v>
      </c>
      <c r="J2132" s="92"/>
      <c r="K2132" s="92">
        <v>42662.797592592593</v>
      </c>
      <c r="L2132" s="92">
        <f>IF(AND(单词表[[#This Row],[学英]]&lt;&gt;"",单词表[[#This Row],[学中]]&lt;&gt;"",单词表[[#This Row],[学词]]&lt;&gt;""),MAX(单词表[[#This Row],[学英]:[学词]]),"")</f>
        <v>42662.793969907405</v>
      </c>
      <c r="M2132" s="2" t="str">
        <f>IF(AND(单词表[[#This Row],[考英]]&lt;&gt;"",单词表[[#This Row],[考中]]&lt;&gt;""),MAX(单词表[[#This Row],[考英]:[考中]]),"")</f>
        <v/>
      </c>
      <c r="N2132" s="79"/>
    </row>
    <row r="2133" spans="1:14" hidden="1" x14ac:dyDescent="0.15">
      <c r="A2133">
        <v>2133</v>
      </c>
      <c r="B2133" t="s">
        <v>35</v>
      </c>
      <c r="C2133" t="s">
        <v>12</v>
      </c>
      <c r="D2133" s="72" t="s">
        <v>3765</v>
      </c>
      <c r="E2133" t="s">
        <v>36</v>
      </c>
      <c r="F2133" t="s">
        <v>3766</v>
      </c>
      <c r="G2133" s="92">
        <v>42652.892361111109</v>
      </c>
      <c r="H2133" s="92">
        <v>42662.79409722222</v>
      </c>
      <c r="I2133" s="92">
        <v>42662.794085648151</v>
      </c>
      <c r="J2133" s="92"/>
      <c r="K2133" s="92">
        <v>42662.797638888886</v>
      </c>
      <c r="L2133" s="92">
        <f>IF(AND(单词表[[#This Row],[学英]]&lt;&gt;"",单词表[[#This Row],[学中]]&lt;&gt;"",单词表[[#This Row],[学词]]&lt;&gt;""),MAX(单词表[[#This Row],[学英]:[学词]]),"")</f>
        <v>42662.79409722222</v>
      </c>
      <c r="M2133" s="2" t="str">
        <f>IF(AND(单词表[[#This Row],[考英]]&lt;&gt;"",单词表[[#This Row],[考中]]&lt;&gt;""),MAX(单词表[[#This Row],[考英]:[考中]]),"")</f>
        <v/>
      </c>
      <c r="N2133" s="79"/>
    </row>
    <row r="2134" spans="1:14" hidden="1" x14ac:dyDescent="0.15">
      <c r="A2134">
        <v>2134</v>
      </c>
      <c r="B2134" t="s">
        <v>35</v>
      </c>
      <c r="C2134" t="s">
        <v>12</v>
      </c>
      <c r="D2134" s="72" t="s">
        <v>3767</v>
      </c>
      <c r="E2134" t="s">
        <v>73</v>
      </c>
      <c r="F2134" t="s">
        <v>3768</v>
      </c>
      <c r="G2134" s="92">
        <v>42652.892407407409</v>
      </c>
      <c r="H2134" s="92">
        <v>42662.798935185187</v>
      </c>
      <c r="I2134" s="92">
        <v>42662.798935185187</v>
      </c>
      <c r="J2134" s="92"/>
      <c r="K2134" s="92">
        <v>42662.799814814818</v>
      </c>
      <c r="L2134" s="92">
        <f>IF(AND(单词表[[#This Row],[学英]]&lt;&gt;"",单词表[[#This Row],[学中]]&lt;&gt;"",单词表[[#This Row],[学词]]&lt;&gt;""),MAX(单词表[[#This Row],[学英]:[学词]]),"")</f>
        <v>42662.798935185187</v>
      </c>
      <c r="M2134" s="2" t="str">
        <f>IF(AND(单词表[[#This Row],[考英]]&lt;&gt;"",单词表[[#This Row],[考中]]&lt;&gt;""),MAX(单词表[[#This Row],[考英]:[考中]]),"")</f>
        <v/>
      </c>
      <c r="N2134" s="79"/>
    </row>
    <row r="2135" spans="1:14" hidden="1" x14ac:dyDescent="0.15">
      <c r="A2135">
        <v>2135</v>
      </c>
      <c r="B2135" t="s">
        <v>35</v>
      </c>
      <c r="C2135" t="s">
        <v>12</v>
      </c>
      <c r="D2135" s="72" t="s">
        <v>3769</v>
      </c>
      <c r="E2135" t="s">
        <v>36</v>
      </c>
      <c r="F2135" t="s">
        <v>3770</v>
      </c>
      <c r="G2135" s="92">
        <v>42652.892696759256</v>
      </c>
      <c r="H2135" s="92">
        <v>42662.794259259259</v>
      </c>
      <c r="I2135" s="92">
        <v>42662.794247685182</v>
      </c>
      <c r="J2135" s="92"/>
      <c r="K2135" s="92">
        <v>42662.797777777778</v>
      </c>
      <c r="L2135" s="92">
        <f>IF(AND(单词表[[#This Row],[学英]]&lt;&gt;"",单词表[[#This Row],[学中]]&lt;&gt;"",单词表[[#This Row],[学词]]&lt;&gt;""),MAX(单词表[[#This Row],[学英]:[学词]]),"")</f>
        <v>42662.794259259259</v>
      </c>
      <c r="M2135" s="2" t="str">
        <f>IF(AND(单词表[[#This Row],[考英]]&lt;&gt;"",单词表[[#This Row],[考中]]&lt;&gt;""),MAX(单词表[[#This Row],[考英]:[考中]]),"")</f>
        <v/>
      </c>
      <c r="N2135" s="79"/>
    </row>
    <row r="2136" spans="1:14" hidden="1" x14ac:dyDescent="0.15">
      <c r="A2136">
        <v>2136</v>
      </c>
      <c r="B2136" t="s">
        <v>35</v>
      </c>
      <c r="C2136" t="s">
        <v>12</v>
      </c>
      <c r="D2136" s="72" t="s">
        <v>773</v>
      </c>
      <c r="E2136" t="s">
        <v>61</v>
      </c>
      <c r="F2136" t="s">
        <v>3771</v>
      </c>
      <c r="G2136" s="92">
        <v>42654.709710648145</v>
      </c>
      <c r="H2136" s="92">
        <v>42662.794328703705</v>
      </c>
      <c r="I2136" s="92">
        <v>42662.794317129628</v>
      </c>
      <c r="J2136" s="92"/>
      <c r="K2136" s="92">
        <v>42662.797835648147</v>
      </c>
      <c r="L2136" s="92">
        <f>IF(AND(单词表[[#This Row],[学英]]&lt;&gt;"",单词表[[#This Row],[学中]]&lt;&gt;"",单词表[[#This Row],[学词]]&lt;&gt;""),MAX(单词表[[#This Row],[学英]:[学词]]),"")</f>
        <v>42662.794328703705</v>
      </c>
      <c r="M2136" s="2" t="str">
        <f>IF(AND(单词表[[#This Row],[考英]]&lt;&gt;"",单词表[[#This Row],[考中]]&lt;&gt;""),MAX(单词表[[#This Row],[考英]:[考中]]),"")</f>
        <v/>
      </c>
      <c r="N2136" s="79"/>
    </row>
    <row r="2137" spans="1:14" hidden="1" x14ac:dyDescent="0.15">
      <c r="A2137">
        <v>2137</v>
      </c>
      <c r="B2137" t="s">
        <v>35</v>
      </c>
      <c r="C2137" t="s">
        <v>12</v>
      </c>
      <c r="D2137" s="72" t="s">
        <v>3772</v>
      </c>
      <c r="E2137" t="s">
        <v>61</v>
      </c>
      <c r="F2137" t="s">
        <v>3773</v>
      </c>
      <c r="G2137" s="92">
        <v>42654.709745370368</v>
      </c>
      <c r="H2137" s="92">
        <v>42662.800844907404</v>
      </c>
      <c r="I2137" s="92">
        <v>42662.800844907404</v>
      </c>
      <c r="J2137" s="92"/>
      <c r="K2137" s="92">
        <v>42662.801053240742</v>
      </c>
      <c r="L2137" s="92">
        <f>IF(AND(单词表[[#This Row],[学英]]&lt;&gt;"",单词表[[#This Row],[学中]]&lt;&gt;"",单词表[[#This Row],[学词]]&lt;&gt;""),MAX(单词表[[#This Row],[学英]:[学词]]),"")</f>
        <v>42662.800844907404</v>
      </c>
      <c r="M2137" s="2" t="str">
        <f>IF(AND(单词表[[#This Row],[考英]]&lt;&gt;"",单词表[[#This Row],[考中]]&lt;&gt;""),MAX(单词表[[#This Row],[考英]:[考中]]),"")</f>
        <v/>
      </c>
      <c r="N2137" s="79"/>
    </row>
    <row r="2138" spans="1:14" hidden="1" x14ac:dyDescent="0.15">
      <c r="A2138">
        <v>2138</v>
      </c>
      <c r="B2138" t="s">
        <v>35</v>
      </c>
      <c r="C2138" t="s">
        <v>12</v>
      </c>
      <c r="D2138" s="72" t="s">
        <v>515</v>
      </c>
      <c r="E2138" t="s">
        <v>36</v>
      </c>
      <c r="F2138" t="s">
        <v>3774</v>
      </c>
      <c r="G2138" s="92">
        <v>42654.709791666668</v>
      </c>
      <c r="H2138" s="92">
        <v>42662.794664351852</v>
      </c>
      <c r="I2138" s="92">
        <v>42662.794664351852</v>
      </c>
      <c r="J2138" s="92"/>
      <c r="K2138" s="92">
        <v>42662.797962962963</v>
      </c>
      <c r="L2138" s="92">
        <f>IF(AND(单词表[[#This Row],[学英]]&lt;&gt;"",单词表[[#This Row],[学中]]&lt;&gt;"",单词表[[#This Row],[学词]]&lt;&gt;""),MAX(单词表[[#This Row],[学英]:[学词]]),"")</f>
        <v>42662.794664351852</v>
      </c>
      <c r="M2138" s="2" t="str">
        <f>IF(AND(单词表[[#This Row],[考英]]&lt;&gt;"",单词表[[#This Row],[考中]]&lt;&gt;""),MAX(单词表[[#This Row],[考英]:[考中]]),"")</f>
        <v/>
      </c>
      <c r="N2138" s="79"/>
    </row>
    <row r="2139" spans="1:14" hidden="1" x14ac:dyDescent="0.15">
      <c r="A2139">
        <v>2139</v>
      </c>
      <c r="B2139" t="s">
        <v>35</v>
      </c>
      <c r="C2139" t="s">
        <v>12</v>
      </c>
      <c r="D2139" s="72" t="s">
        <v>3775</v>
      </c>
      <c r="E2139" t="s">
        <v>36</v>
      </c>
      <c r="F2139" t="s">
        <v>3776</v>
      </c>
      <c r="G2139" s="92">
        <v>42654.709814814814</v>
      </c>
      <c r="H2139" s="92">
        <v>42662.794745370367</v>
      </c>
      <c r="I2139" s="92">
        <v>42662.794745370367</v>
      </c>
      <c r="J2139" s="92"/>
      <c r="K2139" s="92">
        <v>42662.798009259262</v>
      </c>
      <c r="L2139" s="92">
        <f>IF(AND(单词表[[#This Row],[学英]]&lt;&gt;"",单词表[[#This Row],[学中]]&lt;&gt;"",单词表[[#This Row],[学词]]&lt;&gt;""),MAX(单词表[[#This Row],[学英]:[学词]]),"")</f>
        <v>42662.794745370367</v>
      </c>
      <c r="M2139" s="2" t="str">
        <f>IF(AND(单词表[[#This Row],[考英]]&lt;&gt;"",单词表[[#This Row],[考中]]&lt;&gt;""),MAX(单词表[[#This Row],[考英]:[考中]]),"")</f>
        <v/>
      </c>
      <c r="N2139" s="79"/>
    </row>
    <row r="2140" spans="1:14" hidden="1" x14ac:dyDescent="0.15">
      <c r="A2140">
        <v>2140</v>
      </c>
      <c r="B2140" t="s">
        <v>35</v>
      </c>
      <c r="C2140" t="s">
        <v>12</v>
      </c>
      <c r="D2140" s="72" t="s">
        <v>3777</v>
      </c>
      <c r="E2140" t="s">
        <v>702</v>
      </c>
      <c r="F2140" t="s">
        <v>3778</v>
      </c>
      <c r="G2140" s="92">
        <v>42654.70989583333</v>
      </c>
      <c r="H2140" s="92">
        <v>42662.794872685183</v>
      </c>
      <c r="I2140" s="92">
        <v>42662.794861111113</v>
      </c>
      <c r="J2140" s="92"/>
      <c r="K2140" s="92">
        <v>42662.798067129632</v>
      </c>
      <c r="L2140" s="92">
        <f>IF(AND(单词表[[#This Row],[学英]]&lt;&gt;"",单词表[[#This Row],[学中]]&lt;&gt;"",单词表[[#This Row],[学词]]&lt;&gt;""),MAX(单词表[[#This Row],[学英]:[学词]]),"")</f>
        <v>42662.794872685183</v>
      </c>
      <c r="M2140" s="2" t="str">
        <f>IF(AND(单词表[[#This Row],[考英]]&lt;&gt;"",单词表[[#This Row],[考中]]&lt;&gt;""),MAX(单词表[[#This Row],[考英]:[考中]]),"")</f>
        <v/>
      </c>
      <c r="N2140" s="79"/>
    </row>
    <row r="2141" spans="1:14" hidden="1" x14ac:dyDescent="0.15">
      <c r="A2141">
        <v>2141</v>
      </c>
      <c r="B2141" t="s">
        <v>35</v>
      </c>
      <c r="C2141" t="s">
        <v>12</v>
      </c>
      <c r="D2141" s="72" t="s">
        <v>2289</v>
      </c>
      <c r="E2141" t="s">
        <v>157</v>
      </c>
      <c r="F2141" t="s">
        <v>5673</v>
      </c>
      <c r="G2141" s="92">
        <v>42654.709930555553</v>
      </c>
      <c r="H2141" s="92">
        <v>42662.80091435185</v>
      </c>
      <c r="I2141" s="92">
        <v>42662.800902777781</v>
      </c>
      <c r="J2141" s="92"/>
      <c r="K2141" s="92">
        <v>42662.801111111112</v>
      </c>
      <c r="L2141" s="92">
        <f>IF(AND(单词表[[#This Row],[学英]]&lt;&gt;"",单词表[[#This Row],[学中]]&lt;&gt;"",单词表[[#This Row],[学词]]&lt;&gt;""),MAX(单词表[[#This Row],[学英]:[学词]]),"")</f>
        <v>42662.80091435185</v>
      </c>
      <c r="M2141" s="2" t="str">
        <f>IF(AND(单词表[[#This Row],[考英]]&lt;&gt;"",单词表[[#This Row],[考中]]&lt;&gt;""),MAX(单词表[[#This Row],[考英]:[考中]]),"")</f>
        <v/>
      </c>
      <c r="N2141" s="79"/>
    </row>
    <row r="2142" spans="1:14" hidden="1" x14ac:dyDescent="0.15">
      <c r="A2142">
        <v>2142</v>
      </c>
      <c r="B2142" t="s">
        <v>35</v>
      </c>
      <c r="C2142" t="s">
        <v>12</v>
      </c>
      <c r="D2142" s="72" t="s">
        <v>2899</v>
      </c>
      <c r="E2142" t="s">
        <v>702</v>
      </c>
      <c r="F2142" t="s">
        <v>2900</v>
      </c>
      <c r="G2142" s="92">
        <v>42654.709965277776</v>
      </c>
      <c r="H2142" s="92">
        <v>42662.80097222222</v>
      </c>
      <c r="I2142" s="92">
        <v>42662.800949074073</v>
      </c>
      <c r="J2142" s="92"/>
      <c r="K2142" s="92">
        <v>42662.801157407404</v>
      </c>
      <c r="L2142" s="92">
        <f>IF(AND(单词表[[#This Row],[学英]]&lt;&gt;"",单词表[[#This Row],[学中]]&lt;&gt;"",单词表[[#This Row],[学词]]&lt;&gt;""),MAX(单词表[[#This Row],[学英]:[学词]]),"")</f>
        <v>42662.80097222222</v>
      </c>
      <c r="M2142" s="2" t="str">
        <f>IF(AND(单词表[[#This Row],[考英]]&lt;&gt;"",单词表[[#This Row],[考中]]&lt;&gt;""),MAX(单词表[[#This Row],[考英]:[考中]]),"")</f>
        <v/>
      </c>
      <c r="N2142" s="79"/>
    </row>
    <row r="2143" spans="1:14" hidden="1" x14ac:dyDescent="0.15">
      <c r="A2143">
        <v>2143</v>
      </c>
      <c r="B2143" t="s">
        <v>35</v>
      </c>
      <c r="C2143" t="s">
        <v>12</v>
      </c>
      <c r="D2143" s="72" t="s">
        <v>3779</v>
      </c>
      <c r="E2143" t="s">
        <v>36</v>
      </c>
      <c r="F2143" t="s">
        <v>3780</v>
      </c>
      <c r="G2143" s="92">
        <v>42654.710011574076</v>
      </c>
      <c r="H2143" s="92">
        <v>42662.799363425926</v>
      </c>
      <c r="I2143" s="92">
        <v>42662.799363425926</v>
      </c>
      <c r="J2143" s="92"/>
      <c r="K2143" s="92">
        <v>42662.800046296295</v>
      </c>
      <c r="L2143" s="92">
        <f>IF(AND(单词表[[#This Row],[学英]]&lt;&gt;"",单词表[[#This Row],[学中]]&lt;&gt;"",单词表[[#This Row],[学词]]&lt;&gt;""),MAX(单词表[[#This Row],[学英]:[学词]]),"")</f>
        <v>42662.799363425926</v>
      </c>
      <c r="M2143" s="2" t="str">
        <f>IF(AND(单词表[[#This Row],[考英]]&lt;&gt;"",单词表[[#This Row],[考中]]&lt;&gt;""),MAX(单词表[[#This Row],[考英]:[考中]]),"")</f>
        <v/>
      </c>
      <c r="N2143" s="79"/>
    </row>
    <row r="2144" spans="1:14" hidden="1" x14ac:dyDescent="0.15">
      <c r="A2144">
        <v>2144</v>
      </c>
      <c r="B2144" t="s">
        <v>35</v>
      </c>
      <c r="C2144" t="s">
        <v>12</v>
      </c>
      <c r="D2144" s="72" t="s">
        <v>3781</v>
      </c>
      <c r="E2144" t="s">
        <v>702</v>
      </c>
      <c r="F2144" t="s">
        <v>3782</v>
      </c>
      <c r="G2144" s="92">
        <v>42654.710046296299</v>
      </c>
      <c r="H2144" s="92">
        <v>42654.710057870368</v>
      </c>
      <c r="I2144" s="92">
        <v>42654.710057870368</v>
      </c>
      <c r="J2144" s="92"/>
      <c r="K2144" s="92">
        <v>42662.789930555555</v>
      </c>
      <c r="L2144" s="92">
        <f>IF(AND(单词表[[#This Row],[学英]]&lt;&gt;"",单词表[[#This Row],[学中]]&lt;&gt;"",单词表[[#This Row],[学词]]&lt;&gt;""),MAX(单词表[[#This Row],[学英]:[学词]]),"")</f>
        <v>42654.710057870368</v>
      </c>
      <c r="M2144" s="2" t="str">
        <f>IF(AND(单词表[[#This Row],[考英]]&lt;&gt;"",单词表[[#This Row],[考中]]&lt;&gt;""),MAX(单词表[[#This Row],[考英]:[考中]]),"")</f>
        <v/>
      </c>
      <c r="N2144" s="79"/>
    </row>
    <row r="2145" spans="1:14" hidden="1" x14ac:dyDescent="0.15">
      <c r="A2145">
        <v>2145</v>
      </c>
      <c r="B2145" t="s">
        <v>35</v>
      </c>
      <c r="C2145" t="s">
        <v>12</v>
      </c>
      <c r="D2145" s="72" t="s">
        <v>3783</v>
      </c>
      <c r="E2145" t="s">
        <v>61</v>
      </c>
      <c r="F2145" t="s">
        <v>3784</v>
      </c>
      <c r="G2145" s="92">
        <v>42654.710081018522</v>
      </c>
      <c r="H2145" s="92">
        <v>42654.727280092593</v>
      </c>
      <c r="I2145" s="92">
        <v>42654.727268518516</v>
      </c>
      <c r="J2145" s="92"/>
      <c r="K2145" s="92">
        <v>42662.789976851855</v>
      </c>
      <c r="L2145" s="92">
        <f>IF(AND(单词表[[#This Row],[学英]]&lt;&gt;"",单词表[[#This Row],[学中]]&lt;&gt;"",单词表[[#This Row],[学词]]&lt;&gt;""),MAX(单词表[[#This Row],[学英]:[学词]]),"")</f>
        <v>42654.727280092593</v>
      </c>
      <c r="M2145" s="2" t="str">
        <f>IF(AND(单词表[[#This Row],[考英]]&lt;&gt;"",单词表[[#This Row],[考中]]&lt;&gt;""),MAX(单词表[[#This Row],[考英]:[考中]]),"")</f>
        <v/>
      </c>
      <c r="N2145" s="79"/>
    </row>
    <row r="2146" spans="1:14" hidden="1" x14ac:dyDescent="0.15">
      <c r="A2146">
        <v>2146</v>
      </c>
      <c r="B2146" t="s">
        <v>35</v>
      </c>
      <c r="C2146" t="s">
        <v>12</v>
      </c>
      <c r="D2146" s="72" t="s">
        <v>1596</v>
      </c>
      <c r="E2146" t="s">
        <v>36</v>
      </c>
      <c r="F2146" t="s">
        <v>1597</v>
      </c>
      <c r="G2146" s="92">
        <v>42654.710104166668</v>
      </c>
      <c r="H2146" s="92">
        <v>42654.710115740738</v>
      </c>
      <c r="I2146" s="92">
        <v>42654.710115740738</v>
      </c>
      <c r="J2146" s="92"/>
      <c r="K2146" s="92">
        <v>42662.790011574078</v>
      </c>
      <c r="L2146" s="92">
        <f>IF(AND(单词表[[#This Row],[学英]]&lt;&gt;"",单词表[[#This Row],[学中]]&lt;&gt;"",单词表[[#This Row],[学词]]&lt;&gt;""),MAX(单词表[[#This Row],[学英]:[学词]]),"")</f>
        <v>42654.710115740738</v>
      </c>
      <c r="M2146" s="2" t="str">
        <f>IF(AND(单词表[[#This Row],[考英]]&lt;&gt;"",单词表[[#This Row],[考中]]&lt;&gt;""),MAX(单词表[[#This Row],[考英]:[考中]]),"")</f>
        <v/>
      </c>
      <c r="N2146" s="79"/>
    </row>
    <row r="2147" spans="1:14" hidden="1" x14ac:dyDescent="0.15">
      <c r="A2147">
        <v>2147</v>
      </c>
      <c r="B2147" t="s">
        <v>35</v>
      </c>
      <c r="C2147" t="s">
        <v>12</v>
      </c>
      <c r="D2147" s="72" t="s">
        <v>2306</v>
      </c>
      <c r="E2147" t="s">
        <v>61</v>
      </c>
      <c r="F2147" t="s">
        <v>3785</v>
      </c>
      <c r="G2147" s="92">
        <v>42654.710138888891</v>
      </c>
      <c r="H2147" s="92">
        <v>42654.710150462961</v>
      </c>
      <c r="I2147" s="92">
        <v>42654.710162037038</v>
      </c>
      <c r="J2147" s="92"/>
      <c r="K2147" s="92">
        <v>42662.79005787037</v>
      </c>
      <c r="L2147" s="92">
        <f>IF(AND(单词表[[#This Row],[学英]]&lt;&gt;"",单词表[[#This Row],[学中]]&lt;&gt;"",单词表[[#This Row],[学词]]&lt;&gt;""),MAX(单词表[[#This Row],[学英]:[学词]]),"")</f>
        <v>42654.710162037038</v>
      </c>
      <c r="M2147" s="2" t="str">
        <f>IF(AND(单词表[[#This Row],[考英]]&lt;&gt;"",单词表[[#This Row],[考中]]&lt;&gt;""),MAX(单词表[[#This Row],[考英]:[考中]]),"")</f>
        <v/>
      </c>
      <c r="N2147" s="79"/>
    </row>
    <row r="2148" spans="1:14" hidden="1" x14ac:dyDescent="0.15">
      <c r="A2148">
        <v>2148</v>
      </c>
      <c r="B2148" t="s">
        <v>35</v>
      </c>
      <c r="C2148" t="s">
        <v>12</v>
      </c>
      <c r="D2148" s="72" t="s">
        <v>919</v>
      </c>
      <c r="E2148" t="s">
        <v>36</v>
      </c>
      <c r="F2148" t="s">
        <v>1603</v>
      </c>
      <c r="G2148" s="92">
        <v>42654.710185185184</v>
      </c>
      <c r="H2148" s="92">
        <v>42662.796168981484</v>
      </c>
      <c r="I2148" s="92">
        <v>42662.796168981484</v>
      </c>
      <c r="J2148" s="92"/>
      <c r="K2148" s="92">
        <v>42662.79824074074</v>
      </c>
      <c r="L2148" s="92">
        <f>IF(AND(单词表[[#This Row],[学英]]&lt;&gt;"",单词表[[#This Row],[学中]]&lt;&gt;"",单词表[[#This Row],[学词]]&lt;&gt;""),MAX(单词表[[#This Row],[学英]:[学词]]),"")</f>
        <v>42662.796168981484</v>
      </c>
      <c r="M2148" s="2" t="str">
        <f>IF(AND(单词表[[#This Row],[考英]]&lt;&gt;"",单词表[[#This Row],[考中]]&lt;&gt;""),MAX(单词表[[#This Row],[考英]:[考中]]),"")</f>
        <v/>
      </c>
      <c r="N2148" s="79"/>
    </row>
    <row r="2149" spans="1:14" hidden="1" x14ac:dyDescent="0.15">
      <c r="A2149">
        <v>2149</v>
      </c>
      <c r="B2149" t="s">
        <v>35</v>
      </c>
      <c r="C2149" t="s">
        <v>12</v>
      </c>
      <c r="D2149" s="72" t="s">
        <v>3786</v>
      </c>
      <c r="E2149" t="s">
        <v>73</v>
      </c>
      <c r="F2149" t="s">
        <v>3787</v>
      </c>
      <c r="G2149" s="92">
        <v>42654.710219907407</v>
      </c>
      <c r="H2149" s="92">
        <v>42654.727337962962</v>
      </c>
      <c r="I2149" s="92">
        <v>42654.727337962962</v>
      </c>
      <c r="J2149" s="92"/>
      <c r="K2149" s="92">
        <v>42662.790173611109</v>
      </c>
      <c r="L2149" s="92">
        <f>IF(AND(单词表[[#This Row],[学英]]&lt;&gt;"",单词表[[#This Row],[学中]]&lt;&gt;"",单词表[[#This Row],[学词]]&lt;&gt;""),MAX(单词表[[#This Row],[学英]:[学词]]),"")</f>
        <v>42654.727337962962</v>
      </c>
      <c r="M2149" s="2" t="str">
        <f>IF(AND(单词表[[#This Row],[考英]]&lt;&gt;"",单词表[[#This Row],[考中]]&lt;&gt;""),MAX(单词表[[#This Row],[考英]:[考中]]),"")</f>
        <v/>
      </c>
      <c r="N2149" s="79"/>
    </row>
    <row r="2150" spans="1:14" hidden="1" x14ac:dyDescent="0.15">
      <c r="A2150">
        <v>2150</v>
      </c>
      <c r="B2150" t="s">
        <v>35</v>
      </c>
      <c r="C2150" t="s">
        <v>12</v>
      </c>
      <c r="D2150" s="72" t="s">
        <v>3788</v>
      </c>
      <c r="E2150" t="s">
        <v>36</v>
      </c>
      <c r="F2150" t="s">
        <v>3789</v>
      </c>
      <c r="G2150" s="92">
        <v>42654.710243055553</v>
      </c>
      <c r="H2150" s="92">
        <v>42662.799479166664</v>
      </c>
      <c r="I2150" s="92">
        <v>42662.799467592595</v>
      </c>
      <c r="J2150" s="92"/>
      <c r="K2150" s="92">
        <v>42662.800081018519</v>
      </c>
      <c r="L2150" s="92">
        <f>IF(AND(单词表[[#This Row],[学英]]&lt;&gt;"",单词表[[#This Row],[学中]]&lt;&gt;"",单词表[[#This Row],[学词]]&lt;&gt;""),MAX(单词表[[#This Row],[学英]:[学词]]),"")</f>
        <v>42662.799479166664</v>
      </c>
      <c r="M2150" s="2" t="str">
        <f>IF(AND(单词表[[#This Row],[考英]]&lt;&gt;"",单词表[[#This Row],[考中]]&lt;&gt;""),MAX(单词表[[#This Row],[考英]:[考中]]),"")</f>
        <v/>
      </c>
      <c r="N2150" s="79"/>
    </row>
    <row r="2151" spans="1:14" hidden="1" x14ac:dyDescent="0.15">
      <c r="A2151">
        <v>2151</v>
      </c>
      <c r="B2151" t="s">
        <v>35</v>
      </c>
      <c r="C2151" t="s">
        <v>12</v>
      </c>
      <c r="D2151" s="72" t="s">
        <v>3790</v>
      </c>
      <c r="E2151" t="s">
        <v>736</v>
      </c>
      <c r="F2151" t="s">
        <v>3791</v>
      </c>
      <c r="G2151" s="92">
        <v>42654.710277777776</v>
      </c>
      <c r="H2151" s="92">
        <v>42662.796400462961</v>
      </c>
      <c r="I2151" s="92">
        <v>42662.796400462961</v>
      </c>
      <c r="J2151" s="92"/>
      <c r="K2151" s="92">
        <v>42662.798333333332</v>
      </c>
      <c r="L2151" s="92">
        <f>IF(AND(单词表[[#This Row],[学英]]&lt;&gt;"",单词表[[#This Row],[学中]]&lt;&gt;"",单词表[[#This Row],[学词]]&lt;&gt;""),MAX(单词表[[#This Row],[学英]:[学词]]),"")</f>
        <v>42662.796400462961</v>
      </c>
      <c r="M2151" s="2" t="str">
        <f>IF(AND(单词表[[#This Row],[考英]]&lt;&gt;"",单词表[[#This Row],[考中]]&lt;&gt;""),MAX(单词表[[#This Row],[考英]:[考中]]),"")</f>
        <v/>
      </c>
      <c r="N2151" s="79"/>
    </row>
    <row r="2152" spans="1:14" hidden="1" x14ac:dyDescent="0.15">
      <c r="A2152">
        <v>2152</v>
      </c>
      <c r="B2152" t="s">
        <v>35</v>
      </c>
      <c r="C2152" t="s">
        <v>12</v>
      </c>
      <c r="D2152" s="72" t="s">
        <v>1625</v>
      </c>
      <c r="E2152" t="s">
        <v>73</v>
      </c>
      <c r="F2152" t="s">
        <v>3792</v>
      </c>
      <c r="G2152" s="92">
        <v>42654.724502314813</v>
      </c>
      <c r="H2152" s="92">
        <v>42654.72451388889</v>
      </c>
      <c r="I2152" s="92">
        <v>42654.724502314813</v>
      </c>
      <c r="J2152" s="92"/>
      <c r="K2152" s="92">
        <v>42662.790347222224</v>
      </c>
      <c r="L2152" s="92">
        <f>IF(AND(单词表[[#This Row],[学英]]&lt;&gt;"",单词表[[#This Row],[学中]]&lt;&gt;"",单词表[[#This Row],[学词]]&lt;&gt;""),MAX(单词表[[#This Row],[学英]:[学词]]),"")</f>
        <v>42654.72451388889</v>
      </c>
      <c r="M2152" s="2" t="str">
        <f>IF(AND(单词表[[#This Row],[考英]]&lt;&gt;"",单词表[[#This Row],[考中]]&lt;&gt;""),MAX(单词表[[#This Row],[考英]:[考中]]),"")</f>
        <v/>
      </c>
      <c r="N2152" s="79"/>
    </row>
    <row r="2153" spans="1:14" hidden="1" x14ac:dyDescent="0.15">
      <c r="A2153">
        <v>2153</v>
      </c>
      <c r="B2153" t="s">
        <v>35</v>
      </c>
      <c r="C2153" t="s">
        <v>12</v>
      </c>
      <c r="D2153" s="72" t="s">
        <v>3793</v>
      </c>
      <c r="E2153" t="s">
        <v>702</v>
      </c>
      <c r="F2153" t="s">
        <v>2471</v>
      </c>
      <c r="G2153" s="92">
        <v>42654.724537037036</v>
      </c>
      <c r="H2153" s="92">
        <v>42654.724548611113</v>
      </c>
      <c r="I2153" s="92">
        <v>42654.724548611113</v>
      </c>
      <c r="J2153" s="92"/>
      <c r="K2153" s="92">
        <v>42662.790381944447</v>
      </c>
      <c r="L2153" s="92">
        <f>IF(AND(单词表[[#This Row],[学英]]&lt;&gt;"",单词表[[#This Row],[学中]]&lt;&gt;"",单词表[[#This Row],[学词]]&lt;&gt;""),MAX(单词表[[#This Row],[学英]:[学词]]),"")</f>
        <v>42654.724548611113</v>
      </c>
      <c r="M2153" s="2" t="str">
        <f>IF(AND(单词表[[#This Row],[考英]]&lt;&gt;"",单词表[[#This Row],[考中]]&lt;&gt;""),MAX(单词表[[#This Row],[考英]:[考中]]),"")</f>
        <v/>
      </c>
      <c r="N2153" s="79"/>
    </row>
    <row r="2154" spans="1:14" hidden="1" x14ac:dyDescent="0.15">
      <c r="A2154">
        <v>2154</v>
      </c>
      <c r="B2154" t="s">
        <v>35</v>
      </c>
      <c r="C2154" t="s">
        <v>12</v>
      </c>
      <c r="D2154" s="72" t="s">
        <v>759</v>
      </c>
      <c r="E2154" t="s">
        <v>736</v>
      </c>
      <c r="F2154" t="s">
        <v>760</v>
      </c>
      <c r="G2154" s="92">
        <v>42654.724583333336</v>
      </c>
      <c r="H2154" s="92">
        <v>42662.796481481484</v>
      </c>
      <c r="I2154" s="92">
        <v>42662.796469907407</v>
      </c>
      <c r="J2154" s="92"/>
      <c r="K2154" s="92">
        <v>42662.798379629632</v>
      </c>
      <c r="L2154" s="92">
        <f>IF(AND(单词表[[#This Row],[学英]]&lt;&gt;"",单词表[[#This Row],[学中]]&lt;&gt;"",单词表[[#This Row],[学词]]&lt;&gt;""),MAX(单词表[[#This Row],[学英]:[学词]]),"")</f>
        <v>42662.796481481484</v>
      </c>
      <c r="M2154" s="2" t="str">
        <f>IF(AND(单词表[[#This Row],[考英]]&lt;&gt;"",单词表[[#This Row],[考中]]&lt;&gt;""),MAX(单词表[[#This Row],[考英]:[考中]]),"")</f>
        <v/>
      </c>
      <c r="N2154" s="79"/>
    </row>
    <row r="2155" spans="1:14" hidden="1" x14ac:dyDescent="0.15">
      <c r="A2155">
        <v>2155</v>
      </c>
      <c r="B2155" t="s">
        <v>35</v>
      </c>
      <c r="C2155" t="s">
        <v>12</v>
      </c>
      <c r="D2155" s="72" t="s">
        <v>3794</v>
      </c>
      <c r="E2155" t="s">
        <v>36</v>
      </c>
      <c r="F2155" t="s">
        <v>3795</v>
      </c>
      <c r="G2155" s="92">
        <v>42654.724618055552</v>
      </c>
      <c r="H2155" s="92">
        <v>42654.724629629629</v>
      </c>
      <c r="I2155" s="92">
        <v>42654.724618055552</v>
      </c>
      <c r="J2155" s="92"/>
      <c r="K2155" s="92">
        <v>42662.79047453704</v>
      </c>
      <c r="L2155" s="92">
        <f>IF(AND(单词表[[#This Row],[学英]]&lt;&gt;"",单词表[[#This Row],[学中]]&lt;&gt;"",单词表[[#This Row],[学词]]&lt;&gt;""),MAX(单词表[[#This Row],[学英]:[学词]]),"")</f>
        <v>42654.724629629629</v>
      </c>
      <c r="M2155" s="2" t="str">
        <f>IF(AND(单词表[[#This Row],[考英]]&lt;&gt;"",单词表[[#This Row],[考中]]&lt;&gt;""),MAX(单词表[[#This Row],[考英]:[考中]]),"")</f>
        <v/>
      </c>
      <c r="N2155" s="79"/>
    </row>
    <row r="2156" spans="1:14" hidden="1" x14ac:dyDescent="0.15">
      <c r="A2156">
        <v>2156</v>
      </c>
      <c r="B2156" t="s">
        <v>35</v>
      </c>
      <c r="C2156" t="s">
        <v>12</v>
      </c>
      <c r="D2156" s="72" t="s">
        <v>3796</v>
      </c>
      <c r="E2156" t="s">
        <v>73</v>
      </c>
      <c r="F2156" t="s">
        <v>3797</v>
      </c>
      <c r="G2156" s="92">
        <v>42654.724675925929</v>
      </c>
      <c r="H2156" s="92">
        <v>42654.724664351852</v>
      </c>
      <c r="I2156" s="92">
        <v>42654.724652777775</v>
      </c>
      <c r="J2156" s="92"/>
      <c r="K2156" s="92">
        <v>42662.790520833332</v>
      </c>
      <c r="L2156" s="92">
        <f>IF(AND(单词表[[#This Row],[学英]]&lt;&gt;"",单词表[[#This Row],[学中]]&lt;&gt;"",单词表[[#This Row],[学词]]&lt;&gt;""),MAX(单词表[[#This Row],[学英]:[学词]]),"")</f>
        <v>42654.724675925929</v>
      </c>
      <c r="M2156" s="2" t="str">
        <f>IF(AND(单词表[[#This Row],[考英]]&lt;&gt;"",单词表[[#This Row],[考中]]&lt;&gt;""),MAX(单词表[[#This Row],[考英]:[考中]]),"")</f>
        <v/>
      </c>
      <c r="N2156" s="79"/>
    </row>
    <row r="2157" spans="1:14" hidden="1" x14ac:dyDescent="0.15">
      <c r="A2157">
        <v>2157</v>
      </c>
      <c r="B2157" t="s">
        <v>35</v>
      </c>
      <c r="C2157" t="s">
        <v>12</v>
      </c>
      <c r="D2157" s="72" t="s">
        <v>693</v>
      </c>
      <c r="E2157" t="s">
        <v>36</v>
      </c>
      <c r="F2157" t="s">
        <v>3798</v>
      </c>
      <c r="G2157" s="92">
        <v>42654.724699074075</v>
      </c>
      <c r="H2157" s="92">
        <v>42662.7965625</v>
      </c>
      <c r="I2157" s="92">
        <v>42662.796550925923</v>
      </c>
      <c r="J2157" s="92"/>
      <c r="K2157" s="92">
        <v>42662.798414351855</v>
      </c>
      <c r="L2157" s="92">
        <f>IF(AND(单词表[[#This Row],[学英]]&lt;&gt;"",单词表[[#This Row],[学中]]&lt;&gt;"",单词表[[#This Row],[学词]]&lt;&gt;""),MAX(单词表[[#This Row],[学英]:[学词]]),"")</f>
        <v>42662.7965625</v>
      </c>
      <c r="M2157" s="2" t="str">
        <f>IF(AND(单词表[[#This Row],[考英]]&lt;&gt;"",单词表[[#This Row],[考中]]&lt;&gt;""),MAX(单词表[[#This Row],[考英]:[考中]]),"")</f>
        <v/>
      </c>
      <c r="N2157" s="79"/>
    </row>
    <row r="2158" spans="1:14" hidden="1" x14ac:dyDescent="0.15">
      <c r="A2158">
        <v>2158</v>
      </c>
      <c r="B2158" t="s">
        <v>35</v>
      </c>
      <c r="C2158" t="s">
        <v>12</v>
      </c>
      <c r="D2158" s="72" t="s">
        <v>3191</v>
      </c>
      <c r="E2158" t="s">
        <v>36</v>
      </c>
      <c r="F2158" t="s">
        <v>3192</v>
      </c>
      <c r="G2158" s="92">
        <v>42654.724733796298</v>
      </c>
      <c r="H2158" s="92">
        <v>42654.724756944444</v>
      </c>
      <c r="I2158" s="92">
        <v>42654.724745370368</v>
      </c>
      <c r="J2158" s="92"/>
      <c r="K2158" s="92">
        <v>42662.790625000001</v>
      </c>
      <c r="L2158" s="92">
        <f>IF(AND(单词表[[#This Row],[学英]]&lt;&gt;"",单词表[[#This Row],[学中]]&lt;&gt;"",单词表[[#This Row],[学词]]&lt;&gt;""),MAX(单词表[[#This Row],[学英]:[学词]]),"")</f>
        <v>42654.724756944444</v>
      </c>
      <c r="M2158" s="2" t="str">
        <f>IF(AND(单词表[[#This Row],[考英]]&lt;&gt;"",单词表[[#This Row],[考中]]&lt;&gt;""),MAX(单词表[[#This Row],[考英]:[考中]]),"")</f>
        <v/>
      </c>
      <c r="N2158" s="79"/>
    </row>
    <row r="2159" spans="1:14" hidden="1" x14ac:dyDescent="0.15">
      <c r="A2159">
        <v>2159</v>
      </c>
      <c r="B2159" t="s">
        <v>35</v>
      </c>
      <c r="C2159" t="s">
        <v>12</v>
      </c>
      <c r="D2159" s="72" t="s">
        <v>3799</v>
      </c>
      <c r="E2159" t="s">
        <v>702</v>
      </c>
      <c r="F2159" t="s">
        <v>3800</v>
      </c>
      <c r="G2159" s="92">
        <v>42654.724768518521</v>
      </c>
      <c r="H2159" s="92">
        <v>42654.727407407408</v>
      </c>
      <c r="I2159" s="92">
        <v>42654.727407407408</v>
      </c>
      <c r="J2159" s="92"/>
      <c r="K2159" s="92">
        <v>42662.790682870371</v>
      </c>
      <c r="L2159" s="92">
        <f>IF(AND(单词表[[#This Row],[学英]]&lt;&gt;"",单词表[[#This Row],[学中]]&lt;&gt;"",单词表[[#This Row],[学词]]&lt;&gt;""),MAX(单词表[[#This Row],[学英]:[学词]]),"")</f>
        <v>42654.727407407408</v>
      </c>
      <c r="M2159" s="2" t="str">
        <f>IF(AND(单词表[[#This Row],[考英]]&lt;&gt;"",单词表[[#This Row],[考中]]&lt;&gt;""),MAX(单词表[[#This Row],[考英]:[考中]]),"")</f>
        <v/>
      </c>
      <c r="N2159" s="79"/>
    </row>
    <row r="2160" spans="1:14" hidden="1" x14ac:dyDescent="0.15">
      <c r="A2160">
        <v>2160</v>
      </c>
      <c r="B2160" t="s">
        <v>35</v>
      </c>
      <c r="C2160" t="s">
        <v>12</v>
      </c>
      <c r="D2160" s="72" t="s">
        <v>3801</v>
      </c>
      <c r="E2160" t="s">
        <v>36</v>
      </c>
      <c r="F2160" t="s">
        <v>3802</v>
      </c>
      <c r="G2160" s="92">
        <v>42654.724814814814</v>
      </c>
      <c r="H2160" s="92">
        <v>42654.724826388891</v>
      </c>
      <c r="I2160" s="92">
        <v>42654.724814814814</v>
      </c>
      <c r="J2160" s="92"/>
      <c r="K2160" s="92">
        <v>42662.790717592594</v>
      </c>
      <c r="L2160" s="92">
        <f>IF(AND(单词表[[#This Row],[学英]]&lt;&gt;"",单词表[[#This Row],[学中]]&lt;&gt;"",单词表[[#This Row],[学词]]&lt;&gt;""),MAX(单词表[[#This Row],[学英]:[学词]]),"")</f>
        <v>42654.724826388891</v>
      </c>
      <c r="M2160" s="2" t="str">
        <f>IF(AND(单词表[[#This Row],[考英]]&lt;&gt;"",单词表[[#This Row],[考中]]&lt;&gt;""),MAX(单词表[[#This Row],[考英]:[考中]]),"")</f>
        <v/>
      </c>
      <c r="N2160" s="79"/>
    </row>
    <row r="2161" spans="1:14" hidden="1" x14ac:dyDescent="0.15">
      <c r="A2161">
        <v>2161</v>
      </c>
      <c r="B2161" t="s">
        <v>35</v>
      </c>
      <c r="C2161" t="s">
        <v>12</v>
      </c>
      <c r="D2161" s="72" t="s">
        <v>3803</v>
      </c>
      <c r="E2161" t="s">
        <v>702</v>
      </c>
      <c r="F2161" t="s">
        <v>3804</v>
      </c>
      <c r="G2161" s="92">
        <v>42654.724872685183</v>
      </c>
      <c r="H2161" s="92">
        <v>42654.727442129632</v>
      </c>
      <c r="I2161" s="92">
        <v>42654.727430555555</v>
      </c>
      <c r="J2161" s="92"/>
      <c r="K2161" s="92">
        <v>42662.790763888886</v>
      </c>
      <c r="L2161" s="92">
        <f>IF(AND(单词表[[#This Row],[学英]]&lt;&gt;"",单词表[[#This Row],[学中]]&lt;&gt;"",单词表[[#This Row],[学词]]&lt;&gt;""),MAX(单词表[[#This Row],[学英]:[学词]]),"")</f>
        <v>42654.727442129632</v>
      </c>
      <c r="M2161" s="2" t="str">
        <f>IF(AND(单词表[[#This Row],[考英]]&lt;&gt;"",单词表[[#This Row],[考中]]&lt;&gt;""),MAX(单词表[[#This Row],[考英]:[考中]]),"")</f>
        <v/>
      </c>
      <c r="N2161" s="79"/>
    </row>
    <row r="2162" spans="1:14" hidden="1" x14ac:dyDescent="0.15">
      <c r="A2162">
        <v>2162</v>
      </c>
      <c r="B2162" t="s">
        <v>35</v>
      </c>
      <c r="C2162" t="s">
        <v>12</v>
      </c>
      <c r="D2162" s="72" t="s">
        <v>3805</v>
      </c>
      <c r="E2162" t="s">
        <v>736</v>
      </c>
      <c r="F2162" t="s">
        <v>3806</v>
      </c>
      <c r="G2162" s="92">
        <v>42654.724918981483</v>
      </c>
      <c r="H2162" s="92">
        <v>42662.799513888887</v>
      </c>
      <c r="I2162" s="92">
        <v>42662.799502314818</v>
      </c>
      <c r="J2162" s="92"/>
      <c r="K2162" s="92">
        <v>42662.800127314818</v>
      </c>
      <c r="L2162" s="92">
        <f>IF(AND(单词表[[#This Row],[学英]]&lt;&gt;"",单词表[[#This Row],[学中]]&lt;&gt;"",单词表[[#This Row],[学词]]&lt;&gt;""),MAX(单词表[[#This Row],[学英]:[学词]]),"")</f>
        <v>42662.799513888887</v>
      </c>
      <c r="M2162" s="2" t="str">
        <f>IF(AND(单词表[[#This Row],[考英]]&lt;&gt;"",单词表[[#This Row],[考中]]&lt;&gt;""),MAX(单词表[[#This Row],[考英]:[考中]]),"")</f>
        <v/>
      </c>
      <c r="N2162" s="79"/>
    </row>
    <row r="2163" spans="1:14" hidden="1" x14ac:dyDescent="0.15">
      <c r="A2163">
        <v>2163</v>
      </c>
      <c r="B2163" t="s">
        <v>35</v>
      </c>
      <c r="C2163" t="s">
        <v>12</v>
      </c>
      <c r="D2163" s="72" t="s">
        <v>3807</v>
      </c>
      <c r="E2163" t="s">
        <v>36</v>
      </c>
      <c r="F2163" t="s">
        <v>1672</v>
      </c>
      <c r="G2163" s="92">
        <v>42654.724965277775</v>
      </c>
      <c r="H2163" s="92">
        <v>42662.796759259261</v>
      </c>
      <c r="I2163" s="92">
        <v>42662.796747685185</v>
      </c>
      <c r="J2163" s="92"/>
      <c r="K2163" s="92">
        <v>42662.798530092594</v>
      </c>
      <c r="L2163" s="92">
        <f>IF(AND(单词表[[#This Row],[学英]]&lt;&gt;"",单词表[[#This Row],[学中]]&lt;&gt;"",单词表[[#This Row],[学词]]&lt;&gt;""),MAX(单词表[[#This Row],[学英]:[学词]]),"")</f>
        <v>42662.796759259261</v>
      </c>
      <c r="M2163" s="2" t="str">
        <f>IF(AND(单词表[[#This Row],[考英]]&lt;&gt;"",单词表[[#This Row],[考中]]&lt;&gt;""),MAX(单词表[[#This Row],[考英]:[考中]]),"")</f>
        <v/>
      </c>
      <c r="N2163" s="79"/>
    </row>
    <row r="2164" spans="1:14" hidden="1" x14ac:dyDescent="0.15">
      <c r="A2164">
        <v>2164</v>
      </c>
      <c r="B2164" t="s">
        <v>35</v>
      </c>
      <c r="C2164" t="s">
        <v>12</v>
      </c>
      <c r="D2164" s="72" t="s">
        <v>3808</v>
      </c>
      <c r="E2164" t="s">
        <v>61</v>
      </c>
      <c r="F2164" t="s">
        <v>466</v>
      </c>
      <c r="G2164" s="92">
        <v>42654.725023148145</v>
      </c>
      <c r="H2164" s="92">
        <v>42662.796793981484</v>
      </c>
      <c r="I2164" s="92">
        <v>42662.796782407408</v>
      </c>
      <c r="J2164" s="92"/>
      <c r="K2164" s="92">
        <v>42662.798587962963</v>
      </c>
      <c r="L2164" s="92">
        <f>IF(AND(单词表[[#This Row],[学英]]&lt;&gt;"",单词表[[#This Row],[学中]]&lt;&gt;"",单词表[[#This Row],[学词]]&lt;&gt;""),MAX(单词表[[#This Row],[学英]:[学词]]),"")</f>
        <v>42662.796793981484</v>
      </c>
      <c r="M2164" s="2" t="str">
        <f>IF(AND(单词表[[#This Row],[考英]]&lt;&gt;"",单词表[[#This Row],[考中]]&lt;&gt;""),MAX(单词表[[#This Row],[考英]:[考中]]),"")</f>
        <v/>
      </c>
      <c r="N2164" s="79"/>
    </row>
    <row r="2165" spans="1:14" hidden="1" x14ac:dyDescent="0.15">
      <c r="A2165">
        <v>2165</v>
      </c>
      <c r="B2165" t="s">
        <v>35</v>
      </c>
      <c r="C2165" t="s">
        <v>12</v>
      </c>
      <c r="D2165" s="72" t="s">
        <v>3809</v>
      </c>
      <c r="E2165" t="s">
        <v>61</v>
      </c>
      <c r="F2165" t="s">
        <v>514</v>
      </c>
      <c r="G2165" s="92">
        <v>42654.725081018521</v>
      </c>
      <c r="H2165" s="92">
        <v>42662.797129629631</v>
      </c>
      <c r="I2165" s="92">
        <v>42662.797118055554</v>
      </c>
      <c r="J2165" s="92"/>
      <c r="K2165" s="92">
        <v>42662.798634259256</v>
      </c>
      <c r="L2165" s="92">
        <f>IF(AND(单词表[[#This Row],[学英]]&lt;&gt;"",单词表[[#This Row],[学中]]&lt;&gt;"",单词表[[#This Row],[学词]]&lt;&gt;""),MAX(单词表[[#This Row],[学英]:[学词]]),"")</f>
        <v>42662.797129629631</v>
      </c>
      <c r="M2165" s="2" t="str">
        <f>IF(AND(单词表[[#This Row],[考英]]&lt;&gt;"",单词表[[#This Row],[考中]]&lt;&gt;""),MAX(单词表[[#This Row],[考英]:[考中]]),"")</f>
        <v/>
      </c>
      <c r="N2165" s="79"/>
    </row>
    <row r="2166" spans="1:14" hidden="1" x14ac:dyDescent="0.15">
      <c r="A2166">
        <v>2166</v>
      </c>
      <c r="B2166" t="s">
        <v>35</v>
      </c>
      <c r="C2166" t="s">
        <v>13</v>
      </c>
      <c r="D2166" s="72" t="s">
        <v>1312</v>
      </c>
      <c r="E2166" s="30" t="s">
        <v>61</v>
      </c>
      <c r="F2166" t="s">
        <v>3810</v>
      </c>
      <c r="G2166" s="92">
        <v>42657.858738425923</v>
      </c>
      <c r="H2166" s="92">
        <v>42661.708923611113</v>
      </c>
      <c r="I2166" s="92">
        <v>42661.708912037036</v>
      </c>
      <c r="J2166" s="92"/>
      <c r="K2166" s="92">
        <v>42668.799444444441</v>
      </c>
      <c r="L2166" s="92">
        <f>IF(AND(单词表[[#This Row],[学英]]&lt;&gt;"",单词表[[#This Row],[学中]]&lt;&gt;"",单词表[[#This Row],[学词]]&lt;&gt;""),MAX(单词表[[#This Row],[学英]:[学词]]),"")</f>
        <v>42661.708923611113</v>
      </c>
      <c r="M2166" s="2" t="str">
        <f>IF(AND(单词表[[#This Row],[考英]]&lt;&gt;"",单词表[[#This Row],[考中]]&lt;&gt;""),MAX(单词表[[#This Row],[考英]:[考中]]),"")</f>
        <v/>
      </c>
      <c r="N2166" s="79"/>
    </row>
    <row r="2167" spans="1:14" hidden="1" x14ac:dyDescent="0.15">
      <c r="A2167">
        <v>2167</v>
      </c>
      <c r="B2167" t="s">
        <v>35</v>
      </c>
      <c r="C2167" t="s">
        <v>13</v>
      </c>
      <c r="D2167" s="72" t="s">
        <v>3811</v>
      </c>
      <c r="E2167" s="30" t="s">
        <v>736</v>
      </c>
      <c r="F2167" t="s">
        <v>3812</v>
      </c>
      <c r="G2167" s="92">
        <v>42657.858784722222</v>
      </c>
      <c r="H2167" s="92">
        <v>42661.70894675926</v>
      </c>
      <c r="I2167" s="92">
        <v>42661.708935185183</v>
      </c>
      <c r="J2167" s="92"/>
      <c r="K2167" s="92">
        <v>42668.799490740741</v>
      </c>
      <c r="L2167" s="92">
        <f>IF(AND(单词表[[#This Row],[学英]]&lt;&gt;"",单词表[[#This Row],[学中]]&lt;&gt;"",单词表[[#This Row],[学词]]&lt;&gt;""),MAX(单词表[[#This Row],[学英]:[学词]]),"")</f>
        <v>42661.70894675926</v>
      </c>
      <c r="M2167" s="2" t="str">
        <f>IF(AND(单词表[[#This Row],[考英]]&lt;&gt;"",单词表[[#This Row],[考中]]&lt;&gt;""),MAX(单词表[[#This Row],[考英]:[考中]]),"")</f>
        <v/>
      </c>
      <c r="N2167" s="79"/>
    </row>
    <row r="2168" spans="1:14" hidden="1" x14ac:dyDescent="0.15">
      <c r="A2168">
        <v>2168</v>
      </c>
      <c r="B2168" t="s">
        <v>35</v>
      </c>
      <c r="C2168" t="s">
        <v>13</v>
      </c>
      <c r="D2168" s="72" t="s">
        <v>3813</v>
      </c>
      <c r="E2168" s="30" t="s">
        <v>36</v>
      </c>
      <c r="F2168" t="s">
        <v>3814</v>
      </c>
      <c r="G2168" s="92">
        <v>42657.858842592592</v>
      </c>
      <c r="H2168" s="92">
        <v>42661.708981481483</v>
      </c>
      <c r="I2168" s="92">
        <v>42661.708981481483</v>
      </c>
      <c r="J2168" s="92"/>
      <c r="K2168" s="92">
        <v>42668.799537037034</v>
      </c>
      <c r="L2168" s="92">
        <f>IF(AND(单词表[[#This Row],[学英]]&lt;&gt;"",单词表[[#This Row],[学中]]&lt;&gt;"",单词表[[#This Row],[学词]]&lt;&gt;""),MAX(单词表[[#This Row],[学英]:[学词]]),"")</f>
        <v>42661.708981481483</v>
      </c>
      <c r="M2168" s="2" t="str">
        <f>IF(AND(单词表[[#This Row],[考英]]&lt;&gt;"",单词表[[#This Row],[考中]]&lt;&gt;""),MAX(单词表[[#This Row],[考英]:[考中]]),"")</f>
        <v/>
      </c>
      <c r="N2168" s="79"/>
    </row>
    <row r="2169" spans="1:14" hidden="1" x14ac:dyDescent="0.15">
      <c r="A2169">
        <v>2169</v>
      </c>
      <c r="B2169" t="s">
        <v>35</v>
      </c>
      <c r="C2169" t="s">
        <v>13</v>
      </c>
      <c r="D2169" s="72" t="s">
        <v>3092</v>
      </c>
      <c r="E2169" s="30" t="s">
        <v>36</v>
      </c>
      <c r="F2169" t="s">
        <v>3093</v>
      </c>
      <c r="G2169" s="92">
        <v>42657.858865740738</v>
      </c>
      <c r="H2169" s="92">
        <v>42661.709016203706</v>
      </c>
      <c r="I2169" s="92">
        <v>42661.709016203706</v>
      </c>
      <c r="J2169" s="92"/>
      <c r="K2169" s="92">
        <v>42668.799560185187</v>
      </c>
      <c r="L2169" s="92">
        <f>IF(AND(单词表[[#This Row],[学英]]&lt;&gt;"",单词表[[#This Row],[学中]]&lt;&gt;"",单词表[[#This Row],[学词]]&lt;&gt;""),MAX(单词表[[#This Row],[学英]:[学词]]),"")</f>
        <v>42661.709016203706</v>
      </c>
      <c r="M2169" s="2" t="str">
        <f>IF(AND(单词表[[#This Row],[考英]]&lt;&gt;"",单词表[[#This Row],[考中]]&lt;&gt;""),MAX(单词表[[#This Row],[考英]:[考中]]),"")</f>
        <v/>
      </c>
      <c r="N2169" s="79"/>
    </row>
    <row r="2170" spans="1:14" hidden="1" x14ac:dyDescent="0.15">
      <c r="A2170">
        <v>2170</v>
      </c>
      <c r="B2170" t="s">
        <v>35</v>
      </c>
      <c r="C2170" t="s">
        <v>13</v>
      </c>
      <c r="D2170" s="72" t="s">
        <v>3815</v>
      </c>
      <c r="E2170" s="30" t="s">
        <v>61</v>
      </c>
      <c r="F2170" t="s">
        <v>3816</v>
      </c>
      <c r="G2170" s="92">
        <v>42657.858888888892</v>
      </c>
      <c r="H2170" s="92">
        <v>42661.709039351852</v>
      </c>
      <c r="I2170" s="92">
        <v>42661.709039351852</v>
      </c>
      <c r="J2170" s="92"/>
      <c r="K2170" s="92">
        <v>42668.79960648148</v>
      </c>
      <c r="L2170" s="92">
        <f>IF(AND(单词表[[#This Row],[学英]]&lt;&gt;"",单词表[[#This Row],[学中]]&lt;&gt;"",单词表[[#This Row],[学词]]&lt;&gt;""),MAX(单词表[[#This Row],[学英]:[学词]]),"")</f>
        <v>42661.709039351852</v>
      </c>
      <c r="M2170" s="2" t="str">
        <f>IF(AND(单词表[[#This Row],[考英]]&lt;&gt;"",单词表[[#This Row],[考中]]&lt;&gt;""),MAX(单词表[[#This Row],[考英]:[考中]]),"")</f>
        <v/>
      </c>
      <c r="N2170" s="79"/>
    </row>
    <row r="2171" spans="1:14" hidden="1" x14ac:dyDescent="0.15">
      <c r="A2171">
        <v>2171</v>
      </c>
      <c r="B2171" t="s">
        <v>35</v>
      </c>
      <c r="C2171" t="s">
        <v>13</v>
      </c>
      <c r="D2171" s="72" t="s">
        <v>3817</v>
      </c>
      <c r="E2171" s="30" t="s">
        <v>36</v>
      </c>
      <c r="F2171" t="s">
        <v>3818</v>
      </c>
      <c r="G2171" s="92">
        <v>42657.858923611115</v>
      </c>
      <c r="H2171" s="92">
        <v>42661.709062499998</v>
      </c>
      <c r="I2171" s="92">
        <v>42661.709062499998</v>
      </c>
      <c r="J2171" s="92"/>
      <c r="K2171" s="92">
        <v>42668.799641203703</v>
      </c>
      <c r="L2171" s="92">
        <f>IF(AND(单词表[[#This Row],[学英]]&lt;&gt;"",单词表[[#This Row],[学中]]&lt;&gt;"",单词表[[#This Row],[学词]]&lt;&gt;""),MAX(单词表[[#This Row],[学英]:[学词]]),"")</f>
        <v>42661.709062499998</v>
      </c>
      <c r="M2171" s="2" t="str">
        <f>IF(AND(单词表[[#This Row],[考英]]&lt;&gt;"",单词表[[#This Row],[考中]]&lt;&gt;""),MAX(单词表[[#This Row],[考英]:[考中]]),"")</f>
        <v/>
      </c>
      <c r="N2171" s="79"/>
    </row>
    <row r="2172" spans="1:14" hidden="1" x14ac:dyDescent="0.15">
      <c r="A2172">
        <v>2172</v>
      </c>
      <c r="B2172" t="s">
        <v>35</v>
      </c>
      <c r="C2172" t="s">
        <v>13</v>
      </c>
      <c r="D2172" s="72" t="s">
        <v>707</v>
      </c>
      <c r="E2172" s="30" t="s">
        <v>36</v>
      </c>
      <c r="F2172" t="s">
        <v>3819</v>
      </c>
      <c r="G2172" s="92">
        <v>42657.859074074076</v>
      </c>
      <c r="H2172" s="92">
        <v>42661.709097222221</v>
      </c>
      <c r="I2172" s="92">
        <v>42661.709097222221</v>
      </c>
      <c r="J2172" s="92"/>
      <c r="K2172" s="92">
        <v>42668.799687500003</v>
      </c>
      <c r="L2172" s="92">
        <f>IF(AND(单词表[[#This Row],[学英]]&lt;&gt;"",单词表[[#This Row],[学中]]&lt;&gt;"",单词表[[#This Row],[学词]]&lt;&gt;""),MAX(单词表[[#This Row],[学英]:[学词]]),"")</f>
        <v>42661.709097222221</v>
      </c>
      <c r="M2172" s="2" t="str">
        <f>IF(AND(单词表[[#This Row],[考英]]&lt;&gt;"",单词表[[#This Row],[考中]]&lt;&gt;""),MAX(单词表[[#This Row],[考英]:[考中]]),"")</f>
        <v/>
      </c>
      <c r="N2172" s="79"/>
    </row>
    <row r="2173" spans="1:14" hidden="1" x14ac:dyDescent="0.15">
      <c r="A2173">
        <v>2173</v>
      </c>
      <c r="B2173" t="s">
        <v>35</v>
      </c>
      <c r="C2173" t="s">
        <v>13</v>
      </c>
      <c r="D2173" s="72" t="s">
        <v>3820</v>
      </c>
      <c r="E2173" s="30" t="s">
        <v>36</v>
      </c>
      <c r="F2173" t="s">
        <v>3821</v>
      </c>
      <c r="G2173" s="92">
        <v>42657.859664351854</v>
      </c>
      <c r="H2173" s="92">
        <v>42657.859664351854</v>
      </c>
      <c r="I2173" s="92">
        <v>42657.859664351854</v>
      </c>
      <c r="J2173" s="92"/>
      <c r="K2173" s="92">
        <v>42668.799745370372</v>
      </c>
      <c r="L2173" s="92">
        <f>IF(AND(单词表[[#This Row],[学英]]&lt;&gt;"",单词表[[#This Row],[学中]]&lt;&gt;"",单词表[[#This Row],[学词]]&lt;&gt;""),MAX(单词表[[#This Row],[学英]:[学词]]),"")</f>
        <v>42657.859664351854</v>
      </c>
      <c r="M2173" s="2" t="str">
        <f>IF(AND(单词表[[#This Row],[考英]]&lt;&gt;"",单词表[[#This Row],[考中]]&lt;&gt;""),MAX(单词表[[#This Row],[考英]:[考中]]),"")</f>
        <v/>
      </c>
      <c r="N2173" s="79"/>
    </row>
    <row r="2174" spans="1:14" hidden="1" x14ac:dyDescent="0.15">
      <c r="A2174">
        <v>2174</v>
      </c>
      <c r="B2174" t="s">
        <v>35</v>
      </c>
      <c r="C2174" t="s">
        <v>13</v>
      </c>
      <c r="D2174" s="72" t="s">
        <v>3822</v>
      </c>
      <c r="E2174" s="30" t="s">
        <v>702</v>
      </c>
      <c r="F2174" t="s">
        <v>3823</v>
      </c>
      <c r="G2174" s="92">
        <v>42657.859699074077</v>
      </c>
      <c r="H2174" s="92">
        <v>42657.859710648147</v>
      </c>
      <c r="I2174" s="92">
        <v>42657.859699074077</v>
      </c>
      <c r="J2174" s="92"/>
      <c r="K2174" s="92">
        <v>42668.799780092595</v>
      </c>
      <c r="L2174" s="92">
        <f>IF(AND(单词表[[#This Row],[学英]]&lt;&gt;"",单词表[[#This Row],[学中]]&lt;&gt;"",单词表[[#This Row],[学词]]&lt;&gt;""),MAX(单词表[[#This Row],[学英]:[学词]]),"")</f>
        <v>42657.859710648147</v>
      </c>
      <c r="M2174" s="2" t="str">
        <f>IF(AND(单词表[[#This Row],[考英]]&lt;&gt;"",单词表[[#This Row],[考中]]&lt;&gt;""),MAX(单词表[[#This Row],[考英]:[考中]]),"")</f>
        <v/>
      </c>
      <c r="N2174" s="79"/>
    </row>
    <row r="2175" spans="1:14" hidden="1" x14ac:dyDescent="0.15">
      <c r="A2175">
        <v>2175</v>
      </c>
      <c r="B2175" t="s">
        <v>35</v>
      </c>
      <c r="C2175" t="s">
        <v>13</v>
      </c>
      <c r="D2175" s="72" t="s">
        <v>3824</v>
      </c>
      <c r="E2175" s="30" t="s">
        <v>36</v>
      </c>
      <c r="F2175" t="s">
        <v>3825</v>
      </c>
      <c r="G2175" s="92">
        <v>42657.859826388885</v>
      </c>
      <c r="H2175" s="92">
        <v>42657.859837962962</v>
      </c>
      <c r="I2175" s="92">
        <v>42657.859837962962</v>
      </c>
      <c r="J2175" s="92"/>
      <c r="K2175" s="92">
        <v>42668.799837962964</v>
      </c>
      <c r="L2175" s="92">
        <f>IF(AND(单词表[[#This Row],[学英]]&lt;&gt;"",单词表[[#This Row],[学中]]&lt;&gt;"",单词表[[#This Row],[学词]]&lt;&gt;""),MAX(单词表[[#This Row],[学英]:[学词]]),"")</f>
        <v>42657.859837962962</v>
      </c>
      <c r="M2175" s="2" t="str">
        <f>IF(AND(单词表[[#This Row],[考英]]&lt;&gt;"",单词表[[#This Row],[考中]]&lt;&gt;""),MAX(单词表[[#This Row],[考英]:[考中]]),"")</f>
        <v/>
      </c>
      <c r="N2175" s="79"/>
    </row>
    <row r="2176" spans="1:14" hidden="1" x14ac:dyDescent="0.15">
      <c r="A2176">
        <v>2176</v>
      </c>
      <c r="B2176" t="s">
        <v>35</v>
      </c>
      <c r="C2176" t="s">
        <v>13</v>
      </c>
      <c r="D2176" s="72" t="s">
        <v>3109</v>
      </c>
      <c r="E2176" s="30" t="s">
        <v>36</v>
      </c>
      <c r="F2176" t="s">
        <v>3110</v>
      </c>
      <c r="G2176" s="92">
        <v>42657.861666666664</v>
      </c>
      <c r="H2176" s="92">
        <v>42657.861678240741</v>
      </c>
      <c r="I2176" s="92">
        <v>42657.861678240741</v>
      </c>
      <c r="J2176" s="92"/>
      <c r="K2176" s="92">
        <v>42668.799872685187</v>
      </c>
      <c r="L2176" s="92">
        <f>IF(AND(单词表[[#This Row],[学英]]&lt;&gt;"",单词表[[#This Row],[学中]]&lt;&gt;"",单词表[[#This Row],[学词]]&lt;&gt;""),MAX(单词表[[#This Row],[学英]:[学词]]),"")</f>
        <v>42657.861678240741</v>
      </c>
      <c r="M2176" s="2" t="str">
        <f>IF(AND(单词表[[#This Row],[考英]]&lt;&gt;"",单词表[[#This Row],[考中]]&lt;&gt;""),MAX(单词表[[#This Row],[考英]:[考中]]),"")</f>
        <v/>
      </c>
      <c r="N2176" s="79"/>
    </row>
    <row r="2177" spans="1:14" hidden="1" x14ac:dyDescent="0.15">
      <c r="A2177">
        <v>2177</v>
      </c>
      <c r="B2177" t="s">
        <v>35</v>
      </c>
      <c r="C2177" t="s">
        <v>13</v>
      </c>
      <c r="D2177" s="72" t="s">
        <v>1673</v>
      </c>
      <c r="E2177" s="30" t="s">
        <v>61</v>
      </c>
      <c r="F2177" t="s">
        <v>3826</v>
      </c>
      <c r="G2177" s="92">
        <v>42657.861689814818</v>
      </c>
      <c r="H2177" s="92">
        <v>42661.714398148149</v>
      </c>
      <c r="I2177" s="92">
        <v>42661.714398148149</v>
      </c>
      <c r="J2177" s="92"/>
      <c r="K2177" s="92">
        <v>42668.79991898148</v>
      </c>
      <c r="L2177" s="92">
        <f>IF(AND(单词表[[#This Row],[学英]]&lt;&gt;"",单词表[[#This Row],[学中]]&lt;&gt;"",单词表[[#This Row],[学词]]&lt;&gt;""),MAX(单词表[[#This Row],[学英]:[学词]]),"")</f>
        <v>42661.714398148149</v>
      </c>
      <c r="M2177" s="2" t="str">
        <f>IF(AND(单词表[[#This Row],[考英]]&lt;&gt;"",单词表[[#This Row],[考中]]&lt;&gt;""),MAX(单词表[[#This Row],[考英]:[考中]]),"")</f>
        <v/>
      </c>
      <c r="N2177" s="79"/>
    </row>
    <row r="2178" spans="1:14" hidden="1" x14ac:dyDescent="0.15">
      <c r="A2178">
        <v>2178</v>
      </c>
      <c r="B2178" t="s">
        <v>35</v>
      </c>
      <c r="C2178" t="s">
        <v>13</v>
      </c>
      <c r="D2178" s="72" t="s">
        <v>3827</v>
      </c>
      <c r="E2178" s="30" t="s">
        <v>36</v>
      </c>
      <c r="F2178" t="s">
        <v>3828</v>
      </c>
      <c r="G2178" s="92">
        <v>42657.861724537041</v>
      </c>
      <c r="H2178" s="92">
        <v>42657.86173611111</v>
      </c>
      <c r="I2178" s="92">
        <v>42657.861724537041</v>
      </c>
      <c r="J2178" s="92"/>
      <c r="K2178" s="92">
        <v>42668.799953703703</v>
      </c>
      <c r="L2178" s="92">
        <f>IF(AND(单词表[[#This Row],[学英]]&lt;&gt;"",单词表[[#This Row],[学中]]&lt;&gt;"",单词表[[#This Row],[学词]]&lt;&gt;""),MAX(单词表[[#This Row],[学英]:[学词]]),"")</f>
        <v>42657.86173611111</v>
      </c>
      <c r="M2178" s="2" t="str">
        <f>IF(AND(单词表[[#This Row],[考英]]&lt;&gt;"",单词表[[#This Row],[考中]]&lt;&gt;""),MAX(单词表[[#This Row],[考英]:[考中]]),"")</f>
        <v/>
      </c>
      <c r="N2178" s="79"/>
    </row>
    <row r="2179" spans="1:14" hidden="1" x14ac:dyDescent="0.15">
      <c r="A2179">
        <v>2179</v>
      </c>
      <c r="B2179" t="s">
        <v>35</v>
      </c>
      <c r="C2179" t="s">
        <v>13</v>
      </c>
      <c r="D2179" s="72" t="s">
        <v>3096</v>
      </c>
      <c r="E2179" s="30" t="s">
        <v>36</v>
      </c>
      <c r="F2179" t="s">
        <v>739</v>
      </c>
      <c r="G2179" s="92">
        <v>42657.861793981479</v>
      </c>
      <c r="H2179" s="92">
        <v>42668.80232638889</v>
      </c>
      <c r="I2179" s="92">
        <v>42668.802314814813</v>
      </c>
      <c r="J2179" s="92"/>
      <c r="K2179" s="92">
        <v>42669.802685185183</v>
      </c>
      <c r="L2179" s="92">
        <f>IF(AND(单词表[[#This Row],[学英]]&lt;&gt;"",单词表[[#This Row],[学中]]&lt;&gt;"",单词表[[#This Row],[学词]]&lt;&gt;""),MAX(单词表[[#This Row],[学英]:[学词]]),"")</f>
        <v>42668.80232638889</v>
      </c>
      <c r="M2179" s="2" t="str">
        <f>IF(AND(单词表[[#This Row],[考英]]&lt;&gt;"",单词表[[#This Row],[考中]]&lt;&gt;""),MAX(单词表[[#This Row],[考英]:[考中]]),"")</f>
        <v/>
      </c>
      <c r="N2179" s="79"/>
    </row>
    <row r="2180" spans="1:14" hidden="1" x14ac:dyDescent="0.15">
      <c r="A2180">
        <v>2180</v>
      </c>
      <c r="B2180" t="s">
        <v>35</v>
      </c>
      <c r="C2180" t="s">
        <v>13</v>
      </c>
      <c r="D2180" s="72" t="s">
        <v>1570</v>
      </c>
      <c r="E2180" s="30" t="s">
        <v>36</v>
      </c>
      <c r="F2180" t="s">
        <v>1571</v>
      </c>
      <c r="G2180" s="92">
        <v>42657.861828703702</v>
      </c>
      <c r="H2180" s="92">
        <v>42657.861828703702</v>
      </c>
      <c r="I2180" s="92">
        <v>42657.861828703702</v>
      </c>
      <c r="J2180" s="92"/>
      <c r="K2180" s="92">
        <v>42668.800034722219</v>
      </c>
      <c r="L2180" s="92">
        <f>IF(AND(单词表[[#This Row],[学英]]&lt;&gt;"",单词表[[#This Row],[学中]]&lt;&gt;"",单词表[[#This Row],[学词]]&lt;&gt;""),MAX(单词表[[#This Row],[学英]:[学词]]),"")</f>
        <v>42657.861828703702</v>
      </c>
      <c r="M2180" s="2" t="str">
        <f>IF(AND(单词表[[#This Row],[考英]]&lt;&gt;"",单词表[[#This Row],[考中]]&lt;&gt;""),MAX(单词表[[#This Row],[考英]:[考中]]),"")</f>
        <v/>
      </c>
      <c r="N2180" s="79"/>
    </row>
    <row r="2181" spans="1:14" hidden="1" x14ac:dyDescent="0.15">
      <c r="A2181">
        <v>2181</v>
      </c>
      <c r="B2181" t="s">
        <v>35</v>
      </c>
      <c r="C2181" t="s">
        <v>13</v>
      </c>
      <c r="D2181" s="72" t="s">
        <v>3829</v>
      </c>
      <c r="E2181" s="30" t="s">
        <v>36</v>
      </c>
      <c r="F2181" t="s">
        <v>3830</v>
      </c>
      <c r="G2181" s="92">
        <v>42657.861851851849</v>
      </c>
      <c r="H2181" s="92">
        <v>42657.861863425926</v>
      </c>
      <c r="I2181" s="92">
        <v>42657.861851851849</v>
      </c>
      <c r="J2181" s="92"/>
      <c r="K2181" s="92">
        <v>42668.800069444442</v>
      </c>
      <c r="L2181" s="92">
        <f>IF(AND(单词表[[#This Row],[学英]]&lt;&gt;"",单词表[[#This Row],[学中]]&lt;&gt;"",单词表[[#This Row],[学词]]&lt;&gt;""),MAX(单词表[[#This Row],[学英]:[学词]]),"")</f>
        <v>42657.861863425926</v>
      </c>
      <c r="M2181" s="2" t="str">
        <f>IF(AND(单词表[[#This Row],[考英]]&lt;&gt;"",单词表[[#This Row],[考中]]&lt;&gt;""),MAX(单词表[[#This Row],[考英]:[考中]]),"")</f>
        <v/>
      </c>
      <c r="N2181" s="79"/>
    </row>
    <row r="2182" spans="1:14" hidden="1" x14ac:dyDescent="0.15">
      <c r="A2182">
        <v>2182</v>
      </c>
      <c r="B2182" t="s">
        <v>35</v>
      </c>
      <c r="C2182" t="s">
        <v>13</v>
      </c>
      <c r="D2182" s="72" t="s">
        <v>3831</v>
      </c>
      <c r="E2182" s="30" t="s">
        <v>61</v>
      </c>
      <c r="F2182" t="s">
        <v>3832</v>
      </c>
      <c r="G2182" s="92">
        <v>42657.861886574072</v>
      </c>
      <c r="H2182" s="92">
        <v>42661.714421296296</v>
      </c>
      <c r="I2182" s="92">
        <v>42661.714421296296</v>
      </c>
      <c r="J2182" s="92"/>
      <c r="K2182" s="92">
        <v>42668.800127314818</v>
      </c>
      <c r="L2182" s="92">
        <f>IF(AND(单词表[[#This Row],[学英]]&lt;&gt;"",单词表[[#This Row],[学中]]&lt;&gt;"",单词表[[#This Row],[学词]]&lt;&gt;""),MAX(单词表[[#This Row],[学英]:[学词]]),"")</f>
        <v>42661.714421296296</v>
      </c>
      <c r="M2182" s="2" t="str">
        <f>IF(AND(单词表[[#This Row],[考英]]&lt;&gt;"",单词表[[#This Row],[考中]]&lt;&gt;""),MAX(单词表[[#This Row],[考英]:[考中]]),"")</f>
        <v/>
      </c>
      <c r="N2182" s="79"/>
    </row>
    <row r="2183" spans="1:14" hidden="1" x14ac:dyDescent="0.15">
      <c r="A2183">
        <v>2183</v>
      </c>
      <c r="B2183" t="s">
        <v>35</v>
      </c>
      <c r="C2183" t="s">
        <v>13</v>
      </c>
      <c r="D2183" s="72" t="s">
        <v>3090</v>
      </c>
      <c r="E2183" t="s">
        <v>73</v>
      </c>
      <c r="F2183" t="s">
        <v>3833</v>
      </c>
      <c r="G2183" s="92">
        <v>42657.861921296295</v>
      </c>
      <c r="H2183" s="92">
        <v>42669.803888888891</v>
      </c>
      <c r="I2183" s="92">
        <v>42669.803888888891</v>
      </c>
      <c r="J2183" s="92"/>
      <c r="K2183" s="92">
        <v>42669.804768518516</v>
      </c>
      <c r="L2183" s="92">
        <f>IF(AND(单词表[[#This Row],[学英]]&lt;&gt;"",单词表[[#This Row],[学中]]&lt;&gt;"",单词表[[#This Row],[学词]]&lt;&gt;""),MAX(单词表[[#This Row],[学英]:[学词]]),"")</f>
        <v>42669.803888888891</v>
      </c>
      <c r="M2183" s="2" t="str">
        <f>IF(AND(单词表[[#This Row],[考英]]&lt;&gt;"",单词表[[#This Row],[考中]]&lt;&gt;""),MAX(单词表[[#This Row],[考英]:[考中]]),"")</f>
        <v/>
      </c>
      <c r="N2183" s="79"/>
    </row>
    <row r="2184" spans="1:14" hidden="1" x14ac:dyDescent="0.15">
      <c r="A2184">
        <v>2184</v>
      </c>
      <c r="B2184" t="s">
        <v>35</v>
      </c>
      <c r="C2184" t="s">
        <v>13</v>
      </c>
      <c r="D2184" s="72" t="s">
        <v>3094</v>
      </c>
      <c r="E2184" s="30" t="s">
        <v>36</v>
      </c>
      <c r="F2184" t="s">
        <v>3834</v>
      </c>
      <c r="G2184" s="92">
        <v>42657.861944444441</v>
      </c>
      <c r="H2184" s="92">
        <v>42668.802754629629</v>
      </c>
      <c r="I2184" s="92">
        <v>42668.802743055552</v>
      </c>
      <c r="J2184" s="92"/>
      <c r="K2184" s="92">
        <v>42669.802777777775</v>
      </c>
      <c r="L2184" s="92">
        <f>IF(AND(单词表[[#This Row],[学英]]&lt;&gt;"",单词表[[#This Row],[学中]]&lt;&gt;"",单词表[[#This Row],[学词]]&lt;&gt;""),MAX(单词表[[#This Row],[学英]:[学词]]),"")</f>
        <v>42668.802754629629</v>
      </c>
      <c r="M2184" s="2" t="str">
        <f>IF(AND(单词表[[#This Row],[考英]]&lt;&gt;"",单词表[[#This Row],[考中]]&lt;&gt;""),MAX(单词表[[#This Row],[考英]:[考中]]),"")</f>
        <v/>
      </c>
      <c r="N2184" s="79"/>
    </row>
    <row r="2185" spans="1:14" hidden="1" x14ac:dyDescent="0.15">
      <c r="A2185">
        <v>2185</v>
      </c>
      <c r="B2185" t="s">
        <v>35</v>
      </c>
      <c r="C2185" t="s">
        <v>13</v>
      </c>
      <c r="D2185" s="72" t="s">
        <v>3835</v>
      </c>
      <c r="E2185" s="30" t="s">
        <v>702</v>
      </c>
      <c r="F2185" t="s">
        <v>3836</v>
      </c>
      <c r="G2185" s="92">
        <v>42657.861979166664</v>
      </c>
      <c r="H2185" s="92">
        <v>42668.802777777775</v>
      </c>
      <c r="I2185" s="92">
        <v>42668.802777777775</v>
      </c>
      <c r="J2185" s="92"/>
      <c r="K2185" s="92">
        <v>42669.802835648145</v>
      </c>
      <c r="L2185" s="92">
        <f>IF(AND(单词表[[#This Row],[学英]]&lt;&gt;"",单词表[[#This Row],[学中]]&lt;&gt;"",单词表[[#This Row],[学词]]&lt;&gt;""),MAX(单词表[[#This Row],[学英]:[学词]]),"")</f>
        <v>42668.802777777775</v>
      </c>
      <c r="M2185" s="2" t="str">
        <f>IF(AND(单词表[[#This Row],[考英]]&lt;&gt;"",单词表[[#This Row],[考中]]&lt;&gt;""),MAX(单词表[[#This Row],[考英]:[考中]]),"")</f>
        <v/>
      </c>
      <c r="N2185" s="79"/>
    </row>
    <row r="2186" spans="1:14" hidden="1" x14ac:dyDescent="0.15">
      <c r="A2186">
        <v>2186</v>
      </c>
      <c r="B2186" t="s">
        <v>35</v>
      </c>
      <c r="C2186" t="s">
        <v>13</v>
      </c>
      <c r="D2186" s="72" t="s">
        <v>2486</v>
      </c>
      <c r="E2186" s="30" t="s">
        <v>61</v>
      </c>
      <c r="F2186" t="s">
        <v>3837</v>
      </c>
      <c r="G2186" s="92">
        <v>42657.86215277778</v>
      </c>
      <c r="H2186" s="92">
        <v>42661.740891203706</v>
      </c>
      <c r="I2186" s="92">
        <v>42661.740891203706</v>
      </c>
      <c r="J2186" s="92"/>
      <c r="K2186" s="92">
        <v>42668.800347222219</v>
      </c>
      <c r="L2186" s="92">
        <f>IF(AND(单词表[[#This Row],[学英]]&lt;&gt;"",单词表[[#This Row],[学中]]&lt;&gt;"",单词表[[#This Row],[学词]]&lt;&gt;""),MAX(单词表[[#This Row],[学英]:[学词]]),"")</f>
        <v>42661.740891203706</v>
      </c>
      <c r="M2186" s="2" t="str">
        <f>IF(AND(单词表[[#This Row],[考英]]&lt;&gt;"",单词表[[#This Row],[考中]]&lt;&gt;""),MAX(单词表[[#This Row],[考英]:[考中]]),"")</f>
        <v/>
      </c>
      <c r="N2186" s="79"/>
    </row>
    <row r="2187" spans="1:14" hidden="1" x14ac:dyDescent="0.15">
      <c r="A2187">
        <v>2187</v>
      </c>
      <c r="B2187" t="s">
        <v>35</v>
      </c>
      <c r="C2187" t="s">
        <v>13</v>
      </c>
      <c r="D2187" s="72" t="s">
        <v>3838</v>
      </c>
      <c r="E2187" s="30" t="s">
        <v>61</v>
      </c>
      <c r="F2187" t="s">
        <v>3839</v>
      </c>
      <c r="G2187" s="92">
        <v>42657.862187500003</v>
      </c>
      <c r="H2187" s="92">
        <v>42668.802824074075</v>
      </c>
      <c r="I2187" s="92">
        <v>42668.802812499998</v>
      </c>
      <c r="J2187" s="92"/>
      <c r="K2187" s="92">
        <v>42669.802870370368</v>
      </c>
      <c r="L2187" s="92">
        <f>IF(AND(单词表[[#This Row],[学英]]&lt;&gt;"",单词表[[#This Row],[学中]]&lt;&gt;"",单词表[[#This Row],[学词]]&lt;&gt;""),MAX(单词表[[#This Row],[学英]:[学词]]),"")</f>
        <v>42668.802824074075</v>
      </c>
      <c r="M2187" s="2" t="str">
        <f>IF(AND(单词表[[#This Row],[考英]]&lt;&gt;"",单词表[[#This Row],[考中]]&lt;&gt;""),MAX(单词表[[#This Row],[考英]:[考中]]),"")</f>
        <v/>
      </c>
      <c r="N2187" s="79"/>
    </row>
    <row r="2188" spans="1:14" hidden="1" x14ac:dyDescent="0.15">
      <c r="A2188">
        <v>2188</v>
      </c>
      <c r="B2188" t="s">
        <v>35</v>
      </c>
      <c r="C2188" t="s">
        <v>13</v>
      </c>
      <c r="D2188" s="72" t="s">
        <v>3840</v>
      </c>
      <c r="E2188" s="30" t="s">
        <v>36</v>
      </c>
      <c r="F2188" t="s">
        <v>3841</v>
      </c>
      <c r="G2188" s="92">
        <v>42657.862222222226</v>
      </c>
      <c r="H2188" s="92">
        <v>42661.740949074076</v>
      </c>
      <c r="I2188" s="92">
        <v>42661.740937499999</v>
      </c>
      <c r="J2188" s="92"/>
      <c r="K2188" s="92">
        <v>42668.800428240742</v>
      </c>
      <c r="L2188" s="92">
        <f>IF(AND(单词表[[#This Row],[学英]]&lt;&gt;"",单词表[[#This Row],[学中]]&lt;&gt;"",单词表[[#This Row],[学词]]&lt;&gt;""),MAX(单词表[[#This Row],[学英]:[学词]]),"")</f>
        <v>42661.740949074076</v>
      </c>
      <c r="M2188" s="2" t="str">
        <f>IF(AND(单词表[[#This Row],[考英]]&lt;&gt;"",单词表[[#This Row],[考中]]&lt;&gt;""),MAX(单词表[[#This Row],[考英]:[考中]]),"")</f>
        <v/>
      </c>
      <c r="N2188" s="79"/>
    </row>
    <row r="2189" spans="1:14" hidden="1" x14ac:dyDescent="0.15">
      <c r="A2189">
        <v>2189</v>
      </c>
      <c r="B2189" t="s">
        <v>35</v>
      </c>
      <c r="C2189" t="s">
        <v>13</v>
      </c>
      <c r="D2189" s="72" t="s">
        <v>3842</v>
      </c>
      <c r="E2189" t="s">
        <v>73</v>
      </c>
      <c r="F2189" t="s">
        <v>3471</v>
      </c>
      <c r="G2189" s="92">
        <v>42657.862245370372</v>
      </c>
      <c r="H2189" s="92">
        <v>42657.862268518518</v>
      </c>
      <c r="I2189" s="92">
        <v>42657.862256944441</v>
      </c>
      <c r="J2189" s="92"/>
      <c r="K2189" s="92">
        <v>42668.800462962965</v>
      </c>
      <c r="L2189" s="92">
        <f>IF(AND(单词表[[#This Row],[学英]]&lt;&gt;"",单词表[[#This Row],[学中]]&lt;&gt;"",单词表[[#This Row],[学词]]&lt;&gt;""),MAX(单词表[[#This Row],[学英]:[学词]]),"")</f>
        <v>42657.862268518518</v>
      </c>
      <c r="M2189" s="2" t="str">
        <f>IF(AND(单词表[[#This Row],[考英]]&lt;&gt;"",单词表[[#This Row],[考中]]&lt;&gt;""),MAX(单词表[[#This Row],[考英]:[考中]]),"")</f>
        <v/>
      </c>
      <c r="N2189" s="79"/>
    </row>
    <row r="2190" spans="1:14" hidden="1" x14ac:dyDescent="0.15">
      <c r="A2190">
        <v>2190</v>
      </c>
      <c r="B2190" t="s">
        <v>35</v>
      </c>
      <c r="C2190" t="s">
        <v>13</v>
      </c>
      <c r="D2190" s="72" t="s">
        <v>900</v>
      </c>
      <c r="E2190" t="s">
        <v>73</v>
      </c>
      <c r="F2190" t="s">
        <v>3843</v>
      </c>
      <c r="G2190" s="92">
        <v>42657.862291666665</v>
      </c>
      <c r="H2190" s="92">
        <v>42657.862291666665</v>
      </c>
      <c r="I2190" s="92">
        <v>42657.862291666665</v>
      </c>
      <c r="J2190" s="92"/>
      <c r="K2190" s="92">
        <v>42668.800497685188</v>
      </c>
      <c r="L2190" s="92">
        <f>IF(AND(单词表[[#This Row],[学英]]&lt;&gt;"",单词表[[#This Row],[学中]]&lt;&gt;"",单词表[[#This Row],[学词]]&lt;&gt;""),MAX(单词表[[#This Row],[学英]:[学词]]),"")</f>
        <v>42657.862291666665</v>
      </c>
      <c r="M2190" s="2" t="str">
        <f>IF(AND(单词表[[#This Row],[考英]]&lt;&gt;"",单词表[[#This Row],[考中]]&lt;&gt;""),MAX(单词表[[#This Row],[考英]:[考中]]),"")</f>
        <v/>
      </c>
      <c r="N2190" s="79"/>
    </row>
    <row r="2191" spans="1:14" hidden="1" x14ac:dyDescent="0.15">
      <c r="A2191">
        <v>2191</v>
      </c>
      <c r="B2191" t="s">
        <v>35</v>
      </c>
      <c r="C2191" t="s">
        <v>13</v>
      </c>
      <c r="D2191" s="72" t="s">
        <v>3844</v>
      </c>
      <c r="E2191" s="30" t="s">
        <v>736</v>
      </c>
      <c r="F2191" t="s">
        <v>3845</v>
      </c>
      <c r="G2191" s="92">
        <v>42657.862314814818</v>
      </c>
      <c r="H2191" s="92">
        <v>42661.740983796299</v>
      </c>
      <c r="I2191" s="92">
        <v>42661.740972222222</v>
      </c>
      <c r="J2191" s="92"/>
      <c r="K2191" s="92">
        <v>42668.800555555557</v>
      </c>
      <c r="L2191" s="92">
        <f>IF(AND(单词表[[#This Row],[学英]]&lt;&gt;"",单词表[[#This Row],[学中]]&lt;&gt;"",单词表[[#This Row],[学词]]&lt;&gt;""),MAX(单词表[[#This Row],[学英]:[学词]]),"")</f>
        <v>42661.740983796299</v>
      </c>
      <c r="M2191" s="2" t="str">
        <f>IF(AND(单词表[[#This Row],[考英]]&lt;&gt;"",单词表[[#This Row],[考中]]&lt;&gt;""),MAX(单词表[[#This Row],[考英]:[考中]]),"")</f>
        <v/>
      </c>
      <c r="N2191" s="79"/>
    </row>
    <row r="2192" spans="1:14" hidden="1" x14ac:dyDescent="0.15">
      <c r="A2192">
        <v>2192</v>
      </c>
      <c r="B2192" t="s">
        <v>35</v>
      </c>
      <c r="C2192" t="s">
        <v>13</v>
      </c>
      <c r="D2192" s="72" t="s">
        <v>1442</v>
      </c>
      <c r="E2192" s="30" t="s">
        <v>36</v>
      </c>
      <c r="F2192" t="s">
        <v>1443</v>
      </c>
      <c r="G2192" s="92">
        <v>42657.862349537034</v>
      </c>
      <c r="H2192" s="92">
        <v>42657.862361111111</v>
      </c>
      <c r="I2192" s="92">
        <v>42657.862349537034</v>
      </c>
      <c r="J2192" s="92"/>
      <c r="K2192" s="92">
        <v>42668.800578703704</v>
      </c>
      <c r="L2192" s="92">
        <f>IF(AND(单词表[[#This Row],[学英]]&lt;&gt;"",单词表[[#This Row],[学中]]&lt;&gt;"",单词表[[#This Row],[学词]]&lt;&gt;""),MAX(单词表[[#This Row],[学英]:[学词]]),"")</f>
        <v>42657.862361111111</v>
      </c>
      <c r="M2192" s="2" t="str">
        <f>IF(AND(单词表[[#This Row],[考英]]&lt;&gt;"",单词表[[#This Row],[考中]]&lt;&gt;""),MAX(单词表[[#This Row],[考英]:[考中]]),"")</f>
        <v/>
      </c>
      <c r="N2192" s="79"/>
    </row>
    <row r="2193" spans="1:14" hidden="1" x14ac:dyDescent="0.15">
      <c r="A2193">
        <v>2193</v>
      </c>
      <c r="B2193" t="s">
        <v>35</v>
      </c>
      <c r="C2193" t="s">
        <v>13</v>
      </c>
      <c r="D2193" s="72" t="s">
        <v>1861</v>
      </c>
      <c r="E2193" s="30" t="s">
        <v>36</v>
      </c>
      <c r="F2193" t="s">
        <v>3846</v>
      </c>
      <c r="G2193" s="92">
        <v>42657.862384259257</v>
      </c>
      <c r="H2193" s="92">
        <v>42657.86241898148</v>
      </c>
      <c r="I2193" s="92">
        <v>42657.862395833334</v>
      </c>
      <c r="J2193" s="92"/>
      <c r="K2193" s="92">
        <v>42668.800636574073</v>
      </c>
      <c r="L2193" s="92">
        <f>IF(AND(单词表[[#This Row],[学英]]&lt;&gt;"",单词表[[#This Row],[学中]]&lt;&gt;"",单词表[[#This Row],[学词]]&lt;&gt;""),MAX(单词表[[#This Row],[学英]:[学词]]),"")</f>
        <v>42657.86241898148</v>
      </c>
      <c r="M2193" s="2" t="str">
        <f>IF(AND(单词表[[#This Row],[考英]]&lt;&gt;"",单词表[[#This Row],[考中]]&lt;&gt;""),MAX(单词表[[#This Row],[考英]:[考中]]),"")</f>
        <v/>
      </c>
      <c r="N2193" s="79"/>
    </row>
    <row r="2194" spans="1:14" hidden="1" x14ac:dyDescent="0.15">
      <c r="A2194">
        <v>2194</v>
      </c>
      <c r="B2194" t="s">
        <v>35</v>
      </c>
      <c r="C2194" t="s">
        <v>13</v>
      </c>
      <c r="D2194" s="72" t="s">
        <v>3847</v>
      </c>
      <c r="E2194" s="30" t="s">
        <v>36</v>
      </c>
      <c r="F2194" t="s">
        <v>3848</v>
      </c>
      <c r="G2194" s="92">
        <v>42661.709155092591</v>
      </c>
      <c r="H2194" s="92">
        <v>42661.709178240744</v>
      </c>
      <c r="I2194" s="92">
        <v>42661.709155092591</v>
      </c>
      <c r="J2194" s="92"/>
      <c r="K2194" s="92">
        <v>42668.800682870373</v>
      </c>
      <c r="L2194" s="92">
        <f>IF(AND(单词表[[#This Row],[学英]]&lt;&gt;"",单词表[[#This Row],[学中]]&lt;&gt;"",单词表[[#This Row],[学词]]&lt;&gt;""),MAX(单词表[[#This Row],[学英]:[学词]]),"")</f>
        <v>42661.709178240744</v>
      </c>
      <c r="M2194" s="2" t="str">
        <f>IF(AND(单词表[[#This Row],[考英]]&lt;&gt;"",单词表[[#This Row],[考中]]&lt;&gt;""),MAX(单词表[[#This Row],[考英]:[考中]]),"")</f>
        <v/>
      </c>
      <c r="N2194" s="79"/>
    </row>
    <row r="2195" spans="1:14" hidden="1" x14ac:dyDescent="0.15">
      <c r="A2195">
        <v>2195</v>
      </c>
      <c r="B2195" t="s">
        <v>35</v>
      </c>
      <c r="C2195" t="s">
        <v>13</v>
      </c>
      <c r="D2195" s="72" t="s">
        <v>3849</v>
      </c>
      <c r="E2195" s="30" t="s">
        <v>736</v>
      </c>
      <c r="F2195" t="s">
        <v>3850</v>
      </c>
      <c r="G2195" s="92">
        <v>42661.709201388891</v>
      </c>
      <c r="H2195" s="92">
        <v>42661.741006944445</v>
      </c>
      <c r="I2195" s="92">
        <v>42661.741006944445</v>
      </c>
      <c r="J2195" s="92"/>
      <c r="K2195" s="92">
        <v>42668.800740740742</v>
      </c>
      <c r="L2195" s="92">
        <f>IF(AND(单词表[[#This Row],[学英]]&lt;&gt;"",单词表[[#This Row],[学中]]&lt;&gt;"",单词表[[#This Row],[学词]]&lt;&gt;""),MAX(单词表[[#This Row],[学英]:[学词]]),"")</f>
        <v>42661.741006944445</v>
      </c>
      <c r="M2195" s="2" t="str">
        <f>IF(AND(单词表[[#This Row],[考英]]&lt;&gt;"",单词表[[#This Row],[考中]]&lt;&gt;""),MAX(单词表[[#This Row],[考英]:[考中]]),"")</f>
        <v/>
      </c>
      <c r="N2195" s="79"/>
    </row>
    <row r="2196" spans="1:14" hidden="1" x14ac:dyDescent="0.15">
      <c r="A2196">
        <v>2196</v>
      </c>
      <c r="B2196" t="s">
        <v>35</v>
      </c>
      <c r="C2196" t="s">
        <v>13</v>
      </c>
      <c r="D2196" s="72" t="s">
        <v>3851</v>
      </c>
      <c r="E2196" t="s">
        <v>73</v>
      </c>
      <c r="F2196" t="s">
        <v>3852</v>
      </c>
      <c r="G2196" s="92">
        <v>42661.709236111114</v>
      </c>
      <c r="H2196" s="92">
        <v>42661.709247685183</v>
      </c>
      <c r="I2196" s="92">
        <v>42661.709247685183</v>
      </c>
      <c r="J2196" s="92"/>
      <c r="K2196" s="92">
        <v>42668.800787037035</v>
      </c>
      <c r="L2196" s="92">
        <f>IF(AND(单词表[[#This Row],[学英]]&lt;&gt;"",单词表[[#This Row],[学中]]&lt;&gt;"",单词表[[#This Row],[学词]]&lt;&gt;""),MAX(单词表[[#This Row],[学英]:[学词]]),"")</f>
        <v>42661.709247685183</v>
      </c>
      <c r="M2196" s="2" t="str">
        <f>IF(AND(单词表[[#This Row],[考英]]&lt;&gt;"",单词表[[#This Row],[考中]]&lt;&gt;""),MAX(单词表[[#This Row],[考英]:[考中]]),"")</f>
        <v/>
      </c>
      <c r="N2196" s="79"/>
    </row>
    <row r="2197" spans="1:14" hidden="1" x14ac:dyDescent="0.15">
      <c r="A2197">
        <v>2197</v>
      </c>
      <c r="B2197" t="s">
        <v>35</v>
      </c>
      <c r="C2197" t="s">
        <v>13</v>
      </c>
      <c r="D2197" s="72" t="s">
        <v>3255</v>
      </c>
      <c r="E2197" t="s">
        <v>157</v>
      </c>
      <c r="F2197" t="s">
        <v>3256</v>
      </c>
      <c r="G2197" s="92">
        <v>42661.709270833337</v>
      </c>
      <c r="H2197" s="92">
        <v>42661.709282407406</v>
      </c>
      <c r="I2197" s="92">
        <v>42661.709282407406</v>
      </c>
      <c r="J2197" s="92"/>
      <c r="K2197" s="92">
        <v>42668.800821759258</v>
      </c>
      <c r="L2197" s="92">
        <f>IF(AND(单词表[[#This Row],[学英]]&lt;&gt;"",单词表[[#This Row],[学中]]&lt;&gt;"",单词表[[#This Row],[学词]]&lt;&gt;""),MAX(单词表[[#This Row],[学英]:[学词]]),"")</f>
        <v>42661.709282407406</v>
      </c>
      <c r="M2197" s="2" t="str">
        <f>IF(AND(单词表[[#This Row],[考英]]&lt;&gt;"",单词表[[#This Row],[考中]]&lt;&gt;""),MAX(单词表[[#This Row],[考英]:[考中]]),"")</f>
        <v/>
      </c>
      <c r="N2197" s="79"/>
    </row>
    <row r="2198" spans="1:14" hidden="1" x14ac:dyDescent="0.15">
      <c r="A2198">
        <v>2198</v>
      </c>
      <c r="B2198" t="s">
        <v>35</v>
      </c>
      <c r="C2198" t="s">
        <v>13</v>
      </c>
      <c r="D2198" s="72" t="s">
        <v>3097</v>
      </c>
      <c r="E2198" t="s">
        <v>73</v>
      </c>
      <c r="F2198" t="s">
        <v>3098</v>
      </c>
      <c r="G2198" s="92">
        <v>42661.709305555552</v>
      </c>
      <c r="H2198" s="92">
        <v>42661.709328703706</v>
      </c>
      <c r="I2198" s="92">
        <v>42661.709305555552</v>
      </c>
      <c r="J2198" s="92"/>
      <c r="K2198" s="92">
        <v>42668.800856481481</v>
      </c>
      <c r="L2198" s="92">
        <f>IF(AND(单词表[[#This Row],[学英]]&lt;&gt;"",单词表[[#This Row],[学中]]&lt;&gt;"",单词表[[#This Row],[学词]]&lt;&gt;""),MAX(单词表[[#This Row],[学英]:[学词]]),"")</f>
        <v>42661.709328703706</v>
      </c>
      <c r="M2198" s="2" t="str">
        <f>IF(AND(单词表[[#This Row],[考英]]&lt;&gt;"",单词表[[#This Row],[考中]]&lt;&gt;""),MAX(单词表[[#This Row],[考英]:[考中]]),"")</f>
        <v/>
      </c>
      <c r="N2198" s="79"/>
    </row>
    <row r="2199" spans="1:14" hidden="1" x14ac:dyDescent="0.15">
      <c r="A2199">
        <v>2199</v>
      </c>
      <c r="B2199" t="s">
        <v>35</v>
      </c>
      <c r="C2199" t="s">
        <v>13</v>
      </c>
      <c r="D2199" s="72" t="s">
        <v>3099</v>
      </c>
      <c r="E2199" s="30" t="s">
        <v>36</v>
      </c>
      <c r="F2199" t="s">
        <v>3853</v>
      </c>
      <c r="G2199" s="92">
        <v>42661.709351851852</v>
      </c>
      <c r="H2199" s="92">
        <v>42661.709363425929</v>
      </c>
      <c r="I2199" s="92">
        <v>42661.709351851852</v>
      </c>
      <c r="J2199" s="92"/>
      <c r="K2199" s="92">
        <v>42668.800891203704</v>
      </c>
      <c r="L2199" s="92">
        <f>IF(AND(单词表[[#This Row],[学英]]&lt;&gt;"",单词表[[#This Row],[学中]]&lt;&gt;"",单词表[[#This Row],[学词]]&lt;&gt;""),MAX(单词表[[#This Row],[学英]:[学词]]),"")</f>
        <v>42661.709363425929</v>
      </c>
      <c r="M2199" s="2" t="str">
        <f>IF(AND(单词表[[#This Row],[考英]]&lt;&gt;"",单词表[[#This Row],[考中]]&lt;&gt;""),MAX(单词表[[#This Row],[考英]:[考中]]),"")</f>
        <v/>
      </c>
      <c r="N2199" s="79"/>
    </row>
    <row r="2200" spans="1:14" hidden="1" x14ac:dyDescent="0.15">
      <c r="A2200">
        <v>2200</v>
      </c>
      <c r="B2200" t="s">
        <v>35</v>
      </c>
      <c r="C2200" t="s">
        <v>13</v>
      </c>
      <c r="D2200" s="72" t="s">
        <v>3854</v>
      </c>
      <c r="E2200" s="30" t="s">
        <v>36</v>
      </c>
      <c r="F2200" t="s">
        <v>3102</v>
      </c>
      <c r="G2200" s="92">
        <v>42661.709386574075</v>
      </c>
      <c r="H2200" s="92">
        <v>42661.741030092591</v>
      </c>
      <c r="I2200" s="92">
        <v>42661.741018518522</v>
      </c>
      <c r="J2200" s="92"/>
      <c r="K2200" s="92">
        <v>42668.800949074073</v>
      </c>
      <c r="L2200" s="92">
        <f>IF(AND(单词表[[#This Row],[学英]]&lt;&gt;"",单词表[[#This Row],[学中]]&lt;&gt;"",单词表[[#This Row],[学词]]&lt;&gt;""),MAX(单词表[[#This Row],[学英]:[学词]]),"")</f>
        <v>42661.741030092591</v>
      </c>
      <c r="M2200" s="2" t="str">
        <f>IF(AND(单词表[[#This Row],[考英]]&lt;&gt;"",单词表[[#This Row],[考中]]&lt;&gt;""),MAX(单词表[[#This Row],[考英]:[考中]]),"")</f>
        <v/>
      </c>
      <c r="N2200" s="79"/>
    </row>
    <row r="2201" spans="1:14" hidden="1" x14ac:dyDescent="0.15">
      <c r="A2201">
        <v>2201</v>
      </c>
      <c r="B2201" t="s">
        <v>35</v>
      </c>
      <c r="C2201" t="s">
        <v>13</v>
      </c>
      <c r="D2201" s="72" t="s">
        <v>3855</v>
      </c>
      <c r="E2201" s="30" t="s">
        <v>36</v>
      </c>
      <c r="F2201" t="s">
        <v>3856</v>
      </c>
      <c r="G2201" s="92">
        <v>42661.709421296298</v>
      </c>
      <c r="H2201" s="92">
        <v>42661.709432870368</v>
      </c>
      <c r="I2201" s="92">
        <v>42661.709432870368</v>
      </c>
      <c r="J2201" s="92"/>
      <c r="K2201" s="92">
        <v>42668.800983796296</v>
      </c>
      <c r="L2201" s="92">
        <f>IF(AND(单词表[[#This Row],[学英]]&lt;&gt;"",单词表[[#This Row],[学中]]&lt;&gt;"",单词表[[#This Row],[学词]]&lt;&gt;""),MAX(单词表[[#This Row],[学英]:[学词]]),"")</f>
        <v>42661.709432870368</v>
      </c>
      <c r="M2201" s="2" t="str">
        <f>IF(AND(单词表[[#This Row],[考英]]&lt;&gt;"",单词表[[#This Row],[考中]]&lt;&gt;""),MAX(单词表[[#This Row],[考英]:[考中]]),"")</f>
        <v/>
      </c>
      <c r="N2201" s="79"/>
    </row>
    <row r="2202" spans="1:14" hidden="1" x14ac:dyDescent="0.15">
      <c r="A2202">
        <v>2202</v>
      </c>
      <c r="B2202" t="s">
        <v>35</v>
      </c>
      <c r="C2202" t="s">
        <v>13</v>
      </c>
      <c r="D2202" s="72" t="s">
        <v>3857</v>
      </c>
      <c r="E2202" t="s">
        <v>36</v>
      </c>
      <c r="F2202" t="s">
        <v>3858</v>
      </c>
      <c r="G2202" s="92">
        <v>42661.709467592591</v>
      </c>
      <c r="H2202" s="92">
        <v>42661.709479166668</v>
      </c>
      <c r="I2202" s="92">
        <v>42661.709479166668</v>
      </c>
      <c r="J2202" s="92"/>
      <c r="K2202" s="92">
        <v>42668.801018518519</v>
      </c>
      <c r="L2202" s="92">
        <f>IF(AND(单词表[[#This Row],[学英]]&lt;&gt;"",单词表[[#This Row],[学中]]&lt;&gt;"",单词表[[#This Row],[学词]]&lt;&gt;""),MAX(单词表[[#This Row],[学英]:[学词]]),"")</f>
        <v>42661.709479166668</v>
      </c>
      <c r="M2202" s="2" t="str">
        <f>IF(AND(单词表[[#This Row],[考英]]&lt;&gt;"",单词表[[#This Row],[考中]]&lt;&gt;""),MAX(单词表[[#This Row],[考英]:[考中]]),"")</f>
        <v/>
      </c>
      <c r="N2202" s="79"/>
    </row>
    <row r="2203" spans="1:14" hidden="1" x14ac:dyDescent="0.15">
      <c r="A2203">
        <v>2203</v>
      </c>
      <c r="B2203" t="s">
        <v>35</v>
      </c>
      <c r="C2203" t="s">
        <v>13</v>
      </c>
      <c r="D2203" s="72" t="s">
        <v>3859</v>
      </c>
      <c r="E2203" t="s">
        <v>36</v>
      </c>
      <c r="F2203" t="s">
        <v>3860</v>
      </c>
      <c r="G2203" s="92">
        <v>42661.709502314814</v>
      </c>
      <c r="H2203" s="92">
        <v>42668.802847222221</v>
      </c>
      <c r="I2203" s="92">
        <v>42668.802847222221</v>
      </c>
      <c r="J2203" s="92"/>
      <c r="K2203" s="92">
        <v>42669.802893518521</v>
      </c>
      <c r="L2203" s="92">
        <f>IF(AND(单词表[[#This Row],[学英]]&lt;&gt;"",单词表[[#This Row],[学中]]&lt;&gt;"",单词表[[#This Row],[学词]]&lt;&gt;""),MAX(单词表[[#This Row],[学英]:[学词]]),"")</f>
        <v>42668.802847222221</v>
      </c>
      <c r="M2203" s="2" t="str">
        <f>IF(AND(单词表[[#This Row],[考英]]&lt;&gt;"",单词表[[#This Row],[考中]]&lt;&gt;""),MAX(单词表[[#This Row],[考英]:[考中]]),"")</f>
        <v/>
      </c>
      <c r="N2203" s="79"/>
    </row>
    <row r="2204" spans="1:14" hidden="1" x14ac:dyDescent="0.15">
      <c r="A2204">
        <v>2204</v>
      </c>
      <c r="B2204" t="s">
        <v>35</v>
      </c>
      <c r="C2204" t="s">
        <v>13</v>
      </c>
      <c r="D2204" s="72" t="s">
        <v>3861</v>
      </c>
      <c r="E2204" t="s">
        <v>702</v>
      </c>
      <c r="F2204" t="s">
        <v>2620</v>
      </c>
      <c r="G2204" s="92">
        <v>42661.70952546296</v>
      </c>
      <c r="H2204" s="92">
        <v>42661.709537037037</v>
      </c>
      <c r="I2204" s="92">
        <v>42661.709537037037</v>
      </c>
      <c r="J2204" s="92"/>
      <c r="K2204" s="92">
        <v>42668.801087962966</v>
      </c>
      <c r="L2204" s="92">
        <f>IF(AND(单词表[[#This Row],[学英]]&lt;&gt;"",单词表[[#This Row],[学中]]&lt;&gt;"",单词表[[#This Row],[学词]]&lt;&gt;""),MAX(单词表[[#This Row],[学英]:[学词]]),"")</f>
        <v>42661.709537037037</v>
      </c>
      <c r="M2204" s="2" t="str">
        <f>IF(AND(单词表[[#This Row],[考英]]&lt;&gt;"",单词表[[#This Row],[考中]]&lt;&gt;""),MAX(单词表[[#This Row],[考英]:[考中]]),"")</f>
        <v/>
      </c>
      <c r="N2204" s="79"/>
    </row>
    <row r="2205" spans="1:14" hidden="1" x14ac:dyDescent="0.15">
      <c r="A2205">
        <v>2205</v>
      </c>
      <c r="B2205" t="s">
        <v>35</v>
      </c>
      <c r="C2205" t="s">
        <v>13</v>
      </c>
      <c r="D2205" s="72" t="s">
        <v>3862</v>
      </c>
      <c r="E2205" t="s">
        <v>73</v>
      </c>
      <c r="F2205" t="s">
        <v>3863</v>
      </c>
      <c r="G2205" s="92">
        <v>42661.709560185183</v>
      </c>
      <c r="H2205" s="92">
        <v>42669.803946759261</v>
      </c>
      <c r="I2205" s="92">
        <v>42669.803935185184</v>
      </c>
      <c r="J2205" s="92"/>
      <c r="K2205" s="92">
        <v>42669.804826388892</v>
      </c>
      <c r="L2205" s="92">
        <f>IF(AND(单词表[[#This Row],[学英]]&lt;&gt;"",单词表[[#This Row],[学中]]&lt;&gt;"",单词表[[#This Row],[学词]]&lt;&gt;""),MAX(单词表[[#This Row],[学英]:[学词]]),"")</f>
        <v>42669.803946759261</v>
      </c>
      <c r="M2205" s="2" t="str">
        <f>IF(AND(单词表[[#This Row],[考英]]&lt;&gt;"",单词表[[#This Row],[考中]]&lt;&gt;""),MAX(单词表[[#This Row],[考英]:[考中]]),"")</f>
        <v/>
      </c>
      <c r="N2205" s="79"/>
    </row>
    <row r="2206" spans="1:14" hidden="1" x14ac:dyDescent="0.15">
      <c r="A2206">
        <v>2206</v>
      </c>
      <c r="B2206" t="s">
        <v>35</v>
      </c>
      <c r="C2206" t="s">
        <v>13</v>
      </c>
      <c r="D2206" s="72" t="s">
        <v>3864</v>
      </c>
      <c r="E2206" t="s">
        <v>73</v>
      </c>
      <c r="F2206" t="s">
        <v>5671</v>
      </c>
      <c r="G2206" s="92">
        <v>42661.709606481483</v>
      </c>
      <c r="H2206" s="92">
        <v>42669.803981481484</v>
      </c>
      <c r="I2206" s="92">
        <v>42669.803969907407</v>
      </c>
      <c r="J2206" s="92"/>
      <c r="K2206" s="92">
        <v>42669.804849537039</v>
      </c>
      <c r="L2206" s="92">
        <f>IF(AND(单词表[[#This Row],[学英]]&lt;&gt;"",单词表[[#This Row],[学中]]&lt;&gt;"",单词表[[#This Row],[学词]]&lt;&gt;""),MAX(单词表[[#This Row],[学英]:[学词]]),"")</f>
        <v>42669.803981481484</v>
      </c>
      <c r="M2206" s="2" t="str">
        <f>IF(AND(单词表[[#This Row],[考英]]&lt;&gt;"",单词表[[#This Row],[考中]]&lt;&gt;""),MAX(单词表[[#This Row],[考英]:[考中]]),"")</f>
        <v/>
      </c>
      <c r="N2206" s="79"/>
    </row>
    <row r="2207" spans="1:14" hidden="1" x14ac:dyDescent="0.15">
      <c r="A2207">
        <v>2207</v>
      </c>
      <c r="B2207" t="s">
        <v>35</v>
      </c>
      <c r="C2207" t="s">
        <v>13</v>
      </c>
      <c r="D2207" s="72" t="s">
        <v>3865</v>
      </c>
      <c r="E2207" t="s">
        <v>36</v>
      </c>
      <c r="F2207" t="s">
        <v>3866</v>
      </c>
      <c r="G2207" s="92">
        <v>42661.709629629629</v>
      </c>
      <c r="H2207" s="92">
        <v>42669.804016203707</v>
      </c>
      <c r="I2207" s="92">
        <v>42669.804016203707</v>
      </c>
      <c r="J2207" s="92"/>
      <c r="K2207" s="92">
        <v>42669.804895833331</v>
      </c>
      <c r="L2207" s="92">
        <f>IF(AND(单词表[[#This Row],[学英]]&lt;&gt;"",单词表[[#This Row],[学中]]&lt;&gt;"",单词表[[#This Row],[学词]]&lt;&gt;""),MAX(单词表[[#This Row],[学英]:[学词]]),"")</f>
        <v>42669.804016203707</v>
      </c>
      <c r="M2207" s="2" t="str">
        <f>IF(AND(单词表[[#This Row],[考英]]&lt;&gt;"",单词表[[#This Row],[考中]]&lt;&gt;""),MAX(单词表[[#This Row],[考英]:[考中]]),"")</f>
        <v/>
      </c>
      <c r="N2207" s="79"/>
    </row>
    <row r="2208" spans="1:14" hidden="1" x14ac:dyDescent="0.15">
      <c r="A2208">
        <v>2208</v>
      </c>
      <c r="B2208" t="s">
        <v>35</v>
      </c>
      <c r="C2208" t="s">
        <v>13</v>
      </c>
      <c r="D2208" s="72" t="s">
        <v>3867</v>
      </c>
      <c r="E2208" t="s">
        <v>36</v>
      </c>
      <c r="F2208" t="s">
        <v>3868</v>
      </c>
      <c r="G2208" s="92">
        <v>42661.709675925929</v>
      </c>
      <c r="H2208" s="92">
        <v>42668.819062499999</v>
      </c>
      <c r="I2208" s="92">
        <v>42668.819050925929</v>
      </c>
      <c r="J2208" s="92"/>
      <c r="K2208" s="92">
        <v>42669.803136574075</v>
      </c>
      <c r="L2208" s="92">
        <f>IF(AND(单词表[[#This Row],[学英]]&lt;&gt;"",单词表[[#This Row],[学中]]&lt;&gt;"",单词表[[#This Row],[学词]]&lt;&gt;""),MAX(单词表[[#This Row],[学英]:[学词]]),"")</f>
        <v>42668.819062499999</v>
      </c>
      <c r="M2208" s="2" t="str">
        <f>IF(AND(单词表[[#This Row],[考英]]&lt;&gt;"",单词表[[#This Row],[考中]]&lt;&gt;""),MAX(单词表[[#This Row],[考英]:[考中]]),"")</f>
        <v/>
      </c>
      <c r="N2208" s="79"/>
    </row>
    <row r="2209" spans="1:14" hidden="1" x14ac:dyDescent="0.15">
      <c r="A2209">
        <v>2209</v>
      </c>
      <c r="B2209" t="s">
        <v>35</v>
      </c>
      <c r="C2209" t="s">
        <v>13</v>
      </c>
      <c r="D2209" s="72" t="s">
        <v>463</v>
      </c>
      <c r="E2209" t="s">
        <v>73</v>
      </c>
      <c r="F2209" t="s">
        <v>3869</v>
      </c>
      <c r="G2209" s="92">
        <v>42661.709722222222</v>
      </c>
      <c r="H2209" s="92">
        <v>42661.709733796299</v>
      </c>
      <c r="I2209" s="92">
        <v>42661.709722222222</v>
      </c>
      <c r="J2209" s="92"/>
      <c r="K2209" s="92">
        <v>42668.801400462966</v>
      </c>
      <c r="L2209" s="92">
        <f>IF(AND(单词表[[#This Row],[学英]]&lt;&gt;"",单词表[[#This Row],[学中]]&lt;&gt;"",单词表[[#This Row],[学词]]&lt;&gt;""),MAX(单词表[[#This Row],[学英]:[学词]]),"")</f>
        <v>42661.709733796299</v>
      </c>
      <c r="M2209" s="2" t="str">
        <f>IF(AND(单词表[[#This Row],[考英]]&lt;&gt;"",单词表[[#This Row],[考中]]&lt;&gt;""),MAX(单词表[[#This Row],[考英]:[考中]]),"")</f>
        <v/>
      </c>
      <c r="N2209" s="79"/>
    </row>
    <row r="2210" spans="1:14" hidden="1" x14ac:dyDescent="0.15">
      <c r="A2210">
        <v>2210</v>
      </c>
      <c r="B2210" t="s">
        <v>35</v>
      </c>
      <c r="C2210" t="s">
        <v>13</v>
      </c>
      <c r="D2210" s="72" t="s">
        <v>3870</v>
      </c>
      <c r="E2210" t="s">
        <v>73</v>
      </c>
      <c r="F2210" t="s">
        <v>3871</v>
      </c>
      <c r="G2210" s="92">
        <v>42661.709756944445</v>
      </c>
      <c r="H2210" s="92">
        <v>42669.804085648146</v>
      </c>
      <c r="I2210" s="92">
        <v>42669.804074074076</v>
      </c>
      <c r="J2210" s="92"/>
      <c r="K2210" s="92">
        <v>42669.804930555554</v>
      </c>
      <c r="L2210" s="92">
        <f>IF(AND(单词表[[#This Row],[学英]]&lt;&gt;"",单词表[[#This Row],[学中]]&lt;&gt;"",单词表[[#This Row],[学词]]&lt;&gt;""),MAX(单词表[[#This Row],[学英]:[学词]]),"")</f>
        <v>42669.804085648146</v>
      </c>
      <c r="M2210" s="2" t="str">
        <f>IF(AND(单词表[[#This Row],[考英]]&lt;&gt;"",单词表[[#This Row],[考中]]&lt;&gt;""),MAX(单词表[[#This Row],[考英]:[考中]]),"")</f>
        <v/>
      </c>
      <c r="N2210" s="79"/>
    </row>
    <row r="2211" spans="1:14" hidden="1" x14ac:dyDescent="0.15">
      <c r="A2211">
        <v>2211</v>
      </c>
      <c r="B2211" t="s">
        <v>35</v>
      </c>
      <c r="C2211" t="s">
        <v>13</v>
      </c>
      <c r="D2211" s="72" t="s">
        <v>3872</v>
      </c>
      <c r="E2211" t="s">
        <v>1021</v>
      </c>
      <c r="F2211" t="s">
        <v>3873</v>
      </c>
      <c r="G2211" s="92">
        <v>42661.709803240738</v>
      </c>
      <c r="H2211" s="92">
        <v>42669.808865740742</v>
      </c>
      <c r="I2211" s="92">
        <v>42669.808854166666</v>
      </c>
      <c r="J2211" s="92"/>
      <c r="K2211" s="92">
        <v>42669.808935185189</v>
      </c>
      <c r="L2211" s="92">
        <f>IF(AND(单词表[[#This Row],[学英]]&lt;&gt;"",单词表[[#This Row],[学中]]&lt;&gt;"",单词表[[#This Row],[学词]]&lt;&gt;""),MAX(单词表[[#This Row],[学英]:[学词]]),"")</f>
        <v>42669.808865740742</v>
      </c>
      <c r="M2211" s="2" t="str">
        <f>IF(AND(单词表[[#This Row],[考英]]&lt;&gt;"",单词表[[#This Row],[考中]]&lt;&gt;""),MAX(单词表[[#This Row],[考英]:[考中]]),"")</f>
        <v/>
      </c>
      <c r="N2211" s="79"/>
    </row>
    <row r="2212" spans="1:14" hidden="1" x14ac:dyDescent="0.15">
      <c r="A2212">
        <v>2212</v>
      </c>
      <c r="B2212" t="s">
        <v>35</v>
      </c>
      <c r="C2212" t="s">
        <v>13</v>
      </c>
      <c r="D2212" s="72" t="s">
        <v>853</v>
      </c>
      <c r="E2212" t="s">
        <v>36</v>
      </c>
      <c r="F2212" t="s">
        <v>854</v>
      </c>
      <c r="G2212" s="92">
        <v>42661.709837962961</v>
      </c>
      <c r="H2212" s="92">
        <v>42669.804143518515</v>
      </c>
      <c r="I2212" s="92">
        <v>42669.804131944446</v>
      </c>
      <c r="J2212" s="92"/>
      <c r="K2212" s="92">
        <v>42669.805011574077</v>
      </c>
      <c r="L2212" s="92">
        <f>IF(AND(单词表[[#This Row],[学英]]&lt;&gt;"",单词表[[#This Row],[学中]]&lt;&gt;"",单词表[[#This Row],[学词]]&lt;&gt;""),MAX(单词表[[#This Row],[学英]:[学词]]),"")</f>
        <v>42669.804143518515</v>
      </c>
      <c r="M2212" s="2" t="str">
        <f>IF(AND(单词表[[#This Row],[考英]]&lt;&gt;"",单词表[[#This Row],[考中]]&lt;&gt;""),MAX(单词表[[#This Row],[考英]:[考中]]),"")</f>
        <v/>
      </c>
      <c r="N2212" s="79"/>
    </row>
    <row r="2213" spans="1:14" hidden="1" x14ac:dyDescent="0.15">
      <c r="A2213">
        <v>2213</v>
      </c>
      <c r="B2213" t="s">
        <v>35</v>
      </c>
      <c r="C2213" t="s">
        <v>13</v>
      </c>
      <c r="D2213" s="72" t="s">
        <v>3874</v>
      </c>
      <c r="E2213" s="30" t="s">
        <v>736</v>
      </c>
      <c r="F2213" t="s">
        <v>3875</v>
      </c>
      <c r="G2213" s="92">
        <v>42661.709872685184</v>
      </c>
      <c r="H2213" s="92">
        <v>42669.80164351852</v>
      </c>
      <c r="I2213" s="92">
        <v>42669.801620370374</v>
      </c>
      <c r="J2213" s="92"/>
      <c r="K2213" s="92">
        <v>42669.803402777776</v>
      </c>
      <c r="L2213" s="92">
        <f>IF(AND(单词表[[#This Row],[学英]]&lt;&gt;"",单词表[[#This Row],[学中]]&lt;&gt;"",单词表[[#This Row],[学词]]&lt;&gt;""),MAX(单词表[[#This Row],[学英]:[学词]]),"")</f>
        <v>42669.80164351852</v>
      </c>
      <c r="M2213" s="2" t="str">
        <f>IF(AND(单词表[[#This Row],[考英]]&lt;&gt;"",单词表[[#This Row],[考中]]&lt;&gt;""),MAX(单词表[[#This Row],[考英]:[考中]]),"")</f>
        <v/>
      </c>
      <c r="N2213" s="79"/>
    </row>
    <row r="2214" spans="1:14" hidden="1" x14ac:dyDescent="0.15">
      <c r="A2214">
        <v>2214</v>
      </c>
      <c r="B2214" t="s">
        <v>35</v>
      </c>
      <c r="C2214" t="s">
        <v>13</v>
      </c>
      <c r="D2214" s="72" t="s">
        <v>3876</v>
      </c>
      <c r="E2214" t="s">
        <v>73</v>
      </c>
      <c r="F2214" t="s">
        <v>3877</v>
      </c>
      <c r="G2214" s="92">
        <v>42661.709918981483</v>
      </c>
      <c r="H2214" s="92">
        <v>42669.801701388889</v>
      </c>
      <c r="I2214" s="92">
        <v>42669.801701388889</v>
      </c>
      <c r="J2214" s="92"/>
      <c r="K2214" s="92">
        <v>42669.803437499999</v>
      </c>
      <c r="L2214" s="92">
        <f>IF(AND(单词表[[#This Row],[学英]]&lt;&gt;"",单词表[[#This Row],[学中]]&lt;&gt;"",单词表[[#This Row],[学词]]&lt;&gt;""),MAX(单词表[[#This Row],[学英]:[学词]]),"")</f>
        <v>42669.801701388889</v>
      </c>
      <c r="M2214" s="2" t="str">
        <f>IF(AND(单词表[[#This Row],[考英]]&lt;&gt;"",单词表[[#This Row],[考中]]&lt;&gt;""),MAX(单词表[[#This Row],[考英]:[考中]]),"")</f>
        <v/>
      </c>
      <c r="N2214" s="79"/>
    </row>
    <row r="2215" spans="1:14" hidden="1" x14ac:dyDescent="0.15">
      <c r="A2215">
        <v>2215</v>
      </c>
      <c r="B2215" t="s">
        <v>35</v>
      </c>
      <c r="C2215" t="s">
        <v>13</v>
      </c>
      <c r="D2215" s="72" t="s">
        <v>3878</v>
      </c>
      <c r="E2215" s="30" t="s">
        <v>736</v>
      </c>
      <c r="F2215" t="s">
        <v>3879</v>
      </c>
      <c r="G2215" s="92">
        <v>42661.70994212963</v>
      </c>
      <c r="H2215" s="92">
        <v>42661.709965277776</v>
      </c>
      <c r="I2215" s="92">
        <v>42661.709965277776</v>
      </c>
      <c r="J2215" s="92"/>
      <c r="K2215" s="92">
        <v>42668.801689814813</v>
      </c>
      <c r="L2215" s="92">
        <f>IF(AND(单词表[[#This Row],[学英]]&lt;&gt;"",单词表[[#This Row],[学中]]&lt;&gt;"",单词表[[#This Row],[学词]]&lt;&gt;""),MAX(单词表[[#This Row],[学英]:[学词]]),"")</f>
        <v>42661.709965277776</v>
      </c>
      <c r="M2215" s="2" t="str">
        <f>IF(AND(单词表[[#This Row],[考英]]&lt;&gt;"",单词表[[#This Row],[考中]]&lt;&gt;""),MAX(单词表[[#This Row],[考英]:[考中]]),"")</f>
        <v/>
      </c>
      <c r="N2215" s="79"/>
    </row>
    <row r="2216" spans="1:14" hidden="1" x14ac:dyDescent="0.15">
      <c r="A2216">
        <v>2216</v>
      </c>
      <c r="B2216" t="s">
        <v>35</v>
      </c>
      <c r="C2216" t="s">
        <v>13</v>
      </c>
      <c r="D2216" s="72" t="s">
        <v>3880</v>
      </c>
      <c r="E2216" t="s">
        <v>702</v>
      </c>
      <c r="F2216" t="s">
        <v>3881</v>
      </c>
      <c r="G2216" s="92">
        <v>42661.709988425922</v>
      </c>
      <c r="H2216" s="92">
        <v>42669.802430555559</v>
      </c>
      <c r="I2216" s="92">
        <v>42669.802430555559</v>
      </c>
      <c r="J2216" s="92"/>
      <c r="K2216" s="92">
        <v>42669.803483796299</v>
      </c>
      <c r="L2216" s="92">
        <f>IF(AND(单词表[[#This Row],[学英]]&lt;&gt;"",单词表[[#This Row],[学中]]&lt;&gt;"",单词表[[#This Row],[学词]]&lt;&gt;""),MAX(单词表[[#This Row],[学英]:[学词]]),"")</f>
        <v>42669.802430555559</v>
      </c>
      <c r="M2216" s="2" t="str">
        <f>IF(AND(单词表[[#This Row],[考英]]&lt;&gt;"",单词表[[#This Row],[考中]]&lt;&gt;""),MAX(单词表[[#This Row],[考英]:[考中]]),"")</f>
        <v/>
      </c>
      <c r="N2216" s="79"/>
    </row>
    <row r="2217" spans="1:14" hidden="1" x14ac:dyDescent="0.15">
      <c r="A2217">
        <v>2217</v>
      </c>
      <c r="B2217" t="s">
        <v>35</v>
      </c>
      <c r="C2217" t="s">
        <v>13</v>
      </c>
      <c r="D2217" s="72" t="s">
        <v>3882</v>
      </c>
      <c r="E2217" t="s">
        <v>36</v>
      </c>
      <c r="F2217" t="s">
        <v>3883</v>
      </c>
      <c r="G2217" s="92">
        <v>42661.710023148145</v>
      </c>
      <c r="H2217" s="92">
        <v>42669.804166666669</v>
      </c>
      <c r="I2217" s="92">
        <v>42669.804166666669</v>
      </c>
      <c r="J2217" s="92"/>
      <c r="K2217" s="92">
        <v>42669.80505787037</v>
      </c>
      <c r="L2217" s="92">
        <f>IF(AND(单词表[[#This Row],[学英]]&lt;&gt;"",单词表[[#This Row],[学中]]&lt;&gt;"",单词表[[#This Row],[学词]]&lt;&gt;""),MAX(单词表[[#This Row],[学英]:[学词]]),"")</f>
        <v>42669.804166666669</v>
      </c>
      <c r="M2217" s="2" t="str">
        <f>IF(AND(单词表[[#This Row],[考英]]&lt;&gt;"",单词表[[#This Row],[考中]]&lt;&gt;""),MAX(单词表[[#This Row],[考英]:[考中]]),"")</f>
        <v/>
      </c>
      <c r="N2217" s="79"/>
    </row>
    <row r="2218" spans="1:14" hidden="1" x14ac:dyDescent="0.15">
      <c r="A2218">
        <v>2218</v>
      </c>
      <c r="B2218" t="s">
        <v>35</v>
      </c>
      <c r="C2218" t="s">
        <v>13</v>
      </c>
      <c r="D2218" s="72" t="s">
        <v>3884</v>
      </c>
      <c r="E2218" t="s">
        <v>36</v>
      </c>
      <c r="F2218" t="s">
        <v>3885</v>
      </c>
      <c r="G2218" s="92">
        <v>42661.710069444445</v>
      </c>
      <c r="H2218" s="92">
        <v>42669.805393518516</v>
      </c>
      <c r="I2218" s="92">
        <v>42669.805381944447</v>
      </c>
      <c r="J2218" s="92"/>
      <c r="K2218" s="92">
        <v>42669.808761574073</v>
      </c>
      <c r="L2218" s="92">
        <f>IF(AND(单词表[[#This Row],[学英]]&lt;&gt;"",单词表[[#This Row],[学中]]&lt;&gt;"",单词表[[#This Row],[学词]]&lt;&gt;""),MAX(单词表[[#This Row],[学英]:[学词]]),"")</f>
        <v>42669.805393518516</v>
      </c>
      <c r="M2218" s="2" t="str">
        <f>IF(AND(单词表[[#This Row],[考英]]&lt;&gt;"",单词表[[#This Row],[考中]]&lt;&gt;""),MAX(单词表[[#This Row],[考英]:[考中]]),"")</f>
        <v/>
      </c>
      <c r="N2218" s="79"/>
    </row>
    <row r="2219" spans="1:14" hidden="1" x14ac:dyDescent="0.15">
      <c r="A2219">
        <v>2219</v>
      </c>
      <c r="B2219" t="s">
        <v>35</v>
      </c>
      <c r="C2219" t="s">
        <v>13</v>
      </c>
      <c r="D2219" s="72" t="s">
        <v>3886</v>
      </c>
      <c r="E2219" s="30" t="s">
        <v>61</v>
      </c>
      <c r="F2219" t="s">
        <v>2871</v>
      </c>
      <c r="G2219" s="92">
        <v>42661.710104166668</v>
      </c>
      <c r="H2219" s="92">
        <v>42661.710115740738</v>
      </c>
      <c r="I2219" s="92">
        <v>42661.710104166668</v>
      </c>
      <c r="J2219" s="92"/>
      <c r="K2219" s="92">
        <v>42668.801921296297</v>
      </c>
      <c r="L2219" s="92">
        <f>IF(AND(单词表[[#This Row],[学英]]&lt;&gt;"",单词表[[#This Row],[学中]]&lt;&gt;"",单词表[[#This Row],[学词]]&lt;&gt;""),MAX(单词表[[#This Row],[学英]:[学词]]),"")</f>
        <v>42661.710115740738</v>
      </c>
      <c r="M2219" s="2" t="str">
        <f>IF(AND(单词表[[#This Row],[考英]]&lt;&gt;"",单词表[[#This Row],[考中]]&lt;&gt;""),MAX(单词表[[#This Row],[考英]:[考中]]),"")</f>
        <v/>
      </c>
      <c r="N2219" s="79"/>
    </row>
    <row r="2220" spans="1:14" hidden="1" x14ac:dyDescent="0.15">
      <c r="A2220">
        <v>2220</v>
      </c>
      <c r="B2220" t="s">
        <v>35</v>
      </c>
      <c r="C2220" t="s">
        <v>13</v>
      </c>
      <c r="D2220" s="72" t="s">
        <v>3887</v>
      </c>
      <c r="E2220" s="30" t="s">
        <v>736</v>
      </c>
      <c r="F2220" t="s">
        <v>5540</v>
      </c>
      <c r="G2220" s="92">
        <v>42661.710138888891</v>
      </c>
      <c r="H2220" s="92">
        <v>42661.710150462961</v>
      </c>
      <c r="I2220" s="92">
        <v>42661.710138888891</v>
      </c>
      <c r="J2220" s="92"/>
      <c r="K2220" s="92">
        <v>42668.80196759259</v>
      </c>
      <c r="L2220" s="92">
        <f>IF(AND(单词表[[#This Row],[学英]]&lt;&gt;"",单词表[[#This Row],[学中]]&lt;&gt;"",单词表[[#This Row],[学词]]&lt;&gt;""),MAX(单词表[[#This Row],[学英]:[学词]]),"")</f>
        <v>42661.710150462961</v>
      </c>
      <c r="M2220" s="2" t="str">
        <f>IF(AND(单词表[[#This Row],[考英]]&lt;&gt;"",单词表[[#This Row],[考中]]&lt;&gt;""),MAX(单词表[[#This Row],[考英]:[考中]]),"")</f>
        <v/>
      </c>
      <c r="N2220" s="79"/>
    </row>
    <row r="2221" spans="1:14" hidden="1" x14ac:dyDescent="0.15">
      <c r="A2221">
        <v>2221</v>
      </c>
      <c r="B2221" t="s">
        <v>35</v>
      </c>
      <c r="C2221" t="s">
        <v>13</v>
      </c>
      <c r="D2221" s="72" t="s">
        <v>3888</v>
      </c>
      <c r="E2221" t="s">
        <v>1019</v>
      </c>
      <c r="F2221" t="s">
        <v>3889</v>
      </c>
      <c r="G2221" s="92">
        <v>42661.710173611114</v>
      </c>
      <c r="H2221" s="92">
        <v>42669.804293981484</v>
      </c>
      <c r="I2221" s="92">
        <v>42669.804293981484</v>
      </c>
      <c r="J2221" s="92"/>
      <c r="K2221" s="92">
        <v>42669.805138888885</v>
      </c>
      <c r="L2221" s="92">
        <f>IF(AND(单词表[[#This Row],[学英]]&lt;&gt;"",单词表[[#This Row],[学中]]&lt;&gt;"",单词表[[#This Row],[学词]]&lt;&gt;""),MAX(单词表[[#This Row],[学英]:[学词]]),"")</f>
        <v>42669.804293981484</v>
      </c>
      <c r="M2221" s="2" t="str">
        <f>IF(AND(单词表[[#This Row],[考英]]&lt;&gt;"",单词表[[#This Row],[考中]]&lt;&gt;""),MAX(单词表[[#This Row],[考英]:[考中]]),"")</f>
        <v/>
      </c>
      <c r="N2221" s="79"/>
    </row>
    <row r="2222" spans="1:14" hidden="1" x14ac:dyDescent="0.15">
      <c r="A2222">
        <v>2222</v>
      </c>
      <c r="B2222" t="s">
        <v>35</v>
      </c>
      <c r="C2222" t="s">
        <v>13</v>
      </c>
      <c r="D2222" s="72" t="s">
        <v>3890</v>
      </c>
      <c r="E2222" t="s">
        <v>1019</v>
      </c>
      <c r="F2222" t="s">
        <v>3891</v>
      </c>
      <c r="G2222" s="92">
        <v>42661.710219907407</v>
      </c>
      <c r="H2222" s="92">
        <v>42669.804340277777</v>
      </c>
      <c r="I2222" s="92">
        <v>42669.804340277777</v>
      </c>
      <c r="J2222" s="92"/>
      <c r="K2222" s="92">
        <v>42669.805196759262</v>
      </c>
      <c r="L2222" s="92">
        <f>IF(AND(单词表[[#This Row],[学英]]&lt;&gt;"",单词表[[#This Row],[学中]]&lt;&gt;"",单词表[[#This Row],[学词]]&lt;&gt;""),MAX(单词表[[#This Row],[学英]:[学词]]),"")</f>
        <v>42669.804340277777</v>
      </c>
      <c r="M2222" s="2" t="str">
        <f>IF(AND(单词表[[#This Row],[考英]]&lt;&gt;"",单词表[[#This Row],[考中]]&lt;&gt;""),MAX(单词表[[#This Row],[考英]:[考中]]),"")</f>
        <v/>
      </c>
      <c r="N2222" s="79"/>
    </row>
    <row r="2223" spans="1:14" hidden="1" x14ac:dyDescent="0.15">
      <c r="A2223">
        <v>2223</v>
      </c>
      <c r="B2223" t="s">
        <v>35</v>
      </c>
      <c r="C2223" t="s">
        <v>13</v>
      </c>
      <c r="D2223" s="72" t="s">
        <v>3892</v>
      </c>
      <c r="E2223" t="s">
        <v>702</v>
      </c>
      <c r="F2223" t="s">
        <v>3893</v>
      </c>
      <c r="G2223" s="92">
        <v>42661.71025462963</v>
      </c>
      <c r="H2223" s="92">
        <v>42669.802581018521</v>
      </c>
      <c r="I2223" s="92">
        <v>42669.802569444444</v>
      </c>
      <c r="J2223" s="92"/>
      <c r="K2223" s="92">
        <v>42669.803761574076</v>
      </c>
      <c r="L2223" s="92">
        <f>IF(AND(单词表[[#This Row],[学英]]&lt;&gt;"",单词表[[#This Row],[学中]]&lt;&gt;"",单词表[[#This Row],[学词]]&lt;&gt;""),MAX(单词表[[#This Row],[学英]:[学词]]),"")</f>
        <v>42669.802581018521</v>
      </c>
      <c r="M2223" s="2" t="str">
        <f>IF(AND(单词表[[#This Row],[考英]]&lt;&gt;"",单词表[[#This Row],[考中]]&lt;&gt;""),MAX(单词表[[#This Row],[考英]:[考中]]),"")</f>
        <v/>
      </c>
      <c r="N2223" s="79"/>
    </row>
    <row r="2224" spans="1:14" hidden="1" x14ac:dyDescent="0.15">
      <c r="A2224">
        <v>2224</v>
      </c>
      <c r="B2224" t="s">
        <v>35</v>
      </c>
      <c r="C2224" t="s">
        <v>14</v>
      </c>
      <c r="D2224" s="72" t="s">
        <v>2166</v>
      </c>
      <c r="E2224" t="s">
        <v>736</v>
      </c>
      <c r="F2224" t="s">
        <v>5541</v>
      </c>
      <c r="G2224" s="92">
        <v>42662.801319444443</v>
      </c>
      <c r="H2224" s="92">
        <v>42662.80133101852</v>
      </c>
      <c r="I2224" s="92">
        <v>42662.80133101852</v>
      </c>
      <c r="J2224" s="92"/>
      <c r="K2224" s="92">
        <v>42662.802430555559</v>
      </c>
      <c r="L2224" s="92">
        <f>IF(AND(单词表[[#This Row],[学英]]&lt;&gt;"",单词表[[#This Row],[学中]]&lt;&gt;"",单词表[[#This Row],[学词]]&lt;&gt;""),MAX(单词表[[#This Row],[学英]:[学词]]),"")</f>
        <v>42662.80133101852</v>
      </c>
      <c r="M2224" s="2" t="str">
        <f>IF(AND(单词表[[#This Row],[考英]]&lt;&gt;"",单词表[[#This Row],[考中]]&lt;&gt;""),MAX(单词表[[#This Row],[考英]:[考中]]),"")</f>
        <v/>
      </c>
      <c r="N2224" s="79"/>
    </row>
    <row r="2225" spans="1:14" hidden="1" x14ac:dyDescent="0.15">
      <c r="A2225">
        <v>2225</v>
      </c>
      <c r="B2225" t="s">
        <v>35</v>
      </c>
      <c r="C2225" t="s">
        <v>14</v>
      </c>
      <c r="D2225" s="72" t="s">
        <v>2340</v>
      </c>
      <c r="E2225" t="s">
        <v>36</v>
      </c>
      <c r="F2225" t="s">
        <v>2341</v>
      </c>
      <c r="G2225" s="92">
        <v>42662.801354166666</v>
      </c>
      <c r="H2225" s="92">
        <v>42662.801365740743</v>
      </c>
      <c r="I2225" s="92">
        <v>42662.801365740743</v>
      </c>
      <c r="J2225" s="92"/>
      <c r="K2225" s="92">
        <v>42662.802465277775</v>
      </c>
      <c r="L2225" s="92">
        <f>IF(AND(单词表[[#This Row],[学英]]&lt;&gt;"",单词表[[#This Row],[学中]]&lt;&gt;"",单词表[[#This Row],[学词]]&lt;&gt;""),MAX(单词表[[#This Row],[学英]:[学词]]),"")</f>
        <v>42662.801365740743</v>
      </c>
      <c r="M2225" s="2" t="str">
        <f>IF(AND(单词表[[#This Row],[考英]]&lt;&gt;"",单词表[[#This Row],[考中]]&lt;&gt;""),MAX(单词表[[#This Row],[考英]:[考中]]),"")</f>
        <v/>
      </c>
      <c r="N2225" s="79"/>
    </row>
    <row r="2226" spans="1:14" hidden="1" x14ac:dyDescent="0.15">
      <c r="A2226">
        <v>2226</v>
      </c>
      <c r="B2226" t="s">
        <v>35</v>
      </c>
      <c r="C2226" t="s">
        <v>14</v>
      </c>
      <c r="D2226" s="72" t="s">
        <v>518</v>
      </c>
      <c r="E2226" t="s">
        <v>36</v>
      </c>
      <c r="F2226" t="s">
        <v>519</v>
      </c>
      <c r="G2226" s="92">
        <v>42662.801388888889</v>
      </c>
      <c r="H2226" s="92">
        <v>42662.803935185184</v>
      </c>
      <c r="I2226" s="92">
        <v>42662.803935185184</v>
      </c>
      <c r="J2226" s="92"/>
      <c r="K2226" s="92">
        <v>42662.805081018516</v>
      </c>
      <c r="L2226" s="92">
        <f>IF(AND(单词表[[#This Row],[学英]]&lt;&gt;"",单词表[[#This Row],[学中]]&lt;&gt;"",单词表[[#This Row],[学词]]&lt;&gt;""),MAX(单词表[[#This Row],[学英]:[学词]]),"")</f>
        <v>42662.803935185184</v>
      </c>
      <c r="M2226" s="2" t="str">
        <f>IF(AND(单词表[[#This Row],[考英]]&lt;&gt;"",单词表[[#This Row],[考中]]&lt;&gt;""),MAX(单词表[[#This Row],[考英]:[考中]]),"")</f>
        <v/>
      </c>
      <c r="N2226" s="79"/>
    </row>
    <row r="2227" spans="1:14" hidden="1" x14ac:dyDescent="0.15">
      <c r="A2227">
        <v>2227</v>
      </c>
      <c r="B2227" t="s">
        <v>35</v>
      </c>
      <c r="C2227" t="s">
        <v>14</v>
      </c>
      <c r="D2227" s="72" t="s">
        <v>3894</v>
      </c>
      <c r="E2227" t="s">
        <v>702</v>
      </c>
      <c r="F2227" t="s">
        <v>3895</v>
      </c>
      <c r="G2227" s="92">
        <v>42662.801435185182</v>
      </c>
      <c r="H2227" s="92">
        <v>42662.801446759258</v>
      </c>
      <c r="I2227" s="92">
        <v>42662.801435185182</v>
      </c>
      <c r="J2227" s="92"/>
      <c r="K2227" s="92">
        <v>42662.802557870367</v>
      </c>
      <c r="L2227" s="92">
        <f>IF(AND(单词表[[#This Row],[学英]]&lt;&gt;"",单词表[[#This Row],[学中]]&lt;&gt;"",单词表[[#This Row],[学词]]&lt;&gt;""),MAX(单词表[[#This Row],[学英]:[学词]]),"")</f>
        <v>42662.801446759258</v>
      </c>
      <c r="M2227" s="2" t="str">
        <f>IF(AND(单词表[[#This Row],[考英]]&lt;&gt;"",单词表[[#This Row],[考中]]&lt;&gt;""),MAX(单词表[[#This Row],[考英]:[考中]]),"")</f>
        <v/>
      </c>
      <c r="N2227" s="79"/>
    </row>
    <row r="2228" spans="1:14" hidden="1" x14ac:dyDescent="0.15">
      <c r="A2228">
        <v>2228</v>
      </c>
      <c r="B2228" t="s">
        <v>35</v>
      </c>
      <c r="C2228" t="s">
        <v>14</v>
      </c>
      <c r="D2228" s="72" t="s">
        <v>520</v>
      </c>
      <c r="E2228" t="s">
        <v>61</v>
      </c>
      <c r="F2228" t="s">
        <v>521</v>
      </c>
      <c r="G2228" s="92">
        <v>42662.801458333335</v>
      </c>
      <c r="H2228" s="92">
        <v>42662.80395833333</v>
      </c>
      <c r="I2228" s="92">
        <v>42662.80395833333</v>
      </c>
      <c r="J2228" s="92"/>
      <c r="K2228" s="92">
        <v>42662.805115740739</v>
      </c>
      <c r="L2228" s="92">
        <f>IF(AND(单词表[[#This Row],[学英]]&lt;&gt;"",单词表[[#This Row],[学中]]&lt;&gt;"",单词表[[#This Row],[学词]]&lt;&gt;""),MAX(单词表[[#This Row],[学英]:[学词]]),"")</f>
        <v>42662.80395833333</v>
      </c>
      <c r="M2228" s="2" t="str">
        <f>IF(AND(单词表[[#This Row],[考英]]&lt;&gt;"",单词表[[#This Row],[考中]]&lt;&gt;""),MAX(单词表[[#This Row],[考英]:[考中]]),"")</f>
        <v/>
      </c>
      <c r="N2228" s="79"/>
    </row>
    <row r="2229" spans="1:14" hidden="1" x14ac:dyDescent="0.15">
      <c r="A2229">
        <v>2229</v>
      </c>
      <c r="B2229" t="s">
        <v>35</v>
      </c>
      <c r="C2229" t="s">
        <v>14</v>
      </c>
      <c r="D2229" s="72" t="s">
        <v>511</v>
      </c>
      <c r="E2229" t="s">
        <v>36</v>
      </c>
      <c r="F2229" t="s">
        <v>3896</v>
      </c>
      <c r="G2229" s="92">
        <v>42662.801493055558</v>
      </c>
      <c r="H2229" s="92">
        <v>42662.801516203705</v>
      </c>
      <c r="I2229" s="92">
        <v>42662.801504629628</v>
      </c>
      <c r="J2229" s="92"/>
      <c r="K2229" s="92">
        <v>42662.80263888889</v>
      </c>
      <c r="L2229" s="92">
        <f>IF(AND(单词表[[#This Row],[学英]]&lt;&gt;"",单词表[[#This Row],[学中]]&lt;&gt;"",单词表[[#This Row],[学词]]&lt;&gt;""),MAX(单词表[[#This Row],[学英]:[学词]]),"")</f>
        <v>42662.801516203705</v>
      </c>
      <c r="M2229" s="2" t="str">
        <f>IF(AND(单词表[[#This Row],[考英]]&lt;&gt;"",单词表[[#This Row],[考中]]&lt;&gt;""),MAX(单词表[[#This Row],[考英]:[考中]]),"")</f>
        <v/>
      </c>
      <c r="N2229" s="79"/>
    </row>
    <row r="2230" spans="1:14" hidden="1" x14ac:dyDescent="0.15">
      <c r="A2230">
        <v>2230</v>
      </c>
      <c r="B2230" t="s">
        <v>35</v>
      </c>
      <c r="C2230" t="s">
        <v>14</v>
      </c>
      <c r="D2230" s="72" t="s">
        <v>1842</v>
      </c>
      <c r="E2230" t="s">
        <v>73</v>
      </c>
      <c r="F2230" t="s">
        <v>1843</v>
      </c>
      <c r="G2230" s="92">
        <v>42662.801539351851</v>
      </c>
      <c r="H2230" s="92">
        <v>42662.80672453704</v>
      </c>
      <c r="I2230" s="92">
        <v>42662.806712962964</v>
      </c>
      <c r="J2230" s="92"/>
      <c r="K2230" s="92">
        <v>42662.80736111111</v>
      </c>
      <c r="L2230" s="92">
        <f>IF(AND(单词表[[#This Row],[学英]]&lt;&gt;"",单词表[[#This Row],[学中]]&lt;&gt;"",单词表[[#This Row],[学词]]&lt;&gt;""),MAX(单词表[[#This Row],[学英]:[学词]]),"")</f>
        <v>42662.80672453704</v>
      </c>
      <c r="M2230" s="2" t="str">
        <f>IF(AND(单词表[[#This Row],[考英]]&lt;&gt;"",单词表[[#This Row],[考中]]&lt;&gt;""),MAX(单词表[[#This Row],[考英]:[考中]]),"")</f>
        <v/>
      </c>
      <c r="N2230" s="79"/>
    </row>
    <row r="2231" spans="1:14" hidden="1" x14ac:dyDescent="0.15">
      <c r="A2231">
        <v>2231</v>
      </c>
      <c r="B2231" t="s">
        <v>35</v>
      </c>
      <c r="C2231" t="s">
        <v>14</v>
      </c>
      <c r="D2231" s="72" t="s">
        <v>2687</v>
      </c>
      <c r="E2231" t="s">
        <v>61</v>
      </c>
      <c r="F2231" t="s">
        <v>3897</v>
      </c>
      <c r="G2231" s="92">
        <v>42662.801574074074</v>
      </c>
      <c r="H2231" s="92">
        <v>42662.80673611111</v>
      </c>
      <c r="I2231" s="92">
        <v>42662.80673611111</v>
      </c>
      <c r="J2231" s="92"/>
      <c r="K2231" s="92">
        <v>42662.807395833333</v>
      </c>
      <c r="L2231" s="92">
        <f>IF(AND(单词表[[#This Row],[学英]]&lt;&gt;"",单词表[[#This Row],[学中]]&lt;&gt;"",单词表[[#This Row],[学词]]&lt;&gt;""),MAX(单词表[[#This Row],[学英]:[学词]]),"")</f>
        <v>42662.80673611111</v>
      </c>
      <c r="M2231" s="2" t="str">
        <f>IF(AND(单词表[[#This Row],[考英]]&lt;&gt;"",单词表[[#This Row],[考中]]&lt;&gt;""),MAX(单词表[[#This Row],[考英]:[考中]]),"")</f>
        <v/>
      </c>
      <c r="N2231" s="79"/>
    </row>
    <row r="2232" spans="1:14" hidden="1" x14ac:dyDescent="0.15">
      <c r="A2232">
        <v>2232</v>
      </c>
      <c r="B2232" t="s">
        <v>35</v>
      </c>
      <c r="C2232" t="s">
        <v>14</v>
      </c>
      <c r="D2232" s="72" t="s">
        <v>1358</v>
      </c>
      <c r="E2232" t="s">
        <v>73</v>
      </c>
      <c r="F2232" t="s">
        <v>3898</v>
      </c>
      <c r="G2232" s="92">
        <v>42662.801608796297</v>
      </c>
      <c r="H2232" s="92">
        <v>42662.806759259256</v>
      </c>
      <c r="I2232" s="92">
        <v>42662.806759259256</v>
      </c>
      <c r="J2232" s="92"/>
      <c r="K2232" s="92">
        <v>42662.80741898148</v>
      </c>
      <c r="L2232" s="92">
        <f>IF(AND(单词表[[#This Row],[学英]]&lt;&gt;"",单词表[[#This Row],[学中]]&lt;&gt;"",单词表[[#This Row],[学词]]&lt;&gt;""),MAX(单词表[[#This Row],[学英]:[学词]]),"")</f>
        <v>42662.806759259256</v>
      </c>
      <c r="M2232" s="2" t="str">
        <f>IF(AND(单词表[[#This Row],[考英]]&lt;&gt;"",单词表[[#This Row],[考中]]&lt;&gt;""),MAX(单词表[[#This Row],[考英]:[考中]]),"")</f>
        <v/>
      </c>
      <c r="N2232" s="79"/>
    </row>
    <row r="2233" spans="1:14" hidden="1" x14ac:dyDescent="0.15">
      <c r="A2233">
        <v>2233</v>
      </c>
      <c r="B2233" t="s">
        <v>35</v>
      </c>
      <c r="C2233" t="s">
        <v>14</v>
      </c>
      <c r="D2233" s="72" t="s">
        <v>3899</v>
      </c>
      <c r="E2233" t="s">
        <v>1021</v>
      </c>
      <c r="F2233" t="s">
        <v>3900</v>
      </c>
      <c r="G2233" s="92">
        <v>42662.801631944443</v>
      </c>
      <c r="H2233" s="92">
        <v>42662.808715277781</v>
      </c>
      <c r="I2233" s="92">
        <v>42662.808703703704</v>
      </c>
      <c r="J2233" s="92"/>
      <c r="K2233" s="92">
        <v>42662.808819444443</v>
      </c>
      <c r="L2233" s="92">
        <f>IF(AND(单词表[[#This Row],[学英]]&lt;&gt;"",单词表[[#This Row],[学中]]&lt;&gt;"",单词表[[#This Row],[学词]]&lt;&gt;""),MAX(单词表[[#This Row],[学英]:[学词]]),"")</f>
        <v>42662.808715277781</v>
      </c>
      <c r="M2233" s="2" t="str">
        <f>IF(AND(单词表[[#This Row],[考英]]&lt;&gt;"",单词表[[#This Row],[考中]]&lt;&gt;""),MAX(单词表[[#This Row],[考英]:[考中]]),"")</f>
        <v/>
      </c>
      <c r="N2233" s="79"/>
    </row>
    <row r="2234" spans="1:14" hidden="1" x14ac:dyDescent="0.15">
      <c r="A2234">
        <v>2234</v>
      </c>
      <c r="B2234" t="s">
        <v>35</v>
      </c>
      <c r="C2234" t="s">
        <v>14</v>
      </c>
      <c r="D2234" s="72" t="s">
        <v>3901</v>
      </c>
      <c r="E2234" t="s">
        <v>1021</v>
      </c>
      <c r="F2234" t="s">
        <v>3902</v>
      </c>
      <c r="G2234" s="92">
        <v>42662.801655092589</v>
      </c>
      <c r="H2234" s="92">
        <v>42662.801666666666</v>
      </c>
      <c r="I2234" s="92">
        <v>42662.801655092589</v>
      </c>
      <c r="J2234" s="92"/>
      <c r="K2234" s="92">
        <v>42662.802881944444</v>
      </c>
      <c r="L2234" s="92">
        <f>IF(AND(单词表[[#This Row],[学英]]&lt;&gt;"",单词表[[#This Row],[学中]]&lt;&gt;"",单词表[[#This Row],[学词]]&lt;&gt;""),MAX(单词表[[#This Row],[学英]:[学词]]),"")</f>
        <v>42662.801666666666</v>
      </c>
      <c r="M2234" s="2" t="str">
        <f>IF(AND(单词表[[#This Row],[考英]]&lt;&gt;"",单词表[[#This Row],[考中]]&lt;&gt;""),MAX(单词表[[#This Row],[考英]:[考中]]),"")</f>
        <v/>
      </c>
      <c r="N2234" s="79"/>
    </row>
    <row r="2235" spans="1:14" hidden="1" x14ac:dyDescent="0.15">
      <c r="A2235">
        <v>2235</v>
      </c>
      <c r="B2235" t="s">
        <v>35</v>
      </c>
      <c r="C2235" t="s">
        <v>14</v>
      </c>
      <c r="D2235" s="72" t="s">
        <v>3903</v>
      </c>
      <c r="E2235" t="s">
        <v>702</v>
      </c>
      <c r="F2235" t="s">
        <v>3904</v>
      </c>
      <c r="G2235" s="92">
        <v>42662.801689814813</v>
      </c>
      <c r="H2235" s="92">
        <v>42662.804583333331</v>
      </c>
      <c r="I2235" s="92">
        <v>42662.804571759261</v>
      </c>
      <c r="J2235" s="92"/>
      <c r="K2235" s="92">
        <v>42662.806041666663</v>
      </c>
      <c r="L2235" s="92">
        <f>IF(AND(单词表[[#This Row],[学英]]&lt;&gt;"",单词表[[#This Row],[学中]]&lt;&gt;"",单词表[[#This Row],[学词]]&lt;&gt;""),MAX(单词表[[#This Row],[学英]:[学词]]),"")</f>
        <v>42662.804583333331</v>
      </c>
      <c r="M2235" s="2" t="str">
        <f>IF(AND(单词表[[#This Row],[考英]]&lt;&gt;"",单词表[[#This Row],[考中]]&lt;&gt;""),MAX(单词表[[#This Row],[考英]:[考中]]),"")</f>
        <v/>
      </c>
      <c r="N2235" s="79"/>
    </row>
    <row r="2236" spans="1:14" hidden="1" x14ac:dyDescent="0.15">
      <c r="A2236">
        <v>2236</v>
      </c>
      <c r="B2236" t="s">
        <v>35</v>
      </c>
      <c r="C2236" t="s">
        <v>14</v>
      </c>
      <c r="D2236" s="72" t="s">
        <v>3905</v>
      </c>
      <c r="E2236" t="s">
        <v>1021</v>
      </c>
      <c r="F2236" t="s">
        <v>5542</v>
      </c>
      <c r="G2236" s="92">
        <v>42662.801712962966</v>
      </c>
      <c r="H2236" s="92">
        <v>42662.806805555556</v>
      </c>
      <c r="I2236" s="92">
        <v>42662.806805555556</v>
      </c>
      <c r="J2236" s="92"/>
      <c r="K2236" s="92">
        <v>42662.807754629626</v>
      </c>
      <c r="L2236" s="92">
        <f>IF(AND(单词表[[#This Row],[学英]]&lt;&gt;"",单词表[[#This Row],[学中]]&lt;&gt;"",单词表[[#This Row],[学词]]&lt;&gt;""),MAX(单词表[[#This Row],[学英]:[学词]]),"")</f>
        <v>42662.806805555556</v>
      </c>
      <c r="M2236" s="2" t="str">
        <f>IF(AND(单词表[[#This Row],[考英]]&lt;&gt;"",单词表[[#This Row],[考中]]&lt;&gt;""),MAX(单词表[[#This Row],[考英]:[考中]]),"")</f>
        <v/>
      </c>
      <c r="N2236" s="79"/>
    </row>
    <row r="2237" spans="1:14" hidden="1" x14ac:dyDescent="0.15">
      <c r="A2237">
        <v>2237</v>
      </c>
      <c r="B2237" t="s">
        <v>35</v>
      </c>
      <c r="C2237" t="s">
        <v>14</v>
      </c>
      <c r="D2237" s="72" t="s">
        <v>2897</v>
      </c>
      <c r="E2237" t="s">
        <v>157</v>
      </c>
      <c r="F2237" t="s">
        <v>3906</v>
      </c>
      <c r="G2237" s="92">
        <v>42662.801747685182</v>
      </c>
      <c r="H2237" s="92">
        <v>42662.801747685182</v>
      </c>
      <c r="I2237" s="92">
        <v>42662.801747685182</v>
      </c>
      <c r="J2237" s="92"/>
      <c r="K2237" s="92">
        <v>42662.803067129629</v>
      </c>
      <c r="L2237" s="92">
        <f>IF(AND(单词表[[#This Row],[学英]]&lt;&gt;"",单词表[[#This Row],[学中]]&lt;&gt;"",单词表[[#This Row],[学词]]&lt;&gt;""),MAX(单词表[[#This Row],[学英]:[学词]]),"")</f>
        <v>42662.801747685182</v>
      </c>
      <c r="M2237" s="2" t="str">
        <f>IF(AND(单词表[[#This Row],[考英]]&lt;&gt;"",单词表[[#This Row],[考中]]&lt;&gt;""),MAX(单词表[[#This Row],[考英]:[考中]]),"")</f>
        <v/>
      </c>
      <c r="N2237" s="79"/>
    </row>
    <row r="2238" spans="1:14" hidden="1" x14ac:dyDescent="0.15">
      <c r="A2238">
        <v>2238</v>
      </c>
      <c r="B2238" t="s">
        <v>35</v>
      </c>
      <c r="C2238" t="s">
        <v>14</v>
      </c>
      <c r="D2238" s="72" t="s">
        <v>3907</v>
      </c>
      <c r="E2238" t="s">
        <v>736</v>
      </c>
      <c r="F2238" t="s">
        <v>3908</v>
      </c>
      <c r="G2238" s="92">
        <v>42662.801770833335</v>
      </c>
      <c r="H2238" s="92">
        <v>42662.801793981482</v>
      </c>
      <c r="I2238" s="92">
        <v>42662.801782407405</v>
      </c>
      <c r="J2238" s="92"/>
      <c r="K2238" s="92">
        <v>42662.803124999999</v>
      </c>
      <c r="L2238" s="92">
        <f>IF(AND(单词表[[#This Row],[学英]]&lt;&gt;"",单词表[[#This Row],[学中]]&lt;&gt;"",单词表[[#This Row],[学词]]&lt;&gt;""),MAX(单词表[[#This Row],[学英]:[学词]]),"")</f>
        <v>42662.801793981482</v>
      </c>
      <c r="M2238" s="2" t="str">
        <f>IF(AND(单词表[[#This Row],[考英]]&lt;&gt;"",单词表[[#This Row],[考中]]&lt;&gt;""),MAX(单词表[[#This Row],[考英]:[考中]]),"")</f>
        <v/>
      </c>
      <c r="N2238" s="79"/>
    </row>
    <row r="2239" spans="1:14" hidden="1" x14ac:dyDescent="0.15">
      <c r="A2239">
        <v>2239</v>
      </c>
      <c r="B2239" t="s">
        <v>35</v>
      </c>
      <c r="C2239" t="s">
        <v>14</v>
      </c>
      <c r="D2239" s="72" t="s">
        <v>3909</v>
      </c>
      <c r="E2239" t="s">
        <v>736</v>
      </c>
      <c r="F2239" t="s">
        <v>3910</v>
      </c>
      <c r="G2239" s="92">
        <v>42662.801817129628</v>
      </c>
      <c r="H2239" s="92">
        <v>42662.806828703702</v>
      </c>
      <c r="I2239" s="92">
        <v>42662.806828703702</v>
      </c>
      <c r="J2239" s="92"/>
      <c r="K2239" s="92">
        <v>42662.807789351849</v>
      </c>
      <c r="L2239" s="92">
        <f>IF(AND(单词表[[#This Row],[学英]]&lt;&gt;"",单词表[[#This Row],[学中]]&lt;&gt;"",单词表[[#This Row],[学词]]&lt;&gt;""),MAX(单词表[[#This Row],[学英]:[学词]]),"")</f>
        <v>42662.806828703702</v>
      </c>
      <c r="M2239" s="2" t="str">
        <f>IF(AND(单词表[[#This Row],[考英]]&lt;&gt;"",单词表[[#This Row],[考中]]&lt;&gt;""),MAX(单词表[[#This Row],[考英]:[考中]]),"")</f>
        <v/>
      </c>
      <c r="N2239" s="79"/>
    </row>
    <row r="2240" spans="1:14" hidden="1" x14ac:dyDescent="0.15">
      <c r="A2240">
        <v>2240</v>
      </c>
      <c r="B2240" t="s">
        <v>35</v>
      </c>
      <c r="C2240" t="s">
        <v>14</v>
      </c>
      <c r="D2240" s="72" t="s">
        <v>1286</v>
      </c>
      <c r="E2240" t="s">
        <v>61</v>
      </c>
      <c r="F2240" t="s">
        <v>1287</v>
      </c>
      <c r="G2240" s="92">
        <v>42662.801851851851</v>
      </c>
      <c r="H2240" s="92">
        <v>42662.801863425928</v>
      </c>
      <c r="I2240" s="92">
        <v>42662.801851851851</v>
      </c>
      <c r="J2240" s="92"/>
      <c r="K2240" s="92">
        <v>42662.803229166668</v>
      </c>
      <c r="L2240" s="92">
        <f>IF(AND(单词表[[#This Row],[学英]]&lt;&gt;"",单词表[[#This Row],[学中]]&lt;&gt;"",单词表[[#This Row],[学词]]&lt;&gt;""),MAX(单词表[[#This Row],[学英]:[学词]]),"")</f>
        <v>42662.801863425928</v>
      </c>
      <c r="M2240" s="2" t="str">
        <f>IF(AND(单词表[[#This Row],[考英]]&lt;&gt;"",单词表[[#This Row],[考中]]&lt;&gt;""),MAX(单词表[[#This Row],[考英]:[考中]]),"")</f>
        <v/>
      </c>
      <c r="N2240" s="79"/>
    </row>
    <row r="2241" spans="1:14" hidden="1" x14ac:dyDescent="0.15">
      <c r="A2241">
        <v>2241</v>
      </c>
      <c r="B2241" t="s">
        <v>35</v>
      </c>
      <c r="C2241" t="s">
        <v>14</v>
      </c>
      <c r="D2241" s="72" t="s">
        <v>3911</v>
      </c>
      <c r="E2241" t="s">
        <v>38</v>
      </c>
      <c r="F2241" t="s">
        <v>3912</v>
      </c>
      <c r="G2241" s="92">
        <v>42662.801874999997</v>
      </c>
      <c r="H2241" s="92">
        <v>42662.808263888888</v>
      </c>
      <c r="I2241" s="92">
        <v>42662.808263888888</v>
      </c>
      <c r="J2241" s="92"/>
      <c r="K2241" s="92">
        <v>42662.808541666665</v>
      </c>
      <c r="L2241" s="92">
        <f>IF(AND(单词表[[#This Row],[学英]]&lt;&gt;"",单词表[[#This Row],[学中]]&lt;&gt;"",单词表[[#This Row],[学词]]&lt;&gt;""),MAX(单词表[[#This Row],[学英]:[学词]]),"")</f>
        <v>42662.808263888888</v>
      </c>
      <c r="M2241" s="2" t="str">
        <f>IF(AND(单词表[[#This Row],[考英]]&lt;&gt;"",单词表[[#This Row],[考中]]&lt;&gt;""),MAX(单词表[[#This Row],[考英]:[考中]]),"")</f>
        <v/>
      </c>
      <c r="N2241" s="79"/>
    </row>
    <row r="2242" spans="1:14" hidden="1" x14ac:dyDescent="0.15">
      <c r="A2242">
        <v>2242</v>
      </c>
      <c r="B2242" t="s">
        <v>35</v>
      </c>
      <c r="C2242" t="s">
        <v>14</v>
      </c>
      <c r="D2242" s="72" t="s">
        <v>3911</v>
      </c>
      <c r="E2242" t="s">
        <v>210</v>
      </c>
      <c r="F2242" t="s">
        <v>5543</v>
      </c>
      <c r="G2242" s="92">
        <v>42662.80190972222</v>
      </c>
      <c r="H2242" s="92">
        <v>42662.804814814815</v>
      </c>
      <c r="I2242" s="92">
        <v>42662.804803240739</v>
      </c>
      <c r="J2242" s="92"/>
      <c r="K2242" s="92">
        <v>42662.806215277778</v>
      </c>
      <c r="L2242" s="92">
        <f>IF(AND(单词表[[#This Row],[学英]]&lt;&gt;"",单词表[[#This Row],[学中]]&lt;&gt;"",单词表[[#This Row],[学词]]&lt;&gt;""),MAX(单词表[[#This Row],[学英]:[学词]]),"")</f>
        <v>42662.804814814815</v>
      </c>
      <c r="M2242" s="2" t="str">
        <f>IF(AND(单词表[[#This Row],[考英]]&lt;&gt;"",单词表[[#This Row],[考中]]&lt;&gt;""),MAX(单词表[[#This Row],[考英]:[考中]]),"")</f>
        <v/>
      </c>
      <c r="N2242" s="79"/>
    </row>
    <row r="2243" spans="1:14" hidden="1" x14ac:dyDescent="0.15">
      <c r="A2243">
        <v>2243</v>
      </c>
      <c r="B2243" t="s">
        <v>35</v>
      </c>
      <c r="C2243" t="s">
        <v>14</v>
      </c>
      <c r="D2243" s="72" t="s">
        <v>966</v>
      </c>
      <c r="E2243" t="s">
        <v>36</v>
      </c>
      <c r="F2243" t="s">
        <v>3913</v>
      </c>
      <c r="G2243" s="92">
        <v>42662.80195601852</v>
      </c>
      <c r="H2243" s="92">
        <v>42662.806875000002</v>
      </c>
      <c r="I2243" s="92">
        <v>42662.806875000002</v>
      </c>
      <c r="J2243" s="92"/>
      <c r="K2243" s="92">
        <v>42662.807905092595</v>
      </c>
      <c r="L2243" s="92">
        <f>IF(AND(单词表[[#This Row],[学英]]&lt;&gt;"",单词表[[#This Row],[学中]]&lt;&gt;"",单词表[[#This Row],[学词]]&lt;&gt;""),MAX(单词表[[#This Row],[学英]:[学词]]),"")</f>
        <v>42662.806875000002</v>
      </c>
      <c r="M2243" s="2" t="str">
        <f>IF(AND(单词表[[#This Row],[考英]]&lt;&gt;"",单词表[[#This Row],[考中]]&lt;&gt;""),MAX(单词表[[#This Row],[考英]:[考中]]),"")</f>
        <v/>
      </c>
      <c r="N2243" s="79"/>
    </row>
    <row r="2244" spans="1:14" hidden="1" x14ac:dyDescent="0.15">
      <c r="A2244">
        <v>2244</v>
      </c>
      <c r="B2244" t="s">
        <v>35</v>
      </c>
      <c r="C2244" t="s">
        <v>14</v>
      </c>
      <c r="D2244" s="72" t="s">
        <v>3914</v>
      </c>
      <c r="E2244" t="s">
        <v>36</v>
      </c>
      <c r="F2244" t="s">
        <v>3915</v>
      </c>
      <c r="G2244" s="92">
        <v>42662.801979166667</v>
      </c>
      <c r="H2244" s="92">
        <v>42662.806898148148</v>
      </c>
      <c r="I2244" s="92">
        <v>42662.806898148148</v>
      </c>
      <c r="J2244" s="92"/>
      <c r="K2244" s="92">
        <v>42662.808009259257</v>
      </c>
      <c r="L2244" s="92">
        <f>IF(AND(单词表[[#This Row],[学英]]&lt;&gt;"",单词表[[#This Row],[学中]]&lt;&gt;"",单词表[[#This Row],[学词]]&lt;&gt;""),MAX(单词表[[#This Row],[学英]:[学词]]),"")</f>
        <v>42662.806898148148</v>
      </c>
      <c r="M2244" s="2" t="str">
        <f>IF(AND(单词表[[#This Row],[考英]]&lt;&gt;"",单词表[[#This Row],[考中]]&lt;&gt;""),MAX(单词表[[#This Row],[考英]:[考中]]),"")</f>
        <v/>
      </c>
      <c r="N2244" s="79"/>
    </row>
    <row r="2245" spans="1:14" hidden="1" x14ac:dyDescent="0.15">
      <c r="A2245">
        <v>2245</v>
      </c>
      <c r="B2245" t="s">
        <v>35</v>
      </c>
      <c r="C2245" t="s">
        <v>14</v>
      </c>
      <c r="D2245" s="72" t="s">
        <v>3916</v>
      </c>
      <c r="E2245" t="s">
        <v>1019</v>
      </c>
      <c r="F2245" t="s">
        <v>3917</v>
      </c>
      <c r="G2245" s="92">
        <v>42662.802037037036</v>
      </c>
      <c r="H2245" s="92">
        <v>42662.808298611111</v>
      </c>
      <c r="I2245" s="92">
        <v>42662.808298611111</v>
      </c>
      <c r="J2245" s="92"/>
      <c r="K2245" s="92">
        <v>42662.808599537035</v>
      </c>
      <c r="L2245" s="92">
        <f>IF(AND(单词表[[#This Row],[学英]]&lt;&gt;"",单词表[[#This Row],[学中]]&lt;&gt;"",单词表[[#This Row],[学词]]&lt;&gt;""),MAX(单词表[[#This Row],[学英]:[学词]]),"")</f>
        <v>42662.808298611111</v>
      </c>
      <c r="M2245" s="2" t="str">
        <f>IF(AND(单词表[[#This Row],[考英]]&lt;&gt;"",单词表[[#This Row],[考中]]&lt;&gt;""),MAX(单词表[[#This Row],[考英]:[考中]]),"")</f>
        <v/>
      </c>
      <c r="N2245" s="79"/>
    </row>
    <row r="2246" spans="1:14" hidden="1" x14ac:dyDescent="0.15">
      <c r="A2246">
        <v>2246</v>
      </c>
      <c r="B2246" t="s">
        <v>35</v>
      </c>
      <c r="C2246" t="s">
        <v>14</v>
      </c>
      <c r="D2246" s="72" t="s">
        <v>3918</v>
      </c>
      <c r="E2246" t="s">
        <v>157</v>
      </c>
      <c r="F2246" t="s">
        <v>3919</v>
      </c>
      <c r="G2246" s="92">
        <v>42662.802083333336</v>
      </c>
      <c r="H2246" s="92">
        <v>42662.802094907405</v>
      </c>
      <c r="I2246" s="92">
        <v>42662.802094907405</v>
      </c>
      <c r="J2246" s="92"/>
      <c r="K2246" s="92">
        <v>42662.803564814814</v>
      </c>
      <c r="L2246" s="92">
        <f>IF(AND(单词表[[#This Row],[学英]]&lt;&gt;"",单词表[[#This Row],[学中]]&lt;&gt;"",单词表[[#This Row],[学词]]&lt;&gt;""),MAX(单词表[[#This Row],[学英]:[学词]]),"")</f>
        <v>42662.802094907405</v>
      </c>
      <c r="M2246" s="2" t="str">
        <f>IF(AND(单词表[[#This Row],[考英]]&lt;&gt;"",单词表[[#This Row],[考中]]&lt;&gt;""),MAX(单词表[[#This Row],[考英]:[考中]]),"")</f>
        <v/>
      </c>
      <c r="N2246" s="79"/>
    </row>
    <row r="2247" spans="1:14" hidden="1" x14ac:dyDescent="0.15">
      <c r="A2247">
        <v>2247</v>
      </c>
      <c r="B2247" t="s">
        <v>35</v>
      </c>
      <c r="C2247" t="s">
        <v>14</v>
      </c>
      <c r="D2247" s="72" t="s">
        <v>774</v>
      </c>
      <c r="E2247" t="s">
        <v>61</v>
      </c>
      <c r="F2247" t="s">
        <v>3402</v>
      </c>
      <c r="G2247" s="92">
        <v>42662.802118055559</v>
      </c>
      <c r="H2247" s="92">
        <v>42662.802129629628</v>
      </c>
      <c r="I2247" s="92">
        <v>42662.802118055559</v>
      </c>
      <c r="J2247" s="92"/>
      <c r="K2247" s="92">
        <v>42662.803611111114</v>
      </c>
      <c r="L2247" s="92">
        <f>IF(AND(单词表[[#This Row],[学英]]&lt;&gt;"",单词表[[#This Row],[学中]]&lt;&gt;"",单词表[[#This Row],[学词]]&lt;&gt;""),MAX(单词表[[#This Row],[学英]:[学词]]),"")</f>
        <v>42662.802129629628</v>
      </c>
      <c r="M2247" s="2" t="str">
        <f>IF(AND(单词表[[#This Row],[考英]]&lt;&gt;"",单词表[[#This Row],[考中]]&lt;&gt;""),MAX(单词表[[#This Row],[考英]:[考中]]),"")</f>
        <v/>
      </c>
      <c r="N2247" s="79"/>
    </row>
    <row r="2248" spans="1:14" hidden="1" x14ac:dyDescent="0.15">
      <c r="A2248">
        <v>2248</v>
      </c>
      <c r="B2248" t="s">
        <v>35</v>
      </c>
      <c r="C2248" t="s">
        <v>14</v>
      </c>
      <c r="D2248" s="72" t="s">
        <v>822</v>
      </c>
      <c r="E2248" t="s">
        <v>36</v>
      </c>
      <c r="F2248" t="s">
        <v>3920</v>
      </c>
      <c r="G2248" s="92">
        <v>42662.802141203705</v>
      </c>
      <c r="H2248" s="92">
        <v>42662.802152777775</v>
      </c>
      <c r="I2248" s="92">
        <v>42662.802152777775</v>
      </c>
      <c r="J2248" s="92"/>
      <c r="K2248" s="92">
        <v>42662.803657407407</v>
      </c>
      <c r="L2248" s="92">
        <f>IF(AND(单词表[[#This Row],[学英]]&lt;&gt;"",单词表[[#This Row],[学中]]&lt;&gt;"",单词表[[#This Row],[学词]]&lt;&gt;""),MAX(单词表[[#This Row],[学英]:[学词]]),"")</f>
        <v>42662.802152777775</v>
      </c>
      <c r="M2248" s="2" t="str">
        <f>IF(AND(单词表[[#This Row],[考英]]&lt;&gt;"",单词表[[#This Row],[考中]]&lt;&gt;""),MAX(单词表[[#This Row],[考英]:[考中]]),"")</f>
        <v/>
      </c>
      <c r="N2248" s="79"/>
    </row>
    <row r="2249" spans="1:14" hidden="1" x14ac:dyDescent="0.15">
      <c r="A2249">
        <v>2249</v>
      </c>
      <c r="B2249" t="s">
        <v>35</v>
      </c>
      <c r="C2249" t="s">
        <v>14</v>
      </c>
      <c r="D2249" s="72" t="s">
        <v>3921</v>
      </c>
      <c r="E2249" t="s">
        <v>702</v>
      </c>
      <c r="F2249" t="s">
        <v>3922</v>
      </c>
      <c r="G2249" s="92">
        <v>42662.802187499998</v>
      </c>
      <c r="H2249" s="92">
        <v>42662.806956018518</v>
      </c>
      <c r="I2249" s="92">
        <v>42662.806956018518</v>
      </c>
      <c r="J2249" s="92"/>
      <c r="K2249" s="92">
        <v>42662.80810185185</v>
      </c>
      <c r="L2249" s="92">
        <f>IF(AND(单词表[[#This Row],[学英]]&lt;&gt;"",单词表[[#This Row],[学中]]&lt;&gt;"",单词表[[#This Row],[学词]]&lt;&gt;""),MAX(单词表[[#This Row],[学英]:[学词]]),"")</f>
        <v>42662.806956018518</v>
      </c>
      <c r="M2249" s="2" t="str">
        <f>IF(AND(单词表[[#This Row],[考英]]&lt;&gt;"",单词表[[#This Row],[考中]]&lt;&gt;""),MAX(单词表[[#This Row],[考英]:[考中]]),"")</f>
        <v/>
      </c>
      <c r="N2249" s="79"/>
    </row>
    <row r="2250" spans="1:14" hidden="1" x14ac:dyDescent="0.15">
      <c r="A2250">
        <v>2250</v>
      </c>
      <c r="B2250" t="s">
        <v>35</v>
      </c>
      <c r="C2250" t="s">
        <v>14</v>
      </c>
      <c r="D2250" s="72" t="s">
        <v>3923</v>
      </c>
      <c r="E2250" t="s">
        <v>73</v>
      </c>
      <c r="F2250" t="s">
        <v>3924</v>
      </c>
      <c r="G2250" s="92">
        <v>42662.802245370367</v>
      </c>
      <c r="H2250" s="92">
        <v>42662.8049537037</v>
      </c>
      <c r="I2250" s="92">
        <v>42662.8049537037</v>
      </c>
      <c r="J2250" s="92"/>
      <c r="K2250" s="92">
        <v>42662.806608796294</v>
      </c>
      <c r="L2250" s="92">
        <f>IF(AND(单词表[[#This Row],[学英]]&lt;&gt;"",单词表[[#This Row],[学中]]&lt;&gt;"",单词表[[#This Row],[学词]]&lt;&gt;""),MAX(单词表[[#This Row],[学英]:[学词]]),"")</f>
        <v>42662.8049537037</v>
      </c>
      <c r="M2250" s="2" t="str">
        <f>IF(AND(单词表[[#This Row],[考英]]&lt;&gt;"",单词表[[#This Row],[考中]]&lt;&gt;""),MAX(单词表[[#This Row],[考英]:[考中]]),"")</f>
        <v/>
      </c>
      <c r="N2250" s="79"/>
    </row>
    <row r="2251" spans="1:14" hidden="1" x14ac:dyDescent="0.15">
      <c r="A2251">
        <v>2251</v>
      </c>
      <c r="B2251" t="s">
        <v>35</v>
      </c>
      <c r="C2251" t="s">
        <v>14</v>
      </c>
      <c r="D2251" s="72" t="s">
        <v>3925</v>
      </c>
      <c r="E2251" t="s">
        <v>702</v>
      </c>
      <c r="F2251" t="s">
        <v>3926</v>
      </c>
      <c r="G2251" s="92">
        <v>42668.687442129631</v>
      </c>
      <c r="H2251" s="92">
        <v>42662.8046412037</v>
      </c>
      <c r="I2251" s="92">
        <v>42668.6874537037</v>
      </c>
      <c r="J2251" s="92"/>
      <c r="K2251" s="92">
        <v>42668.698738425926</v>
      </c>
      <c r="L2251" s="92">
        <f>IF(AND(单词表[[#This Row],[学英]]&lt;&gt;"",单词表[[#This Row],[学中]]&lt;&gt;"",单词表[[#This Row],[学词]]&lt;&gt;""),MAX(单词表[[#This Row],[学英]:[学词]]),"")</f>
        <v>42668.6874537037</v>
      </c>
      <c r="M2251" s="2" t="str">
        <f>IF(AND(单词表[[#This Row],[考英]]&lt;&gt;"",单词表[[#This Row],[考中]]&lt;&gt;""),MAX(单词表[[#This Row],[考英]:[考中]]),"")</f>
        <v/>
      </c>
      <c r="N2251" s="79"/>
    </row>
    <row r="2252" spans="1:14" hidden="1" x14ac:dyDescent="0.15">
      <c r="A2252">
        <v>2252</v>
      </c>
      <c r="B2252" t="s">
        <v>35</v>
      </c>
      <c r="C2252" t="s">
        <v>14</v>
      </c>
      <c r="D2252" s="72" t="s">
        <v>837</v>
      </c>
      <c r="E2252" t="s">
        <v>157</v>
      </c>
      <c r="F2252" t="s">
        <v>5544</v>
      </c>
      <c r="G2252" s="92">
        <v>42668.687476851854</v>
      </c>
      <c r="H2252" s="92">
        <v>42668.687476851854</v>
      </c>
      <c r="I2252" s="92">
        <v>42668.687476851854</v>
      </c>
      <c r="J2252" s="92"/>
      <c r="K2252" s="92">
        <v>42668.698773148149</v>
      </c>
      <c r="L2252" s="92">
        <f>IF(AND(单词表[[#This Row],[学英]]&lt;&gt;"",单词表[[#This Row],[学中]]&lt;&gt;"",单词表[[#This Row],[学词]]&lt;&gt;""),MAX(单词表[[#This Row],[学英]:[学词]]),"")</f>
        <v>42668.687476851854</v>
      </c>
      <c r="M2252" s="2" t="str">
        <f>IF(AND(单词表[[#This Row],[考英]]&lt;&gt;"",单词表[[#This Row],[考中]]&lt;&gt;""),MAX(单词表[[#This Row],[考英]:[考中]]),"")</f>
        <v/>
      </c>
      <c r="N2252" s="79"/>
    </row>
    <row r="2253" spans="1:14" hidden="1" x14ac:dyDescent="0.15">
      <c r="A2253">
        <v>2253</v>
      </c>
      <c r="B2253" t="s">
        <v>35</v>
      </c>
      <c r="C2253" t="s">
        <v>14</v>
      </c>
      <c r="D2253" s="72" t="s">
        <v>3927</v>
      </c>
      <c r="E2253" t="s">
        <v>157</v>
      </c>
      <c r="F2253" t="s">
        <v>5545</v>
      </c>
      <c r="G2253" s="92">
        <v>42668.687511574077</v>
      </c>
      <c r="H2253" s="92">
        <v>42668.687511574077</v>
      </c>
      <c r="I2253" s="92">
        <v>42668.687511574077</v>
      </c>
      <c r="J2253" s="92"/>
      <c r="K2253" s="92">
        <v>42668.698831018519</v>
      </c>
      <c r="L2253" s="92">
        <f>IF(AND(单词表[[#This Row],[学英]]&lt;&gt;"",单词表[[#This Row],[学中]]&lt;&gt;"",单词表[[#This Row],[学词]]&lt;&gt;""),MAX(单词表[[#This Row],[学英]:[学词]]),"")</f>
        <v>42668.687511574077</v>
      </c>
      <c r="M2253" s="2" t="str">
        <f>IF(AND(单词表[[#This Row],[考英]]&lt;&gt;"",单词表[[#This Row],[考中]]&lt;&gt;""),MAX(单词表[[#This Row],[考英]:[考中]]),"")</f>
        <v/>
      </c>
      <c r="N2253" s="79"/>
    </row>
    <row r="2254" spans="1:14" hidden="1" x14ac:dyDescent="0.15">
      <c r="A2254">
        <v>2254</v>
      </c>
      <c r="B2254" t="s">
        <v>35</v>
      </c>
      <c r="C2254" t="s">
        <v>14</v>
      </c>
      <c r="D2254" s="72" t="s">
        <v>88</v>
      </c>
      <c r="E2254" t="s">
        <v>61</v>
      </c>
      <c r="F2254" t="s">
        <v>5546</v>
      </c>
      <c r="G2254" s="92">
        <v>42668.687847222223</v>
      </c>
      <c r="H2254" s="92">
        <v>42668.687858796293</v>
      </c>
      <c r="I2254" s="92">
        <v>42668.687858796293</v>
      </c>
      <c r="J2254" s="92"/>
      <c r="K2254" s="92">
        <v>42668.698888888888</v>
      </c>
      <c r="L2254" s="92">
        <f>IF(AND(单词表[[#This Row],[学英]]&lt;&gt;"",单词表[[#This Row],[学中]]&lt;&gt;"",单词表[[#This Row],[学词]]&lt;&gt;""),MAX(单词表[[#This Row],[学英]:[学词]]),"")</f>
        <v>42668.687858796293</v>
      </c>
      <c r="M2254" s="2" t="str">
        <f>IF(AND(单词表[[#This Row],[考英]]&lt;&gt;"",单词表[[#This Row],[考中]]&lt;&gt;""),MAX(单词表[[#This Row],[考英]:[考中]]),"")</f>
        <v/>
      </c>
      <c r="N2254" s="79"/>
    </row>
    <row r="2255" spans="1:14" hidden="1" x14ac:dyDescent="0.15">
      <c r="A2255">
        <v>2255</v>
      </c>
      <c r="B2255" t="s">
        <v>35</v>
      </c>
      <c r="C2255" t="s">
        <v>14</v>
      </c>
      <c r="D2255" s="72" t="s">
        <v>1869</v>
      </c>
      <c r="E2255" t="s">
        <v>36</v>
      </c>
      <c r="F2255" t="s">
        <v>1870</v>
      </c>
      <c r="G2255" s="92">
        <v>42668.687881944446</v>
      </c>
      <c r="H2255" s="92">
        <v>42668.687893518516</v>
      </c>
      <c r="I2255" s="92">
        <v>42668.687881944446</v>
      </c>
      <c r="J2255" s="92"/>
      <c r="K2255" s="92">
        <v>42668.69903935185</v>
      </c>
      <c r="L2255" s="92">
        <f>IF(AND(单词表[[#This Row],[学英]]&lt;&gt;"",单词表[[#This Row],[学中]]&lt;&gt;"",单词表[[#This Row],[学词]]&lt;&gt;""),MAX(单词表[[#This Row],[学英]:[学词]]),"")</f>
        <v>42668.687893518516</v>
      </c>
      <c r="M2255" s="2" t="str">
        <f>IF(AND(单词表[[#This Row],[考英]]&lt;&gt;"",单词表[[#This Row],[考中]]&lt;&gt;""),MAX(单词表[[#This Row],[考英]:[考中]]),"")</f>
        <v/>
      </c>
      <c r="N2255" s="79"/>
    </row>
    <row r="2256" spans="1:14" hidden="1" x14ac:dyDescent="0.15">
      <c r="A2256">
        <v>2256</v>
      </c>
      <c r="B2256" t="s">
        <v>35</v>
      </c>
      <c r="C2256" t="s">
        <v>14</v>
      </c>
      <c r="D2256" s="72" t="s">
        <v>3928</v>
      </c>
      <c r="E2256" t="s">
        <v>36</v>
      </c>
      <c r="F2256" t="s">
        <v>5547</v>
      </c>
      <c r="G2256" s="92">
        <v>42668.687905092593</v>
      </c>
      <c r="H2256" s="92">
        <v>42668.687916666669</v>
      </c>
      <c r="I2256" s="92">
        <v>42668.687916666669</v>
      </c>
      <c r="J2256" s="92"/>
      <c r="K2256" s="92">
        <v>42668.699074074073</v>
      </c>
      <c r="L2256" s="92">
        <f>IF(AND(单词表[[#This Row],[学英]]&lt;&gt;"",单词表[[#This Row],[学中]]&lt;&gt;"",单词表[[#This Row],[学词]]&lt;&gt;""),MAX(单词表[[#This Row],[学英]:[学词]]),"")</f>
        <v>42668.687916666669</v>
      </c>
      <c r="M2256" s="2" t="str">
        <f>IF(AND(单词表[[#This Row],[考英]]&lt;&gt;"",单词表[[#This Row],[考中]]&lt;&gt;""),MAX(单词表[[#This Row],[考英]:[考中]]),"")</f>
        <v/>
      </c>
      <c r="N2256" s="79"/>
    </row>
    <row r="2257" spans="1:14" hidden="1" x14ac:dyDescent="0.15">
      <c r="A2257">
        <v>2257</v>
      </c>
      <c r="B2257" t="s">
        <v>35</v>
      </c>
      <c r="C2257" t="s">
        <v>14</v>
      </c>
      <c r="D2257" s="72" t="s">
        <v>3247</v>
      </c>
      <c r="E2257" t="s">
        <v>61</v>
      </c>
      <c r="F2257" t="s">
        <v>3929</v>
      </c>
      <c r="G2257" s="92">
        <v>42668.687928240739</v>
      </c>
      <c r="H2257" s="92">
        <v>42668.687939814816</v>
      </c>
      <c r="I2257" s="92">
        <v>42668.687939814816</v>
      </c>
      <c r="J2257" s="92"/>
      <c r="K2257" s="92">
        <v>42668.699108796296</v>
      </c>
      <c r="L2257" s="92">
        <f>IF(AND(单词表[[#This Row],[学英]]&lt;&gt;"",单词表[[#This Row],[学中]]&lt;&gt;"",单词表[[#This Row],[学词]]&lt;&gt;""),MAX(单词表[[#This Row],[学英]:[学词]]),"")</f>
        <v>42668.687939814816</v>
      </c>
      <c r="M2257" s="2" t="str">
        <f>IF(AND(单词表[[#This Row],[考英]]&lt;&gt;"",单词表[[#This Row],[考中]]&lt;&gt;""),MAX(单词表[[#This Row],[考英]:[考中]]),"")</f>
        <v/>
      </c>
      <c r="N2257" s="79"/>
    </row>
    <row r="2258" spans="1:14" hidden="1" x14ac:dyDescent="0.15">
      <c r="A2258">
        <v>2258</v>
      </c>
      <c r="B2258" t="s">
        <v>35</v>
      </c>
      <c r="C2258" t="s">
        <v>14</v>
      </c>
      <c r="D2258" s="72" t="s">
        <v>3930</v>
      </c>
      <c r="E2258" t="s">
        <v>157</v>
      </c>
      <c r="F2258" t="s">
        <v>3931</v>
      </c>
      <c r="G2258" s="92">
        <v>42668.687962962962</v>
      </c>
      <c r="H2258" s="92">
        <v>42668.687974537039</v>
      </c>
      <c r="I2258" s="92">
        <v>42668.687974537039</v>
      </c>
      <c r="J2258" s="92"/>
      <c r="K2258" s="92">
        <v>42668.699247685188</v>
      </c>
      <c r="L2258" s="92">
        <f>IF(AND(单词表[[#This Row],[学英]]&lt;&gt;"",单词表[[#This Row],[学中]]&lt;&gt;"",单词表[[#This Row],[学词]]&lt;&gt;""),MAX(单词表[[#This Row],[学英]:[学词]]),"")</f>
        <v>42668.687974537039</v>
      </c>
      <c r="M2258" s="2" t="str">
        <f>IF(AND(单词表[[#This Row],[考英]]&lt;&gt;"",单词表[[#This Row],[考中]]&lt;&gt;""),MAX(单词表[[#This Row],[考英]:[考中]]),"")</f>
        <v/>
      </c>
      <c r="N2258" s="79"/>
    </row>
    <row r="2259" spans="1:14" hidden="1" x14ac:dyDescent="0.15">
      <c r="A2259">
        <v>2259</v>
      </c>
      <c r="B2259" t="s">
        <v>35</v>
      </c>
      <c r="C2259" t="s">
        <v>14</v>
      </c>
      <c r="D2259" s="72" t="s">
        <v>3932</v>
      </c>
      <c r="E2259" t="s">
        <v>36</v>
      </c>
      <c r="F2259" t="s">
        <v>5548</v>
      </c>
      <c r="G2259" s="92">
        <v>42668.687997685185</v>
      </c>
      <c r="H2259" s="92">
        <v>42668.687997685185</v>
      </c>
      <c r="I2259" s="92">
        <v>42668.687997685185</v>
      </c>
      <c r="J2259" s="92"/>
      <c r="K2259" s="92">
        <v>42668.699282407404</v>
      </c>
      <c r="L2259" s="92">
        <f>IF(AND(单词表[[#This Row],[学英]]&lt;&gt;"",单词表[[#This Row],[学中]]&lt;&gt;"",单词表[[#This Row],[学词]]&lt;&gt;""),MAX(单词表[[#This Row],[学英]:[学词]]),"")</f>
        <v>42668.687997685185</v>
      </c>
      <c r="M2259" s="2" t="str">
        <f>IF(AND(单词表[[#This Row],[考英]]&lt;&gt;"",单词表[[#This Row],[考中]]&lt;&gt;""),MAX(单词表[[#This Row],[考英]:[考中]]),"")</f>
        <v/>
      </c>
      <c r="N2259" s="79"/>
    </row>
    <row r="2260" spans="1:14" hidden="1" x14ac:dyDescent="0.15">
      <c r="A2260">
        <v>2260</v>
      </c>
      <c r="B2260" t="s">
        <v>35</v>
      </c>
      <c r="C2260" t="s">
        <v>14</v>
      </c>
      <c r="D2260" s="72" t="s">
        <v>3933</v>
      </c>
      <c r="E2260" t="s">
        <v>36</v>
      </c>
      <c r="F2260" t="s">
        <v>3934</v>
      </c>
      <c r="G2260" s="92">
        <v>42668.688032407408</v>
      </c>
      <c r="H2260" s="92">
        <v>42668.688043981485</v>
      </c>
      <c r="I2260" s="92">
        <v>42668.688032407408</v>
      </c>
      <c r="J2260" s="92"/>
      <c r="K2260" s="92">
        <v>42668.699317129627</v>
      </c>
      <c r="L2260" s="92">
        <f>IF(AND(单词表[[#This Row],[学英]]&lt;&gt;"",单词表[[#This Row],[学中]]&lt;&gt;"",单词表[[#This Row],[学词]]&lt;&gt;""),MAX(单词表[[#This Row],[学英]:[学词]]),"")</f>
        <v>42668.688043981485</v>
      </c>
      <c r="M2260" s="2" t="str">
        <f>IF(AND(单词表[[#This Row],[考英]]&lt;&gt;"",单词表[[#This Row],[考中]]&lt;&gt;""),MAX(单词表[[#This Row],[考英]:[考中]]),"")</f>
        <v/>
      </c>
      <c r="N2260" s="79"/>
    </row>
    <row r="2261" spans="1:14" hidden="1" x14ac:dyDescent="0.15">
      <c r="A2261">
        <v>2261</v>
      </c>
      <c r="B2261" t="s">
        <v>35</v>
      </c>
      <c r="C2261" t="s">
        <v>14</v>
      </c>
      <c r="D2261" s="72" t="s">
        <v>3935</v>
      </c>
      <c r="E2261" t="s">
        <v>36</v>
      </c>
      <c r="F2261" t="s">
        <v>3936</v>
      </c>
      <c r="G2261" s="92">
        <v>42668.688055555554</v>
      </c>
      <c r="H2261" s="92">
        <v>42668.688078703701</v>
      </c>
      <c r="I2261" s="92">
        <v>42668.688067129631</v>
      </c>
      <c r="J2261" s="92"/>
      <c r="K2261" s="92">
        <v>42668.699444444443</v>
      </c>
      <c r="L2261" s="92">
        <f>IF(AND(单词表[[#This Row],[学英]]&lt;&gt;"",单词表[[#This Row],[学中]]&lt;&gt;"",单词表[[#This Row],[学词]]&lt;&gt;""),MAX(单词表[[#This Row],[学英]:[学词]]),"")</f>
        <v>42668.688078703701</v>
      </c>
      <c r="M2261" s="2" t="str">
        <f>IF(AND(单词表[[#This Row],[考英]]&lt;&gt;"",单词表[[#This Row],[考中]]&lt;&gt;""),MAX(单词表[[#This Row],[考英]:[考中]]),"")</f>
        <v/>
      </c>
      <c r="N2261" s="79"/>
    </row>
    <row r="2262" spans="1:14" hidden="1" x14ac:dyDescent="0.15">
      <c r="A2262">
        <v>2262</v>
      </c>
      <c r="B2262" t="s">
        <v>35</v>
      </c>
      <c r="C2262" t="s">
        <v>14</v>
      </c>
      <c r="D2262" s="72" t="s">
        <v>3086</v>
      </c>
      <c r="E2262" t="s">
        <v>36</v>
      </c>
      <c r="F2262" t="s">
        <v>5549</v>
      </c>
      <c r="G2262" s="92">
        <v>42668.688113425924</v>
      </c>
      <c r="H2262" s="92">
        <v>42668.688113425924</v>
      </c>
      <c r="I2262" s="92">
        <v>42668.688101851854</v>
      </c>
      <c r="J2262" s="92"/>
      <c r="K2262" s="92">
        <v>42668.699479166666</v>
      </c>
      <c r="L2262" s="92">
        <f>IF(AND(单词表[[#This Row],[学英]]&lt;&gt;"",单词表[[#This Row],[学中]]&lt;&gt;"",单词表[[#This Row],[学词]]&lt;&gt;""),MAX(单词表[[#This Row],[学英]:[学词]]),"")</f>
        <v>42668.688113425924</v>
      </c>
      <c r="M2262" s="2" t="str">
        <f>IF(AND(单词表[[#This Row],[考英]]&lt;&gt;"",单词表[[#This Row],[考中]]&lt;&gt;""),MAX(单词表[[#This Row],[考英]:[考中]]),"")</f>
        <v/>
      </c>
      <c r="N2262" s="79"/>
    </row>
    <row r="2263" spans="1:14" hidden="1" x14ac:dyDescent="0.15">
      <c r="A2263">
        <v>2263</v>
      </c>
      <c r="B2263" t="s">
        <v>35</v>
      </c>
      <c r="C2263" t="s">
        <v>14</v>
      </c>
      <c r="D2263" s="72" t="s">
        <v>3514</v>
      </c>
      <c r="E2263" t="s">
        <v>61</v>
      </c>
      <c r="F2263" t="s">
        <v>5550</v>
      </c>
      <c r="G2263" s="92">
        <v>42668.688148148147</v>
      </c>
      <c r="H2263" s="92">
        <v>42668.688159722224</v>
      </c>
      <c r="I2263" s="92">
        <v>42668.688159722224</v>
      </c>
      <c r="J2263" s="92"/>
      <c r="K2263" s="92">
        <v>42668.699513888889</v>
      </c>
      <c r="L2263" s="92">
        <f>IF(AND(单词表[[#This Row],[学英]]&lt;&gt;"",单词表[[#This Row],[学中]]&lt;&gt;"",单词表[[#This Row],[学词]]&lt;&gt;""),MAX(单词表[[#This Row],[学英]:[学词]]),"")</f>
        <v>42668.688159722224</v>
      </c>
      <c r="M2263" s="2" t="str">
        <f>IF(AND(单词表[[#This Row],[考英]]&lt;&gt;"",单词表[[#This Row],[考中]]&lt;&gt;""),MAX(单词表[[#This Row],[考英]:[考中]]),"")</f>
        <v/>
      </c>
      <c r="N2263" s="79"/>
    </row>
    <row r="2264" spans="1:14" hidden="1" x14ac:dyDescent="0.15">
      <c r="A2264">
        <v>2264</v>
      </c>
      <c r="B2264" t="s">
        <v>35</v>
      </c>
      <c r="C2264" t="s">
        <v>14</v>
      </c>
      <c r="D2264" s="72" t="s">
        <v>3937</v>
      </c>
      <c r="E2264" t="s">
        <v>36</v>
      </c>
      <c r="F2264" t="s">
        <v>3938</v>
      </c>
      <c r="G2264" s="92">
        <v>42668.68818287037</v>
      </c>
      <c r="H2264" s="92">
        <v>42668.688194444447</v>
      </c>
      <c r="I2264" s="92">
        <v>42668.688194444447</v>
      </c>
      <c r="J2264" s="92"/>
      <c r="K2264" s="92">
        <v>42668.699606481481</v>
      </c>
      <c r="L2264" s="92">
        <f>IF(AND(单词表[[#This Row],[学英]]&lt;&gt;"",单词表[[#This Row],[学中]]&lt;&gt;"",单词表[[#This Row],[学词]]&lt;&gt;""),MAX(单词表[[#This Row],[学英]:[学词]]),"")</f>
        <v>42668.688194444447</v>
      </c>
      <c r="M2264" s="2" t="str">
        <f>IF(AND(单词表[[#This Row],[考英]]&lt;&gt;"",单词表[[#This Row],[考中]]&lt;&gt;""),MAX(单词表[[#This Row],[考英]:[考中]]),"")</f>
        <v/>
      </c>
      <c r="N2264" s="79"/>
    </row>
    <row r="2265" spans="1:14" hidden="1" x14ac:dyDescent="0.15">
      <c r="A2265">
        <v>2265</v>
      </c>
      <c r="B2265" t="s">
        <v>35</v>
      </c>
      <c r="C2265" t="s">
        <v>14</v>
      </c>
      <c r="D2265" s="72" t="s">
        <v>1319</v>
      </c>
      <c r="E2265" t="s">
        <v>73</v>
      </c>
      <c r="F2265" t="s">
        <v>1320</v>
      </c>
      <c r="G2265" s="92">
        <v>42668.688217592593</v>
      </c>
      <c r="H2265" s="92">
        <v>42668.68822916667</v>
      </c>
      <c r="I2265" s="92">
        <v>42668.68822916667</v>
      </c>
      <c r="J2265" s="92"/>
      <c r="K2265" s="92">
        <v>42668.699629629627</v>
      </c>
      <c r="L2265" s="92">
        <f>IF(AND(单词表[[#This Row],[学英]]&lt;&gt;"",单词表[[#This Row],[学中]]&lt;&gt;"",单词表[[#This Row],[学词]]&lt;&gt;""),MAX(单词表[[#This Row],[学英]:[学词]]),"")</f>
        <v>42668.68822916667</v>
      </c>
      <c r="M2265" s="2" t="str">
        <f>IF(AND(单词表[[#This Row],[考英]]&lt;&gt;"",单词表[[#This Row],[考中]]&lt;&gt;""),MAX(单词表[[#This Row],[考英]:[考中]]),"")</f>
        <v/>
      </c>
      <c r="N2265" s="79"/>
    </row>
    <row r="2266" spans="1:14" hidden="1" x14ac:dyDescent="0.15">
      <c r="A2266">
        <v>2266</v>
      </c>
      <c r="B2266" t="s">
        <v>35</v>
      </c>
      <c r="C2266" t="s">
        <v>14</v>
      </c>
      <c r="D2266" s="72" t="s">
        <v>3939</v>
      </c>
      <c r="E2266" t="s">
        <v>36</v>
      </c>
      <c r="F2266" t="s">
        <v>3940</v>
      </c>
      <c r="G2266" s="92">
        <v>42668.688252314816</v>
      </c>
      <c r="H2266" s="92">
        <v>42668.688263888886</v>
      </c>
      <c r="I2266" s="92">
        <v>42668.688263888886</v>
      </c>
      <c r="J2266" s="92"/>
      <c r="K2266" s="92">
        <v>42668.699675925927</v>
      </c>
      <c r="L2266" s="92">
        <f>IF(AND(单词表[[#This Row],[学英]]&lt;&gt;"",单词表[[#This Row],[学中]]&lt;&gt;"",单词表[[#This Row],[学词]]&lt;&gt;""),MAX(单词表[[#This Row],[学英]:[学词]]),"")</f>
        <v>42668.688263888886</v>
      </c>
      <c r="M2266" s="2" t="str">
        <f>IF(AND(单词表[[#This Row],[考英]]&lt;&gt;"",单词表[[#This Row],[考中]]&lt;&gt;""),MAX(单词表[[#This Row],[考英]:[考中]]),"")</f>
        <v/>
      </c>
      <c r="N2266" s="79"/>
    </row>
    <row r="2267" spans="1:14" hidden="1" x14ac:dyDescent="0.15">
      <c r="A2267">
        <v>2267</v>
      </c>
      <c r="B2267" t="s">
        <v>35</v>
      </c>
      <c r="C2267" t="s">
        <v>14</v>
      </c>
      <c r="D2267" s="72" t="s">
        <v>3941</v>
      </c>
      <c r="E2267" t="s">
        <v>36</v>
      </c>
      <c r="F2267" t="s">
        <v>5551</v>
      </c>
      <c r="G2267" s="92">
        <v>42668.698379629626</v>
      </c>
      <c r="H2267" s="92">
        <v>42668.698391203703</v>
      </c>
      <c r="I2267" s="92">
        <v>42668.698391203703</v>
      </c>
      <c r="J2267" s="92"/>
      <c r="K2267" s="92">
        <v>42668.69971064815</v>
      </c>
      <c r="L2267" s="92">
        <f>IF(AND(单词表[[#This Row],[学英]]&lt;&gt;"",单词表[[#This Row],[学中]]&lt;&gt;"",单词表[[#This Row],[学词]]&lt;&gt;""),MAX(单词表[[#This Row],[学英]:[学词]]),"")</f>
        <v>42668.698391203703</v>
      </c>
      <c r="M2267" s="2" t="str">
        <f>IF(AND(单词表[[#This Row],[考英]]&lt;&gt;"",单词表[[#This Row],[考中]]&lt;&gt;""),MAX(单词表[[#This Row],[考英]:[考中]]),"")</f>
        <v/>
      </c>
      <c r="N2267" s="79"/>
    </row>
    <row r="2268" spans="1:14" hidden="1" x14ac:dyDescent="0.15">
      <c r="A2268">
        <v>2268</v>
      </c>
      <c r="B2268" t="s">
        <v>35</v>
      </c>
      <c r="C2268" t="s">
        <v>14</v>
      </c>
      <c r="D2268" s="72" t="s">
        <v>2457</v>
      </c>
      <c r="E2268" t="s">
        <v>36</v>
      </c>
      <c r="F2268" t="s">
        <v>3942</v>
      </c>
      <c r="G2268" s="92">
        <v>42668.698425925926</v>
      </c>
      <c r="H2268" s="92">
        <v>42668.700462962966</v>
      </c>
      <c r="I2268" s="92">
        <v>42668.700462962966</v>
      </c>
      <c r="J2268" s="92"/>
      <c r="K2268" s="92">
        <v>42668.700902777775</v>
      </c>
      <c r="L2268" s="92">
        <f>IF(AND(单词表[[#This Row],[学英]]&lt;&gt;"",单词表[[#This Row],[学中]]&lt;&gt;"",单词表[[#This Row],[学词]]&lt;&gt;""),MAX(单词表[[#This Row],[学英]:[学词]]),"")</f>
        <v>42668.700462962966</v>
      </c>
      <c r="M2268" s="2" t="str">
        <f>IF(AND(单词表[[#This Row],[考英]]&lt;&gt;"",单词表[[#This Row],[考中]]&lt;&gt;""),MAX(单词表[[#This Row],[考英]:[考中]]),"")</f>
        <v/>
      </c>
      <c r="N2268" s="79"/>
    </row>
    <row r="2269" spans="1:14" hidden="1" x14ac:dyDescent="0.15">
      <c r="A2269">
        <v>2269</v>
      </c>
      <c r="B2269" t="s">
        <v>35</v>
      </c>
      <c r="C2269" t="s">
        <v>14</v>
      </c>
      <c r="D2269" s="72" t="s">
        <v>3943</v>
      </c>
      <c r="E2269" t="s">
        <v>36</v>
      </c>
      <c r="F2269" t="s">
        <v>3944</v>
      </c>
      <c r="G2269" s="92">
        <v>42668.698449074072</v>
      </c>
      <c r="H2269" s="92">
        <v>42668.698449074072</v>
      </c>
      <c r="I2269" s="92">
        <v>42668.698449074072</v>
      </c>
      <c r="J2269" s="92"/>
      <c r="K2269" s="92">
        <v>42668.699907407405</v>
      </c>
      <c r="L2269" s="92">
        <f>IF(AND(单词表[[#This Row],[学英]]&lt;&gt;"",单词表[[#This Row],[学中]]&lt;&gt;"",单词表[[#This Row],[学词]]&lt;&gt;""),MAX(单词表[[#This Row],[学英]:[学词]]),"")</f>
        <v>42668.698449074072</v>
      </c>
      <c r="M2269" s="2" t="str">
        <f>IF(AND(单词表[[#This Row],[考英]]&lt;&gt;"",单词表[[#This Row],[考中]]&lt;&gt;""),MAX(单词表[[#This Row],[考英]:[考中]]),"")</f>
        <v/>
      </c>
      <c r="N2269" s="79"/>
    </row>
    <row r="2270" spans="1:14" hidden="1" x14ac:dyDescent="0.15">
      <c r="A2270">
        <v>2270</v>
      </c>
      <c r="B2270" t="s">
        <v>35</v>
      </c>
      <c r="C2270" t="s">
        <v>14</v>
      </c>
      <c r="D2270" s="72" t="s">
        <v>3945</v>
      </c>
      <c r="E2270" t="s">
        <v>36</v>
      </c>
      <c r="F2270" t="s">
        <v>3089</v>
      </c>
      <c r="G2270" s="92">
        <v>42668.698472222219</v>
      </c>
      <c r="H2270" s="92">
        <v>42668.698483796295</v>
      </c>
      <c r="I2270" s="92">
        <v>42668.698483796295</v>
      </c>
      <c r="J2270" s="92"/>
      <c r="K2270" s="92">
        <v>42668.699942129628</v>
      </c>
      <c r="L2270" s="92">
        <f>IF(AND(单词表[[#This Row],[学英]]&lt;&gt;"",单词表[[#This Row],[学中]]&lt;&gt;"",单词表[[#This Row],[学词]]&lt;&gt;""),MAX(单词表[[#This Row],[学英]:[学词]]),"")</f>
        <v>42668.698483796295</v>
      </c>
      <c r="M2270" s="2" t="str">
        <f>IF(AND(单词表[[#This Row],[考英]]&lt;&gt;"",单词表[[#This Row],[考中]]&lt;&gt;""),MAX(单词表[[#This Row],[考英]:[考中]]),"")</f>
        <v/>
      </c>
      <c r="N2270" s="79"/>
    </row>
    <row r="2271" spans="1:14" hidden="1" x14ac:dyDescent="0.15">
      <c r="A2271">
        <v>2271</v>
      </c>
      <c r="B2271" t="s">
        <v>35</v>
      </c>
      <c r="C2271" t="s">
        <v>14</v>
      </c>
      <c r="D2271" s="72" t="s">
        <v>999</v>
      </c>
      <c r="E2271" t="s">
        <v>702</v>
      </c>
      <c r="F2271" t="s">
        <v>1000</v>
      </c>
      <c r="G2271" s="92">
        <v>42668.698506944442</v>
      </c>
      <c r="H2271" s="92">
        <v>42668.698518518519</v>
      </c>
      <c r="I2271" s="92">
        <v>42668.698518518519</v>
      </c>
      <c r="J2271" s="92"/>
      <c r="K2271" s="92">
        <v>42668.699988425928</v>
      </c>
      <c r="L2271" s="92">
        <f>IF(AND(单词表[[#This Row],[学英]]&lt;&gt;"",单词表[[#This Row],[学中]]&lt;&gt;"",单词表[[#This Row],[学词]]&lt;&gt;""),MAX(单词表[[#This Row],[学英]:[学词]]),"")</f>
        <v>42668.698518518519</v>
      </c>
      <c r="M2271" s="2" t="str">
        <f>IF(AND(单词表[[#This Row],[考英]]&lt;&gt;"",单词表[[#This Row],[考中]]&lt;&gt;""),MAX(单词表[[#This Row],[考英]:[考中]]),"")</f>
        <v/>
      </c>
      <c r="N2271" s="79"/>
    </row>
    <row r="2272" spans="1:14" hidden="1" x14ac:dyDescent="0.15">
      <c r="A2272">
        <v>2272</v>
      </c>
      <c r="B2272" t="s">
        <v>35</v>
      </c>
      <c r="C2272" t="s">
        <v>14</v>
      </c>
      <c r="D2272" s="72" t="s">
        <v>3946</v>
      </c>
      <c r="E2272" t="s">
        <v>157</v>
      </c>
      <c r="F2272" t="s">
        <v>3947</v>
      </c>
      <c r="G2272" s="92">
        <v>42668.698530092595</v>
      </c>
      <c r="H2272" s="92">
        <v>42668.698541666665</v>
      </c>
      <c r="I2272" s="92">
        <v>42668.698541666665</v>
      </c>
      <c r="J2272" s="92"/>
      <c r="K2272" s="92">
        <v>42668.700127314813</v>
      </c>
      <c r="L2272" s="92">
        <f>IF(AND(单词表[[#This Row],[学英]]&lt;&gt;"",单词表[[#This Row],[学中]]&lt;&gt;"",单词表[[#This Row],[学词]]&lt;&gt;""),MAX(单词表[[#This Row],[学英]:[学词]]),"")</f>
        <v>42668.698541666665</v>
      </c>
      <c r="M2272" s="2" t="str">
        <f>IF(AND(单词表[[#This Row],[考英]]&lt;&gt;"",单词表[[#This Row],[考中]]&lt;&gt;""),MAX(单词表[[#This Row],[考英]:[考中]]),"")</f>
        <v/>
      </c>
      <c r="N2272" s="79"/>
    </row>
    <row r="2273" spans="1:14" hidden="1" x14ac:dyDescent="0.15">
      <c r="A2273">
        <v>2273</v>
      </c>
      <c r="B2273" t="s">
        <v>35</v>
      </c>
      <c r="C2273" t="s">
        <v>14</v>
      </c>
      <c r="D2273" s="72" t="s">
        <v>828</v>
      </c>
      <c r="E2273" t="s">
        <v>61</v>
      </c>
      <c r="F2273" t="s">
        <v>3948</v>
      </c>
      <c r="G2273" s="92">
        <v>42668.698564814818</v>
      </c>
      <c r="H2273" s="92">
        <v>42668.698576388888</v>
      </c>
      <c r="I2273" s="92">
        <v>42668.698564814818</v>
      </c>
      <c r="J2273" s="92"/>
      <c r="K2273" s="92">
        <v>42668.700150462966</v>
      </c>
      <c r="L2273" s="92">
        <f>IF(AND(单词表[[#This Row],[学英]]&lt;&gt;"",单词表[[#This Row],[学中]]&lt;&gt;"",单词表[[#This Row],[学词]]&lt;&gt;""),MAX(单词表[[#This Row],[学英]:[学词]]),"")</f>
        <v>42668.698576388888</v>
      </c>
      <c r="M2273" s="2" t="str">
        <f>IF(AND(单词表[[#This Row],[考英]]&lt;&gt;"",单词表[[#This Row],[考中]]&lt;&gt;""),MAX(单词表[[#This Row],[考英]:[考中]]),"")</f>
        <v/>
      </c>
      <c r="N2273" s="79"/>
    </row>
    <row r="2274" spans="1:14" hidden="1" x14ac:dyDescent="0.15">
      <c r="A2274">
        <v>2274</v>
      </c>
      <c r="B2274" t="s">
        <v>35</v>
      </c>
      <c r="C2274" t="s">
        <v>14</v>
      </c>
      <c r="D2274" s="72" t="s">
        <v>3949</v>
      </c>
      <c r="E2274" t="s">
        <v>736</v>
      </c>
      <c r="F2274" t="s">
        <v>1825</v>
      </c>
      <c r="G2274" s="92">
        <v>42668.698599537034</v>
      </c>
      <c r="H2274" s="92">
        <v>42668.698599537034</v>
      </c>
      <c r="I2274" s="92">
        <v>42668.698599537034</v>
      </c>
      <c r="J2274" s="92"/>
      <c r="K2274" s="92">
        <v>42668.700185185182</v>
      </c>
      <c r="L2274" s="92">
        <f>IF(AND(单词表[[#This Row],[学英]]&lt;&gt;"",单词表[[#This Row],[学中]]&lt;&gt;"",单词表[[#This Row],[学词]]&lt;&gt;""),MAX(单词表[[#This Row],[学英]:[学词]]),"")</f>
        <v>42668.698599537034</v>
      </c>
      <c r="M2274" s="2" t="str">
        <f>IF(AND(单词表[[#This Row],[考英]]&lt;&gt;"",单词表[[#This Row],[考中]]&lt;&gt;""),MAX(单词表[[#This Row],[考英]:[考中]]),"")</f>
        <v/>
      </c>
      <c r="N2274" s="79"/>
    </row>
    <row r="2275" spans="1:14" hidden="1" x14ac:dyDescent="0.15">
      <c r="A2275">
        <v>2275</v>
      </c>
      <c r="B2275" t="s">
        <v>35</v>
      </c>
      <c r="C2275" t="s">
        <v>14</v>
      </c>
      <c r="D2275" s="72" t="s">
        <v>3950</v>
      </c>
      <c r="E2275" t="s">
        <v>736</v>
      </c>
      <c r="F2275" t="s">
        <v>5552</v>
      </c>
      <c r="G2275" s="92">
        <v>42668.698622685188</v>
      </c>
      <c r="H2275" s="92">
        <v>42668.698645833334</v>
      </c>
      <c r="I2275" s="92">
        <v>42668.698622685188</v>
      </c>
      <c r="J2275" s="92"/>
      <c r="K2275" s="92">
        <v>42668.700358796297</v>
      </c>
      <c r="L2275" s="92">
        <f>IF(AND(单词表[[#This Row],[学英]]&lt;&gt;"",单词表[[#This Row],[学中]]&lt;&gt;"",单词表[[#This Row],[学词]]&lt;&gt;""),MAX(单词表[[#This Row],[学英]:[学词]]),"")</f>
        <v>42668.698645833334</v>
      </c>
      <c r="M2275" s="2" t="str">
        <f>IF(AND(单词表[[#This Row],[考英]]&lt;&gt;"",单词表[[#This Row],[考中]]&lt;&gt;""),MAX(单词表[[#This Row],[考英]:[考中]]),"")</f>
        <v/>
      </c>
      <c r="N2275" s="79"/>
    </row>
    <row r="2276" spans="1:14" hidden="1" x14ac:dyDescent="0.15">
      <c r="A2276">
        <v>2276</v>
      </c>
      <c r="B2276" t="s">
        <v>35</v>
      </c>
      <c r="C2276" t="s">
        <v>15</v>
      </c>
      <c r="D2276" s="72" t="s">
        <v>3951</v>
      </c>
      <c r="E2276" t="s">
        <v>36</v>
      </c>
      <c r="F2276" t="s">
        <v>3952</v>
      </c>
      <c r="G2276" s="92">
        <v>42673.885069444441</v>
      </c>
      <c r="H2276" s="92">
        <v>42681.880798611113</v>
      </c>
      <c r="I2276" s="92">
        <v>42681.880798611113</v>
      </c>
      <c r="J2276" s="92"/>
      <c r="K2276" s="92">
        <v>42681.881099537037</v>
      </c>
      <c r="L2276" s="92">
        <f>IF(AND(单词表[[#This Row],[学英]]&lt;&gt;"",单词表[[#This Row],[学中]]&lt;&gt;"",单词表[[#This Row],[学词]]&lt;&gt;""),MAX(单词表[[#This Row],[学英]:[学词]]),"")</f>
        <v>42681.880798611113</v>
      </c>
      <c r="M2276" s="2" t="str">
        <f>IF(AND(单词表[[#This Row],[考英]]&lt;&gt;"",单词表[[#This Row],[考中]]&lt;&gt;""),MAX(单词表[[#This Row],[考英]:[考中]]),"")</f>
        <v/>
      </c>
      <c r="N2276" s="79"/>
    </row>
    <row r="2277" spans="1:14" hidden="1" x14ac:dyDescent="0.15">
      <c r="A2277">
        <v>2277</v>
      </c>
      <c r="B2277" t="s">
        <v>35</v>
      </c>
      <c r="C2277" t="s">
        <v>15</v>
      </c>
      <c r="D2277" s="72" t="s">
        <v>734</v>
      </c>
      <c r="E2277" t="s">
        <v>36</v>
      </c>
      <c r="F2277" t="s">
        <v>3953</v>
      </c>
      <c r="G2277" s="92">
        <v>42673.885092592594</v>
      </c>
      <c r="H2277" s="92">
        <v>42673.885092592594</v>
      </c>
      <c r="I2277" s="92">
        <v>42673.885092592594</v>
      </c>
      <c r="J2277" s="92"/>
      <c r="K2277" s="92">
        <v>42681.873576388891</v>
      </c>
      <c r="L2277" s="92">
        <f>IF(AND(单词表[[#This Row],[学英]]&lt;&gt;"",单词表[[#This Row],[学中]]&lt;&gt;"",单词表[[#This Row],[学词]]&lt;&gt;""),MAX(单词表[[#This Row],[学英]:[学词]]),"")</f>
        <v>42673.885092592594</v>
      </c>
      <c r="M2277" s="2" t="str">
        <f>IF(AND(单词表[[#This Row],[考英]]&lt;&gt;"",单词表[[#This Row],[考中]]&lt;&gt;""),MAX(单词表[[#This Row],[考英]:[考中]]),"")</f>
        <v/>
      </c>
      <c r="N2277" s="79"/>
    </row>
    <row r="2278" spans="1:14" hidden="1" x14ac:dyDescent="0.15">
      <c r="A2278">
        <v>2278</v>
      </c>
      <c r="B2278" t="s">
        <v>35</v>
      </c>
      <c r="C2278" t="s">
        <v>15</v>
      </c>
      <c r="D2278" s="72" t="s">
        <v>3954</v>
      </c>
      <c r="E2278" t="s">
        <v>36</v>
      </c>
      <c r="F2278" t="s">
        <v>3955</v>
      </c>
      <c r="G2278" s="92">
        <v>42673.885115740741</v>
      </c>
      <c r="H2278" s="92">
        <v>42673.885115740741</v>
      </c>
      <c r="I2278" s="92">
        <v>42673.885115740741</v>
      </c>
      <c r="J2278" s="92"/>
      <c r="K2278" s="92">
        <v>42681.873599537037</v>
      </c>
      <c r="L2278" s="92">
        <f>IF(AND(单词表[[#This Row],[学英]]&lt;&gt;"",单词表[[#This Row],[学中]]&lt;&gt;"",单词表[[#This Row],[学词]]&lt;&gt;""),MAX(单词表[[#This Row],[学英]:[学词]]),"")</f>
        <v>42673.885115740741</v>
      </c>
      <c r="M2278" s="2" t="str">
        <f>IF(AND(单词表[[#This Row],[考英]]&lt;&gt;"",单词表[[#This Row],[考中]]&lt;&gt;""),MAX(单词表[[#This Row],[考英]:[考中]]),"")</f>
        <v/>
      </c>
      <c r="N2278" s="79"/>
    </row>
    <row r="2279" spans="1:14" hidden="1" x14ac:dyDescent="0.15">
      <c r="A2279">
        <v>2279</v>
      </c>
      <c r="B2279" t="s">
        <v>35</v>
      </c>
      <c r="C2279" t="s">
        <v>15</v>
      </c>
      <c r="D2279" s="72" t="s">
        <v>1684</v>
      </c>
      <c r="E2279" t="s">
        <v>36</v>
      </c>
      <c r="F2279" t="s">
        <v>1685</v>
      </c>
      <c r="G2279" s="92">
        <v>42673.885150462964</v>
      </c>
      <c r="H2279" s="92">
        <v>42673.885150462964</v>
      </c>
      <c r="I2279" s="92">
        <v>42673.885150462964</v>
      </c>
      <c r="J2279" s="92"/>
      <c r="K2279" s="92">
        <v>42681.873645833337</v>
      </c>
      <c r="L2279" s="92">
        <f>IF(AND(单词表[[#This Row],[学英]]&lt;&gt;"",单词表[[#This Row],[学中]]&lt;&gt;"",单词表[[#This Row],[学词]]&lt;&gt;""),MAX(单词表[[#This Row],[学英]:[学词]]),"")</f>
        <v>42673.885150462964</v>
      </c>
      <c r="M2279" s="2" t="str">
        <f>IF(AND(单词表[[#This Row],[考英]]&lt;&gt;"",单词表[[#This Row],[考中]]&lt;&gt;""),MAX(单词表[[#This Row],[考英]:[考中]]),"")</f>
        <v/>
      </c>
      <c r="N2279" s="79"/>
    </row>
    <row r="2280" spans="1:14" hidden="1" x14ac:dyDescent="0.15">
      <c r="A2280">
        <v>2280</v>
      </c>
      <c r="B2280" t="s">
        <v>35</v>
      </c>
      <c r="C2280" t="s">
        <v>15</v>
      </c>
      <c r="D2280" s="72" t="s">
        <v>3956</v>
      </c>
      <c r="E2280" t="s">
        <v>157</v>
      </c>
      <c r="F2280" t="s">
        <v>5553</v>
      </c>
      <c r="G2280" s="92">
        <v>42673.895231481481</v>
      </c>
      <c r="H2280" s="92">
        <v>42683.797673611109</v>
      </c>
      <c r="I2280" s="92">
        <v>42683.797673611109</v>
      </c>
      <c r="J2280" s="92"/>
      <c r="K2280" s="92">
        <v>42683.798159722224</v>
      </c>
      <c r="L2280" s="92">
        <f>IF(AND(单词表[[#This Row],[学英]]&lt;&gt;"",单词表[[#This Row],[学中]]&lt;&gt;"",单词表[[#This Row],[学词]]&lt;&gt;""),MAX(单词表[[#This Row],[学英]:[学词]]),"")</f>
        <v>42683.797673611109</v>
      </c>
      <c r="M2280" s="2" t="str">
        <f>IF(AND(单词表[[#This Row],[考英]]&lt;&gt;"",单词表[[#This Row],[考中]]&lt;&gt;""),MAX(单词表[[#This Row],[考英]:[考中]]),"")</f>
        <v/>
      </c>
      <c r="N2280" s="79"/>
    </row>
    <row r="2281" spans="1:14" hidden="1" x14ac:dyDescent="0.15">
      <c r="A2281">
        <v>2281</v>
      </c>
      <c r="B2281" t="s">
        <v>35</v>
      </c>
      <c r="C2281" t="s">
        <v>15</v>
      </c>
      <c r="D2281" s="72" t="s">
        <v>2044</v>
      </c>
      <c r="E2281" t="s">
        <v>36</v>
      </c>
      <c r="F2281" t="s">
        <v>2045</v>
      </c>
      <c r="G2281" s="92">
        <v>42673.895254629628</v>
      </c>
      <c r="H2281" s="92">
        <v>42673.895266203705</v>
      </c>
      <c r="I2281" s="92">
        <v>42673.895266203705</v>
      </c>
      <c r="J2281" s="92"/>
      <c r="K2281" s="92">
        <v>42681.873680555553</v>
      </c>
      <c r="L2281" s="92">
        <f>IF(AND(单词表[[#This Row],[学英]]&lt;&gt;"",单词表[[#This Row],[学中]]&lt;&gt;"",单词表[[#This Row],[学词]]&lt;&gt;""),MAX(单词表[[#This Row],[学英]:[学词]]),"")</f>
        <v>42673.895266203705</v>
      </c>
      <c r="M2281" s="2" t="str">
        <f>IF(AND(单词表[[#This Row],[考英]]&lt;&gt;"",单词表[[#This Row],[考中]]&lt;&gt;""),MAX(单词表[[#This Row],[考英]:[考中]]),"")</f>
        <v/>
      </c>
      <c r="N2281" s="79"/>
    </row>
    <row r="2282" spans="1:14" hidden="1" x14ac:dyDescent="0.15">
      <c r="A2282">
        <v>2282</v>
      </c>
      <c r="B2282" t="s">
        <v>35</v>
      </c>
      <c r="C2282" t="s">
        <v>15</v>
      </c>
      <c r="D2282" s="72" t="s">
        <v>3957</v>
      </c>
      <c r="E2282" t="s">
        <v>36</v>
      </c>
      <c r="F2282" t="s">
        <v>3958</v>
      </c>
      <c r="G2282" s="92">
        <v>42673.895289351851</v>
      </c>
      <c r="H2282" s="92">
        <v>42681.880844907406</v>
      </c>
      <c r="I2282" s="92">
        <v>42681.880844907406</v>
      </c>
      <c r="J2282" s="92"/>
      <c r="K2282" s="92">
        <v>42681.881180555552</v>
      </c>
      <c r="L2282" s="92">
        <f>IF(AND(单词表[[#This Row],[学英]]&lt;&gt;"",单词表[[#This Row],[学中]]&lt;&gt;"",单词表[[#This Row],[学词]]&lt;&gt;""),MAX(单词表[[#This Row],[学英]:[学词]]),"")</f>
        <v>42681.880844907406</v>
      </c>
      <c r="M2282" s="2" t="str">
        <f>IF(AND(单词表[[#This Row],[考英]]&lt;&gt;"",单词表[[#This Row],[考中]]&lt;&gt;""),MAX(单词表[[#This Row],[考英]:[考中]]),"")</f>
        <v/>
      </c>
      <c r="N2282" s="79"/>
    </row>
    <row r="2283" spans="1:14" hidden="1" x14ac:dyDescent="0.15">
      <c r="A2283">
        <v>2283</v>
      </c>
      <c r="B2283" t="s">
        <v>35</v>
      </c>
      <c r="C2283" t="s">
        <v>15</v>
      </c>
      <c r="D2283" s="72" t="s">
        <v>3959</v>
      </c>
      <c r="E2283" t="s">
        <v>36</v>
      </c>
      <c r="F2283" t="s">
        <v>2284</v>
      </c>
      <c r="G2283" s="92">
        <v>42673.895324074074</v>
      </c>
      <c r="H2283" s="92">
        <v>42673.89534722222</v>
      </c>
      <c r="I2283" s="92">
        <v>42673.895335648151</v>
      </c>
      <c r="J2283" s="92"/>
      <c r="K2283" s="92">
        <v>42681.878425925926</v>
      </c>
      <c r="L2283" s="92">
        <f>IF(AND(单词表[[#This Row],[学英]]&lt;&gt;"",单词表[[#This Row],[学中]]&lt;&gt;"",单词表[[#This Row],[学词]]&lt;&gt;""),MAX(单词表[[#This Row],[学英]:[学词]]),"")</f>
        <v>42673.89534722222</v>
      </c>
      <c r="M2283" s="2" t="str">
        <f>IF(AND(单词表[[#This Row],[考英]]&lt;&gt;"",单词表[[#This Row],[考中]]&lt;&gt;""),MAX(单词表[[#This Row],[考英]:[考中]]),"")</f>
        <v/>
      </c>
      <c r="N2283" s="79"/>
    </row>
    <row r="2284" spans="1:14" hidden="1" x14ac:dyDescent="0.15">
      <c r="A2284">
        <v>2284</v>
      </c>
      <c r="B2284" t="s">
        <v>35</v>
      </c>
      <c r="C2284" t="s">
        <v>15</v>
      </c>
      <c r="D2284" s="72" t="s">
        <v>3960</v>
      </c>
      <c r="E2284" t="s">
        <v>36</v>
      </c>
      <c r="F2284" t="s">
        <v>3961</v>
      </c>
      <c r="G2284" s="92">
        <v>42673.895370370374</v>
      </c>
      <c r="H2284" s="92">
        <v>42673.895405092589</v>
      </c>
      <c r="I2284" s="92">
        <v>42673.895370370374</v>
      </c>
      <c r="J2284" s="92"/>
      <c r="K2284" s="92">
        <v>42681.878472222219</v>
      </c>
      <c r="L2284" s="92">
        <f>IF(AND(单词表[[#This Row],[学英]]&lt;&gt;"",单词表[[#This Row],[学中]]&lt;&gt;"",单词表[[#This Row],[学词]]&lt;&gt;""),MAX(单词表[[#This Row],[学英]:[学词]]),"")</f>
        <v>42673.895405092589</v>
      </c>
      <c r="M2284" s="2" t="str">
        <f>IF(AND(单词表[[#This Row],[考英]]&lt;&gt;"",单词表[[#This Row],[考中]]&lt;&gt;""),MAX(单词表[[#This Row],[考英]:[考中]]),"")</f>
        <v/>
      </c>
      <c r="N2284" s="79"/>
    </row>
    <row r="2285" spans="1:14" hidden="1" x14ac:dyDescent="0.15">
      <c r="A2285">
        <v>2285</v>
      </c>
      <c r="B2285" t="s">
        <v>35</v>
      </c>
      <c r="C2285" t="s">
        <v>15</v>
      </c>
      <c r="D2285" s="72" t="s">
        <v>2093</v>
      </c>
      <c r="E2285" t="s">
        <v>36</v>
      </c>
      <c r="F2285" t="s">
        <v>2094</v>
      </c>
      <c r="G2285" s="92">
        <v>42680.798333333332</v>
      </c>
      <c r="H2285" s="92">
        <v>42680.798333333332</v>
      </c>
      <c r="I2285" s="92">
        <v>42680.798333333332</v>
      </c>
      <c r="J2285" s="92"/>
      <c r="K2285" s="92">
        <v>42681.881215277775</v>
      </c>
      <c r="L2285" s="92">
        <f>IF(AND(单词表[[#This Row],[学英]]&lt;&gt;"",单词表[[#This Row],[学中]]&lt;&gt;"",单词表[[#This Row],[学词]]&lt;&gt;""),MAX(单词表[[#This Row],[学英]:[学词]]),"")</f>
        <v>42680.798333333332</v>
      </c>
      <c r="M2285" s="2" t="str">
        <f>IF(AND(单词表[[#This Row],[考英]]&lt;&gt;"",单词表[[#This Row],[考中]]&lt;&gt;""),MAX(单词表[[#This Row],[考英]:[考中]]),"")</f>
        <v/>
      </c>
      <c r="N2285" s="79"/>
    </row>
    <row r="2286" spans="1:14" hidden="1" x14ac:dyDescent="0.15">
      <c r="A2286">
        <v>2286</v>
      </c>
      <c r="B2286" t="s">
        <v>35</v>
      </c>
      <c r="C2286" t="s">
        <v>15</v>
      </c>
      <c r="D2286" s="72" t="s">
        <v>426</v>
      </c>
      <c r="E2286" t="s">
        <v>36</v>
      </c>
      <c r="F2286" t="s">
        <v>427</v>
      </c>
      <c r="G2286" s="92">
        <v>42680.798356481479</v>
      </c>
      <c r="H2286" s="92">
        <v>42681.880856481483</v>
      </c>
      <c r="I2286" s="92">
        <v>42681.880856481483</v>
      </c>
      <c r="J2286" s="92"/>
      <c r="K2286" s="92">
        <v>42683.798194444447</v>
      </c>
      <c r="L2286" s="92">
        <f>IF(AND(单词表[[#This Row],[学英]]&lt;&gt;"",单词表[[#This Row],[学中]]&lt;&gt;"",单词表[[#This Row],[学词]]&lt;&gt;""),MAX(单词表[[#This Row],[学英]:[学词]]),"")</f>
        <v>42681.880856481483</v>
      </c>
      <c r="M2286" s="2" t="str">
        <f>IF(AND(单词表[[#This Row],[考英]]&lt;&gt;"",单词表[[#This Row],[考中]]&lt;&gt;""),MAX(单词表[[#This Row],[考英]:[考中]]),"")</f>
        <v/>
      </c>
      <c r="N2286" s="79"/>
    </row>
    <row r="2287" spans="1:14" hidden="1" x14ac:dyDescent="0.15">
      <c r="A2287">
        <v>2287</v>
      </c>
      <c r="B2287" t="s">
        <v>35</v>
      </c>
      <c r="C2287" t="s">
        <v>15</v>
      </c>
      <c r="D2287" s="72" t="s">
        <v>3962</v>
      </c>
      <c r="E2287" t="s">
        <v>702</v>
      </c>
      <c r="F2287" t="s">
        <v>3963</v>
      </c>
      <c r="G2287" s="92">
        <v>42680.798379629632</v>
      </c>
      <c r="H2287" s="92">
        <v>42681.880879629629</v>
      </c>
      <c r="I2287" s="92">
        <v>42681.880879629629</v>
      </c>
      <c r="J2287" s="92"/>
      <c r="K2287" s="92">
        <v>42683.798229166663</v>
      </c>
      <c r="L2287" s="92">
        <f>IF(AND(单词表[[#This Row],[学英]]&lt;&gt;"",单词表[[#This Row],[学中]]&lt;&gt;"",单词表[[#This Row],[学词]]&lt;&gt;""),MAX(单词表[[#This Row],[学英]:[学词]]),"")</f>
        <v>42681.880879629629</v>
      </c>
      <c r="M2287" s="2" t="str">
        <f>IF(AND(单词表[[#This Row],[考英]]&lt;&gt;"",单词表[[#This Row],[考中]]&lt;&gt;""),MAX(单词表[[#This Row],[考英]:[考中]]),"")</f>
        <v/>
      </c>
      <c r="N2287" s="79"/>
    </row>
    <row r="2288" spans="1:14" hidden="1" x14ac:dyDescent="0.15">
      <c r="A2288">
        <v>2288</v>
      </c>
      <c r="B2288" t="s">
        <v>35</v>
      </c>
      <c r="C2288" t="s">
        <v>15</v>
      </c>
      <c r="D2288" s="72" t="s">
        <v>3964</v>
      </c>
      <c r="E2288" t="s">
        <v>36</v>
      </c>
      <c r="F2288" t="s">
        <v>3965</v>
      </c>
      <c r="G2288" s="92">
        <v>42680.798414351855</v>
      </c>
      <c r="H2288" s="92">
        <v>42683.797696759262</v>
      </c>
      <c r="I2288" s="92">
        <v>42683.797696759262</v>
      </c>
      <c r="J2288" s="92"/>
      <c r="K2288" s="92">
        <v>42683.798333333332</v>
      </c>
      <c r="L2288" s="92">
        <f>IF(AND(单词表[[#This Row],[学英]]&lt;&gt;"",单词表[[#This Row],[学中]]&lt;&gt;"",单词表[[#This Row],[学词]]&lt;&gt;""),MAX(单词表[[#This Row],[学英]:[学词]]),"")</f>
        <v>42683.797696759262</v>
      </c>
      <c r="M2288" s="2" t="str">
        <f>IF(AND(单词表[[#This Row],[考英]]&lt;&gt;"",单词表[[#This Row],[考中]]&lt;&gt;""),MAX(单词表[[#This Row],[考英]:[考中]]),"")</f>
        <v/>
      </c>
      <c r="N2288" s="79"/>
    </row>
    <row r="2289" spans="1:14" hidden="1" x14ac:dyDescent="0.15">
      <c r="A2289">
        <v>2289</v>
      </c>
      <c r="B2289" t="s">
        <v>35</v>
      </c>
      <c r="C2289" t="s">
        <v>15</v>
      </c>
      <c r="D2289" s="72" t="s">
        <v>3966</v>
      </c>
      <c r="E2289" t="s">
        <v>36</v>
      </c>
      <c r="F2289" t="s">
        <v>3967</v>
      </c>
      <c r="G2289" s="92">
        <v>42680.798437500001</v>
      </c>
      <c r="H2289" s="92">
        <v>42681.880925925929</v>
      </c>
      <c r="I2289" s="92">
        <v>42681.880925925929</v>
      </c>
      <c r="J2289" s="92"/>
      <c r="K2289" s="92">
        <v>42683.798356481479</v>
      </c>
      <c r="L2289" s="92">
        <f>IF(AND(单词表[[#This Row],[学英]]&lt;&gt;"",单词表[[#This Row],[学中]]&lt;&gt;"",单词表[[#This Row],[学词]]&lt;&gt;""),MAX(单词表[[#This Row],[学英]:[学词]]),"")</f>
        <v>42681.880925925929</v>
      </c>
      <c r="M2289" s="2" t="str">
        <f>IF(AND(单词表[[#This Row],[考英]]&lt;&gt;"",单词表[[#This Row],[考中]]&lt;&gt;""),MAX(单词表[[#This Row],[考英]:[考中]]),"")</f>
        <v/>
      </c>
      <c r="N2289" s="79"/>
    </row>
    <row r="2290" spans="1:14" hidden="1" x14ac:dyDescent="0.15">
      <c r="A2290">
        <v>2290</v>
      </c>
      <c r="B2290" t="s">
        <v>35</v>
      </c>
      <c r="C2290" t="s">
        <v>15</v>
      </c>
      <c r="D2290" s="72" t="s">
        <v>2994</v>
      </c>
      <c r="E2290" t="s">
        <v>36</v>
      </c>
      <c r="F2290" t="s">
        <v>2995</v>
      </c>
      <c r="G2290" s="92">
        <v>42680.798495370371</v>
      </c>
      <c r="H2290" s="92">
        <v>42681.880949074075</v>
      </c>
      <c r="I2290" s="92">
        <v>42681.880949074075</v>
      </c>
      <c r="J2290" s="92"/>
      <c r="K2290" s="92">
        <v>42683.798402777778</v>
      </c>
      <c r="L2290" s="92">
        <f>IF(AND(单词表[[#This Row],[学英]]&lt;&gt;"",单词表[[#This Row],[学中]]&lt;&gt;"",单词表[[#This Row],[学词]]&lt;&gt;""),MAX(单词表[[#This Row],[学英]:[学词]]),"")</f>
        <v>42681.880949074075</v>
      </c>
      <c r="M2290" s="2" t="str">
        <f>IF(AND(单词表[[#This Row],[考英]]&lt;&gt;"",单词表[[#This Row],[考中]]&lt;&gt;""),MAX(单词表[[#This Row],[考英]:[考中]]),"")</f>
        <v/>
      </c>
      <c r="N2290" s="79"/>
    </row>
    <row r="2291" spans="1:14" hidden="1" x14ac:dyDescent="0.15">
      <c r="A2291">
        <v>2291</v>
      </c>
      <c r="B2291" t="s">
        <v>35</v>
      </c>
      <c r="C2291" t="s">
        <v>15</v>
      </c>
      <c r="D2291" s="72" t="s">
        <v>2846</v>
      </c>
      <c r="E2291" t="s">
        <v>36</v>
      </c>
      <c r="F2291" t="s">
        <v>3968</v>
      </c>
      <c r="G2291" s="92">
        <v>42680.798541666663</v>
      </c>
      <c r="H2291" s="92">
        <v>42681.880972222221</v>
      </c>
      <c r="I2291" s="92">
        <v>42681.880972222221</v>
      </c>
      <c r="J2291" s="92"/>
      <c r="K2291" s="92">
        <v>42683.798437500001</v>
      </c>
      <c r="L2291" s="92">
        <f>IF(AND(单词表[[#This Row],[学英]]&lt;&gt;"",单词表[[#This Row],[学中]]&lt;&gt;"",单词表[[#This Row],[学词]]&lt;&gt;""),MAX(单词表[[#This Row],[学英]:[学词]]),"")</f>
        <v>42681.880972222221</v>
      </c>
      <c r="M2291" s="2" t="str">
        <f>IF(AND(单词表[[#This Row],[考英]]&lt;&gt;"",单词表[[#This Row],[考中]]&lt;&gt;""),MAX(单词表[[#This Row],[考英]:[考中]]),"")</f>
        <v/>
      </c>
      <c r="N2291" s="79"/>
    </row>
    <row r="2292" spans="1:14" hidden="1" x14ac:dyDescent="0.15">
      <c r="A2292">
        <v>2292</v>
      </c>
      <c r="B2292" t="s">
        <v>35</v>
      </c>
      <c r="C2292" t="s">
        <v>15</v>
      </c>
      <c r="D2292" s="72" t="s">
        <v>3969</v>
      </c>
      <c r="E2292" t="s">
        <v>36</v>
      </c>
      <c r="F2292" t="s">
        <v>3970</v>
      </c>
      <c r="G2292" s="92">
        <v>42680.798587962963</v>
      </c>
      <c r="H2292" s="92">
        <v>42683.797708333332</v>
      </c>
      <c r="I2292" s="92">
        <v>42683.797708333332</v>
      </c>
      <c r="J2292" s="92"/>
      <c r="K2292" s="92">
        <v>42683.798460648148</v>
      </c>
      <c r="L2292" s="92">
        <f>IF(AND(单词表[[#This Row],[学英]]&lt;&gt;"",单词表[[#This Row],[学中]]&lt;&gt;"",单词表[[#This Row],[学词]]&lt;&gt;""),MAX(单词表[[#This Row],[学英]:[学词]]),"")</f>
        <v>42683.797708333332</v>
      </c>
      <c r="M2292" s="2" t="str">
        <f>IF(AND(单词表[[#This Row],[考英]]&lt;&gt;"",单词表[[#This Row],[考中]]&lt;&gt;""),MAX(单词表[[#This Row],[考英]:[考中]]),"")</f>
        <v/>
      </c>
      <c r="N2292" s="79"/>
    </row>
    <row r="2293" spans="1:14" hidden="1" x14ac:dyDescent="0.15">
      <c r="A2293">
        <v>2293</v>
      </c>
      <c r="B2293" t="s">
        <v>35</v>
      </c>
      <c r="C2293" t="s">
        <v>15</v>
      </c>
      <c r="D2293" s="72" t="s">
        <v>3971</v>
      </c>
      <c r="E2293" t="s">
        <v>36</v>
      </c>
      <c r="F2293" t="s">
        <v>3972</v>
      </c>
      <c r="G2293" s="92">
        <v>42680.798645833333</v>
      </c>
      <c r="H2293" s="92">
        <v>42680.798645833333</v>
      </c>
      <c r="I2293" s="92">
        <v>42680.798645833333</v>
      </c>
      <c r="J2293" s="92"/>
      <c r="K2293" s="92">
        <v>42683.798495370371</v>
      </c>
      <c r="L2293" s="92">
        <f>IF(AND(单词表[[#This Row],[学英]]&lt;&gt;"",单词表[[#This Row],[学中]]&lt;&gt;"",单词表[[#This Row],[学词]]&lt;&gt;""),MAX(单词表[[#This Row],[学英]:[学词]]),"")</f>
        <v>42680.798645833333</v>
      </c>
      <c r="M2293" s="2" t="str">
        <f>IF(AND(单词表[[#This Row],[考英]]&lt;&gt;"",单词表[[#This Row],[考中]]&lt;&gt;""),MAX(单词表[[#This Row],[考英]:[考中]]),"")</f>
        <v/>
      </c>
      <c r="N2293" s="79"/>
    </row>
    <row r="2294" spans="1:14" hidden="1" x14ac:dyDescent="0.15">
      <c r="A2294">
        <v>2294</v>
      </c>
      <c r="B2294" t="s">
        <v>35</v>
      </c>
      <c r="C2294" t="s">
        <v>15</v>
      </c>
      <c r="D2294" s="72" t="s">
        <v>3973</v>
      </c>
      <c r="E2294" t="s">
        <v>73</v>
      </c>
      <c r="F2294" t="s">
        <v>3974</v>
      </c>
      <c r="G2294" s="92">
        <v>42680.798703703702</v>
      </c>
      <c r="H2294" s="92">
        <v>42680.798703703702</v>
      </c>
      <c r="I2294" s="92">
        <v>42680.798703703702</v>
      </c>
      <c r="J2294" s="92"/>
      <c r="K2294" s="92">
        <v>42683.798541666663</v>
      </c>
      <c r="L2294" s="92">
        <f>IF(AND(单词表[[#This Row],[学英]]&lt;&gt;"",单词表[[#This Row],[学中]]&lt;&gt;"",单词表[[#This Row],[学词]]&lt;&gt;""),MAX(单词表[[#This Row],[学英]:[学词]]),"")</f>
        <v>42680.798703703702</v>
      </c>
      <c r="M2294" s="2" t="str">
        <f>IF(AND(单词表[[#This Row],[考英]]&lt;&gt;"",单词表[[#This Row],[考中]]&lt;&gt;""),MAX(单词表[[#This Row],[考英]:[考中]]),"")</f>
        <v/>
      </c>
      <c r="N2294" s="79"/>
    </row>
    <row r="2295" spans="1:14" hidden="1" x14ac:dyDescent="0.15">
      <c r="A2295">
        <v>2295</v>
      </c>
      <c r="B2295" t="s">
        <v>35</v>
      </c>
      <c r="C2295" t="s">
        <v>15</v>
      </c>
      <c r="D2295" s="72" t="s">
        <v>3975</v>
      </c>
      <c r="E2295" t="s">
        <v>702</v>
      </c>
      <c r="F2295" t="s">
        <v>3976</v>
      </c>
      <c r="G2295" s="92">
        <v>42680.799016203702</v>
      </c>
      <c r="H2295" s="92">
        <v>42680.799016203702</v>
      </c>
      <c r="I2295" s="92">
        <v>42680.799016203702</v>
      </c>
      <c r="J2295" s="92"/>
      <c r="K2295" s="92">
        <v>42683.798576388886</v>
      </c>
      <c r="L2295" s="92">
        <f>IF(AND(单词表[[#This Row],[学英]]&lt;&gt;"",单词表[[#This Row],[学中]]&lt;&gt;"",单词表[[#This Row],[学词]]&lt;&gt;""),MAX(单词表[[#This Row],[学英]:[学词]]),"")</f>
        <v>42680.799016203702</v>
      </c>
      <c r="M2295" s="2" t="str">
        <f>IF(AND(单词表[[#This Row],[考英]]&lt;&gt;"",单词表[[#This Row],[考中]]&lt;&gt;""),MAX(单词表[[#This Row],[考英]:[考中]]),"")</f>
        <v/>
      </c>
      <c r="N2295" s="79"/>
    </row>
    <row r="2296" spans="1:14" hidden="1" x14ac:dyDescent="0.15">
      <c r="A2296">
        <v>2296</v>
      </c>
      <c r="B2296" t="s">
        <v>35</v>
      </c>
      <c r="C2296" t="s">
        <v>15</v>
      </c>
      <c r="D2296" s="72" t="s">
        <v>3977</v>
      </c>
      <c r="E2296" t="s">
        <v>73</v>
      </c>
      <c r="F2296" t="s">
        <v>3978</v>
      </c>
      <c r="G2296" s="92">
        <v>42680.799062500002</v>
      </c>
      <c r="H2296" s="92">
        <v>42681.880995370368</v>
      </c>
      <c r="I2296" s="92">
        <v>42681.880995370368</v>
      </c>
      <c r="J2296" s="92"/>
      <c r="K2296" s="92">
        <v>42683.798622685186</v>
      </c>
      <c r="L2296" s="92">
        <f>IF(AND(单词表[[#This Row],[学英]]&lt;&gt;"",单词表[[#This Row],[学中]]&lt;&gt;"",单词表[[#This Row],[学词]]&lt;&gt;""),MAX(单词表[[#This Row],[学英]:[学词]]),"")</f>
        <v>42681.880995370368</v>
      </c>
      <c r="M2296" s="2" t="str">
        <f>IF(AND(单词表[[#This Row],[考英]]&lt;&gt;"",单词表[[#This Row],[考中]]&lt;&gt;""),MAX(单词表[[#This Row],[考英]:[考中]]),"")</f>
        <v/>
      </c>
      <c r="N2296" s="79"/>
    </row>
    <row r="2297" spans="1:14" hidden="1" x14ac:dyDescent="0.15">
      <c r="A2297">
        <v>2297</v>
      </c>
      <c r="B2297" t="s">
        <v>35</v>
      </c>
      <c r="C2297" t="s">
        <v>15</v>
      </c>
      <c r="D2297" s="72" t="s">
        <v>3979</v>
      </c>
      <c r="E2297" t="s">
        <v>702</v>
      </c>
      <c r="F2297" t="s">
        <v>3980</v>
      </c>
      <c r="G2297" s="92">
        <v>42680.799085648148</v>
      </c>
      <c r="H2297" s="92">
        <v>42680.799085648148</v>
      </c>
      <c r="I2297" s="92">
        <v>42680.799085648148</v>
      </c>
      <c r="J2297" s="92"/>
      <c r="K2297" s="92">
        <v>42683.798668981479</v>
      </c>
      <c r="L2297" s="92">
        <f>IF(AND(单词表[[#This Row],[学英]]&lt;&gt;"",单词表[[#This Row],[学中]]&lt;&gt;"",单词表[[#This Row],[学词]]&lt;&gt;""),MAX(单词表[[#This Row],[学英]:[学词]]),"")</f>
        <v>42680.799085648148</v>
      </c>
      <c r="M2297" s="2" t="str">
        <f>IF(AND(单词表[[#This Row],[考英]]&lt;&gt;"",单词表[[#This Row],[考中]]&lt;&gt;""),MAX(单词表[[#This Row],[考英]:[考中]]),"")</f>
        <v/>
      </c>
      <c r="N2297" s="79"/>
    </row>
    <row r="2298" spans="1:14" hidden="1" x14ac:dyDescent="0.15">
      <c r="A2298">
        <v>2298</v>
      </c>
      <c r="B2298" t="s">
        <v>35</v>
      </c>
      <c r="C2298" t="s">
        <v>15</v>
      </c>
      <c r="D2298" s="72" t="s">
        <v>1940</v>
      </c>
      <c r="E2298" t="s">
        <v>73</v>
      </c>
      <c r="F2298" t="s">
        <v>3981</v>
      </c>
      <c r="G2298" s="92">
        <v>42680.799108796295</v>
      </c>
      <c r="H2298" s="92">
        <v>42680.799108796295</v>
      </c>
      <c r="I2298" s="92">
        <v>42680.799108796295</v>
      </c>
      <c r="J2298" s="92"/>
      <c r="K2298" s="92">
        <v>42683.798703703702</v>
      </c>
      <c r="L2298" s="92">
        <f>IF(AND(单词表[[#This Row],[学英]]&lt;&gt;"",单词表[[#This Row],[学中]]&lt;&gt;"",单词表[[#This Row],[学词]]&lt;&gt;""),MAX(单词表[[#This Row],[学英]:[学词]]),"")</f>
        <v>42680.799108796295</v>
      </c>
      <c r="M2298" s="2" t="str">
        <f>IF(AND(单词表[[#This Row],[考英]]&lt;&gt;"",单词表[[#This Row],[考中]]&lt;&gt;""),MAX(单词表[[#This Row],[考英]:[考中]]),"")</f>
        <v/>
      </c>
      <c r="N2298" s="79"/>
    </row>
    <row r="2299" spans="1:14" hidden="1" x14ac:dyDescent="0.15">
      <c r="A2299">
        <v>2299</v>
      </c>
      <c r="B2299" t="s">
        <v>35</v>
      </c>
      <c r="C2299" t="s">
        <v>15</v>
      </c>
      <c r="D2299" s="72" t="s">
        <v>3982</v>
      </c>
      <c r="E2299" t="s">
        <v>702</v>
      </c>
      <c r="F2299" t="s">
        <v>3983</v>
      </c>
      <c r="G2299" s="92">
        <v>42680.799143518518</v>
      </c>
      <c r="H2299" s="92">
        <v>42680.799143518518</v>
      </c>
      <c r="I2299" s="92">
        <v>42680.799143518518</v>
      </c>
      <c r="J2299" s="92"/>
      <c r="K2299" s="92">
        <v>42683.798726851855</v>
      </c>
      <c r="L2299" s="92">
        <f>IF(AND(单词表[[#This Row],[学英]]&lt;&gt;"",单词表[[#This Row],[学中]]&lt;&gt;"",单词表[[#This Row],[学词]]&lt;&gt;""),MAX(单词表[[#This Row],[学英]:[学词]]),"")</f>
        <v>42680.799143518518</v>
      </c>
      <c r="M2299" s="2" t="str">
        <f>IF(AND(单词表[[#This Row],[考英]]&lt;&gt;"",单词表[[#This Row],[考中]]&lt;&gt;""),MAX(单词表[[#This Row],[考英]:[考中]]),"")</f>
        <v/>
      </c>
      <c r="N2299" s="79"/>
    </row>
    <row r="2300" spans="1:14" hidden="1" x14ac:dyDescent="0.15">
      <c r="A2300">
        <v>2300</v>
      </c>
      <c r="B2300" t="s">
        <v>35</v>
      </c>
      <c r="C2300" t="s">
        <v>15</v>
      </c>
      <c r="D2300" s="72" t="s">
        <v>2091</v>
      </c>
      <c r="E2300" t="s">
        <v>36</v>
      </c>
      <c r="F2300" t="s">
        <v>2092</v>
      </c>
      <c r="G2300" s="92">
        <v>42680.799224537041</v>
      </c>
      <c r="H2300" s="92">
        <v>42680.799224537041</v>
      </c>
      <c r="I2300" s="92">
        <v>42680.799224537041</v>
      </c>
      <c r="J2300" s="92"/>
      <c r="K2300" s="92">
        <v>42683.798761574071</v>
      </c>
      <c r="L2300" s="92">
        <f>IF(AND(单词表[[#This Row],[学英]]&lt;&gt;"",单词表[[#This Row],[学中]]&lt;&gt;"",单词表[[#This Row],[学词]]&lt;&gt;""),MAX(单词表[[#This Row],[学英]:[学词]]),"")</f>
        <v>42680.799224537041</v>
      </c>
      <c r="M2300" s="2" t="str">
        <f>IF(AND(单词表[[#This Row],[考英]]&lt;&gt;"",单词表[[#This Row],[考中]]&lt;&gt;""),MAX(单词表[[#This Row],[考英]:[考中]]),"")</f>
        <v/>
      </c>
      <c r="N2300" s="79"/>
    </row>
    <row r="2301" spans="1:14" hidden="1" x14ac:dyDescent="0.15">
      <c r="A2301">
        <v>2301</v>
      </c>
      <c r="B2301" t="s">
        <v>35</v>
      </c>
      <c r="C2301" t="s">
        <v>15</v>
      </c>
      <c r="D2301" s="72" t="s">
        <v>2578</v>
      </c>
      <c r="E2301" t="s">
        <v>36</v>
      </c>
      <c r="F2301" t="s">
        <v>2579</v>
      </c>
      <c r="G2301" s="92">
        <v>42680.799259259256</v>
      </c>
      <c r="H2301" s="92">
        <v>42683.797731481478</v>
      </c>
      <c r="I2301" s="92">
        <v>42683.797731481478</v>
      </c>
      <c r="J2301" s="92"/>
      <c r="K2301" s="92">
        <v>42683.798784722225</v>
      </c>
      <c r="L2301" s="92">
        <f>IF(AND(单词表[[#This Row],[学英]]&lt;&gt;"",单词表[[#This Row],[学中]]&lt;&gt;"",单词表[[#This Row],[学词]]&lt;&gt;""),MAX(单词表[[#This Row],[学英]:[学词]]),"")</f>
        <v>42683.797731481478</v>
      </c>
      <c r="M2301" s="2" t="str">
        <f>IF(AND(单词表[[#This Row],[考英]]&lt;&gt;"",单词表[[#This Row],[考中]]&lt;&gt;""),MAX(单词表[[#This Row],[考英]:[考中]]),"")</f>
        <v/>
      </c>
      <c r="N2301" s="79"/>
    </row>
    <row r="2302" spans="1:14" hidden="1" x14ac:dyDescent="0.15">
      <c r="A2302">
        <v>2302</v>
      </c>
      <c r="B2302" t="s">
        <v>35</v>
      </c>
      <c r="C2302" t="s">
        <v>15</v>
      </c>
      <c r="D2302" s="72" t="s">
        <v>3984</v>
      </c>
      <c r="E2302" t="s">
        <v>36</v>
      </c>
      <c r="F2302" t="s">
        <v>3985</v>
      </c>
      <c r="G2302" s="92">
        <v>42680.799293981479</v>
      </c>
      <c r="H2302" s="92">
        <v>42680.799293981479</v>
      </c>
      <c r="I2302" s="92">
        <v>42680.799293981479</v>
      </c>
      <c r="J2302" s="92"/>
      <c r="K2302" s="92">
        <v>42683.798819444448</v>
      </c>
      <c r="L2302" s="92">
        <f>IF(AND(单词表[[#This Row],[学英]]&lt;&gt;"",单词表[[#This Row],[学中]]&lt;&gt;"",单词表[[#This Row],[学词]]&lt;&gt;""),MAX(单词表[[#This Row],[学英]:[学词]]),"")</f>
        <v>42680.799293981479</v>
      </c>
      <c r="M2302" s="2" t="str">
        <f>IF(AND(单词表[[#This Row],[考英]]&lt;&gt;"",单词表[[#This Row],[考中]]&lt;&gt;""),MAX(单词表[[#This Row],[考英]:[考中]]),"")</f>
        <v/>
      </c>
      <c r="N2302" s="79"/>
    </row>
    <row r="2303" spans="1:14" hidden="1" x14ac:dyDescent="0.15">
      <c r="A2303">
        <v>2303</v>
      </c>
      <c r="B2303" t="s">
        <v>35</v>
      </c>
      <c r="C2303" t="s">
        <v>15</v>
      </c>
      <c r="D2303" s="72" t="s">
        <v>3986</v>
      </c>
      <c r="E2303" t="s">
        <v>36</v>
      </c>
      <c r="F2303" t="s">
        <v>3987</v>
      </c>
      <c r="G2303" s="92">
        <v>42680.799328703702</v>
      </c>
      <c r="H2303" s="92">
        <v>42683.797754629632</v>
      </c>
      <c r="I2303" s="92">
        <v>42683.797754629632</v>
      </c>
      <c r="J2303" s="92"/>
      <c r="K2303" s="92">
        <v>42683.798888888887</v>
      </c>
      <c r="L2303" s="92">
        <f>IF(AND(单词表[[#This Row],[学英]]&lt;&gt;"",单词表[[#This Row],[学中]]&lt;&gt;"",单词表[[#This Row],[学词]]&lt;&gt;""),MAX(单词表[[#This Row],[学英]:[学词]]),"")</f>
        <v>42683.797754629632</v>
      </c>
      <c r="M2303" s="2" t="str">
        <f>IF(AND(单词表[[#This Row],[考英]]&lt;&gt;"",单词表[[#This Row],[考中]]&lt;&gt;""),MAX(单词表[[#This Row],[考英]:[考中]]),"")</f>
        <v/>
      </c>
      <c r="N2303" s="79"/>
    </row>
    <row r="2304" spans="1:14" hidden="1" x14ac:dyDescent="0.15">
      <c r="A2304">
        <v>2304</v>
      </c>
      <c r="B2304" t="s">
        <v>35</v>
      </c>
      <c r="C2304" t="s">
        <v>15</v>
      </c>
      <c r="D2304" s="72" t="s">
        <v>3988</v>
      </c>
      <c r="E2304" t="s">
        <v>36</v>
      </c>
      <c r="F2304" t="s">
        <v>3989</v>
      </c>
      <c r="G2304" s="92">
        <v>42680.799351851849</v>
      </c>
      <c r="H2304" s="92">
        <v>42683.797777777778</v>
      </c>
      <c r="I2304" s="92">
        <v>42683.797777777778</v>
      </c>
      <c r="J2304" s="92"/>
      <c r="K2304" s="92">
        <v>42683.79892361111</v>
      </c>
      <c r="L2304" s="92">
        <f>IF(AND(单词表[[#This Row],[学英]]&lt;&gt;"",单词表[[#This Row],[学中]]&lt;&gt;"",单词表[[#This Row],[学词]]&lt;&gt;""),MAX(单词表[[#This Row],[学英]:[学词]]),"")</f>
        <v>42683.797777777778</v>
      </c>
      <c r="M2304" s="2" t="str">
        <f>IF(AND(单词表[[#This Row],[考英]]&lt;&gt;"",单词表[[#This Row],[考中]]&lt;&gt;""),MAX(单词表[[#This Row],[考英]:[考中]]),"")</f>
        <v/>
      </c>
      <c r="N2304" s="79"/>
    </row>
    <row r="2305" spans="1:14" hidden="1" x14ac:dyDescent="0.15">
      <c r="A2305">
        <v>2305</v>
      </c>
      <c r="B2305" t="s">
        <v>35</v>
      </c>
      <c r="C2305" t="s">
        <v>15</v>
      </c>
      <c r="D2305" s="72" t="s">
        <v>2304</v>
      </c>
      <c r="E2305" t="s">
        <v>36</v>
      </c>
      <c r="F2305" t="s">
        <v>3990</v>
      </c>
      <c r="G2305" s="92">
        <v>42680.799375000002</v>
      </c>
      <c r="H2305" s="92">
        <v>42683.797812500001</v>
      </c>
      <c r="I2305" s="92">
        <v>42683.797812500001</v>
      </c>
      <c r="J2305" s="92"/>
      <c r="K2305" s="92">
        <v>42683.799085648148</v>
      </c>
      <c r="L2305" s="92">
        <f>IF(AND(单词表[[#This Row],[学英]]&lt;&gt;"",单词表[[#This Row],[学中]]&lt;&gt;"",单词表[[#This Row],[学词]]&lt;&gt;""),MAX(单词表[[#This Row],[学英]:[学词]]),"")</f>
        <v>42683.797812500001</v>
      </c>
      <c r="M2305" s="2" t="str">
        <f>IF(AND(单词表[[#This Row],[考英]]&lt;&gt;"",单词表[[#This Row],[考中]]&lt;&gt;""),MAX(单词表[[#This Row],[考英]:[考中]]),"")</f>
        <v/>
      </c>
      <c r="N2305" s="79"/>
    </row>
    <row r="2306" spans="1:14" hidden="1" x14ac:dyDescent="0.15">
      <c r="A2306">
        <v>2306</v>
      </c>
      <c r="B2306" t="s">
        <v>35</v>
      </c>
      <c r="C2306" t="s">
        <v>15</v>
      </c>
      <c r="D2306" s="72" t="s">
        <v>3991</v>
      </c>
      <c r="E2306" t="s">
        <v>36</v>
      </c>
      <c r="F2306" t="s">
        <v>3992</v>
      </c>
      <c r="G2306" s="92">
        <v>42680.799421296295</v>
      </c>
      <c r="H2306" s="92">
        <v>42683.797824074078</v>
      </c>
      <c r="I2306" s="92">
        <v>42683.797824074078</v>
      </c>
      <c r="J2306" s="92"/>
      <c r="K2306" s="92">
        <v>42683.799120370371</v>
      </c>
      <c r="L2306" s="92">
        <f>IF(AND(单词表[[#This Row],[学英]]&lt;&gt;"",单词表[[#This Row],[学中]]&lt;&gt;"",单词表[[#This Row],[学词]]&lt;&gt;""),MAX(单词表[[#This Row],[学英]:[学词]]),"")</f>
        <v>42683.797824074078</v>
      </c>
      <c r="M2306" s="2" t="str">
        <f>IF(AND(单词表[[#This Row],[考英]]&lt;&gt;"",单词表[[#This Row],[考中]]&lt;&gt;""),MAX(单词表[[#This Row],[考英]:[考中]]),"")</f>
        <v/>
      </c>
      <c r="N2306" s="79"/>
    </row>
    <row r="2307" spans="1:14" hidden="1" x14ac:dyDescent="0.15">
      <c r="A2307">
        <v>2307</v>
      </c>
      <c r="B2307" t="s">
        <v>35</v>
      </c>
      <c r="C2307" t="s">
        <v>15</v>
      </c>
      <c r="D2307" s="72" t="s">
        <v>3993</v>
      </c>
      <c r="E2307" t="s">
        <v>36</v>
      </c>
      <c r="F2307" t="s">
        <v>3994</v>
      </c>
      <c r="G2307" s="92">
        <v>42680.799467592595</v>
      </c>
      <c r="H2307" s="92">
        <v>42683.797858796293</v>
      </c>
      <c r="I2307" s="92">
        <v>42683.797858796293</v>
      </c>
      <c r="J2307" s="92"/>
      <c r="K2307" s="92">
        <v>42683.799143518518</v>
      </c>
      <c r="L2307" s="92">
        <f>IF(AND(单词表[[#This Row],[学英]]&lt;&gt;"",单词表[[#This Row],[学中]]&lt;&gt;"",单词表[[#This Row],[学词]]&lt;&gt;""),MAX(单词表[[#This Row],[学英]:[学词]]),"")</f>
        <v>42683.797858796293</v>
      </c>
      <c r="M2307" s="2" t="str">
        <f>IF(AND(单词表[[#This Row],[考英]]&lt;&gt;"",单词表[[#This Row],[考中]]&lt;&gt;""),MAX(单词表[[#This Row],[考英]:[考中]]),"")</f>
        <v/>
      </c>
      <c r="N2307" s="79"/>
    </row>
    <row r="2308" spans="1:14" hidden="1" x14ac:dyDescent="0.15">
      <c r="A2308">
        <v>2308</v>
      </c>
      <c r="B2308" t="s">
        <v>35</v>
      </c>
      <c r="C2308" t="s">
        <v>15</v>
      </c>
      <c r="D2308" s="72" t="s">
        <v>2336</v>
      </c>
      <c r="E2308" t="s">
        <v>36</v>
      </c>
      <c r="F2308" t="s">
        <v>2337</v>
      </c>
      <c r="G2308" s="92">
        <v>42680.799490740741</v>
      </c>
      <c r="H2308" s="92">
        <v>42683.800393518519</v>
      </c>
      <c r="I2308" s="92">
        <v>42683.800393518519</v>
      </c>
      <c r="J2308" s="92"/>
      <c r="K2308" s="92">
        <v>42683.80133101852</v>
      </c>
      <c r="L2308" s="92">
        <f>IF(AND(单词表[[#This Row],[学英]]&lt;&gt;"",单词表[[#This Row],[学中]]&lt;&gt;"",单词表[[#This Row],[学词]]&lt;&gt;""),MAX(单词表[[#This Row],[学英]:[学词]]),"")</f>
        <v>42683.800393518519</v>
      </c>
      <c r="M2308" s="2" t="str">
        <f>IF(AND(单词表[[#This Row],[考英]]&lt;&gt;"",单词表[[#This Row],[考中]]&lt;&gt;""),MAX(单词表[[#This Row],[考英]:[考中]]),"")</f>
        <v/>
      </c>
      <c r="N2308" s="79"/>
    </row>
    <row r="2309" spans="1:14" hidden="1" x14ac:dyDescent="0.15">
      <c r="A2309">
        <v>2309</v>
      </c>
      <c r="B2309" t="s">
        <v>35</v>
      </c>
      <c r="C2309" t="s">
        <v>15</v>
      </c>
      <c r="D2309" s="72" t="s">
        <v>3995</v>
      </c>
      <c r="E2309" t="s">
        <v>702</v>
      </c>
      <c r="F2309" t="s">
        <v>3996</v>
      </c>
      <c r="G2309" s="92">
        <v>42680.799537037034</v>
      </c>
      <c r="H2309" s="92">
        <v>42683.797881944447</v>
      </c>
      <c r="I2309" s="92">
        <v>42683.797881944447</v>
      </c>
      <c r="J2309" s="92"/>
      <c r="K2309" s="92">
        <v>42683.799247685187</v>
      </c>
      <c r="L2309" s="92">
        <f>IF(AND(单词表[[#This Row],[学英]]&lt;&gt;"",单词表[[#This Row],[学中]]&lt;&gt;"",单词表[[#This Row],[学词]]&lt;&gt;""),MAX(单词表[[#This Row],[学英]:[学词]]),"")</f>
        <v>42683.797881944447</v>
      </c>
      <c r="M2309" s="2" t="str">
        <f>IF(AND(单词表[[#This Row],[考英]]&lt;&gt;"",单词表[[#This Row],[考中]]&lt;&gt;""),MAX(单词表[[#This Row],[考英]:[考中]]),"")</f>
        <v/>
      </c>
      <c r="N2309" s="79"/>
    </row>
    <row r="2310" spans="1:14" hidden="1" x14ac:dyDescent="0.15">
      <c r="A2310">
        <v>2310</v>
      </c>
      <c r="B2310" t="s">
        <v>35</v>
      </c>
      <c r="C2310" t="s">
        <v>15</v>
      </c>
      <c r="D2310" s="72" t="s">
        <v>3997</v>
      </c>
      <c r="E2310" t="s">
        <v>36</v>
      </c>
      <c r="F2310" t="s">
        <v>3998</v>
      </c>
      <c r="G2310" s="92">
        <v>42680.799571759257</v>
      </c>
      <c r="H2310" s="92">
        <v>42680.799571759257</v>
      </c>
      <c r="I2310" s="92">
        <v>42680.799571759257</v>
      </c>
      <c r="J2310" s="92"/>
      <c r="K2310" s="92">
        <v>42683.79928240741</v>
      </c>
      <c r="L2310" s="92">
        <f>IF(AND(单词表[[#This Row],[学英]]&lt;&gt;"",单词表[[#This Row],[学中]]&lt;&gt;"",单词表[[#This Row],[学词]]&lt;&gt;""),MAX(单词表[[#This Row],[学英]:[学词]]),"")</f>
        <v>42680.799571759257</v>
      </c>
      <c r="M2310" s="2" t="str">
        <f>IF(AND(单词表[[#This Row],[考英]]&lt;&gt;"",单词表[[#This Row],[考中]]&lt;&gt;""),MAX(单词表[[#This Row],[考英]:[考中]]),"")</f>
        <v/>
      </c>
      <c r="N2310" s="79"/>
    </row>
    <row r="2311" spans="1:14" hidden="1" x14ac:dyDescent="0.15">
      <c r="A2311">
        <v>2311</v>
      </c>
      <c r="B2311" t="s">
        <v>35</v>
      </c>
      <c r="C2311" t="s">
        <v>15</v>
      </c>
      <c r="D2311" s="72" t="s">
        <v>3999</v>
      </c>
      <c r="E2311" t="s">
        <v>36</v>
      </c>
      <c r="F2311" t="s">
        <v>4000</v>
      </c>
      <c r="G2311" s="92">
        <v>42680.799907407411</v>
      </c>
      <c r="H2311" s="92">
        <v>42683.800416666665</v>
      </c>
      <c r="I2311" s="92">
        <v>42683.800416666665</v>
      </c>
      <c r="J2311" s="92"/>
      <c r="K2311" s="92">
        <v>42683.801365740743</v>
      </c>
      <c r="L2311" s="92">
        <f>IF(AND(单词表[[#This Row],[学英]]&lt;&gt;"",单词表[[#This Row],[学中]]&lt;&gt;"",单词表[[#This Row],[学词]]&lt;&gt;""),MAX(单词表[[#This Row],[学英]:[学词]]),"")</f>
        <v>42683.800416666665</v>
      </c>
      <c r="M2311" s="2" t="str">
        <f>IF(AND(单词表[[#This Row],[考英]]&lt;&gt;"",单词表[[#This Row],[考中]]&lt;&gt;""),MAX(单词表[[#This Row],[考英]:[考中]]),"")</f>
        <v/>
      </c>
      <c r="N2311" s="79"/>
    </row>
    <row r="2312" spans="1:14" hidden="1" x14ac:dyDescent="0.15">
      <c r="A2312">
        <v>2312</v>
      </c>
      <c r="B2312" t="s">
        <v>35</v>
      </c>
      <c r="C2312" t="s">
        <v>15</v>
      </c>
      <c r="D2312" s="72" t="s">
        <v>4001</v>
      </c>
      <c r="E2312" t="s">
        <v>36</v>
      </c>
      <c r="F2312" t="s">
        <v>5554</v>
      </c>
      <c r="G2312" s="92">
        <v>42680.799953703703</v>
      </c>
      <c r="H2312" s="92">
        <v>42680.799953703703</v>
      </c>
      <c r="I2312" s="92">
        <v>42680.799953703703</v>
      </c>
      <c r="J2312" s="92"/>
      <c r="K2312" s="92">
        <v>42683.799317129633</v>
      </c>
      <c r="L2312" s="92">
        <f>IF(AND(单词表[[#This Row],[学英]]&lt;&gt;"",单词表[[#This Row],[学中]]&lt;&gt;"",单词表[[#This Row],[学词]]&lt;&gt;""),MAX(单词表[[#This Row],[学英]:[学词]]),"")</f>
        <v>42680.799953703703</v>
      </c>
      <c r="M2312" s="2" t="str">
        <f>IF(AND(单词表[[#This Row],[考英]]&lt;&gt;"",单词表[[#This Row],[考中]]&lt;&gt;""),MAX(单词表[[#This Row],[考英]:[考中]]),"")</f>
        <v/>
      </c>
      <c r="N2312" s="79"/>
    </row>
    <row r="2313" spans="1:14" hidden="1" x14ac:dyDescent="0.15">
      <c r="A2313">
        <v>2313</v>
      </c>
      <c r="B2313" t="s">
        <v>35</v>
      </c>
      <c r="C2313" t="s">
        <v>15</v>
      </c>
      <c r="D2313" s="72" t="s">
        <v>4002</v>
      </c>
      <c r="E2313" t="s">
        <v>36</v>
      </c>
      <c r="F2313" t="s">
        <v>4003</v>
      </c>
      <c r="G2313" s="92">
        <v>42680.800381944442</v>
      </c>
      <c r="H2313" s="92">
        <v>42680.800381944442</v>
      </c>
      <c r="I2313" s="92">
        <v>42680.800381944442</v>
      </c>
      <c r="J2313" s="92"/>
      <c r="K2313" s="92">
        <v>42683.799375000002</v>
      </c>
      <c r="L2313" s="92">
        <f>IF(AND(单词表[[#This Row],[学英]]&lt;&gt;"",单词表[[#This Row],[学中]]&lt;&gt;"",单词表[[#This Row],[学词]]&lt;&gt;""),MAX(单词表[[#This Row],[学英]:[学词]]),"")</f>
        <v>42680.800381944442</v>
      </c>
      <c r="M2313" s="2" t="str">
        <f>IF(AND(单词表[[#This Row],[考英]]&lt;&gt;"",单词表[[#This Row],[考中]]&lt;&gt;""),MAX(单词表[[#This Row],[考英]:[考中]]),"")</f>
        <v/>
      </c>
      <c r="N2313" s="79"/>
    </row>
    <row r="2314" spans="1:14" hidden="1" x14ac:dyDescent="0.15">
      <c r="A2314">
        <v>2314</v>
      </c>
      <c r="B2314" t="s">
        <v>35</v>
      </c>
      <c r="C2314" t="s">
        <v>15</v>
      </c>
      <c r="D2314" s="72" t="s">
        <v>4004</v>
      </c>
      <c r="E2314" t="s">
        <v>36</v>
      </c>
      <c r="F2314" t="s">
        <v>4005</v>
      </c>
      <c r="G2314" s="92">
        <v>42680.800405092596</v>
      </c>
      <c r="H2314" s="92">
        <v>42680.800405092596</v>
      </c>
      <c r="I2314" s="92">
        <v>42680.800405092596</v>
      </c>
      <c r="J2314" s="92"/>
      <c r="K2314" s="92">
        <v>42683.799525462964</v>
      </c>
      <c r="L2314" s="92">
        <f>IF(AND(单词表[[#This Row],[学英]]&lt;&gt;"",单词表[[#This Row],[学中]]&lt;&gt;"",单词表[[#This Row],[学词]]&lt;&gt;""),MAX(单词表[[#This Row],[学英]:[学词]]),"")</f>
        <v>42680.800405092596</v>
      </c>
      <c r="M2314" s="2" t="str">
        <f>IF(AND(单词表[[#This Row],[考英]]&lt;&gt;"",单词表[[#This Row],[考中]]&lt;&gt;""),MAX(单词表[[#This Row],[考英]:[考中]]),"")</f>
        <v/>
      </c>
      <c r="N2314" s="79"/>
    </row>
    <row r="2315" spans="1:14" hidden="1" x14ac:dyDescent="0.15">
      <c r="A2315">
        <v>2315</v>
      </c>
      <c r="B2315" t="s">
        <v>35</v>
      </c>
      <c r="C2315" t="s">
        <v>15</v>
      </c>
      <c r="D2315" s="72" t="s">
        <v>1806</v>
      </c>
      <c r="E2315" t="s">
        <v>36</v>
      </c>
      <c r="F2315" t="s">
        <v>1807</v>
      </c>
      <c r="G2315" s="92">
        <v>42680.800428240742</v>
      </c>
      <c r="H2315" s="92">
        <v>42680.800428240742</v>
      </c>
      <c r="I2315" s="92">
        <v>42680.800428240742</v>
      </c>
      <c r="J2315" s="92"/>
      <c r="K2315" s="92">
        <v>42683.79954861111</v>
      </c>
      <c r="L2315" s="92">
        <f>IF(AND(单词表[[#This Row],[学英]]&lt;&gt;"",单词表[[#This Row],[学中]]&lt;&gt;"",单词表[[#This Row],[学词]]&lt;&gt;""),MAX(单词表[[#This Row],[学英]:[学词]]),"")</f>
        <v>42680.800428240742</v>
      </c>
      <c r="M2315" s="2" t="str">
        <f>IF(AND(单词表[[#This Row],[考英]]&lt;&gt;"",单词表[[#This Row],[考中]]&lt;&gt;""),MAX(单词表[[#This Row],[考英]:[考中]]),"")</f>
        <v/>
      </c>
      <c r="N2315" s="79"/>
    </row>
    <row r="2316" spans="1:14" hidden="1" x14ac:dyDescent="0.15">
      <c r="A2316">
        <v>2316</v>
      </c>
      <c r="B2316" t="s">
        <v>35</v>
      </c>
      <c r="C2316" t="s">
        <v>15</v>
      </c>
      <c r="D2316" s="72" t="s">
        <v>4006</v>
      </c>
      <c r="E2316" t="s">
        <v>36</v>
      </c>
      <c r="F2316" t="s">
        <v>4007</v>
      </c>
      <c r="G2316" s="92">
        <v>42680.800509259258</v>
      </c>
      <c r="H2316" s="92">
        <v>42680.800520833334</v>
      </c>
      <c r="I2316" s="92">
        <v>42680.800520833334</v>
      </c>
      <c r="J2316" s="92"/>
      <c r="K2316" s="92">
        <v>42683.799571759257</v>
      </c>
      <c r="L2316" s="92">
        <f>IF(AND(单词表[[#This Row],[学英]]&lt;&gt;"",单词表[[#This Row],[学中]]&lt;&gt;"",单词表[[#This Row],[学词]]&lt;&gt;""),MAX(单词表[[#This Row],[学英]:[学词]]),"")</f>
        <v>42680.800520833334</v>
      </c>
      <c r="M2316" s="2" t="str">
        <f>IF(AND(单词表[[#This Row],[考英]]&lt;&gt;"",单词表[[#This Row],[考中]]&lt;&gt;""),MAX(单词表[[#This Row],[考英]:[考中]]),"")</f>
        <v/>
      </c>
      <c r="N2316" s="79"/>
    </row>
    <row r="2317" spans="1:14" hidden="1" x14ac:dyDescent="0.15">
      <c r="A2317">
        <v>2317</v>
      </c>
      <c r="B2317" t="s">
        <v>35</v>
      </c>
      <c r="C2317" t="s">
        <v>15</v>
      </c>
      <c r="D2317" s="72" t="s">
        <v>4008</v>
      </c>
      <c r="E2317" t="s">
        <v>36</v>
      </c>
      <c r="F2317" t="s">
        <v>4009</v>
      </c>
      <c r="G2317" s="92">
        <v>42680.800543981481</v>
      </c>
      <c r="H2317" s="92">
        <v>42683.800439814811</v>
      </c>
      <c r="I2317" s="92">
        <v>42683.800439814811</v>
      </c>
      <c r="J2317" s="92"/>
      <c r="K2317" s="92">
        <v>42683.801412037035</v>
      </c>
      <c r="L2317" s="92">
        <f>IF(AND(单词表[[#This Row],[学英]]&lt;&gt;"",单词表[[#This Row],[学中]]&lt;&gt;"",单词表[[#This Row],[学词]]&lt;&gt;""),MAX(单词表[[#This Row],[学英]:[学词]]),"")</f>
        <v>42683.800439814811</v>
      </c>
      <c r="M2317" s="2" t="str">
        <f>IF(AND(单词表[[#This Row],[考英]]&lt;&gt;"",单词表[[#This Row],[考中]]&lt;&gt;""),MAX(单词表[[#This Row],[考英]:[考中]]),"")</f>
        <v/>
      </c>
      <c r="N2317" s="79"/>
    </row>
    <row r="2318" spans="1:14" hidden="1" x14ac:dyDescent="0.15">
      <c r="A2318">
        <v>2318</v>
      </c>
      <c r="B2318" t="s">
        <v>35</v>
      </c>
      <c r="C2318" t="s">
        <v>15</v>
      </c>
      <c r="D2318" s="72" t="s">
        <v>4010</v>
      </c>
      <c r="E2318" t="s">
        <v>36</v>
      </c>
      <c r="F2318" t="s">
        <v>4011</v>
      </c>
      <c r="G2318" s="92">
        <v>42680.800659722219</v>
      </c>
      <c r="H2318" s="92">
        <v>42680.800659722219</v>
      </c>
      <c r="I2318" s="92">
        <v>42680.800659722219</v>
      </c>
      <c r="J2318" s="92"/>
      <c r="K2318" s="92">
        <v>42683.79960648148</v>
      </c>
      <c r="L2318" s="92">
        <f>IF(AND(单词表[[#This Row],[学英]]&lt;&gt;"",单词表[[#This Row],[学中]]&lt;&gt;"",单词表[[#This Row],[学词]]&lt;&gt;""),MAX(单词表[[#This Row],[学英]:[学词]]),"")</f>
        <v>42680.800659722219</v>
      </c>
      <c r="M2318" s="2" t="str">
        <f>IF(AND(单词表[[#This Row],[考英]]&lt;&gt;"",单词表[[#This Row],[考中]]&lt;&gt;""),MAX(单词表[[#This Row],[考英]:[考中]]),"")</f>
        <v/>
      </c>
      <c r="N2318" s="79"/>
    </row>
    <row r="2319" spans="1:14" hidden="1" x14ac:dyDescent="0.15">
      <c r="A2319">
        <v>2319</v>
      </c>
      <c r="B2319" t="s">
        <v>35</v>
      </c>
      <c r="C2319" t="s">
        <v>15</v>
      </c>
      <c r="D2319" s="72" t="s">
        <v>2101</v>
      </c>
      <c r="E2319" t="s">
        <v>73</v>
      </c>
      <c r="F2319" t="s">
        <v>4012</v>
      </c>
      <c r="G2319" s="92">
        <v>42680.800682870373</v>
      </c>
      <c r="H2319" s="92">
        <v>42683.800462962965</v>
      </c>
      <c r="I2319" s="92">
        <v>42683.800462962965</v>
      </c>
      <c r="J2319" s="92"/>
      <c r="K2319" s="92">
        <v>42683.801550925928</v>
      </c>
      <c r="L2319" s="92">
        <f>IF(AND(单词表[[#This Row],[学英]]&lt;&gt;"",单词表[[#This Row],[学中]]&lt;&gt;"",单词表[[#This Row],[学词]]&lt;&gt;""),MAX(单词表[[#This Row],[学英]:[学词]]),"")</f>
        <v>42683.800462962965</v>
      </c>
      <c r="M2319" s="2" t="str">
        <f>IF(AND(单词表[[#This Row],[考英]]&lt;&gt;"",单词表[[#This Row],[考中]]&lt;&gt;""),MAX(单词表[[#This Row],[考英]:[考中]]),"")</f>
        <v/>
      </c>
      <c r="N2319" s="79"/>
    </row>
    <row r="2320" spans="1:14" hidden="1" x14ac:dyDescent="0.15">
      <c r="A2320">
        <v>2320</v>
      </c>
      <c r="B2320" t="s">
        <v>35</v>
      </c>
      <c r="C2320" t="s">
        <v>15</v>
      </c>
      <c r="D2320" s="72" t="s">
        <v>4013</v>
      </c>
      <c r="E2320" t="s">
        <v>36</v>
      </c>
      <c r="F2320" t="s">
        <v>4014</v>
      </c>
      <c r="G2320" s="92">
        <v>42680.800729166665</v>
      </c>
      <c r="H2320" s="92">
        <v>42683.800486111111</v>
      </c>
      <c r="I2320" s="92">
        <v>42683.800486111111</v>
      </c>
      <c r="J2320" s="92"/>
      <c r="K2320" s="92">
        <v>42683.801574074074</v>
      </c>
      <c r="L2320" s="92">
        <f>IF(AND(单词表[[#This Row],[学英]]&lt;&gt;"",单词表[[#This Row],[学中]]&lt;&gt;"",单词表[[#This Row],[学词]]&lt;&gt;""),MAX(单词表[[#This Row],[学英]:[学词]]),"")</f>
        <v>42683.800486111111</v>
      </c>
      <c r="M2320" s="2" t="str">
        <f>IF(AND(单词表[[#This Row],[考英]]&lt;&gt;"",单词表[[#This Row],[考中]]&lt;&gt;""),MAX(单词表[[#This Row],[考英]:[考中]]),"")</f>
        <v/>
      </c>
      <c r="N2320" s="79"/>
    </row>
    <row r="2321" spans="1:14" hidden="1" x14ac:dyDescent="0.15">
      <c r="A2321">
        <v>2321</v>
      </c>
      <c r="B2321" t="s">
        <v>35</v>
      </c>
      <c r="C2321" t="s">
        <v>15</v>
      </c>
      <c r="D2321" s="72" t="s">
        <v>4015</v>
      </c>
      <c r="E2321" t="s">
        <v>3304</v>
      </c>
      <c r="F2321" t="s">
        <v>5555</v>
      </c>
      <c r="G2321" s="92">
        <v>42680.801712962966</v>
      </c>
      <c r="H2321" s="92">
        <v>42683.800509259258</v>
      </c>
      <c r="I2321" s="92">
        <v>42683.800509259258</v>
      </c>
      <c r="J2321" s="92"/>
      <c r="K2321" s="92">
        <v>42683.801608796297</v>
      </c>
      <c r="L2321" s="92">
        <f>IF(AND(单词表[[#This Row],[学英]]&lt;&gt;"",单词表[[#This Row],[学中]]&lt;&gt;"",单词表[[#This Row],[学词]]&lt;&gt;""),MAX(单词表[[#This Row],[学英]:[学词]]),"")</f>
        <v>42683.800509259258</v>
      </c>
      <c r="M2321" s="2" t="str">
        <f>IF(AND(单词表[[#This Row],[考英]]&lt;&gt;"",单词表[[#This Row],[考中]]&lt;&gt;""),MAX(单词表[[#This Row],[考英]:[考中]]),"")</f>
        <v/>
      </c>
      <c r="N2321" s="79"/>
    </row>
    <row r="2322" spans="1:14" hidden="1" x14ac:dyDescent="0.15">
      <c r="A2322">
        <v>2322</v>
      </c>
      <c r="B2322" t="s">
        <v>35</v>
      </c>
      <c r="C2322" t="s">
        <v>15</v>
      </c>
      <c r="D2322" s="72" t="s">
        <v>4016</v>
      </c>
      <c r="E2322" t="s">
        <v>3304</v>
      </c>
      <c r="F2322" t="s">
        <v>5556</v>
      </c>
      <c r="G2322" s="92">
        <v>42680.801736111112</v>
      </c>
      <c r="H2322" s="92">
        <v>42683.800532407404</v>
      </c>
      <c r="I2322" s="92">
        <v>42683.800532407404</v>
      </c>
      <c r="J2322" s="92"/>
      <c r="K2322" s="92">
        <v>42683.80164351852</v>
      </c>
      <c r="L2322" s="92">
        <f>IF(AND(单词表[[#This Row],[学英]]&lt;&gt;"",单词表[[#This Row],[学中]]&lt;&gt;"",单词表[[#This Row],[学词]]&lt;&gt;""),MAX(单词表[[#This Row],[学英]:[学词]]),"")</f>
        <v>42683.800532407404</v>
      </c>
      <c r="M2322" s="2" t="str">
        <f>IF(AND(单词表[[#This Row],[考英]]&lt;&gt;"",单词表[[#This Row],[考中]]&lt;&gt;""),MAX(单词表[[#This Row],[考英]:[考中]]),"")</f>
        <v/>
      </c>
      <c r="N2322" s="79"/>
    </row>
    <row r="2323" spans="1:14" hidden="1" x14ac:dyDescent="0.15">
      <c r="A2323">
        <v>2323</v>
      </c>
      <c r="B2323" t="s">
        <v>35</v>
      </c>
      <c r="C2323" t="s">
        <v>15</v>
      </c>
      <c r="D2323" s="72" t="s">
        <v>4017</v>
      </c>
      <c r="E2323" t="s">
        <v>3304</v>
      </c>
      <c r="F2323" t="s">
        <v>5557</v>
      </c>
      <c r="G2323" s="92">
        <v>42680.801770833335</v>
      </c>
      <c r="H2323" s="92">
        <v>42683.800555555557</v>
      </c>
      <c r="I2323" s="92">
        <v>42683.800555555557</v>
      </c>
      <c r="J2323" s="92"/>
      <c r="K2323" s="92">
        <v>42683.801666666666</v>
      </c>
      <c r="L2323" s="92">
        <f>IF(AND(单词表[[#This Row],[学英]]&lt;&gt;"",单词表[[#This Row],[学中]]&lt;&gt;"",单词表[[#This Row],[学词]]&lt;&gt;""),MAX(单词表[[#This Row],[学英]:[学词]]),"")</f>
        <v>42683.800555555557</v>
      </c>
      <c r="M2323" s="2" t="str">
        <f>IF(AND(单词表[[#This Row],[考英]]&lt;&gt;"",单词表[[#This Row],[考中]]&lt;&gt;""),MAX(单词表[[#This Row],[考英]:[考中]]),"")</f>
        <v/>
      </c>
      <c r="N2323" s="79"/>
    </row>
    <row r="2324" spans="1:14" hidden="1" x14ac:dyDescent="0.15">
      <c r="A2324">
        <v>2324</v>
      </c>
      <c r="B2324" t="s">
        <v>35</v>
      </c>
      <c r="C2324" t="s">
        <v>15</v>
      </c>
      <c r="D2324" s="72" t="s">
        <v>4018</v>
      </c>
      <c r="E2324" t="s">
        <v>36</v>
      </c>
      <c r="F2324" t="s">
        <v>5558</v>
      </c>
      <c r="G2324" s="92">
        <v>42680.801793981482</v>
      </c>
      <c r="H2324" s="92">
        <v>42683.800578703704</v>
      </c>
      <c r="I2324" s="92">
        <v>42683.800578703704</v>
      </c>
      <c r="J2324" s="92"/>
      <c r="K2324" s="92">
        <v>42683.801701388889</v>
      </c>
      <c r="L2324" s="92">
        <f>IF(AND(单词表[[#This Row],[学英]]&lt;&gt;"",单词表[[#This Row],[学中]]&lt;&gt;"",单词表[[#This Row],[学词]]&lt;&gt;""),MAX(单词表[[#This Row],[学英]:[学词]]),"")</f>
        <v>42683.800578703704</v>
      </c>
      <c r="M2324" s="2" t="str">
        <f>IF(AND(单词表[[#This Row],[考英]]&lt;&gt;"",单词表[[#This Row],[考中]]&lt;&gt;""),MAX(单词表[[#This Row],[考英]:[考中]]),"")</f>
        <v/>
      </c>
      <c r="N2324" s="79"/>
    </row>
    <row r="2325" spans="1:14" hidden="1" x14ac:dyDescent="0.15">
      <c r="A2325">
        <v>2325</v>
      </c>
      <c r="B2325" t="s">
        <v>35</v>
      </c>
      <c r="C2325" t="s">
        <v>15</v>
      </c>
      <c r="D2325" s="72" t="s">
        <v>4019</v>
      </c>
      <c r="E2325" t="s">
        <v>36</v>
      </c>
      <c r="F2325" t="s">
        <v>4020</v>
      </c>
      <c r="G2325" s="92">
        <v>42680.801817129628</v>
      </c>
      <c r="H2325" s="92">
        <v>42680.801817129628</v>
      </c>
      <c r="I2325" s="92">
        <v>42680.801817129628</v>
      </c>
      <c r="J2325" s="92"/>
      <c r="K2325" s="92">
        <v>42683.79965277778</v>
      </c>
      <c r="L2325" s="92">
        <f>IF(AND(单词表[[#This Row],[学英]]&lt;&gt;"",单词表[[#This Row],[学中]]&lt;&gt;"",单词表[[#This Row],[学词]]&lt;&gt;""),MAX(单词表[[#This Row],[学英]:[学词]]),"")</f>
        <v>42680.801817129628</v>
      </c>
      <c r="M2325" s="2" t="str">
        <f>IF(AND(单词表[[#This Row],[考英]]&lt;&gt;"",单词表[[#This Row],[考中]]&lt;&gt;""),MAX(单词表[[#This Row],[考英]:[考中]]),"")</f>
        <v/>
      </c>
      <c r="N2325" s="79"/>
    </row>
    <row r="2326" spans="1:14" hidden="1" x14ac:dyDescent="0.15">
      <c r="A2326">
        <v>2326</v>
      </c>
      <c r="B2326" t="s">
        <v>35</v>
      </c>
      <c r="C2326" t="s">
        <v>15</v>
      </c>
      <c r="D2326" s="72" t="s">
        <v>2838</v>
      </c>
      <c r="E2326" t="s">
        <v>36</v>
      </c>
      <c r="F2326" t="s">
        <v>2839</v>
      </c>
      <c r="G2326" s="92">
        <v>42680.801840277774</v>
      </c>
      <c r="H2326" s="92">
        <v>42683.80060185185</v>
      </c>
      <c r="I2326" s="92">
        <v>42683.80060185185</v>
      </c>
      <c r="J2326" s="92"/>
      <c r="K2326" s="92">
        <v>42683.801840277774</v>
      </c>
      <c r="L2326" s="92">
        <f>IF(AND(单词表[[#This Row],[学英]]&lt;&gt;"",单词表[[#This Row],[学中]]&lt;&gt;"",单词表[[#This Row],[学词]]&lt;&gt;""),MAX(单词表[[#This Row],[学英]:[学词]]),"")</f>
        <v>42683.80060185185</v>
      </c>
      <c r="M2326" s="2" t="str">
        <f>IF(AND(单词表[[#This Row],[考英]]&lt;&gt;"",单词表[[#This Row],[考中]]&lt;&gt;""),MAX(单词表[[#This Row],[考英]:[考中]]),"")</f>
        <v/>
      </c>
      <c r="N2326" s="79"/>
    </row>
    <row r="2327" spans="1:14" hidden="1" x14ac:dyDescent="0.15">
      <c r="A2327">
        <v>2327</v>
      </c>
      <c r="B2327" t="s">
        <v>35</v>
      </c>
      <c r="C2327" t="s">
        <v>15</v>
      </c>
      <c r="D2327" s="72" t="s">
        <v>1631</v>
      </c>
      <c r="E2327" t="s">
        <v>36</v>
      </c>
      <c r="F2327" t="s">
        <v>1632</v>
      </c>
      <c r="G2327" s="92">
        <v>42680.802141203705</v>
      </c>
      <c r="H2327" s="92">
        <v>42680.802141203705</v>
      </c>
      <c r="I2327" s="92">
        <v>42680.802141203705</v>
      </c>
      <c r="J2327" s="92"/>
      <c r="K2327" s="92">
        <v>42683.799687500003</v>
      </c>
      <c r="L2327" s="92">
        <f>IF(AND(单词表[[#This Row],[学英]]&lt;&gt;"",单词表[[#This Row],[学中]]&lt;&gt;"",单词表[[#This Row],[学词]]&lt;&gt;""),MAX(单词表[[#This Row],[学英]:[学词]]),"")</f>
        <v>42680.802141203705</v>
      </c>
      <c r="M2327" s="2" t="str">
        <f>IF(AND(单词表[[#This Row],[考英]]&lt;&gt;"",单词表[[#This Row],[考中]]&lt;&gt;""),MAX(单词表[[#This Row],[考英]:[考中]]),"")</f>
        <v/>
      </c>
      <c r="N2327" s="79"/>
    </row>
    <row r="2328" spans="1:14" hidden="1" x14ac:dyDescent="0.15">
      <c r="A2328">
        <v>2328</v>
      </c>
      <c r="B2328" t="s">
        <v>35</v>
      </c>
      <c r="C2328" t="s">
        <v>15</v>
      </c>
      <c r="D2328" s="72" t="s">
        <v>3195</v>
      </c>
      <c r="E2328" t="s">
        <v>36</v>
      </c>
      <c r="F2328" t="s">
        <v>4021</v>
      </c>
      <c r="G2328" s="92">
        <v>42680.802164351851</v>
      </c>
      <c r="H2328" s="92">
        <v>42680.802164351851</v>
      </c>
      <c r="I2328" s="92">
        <v>42680.802164351851</v>
      </c>
      <c r="J2328" s="92"/>
      <c r="K2328" s="92">
        <v>42683.799722222226</v>
      </c>
      <c r="L2328" s="92">
        <f>IF(AND(单词表[[#This Row],[学英]]&lt;&gt;"",单词表[[#This Row],[学中]]&lt;&gt;"",单词表[[#This Row],[学词]]&lt;&gt;""),MAX(单词表[[#This Row],[学英]:[学词]]),"")</f>
        <v>42680.802164351851</v>
      </c>
      <c r="M2328" s="2" t="str">
        <f>IF(AND(单词表[[#This Row],[考英]]&lt;&gt;"",单词表[[#This Row],[考中]]&lt;&gt;""),MAX(单词表[[#This Row],[考英]:[考中]]),"")</f>
        <v/>
      </c>
      <c r="N2328" s="79"/>
    </row>
    <row r="2329" spans="1:14" hidden="1" x14ac:dyDescent="0.15">
      <c r="A2329">
        <v>2329</v>
      </c>
      <c r="B2329" t="s">
        <v>35</v>
      </c>
      <c r="C2329" t="s">
        <v>15</v>
      </c>
      <c r="D2329" s="72" t="s">
        <v>597</v>
      </c>
      <c r="E2329" t="s">
        <v>73</v>
      </c>
      <c r="F2329" t="s">
        <v>4022</v>
      </c>
      <c r="G2329" s="92">
        <v>42680.802199074074</v>
      </c>
      <c r="H2329" s="92">
        <v>42683.800613425927</v>
      </c>
      <c r="I2329" s="92">
        <v>42683.800613425927</v>
      </c>
      <c r="J2329" s="92"/>
      <c r="K2329" s="92">
        <v>42683.801863425928</v>
      </c>
      <c r="L2329" s="92">
        <f>IF(AND(单词表[[#This Row],[学英]]&lt;&gt;"",单词表[[#This Row],[学中]]&lt;&gt;"",单词表[[#This Row],[学词]]&lt;&gt;""),MAX(单词表[[#This Row],[学英]:[学词]]),"")</f>
        <v>42683.800613425927</v>
      </c>
      <c r="M2329" s="2" t="str">
        <f>IF(AND(单词表[[#This Row],[考英]]&lt;&gt;"",单词表[[#This Row],[考中]]&lt;&gt;""),MAX(单词表[[#This Row],[考英]:[考中]]),"")</f>
        <v/>
      </c>
      <c r="N2329" s="79"/>
    </row>
    <row r="2330" spans="1:14" hidden="1" x14ac:dyDescent="0.15">
      <c r="A2330">
        <v>2330</v>
      </c>
      <c r="B2330" t="s">
        <v>35</v>
      </c>
      <c r="C2330" t="s">
        <v>15</v>
      </c>
      <c r="D2330" s="72" t="s">
        <v>4023</v>
      </c>
      <c r="E2330" t="s">
        <v>73</v>
      </c>
      <c r="F2330" t="s">
        <v>4024</v>
      </c>
      <c r="G2330" s="92">
        <v>42680.802222222221</v>
      </c>
      <c r="H2330" s="92">
        <v>42683.800636574073</v>
      </c>
      <c r="I2330" s="92">
        <v>42683.800636574073</v>
      </c>
      <c r="J2330" s="92"/>
      <c r="K2330" s="92">
        <v>42683.80190972222</v>
      </c>
      <c r="L2330" s="92">
        <f>IF(AND(单词表[[#This Row],[学英]]&lt;&gt;"",单词表[[#This Row],[学中]]&lt;&gt;"",单词表[[#This Row],[学词]]&lt;&gt;""),MAX(单词表[[#This Row],[学英]:[学词]]),"")</f>
        <v>42683.800636574073</v>
      </c>
      <c r="M2330" s="2" t="str">
        <f>IF(AND(单词表[[#This Row],[考英]]&lt;&gt;"",单词表[[#This Row],[考中]]&lt;&gt;""),MAX(单词表[[#This Row],[考英]:[考中]]),"")</f>
        <v/>
      </c>
      <c r="N2330" s="79"/>
    </row>
    <row r="2331" spans="1:14" hidden="1" x14ac:dyDescent="0.15">
      <c r="A2331">
        <v>2331</v>
      </c>
      <c r="B2331" t="s">
        <v>35</v>
      </c>
      <c r="C2331" t="s">
        <v>15</v>
      </c>
      <c r="D2331" s="72" t="s">
        <v>4025</v>
      </c>
      <c r="E2331" t="s">
        <v>36</v>
      </c>
      <c r="F2331" t="s">
        <v>4026</v>
      </c>
      <c r="G2331" s="92">
        <v>42680.801874999997</v>
      </c>
      <c r="H2331" s="92">
        <v>42680.801874999997</v>
      </c>
      <c r="I2331" s="92">
        <v>42680.801874999997</v>
      </c>
      <c r="J2331" s="92"/>
      <c r="K2331" s="92">
        <v>42683.799780092595</v>
      </c>
      <c r="L2331" s="92">
        <f>IF(AND(单词表[[#This Row],[学英]]&lt;&gt;"",单词表[[#This Row],[学中]]&lt;&gt;"",单词表[[#This Row],[学词]]&lt;&gt;""),MAX(单词表[[#This Row],[学英]:[学词]]),"")</f>
        <v>42680.801874999997</v>
      </c>
      <c r="M2331" s="2" t="str">
        <f>IF(AND(单词表[[#This Row],[考英]]&lt;&gt;"",单词表[[#This Row],[考中]]&lt;&gt;""),MAX(单词表[[#This Row],[考英]:[考中]]),"")</f>
        <v/>
      </c>
      <c r="N2331" s="79"/>
    </row>
    <row r="2332" spans="1:14" hidden="1" x14ac:dyDescent="0.15">
      <c r="A2332">
        <v>2332</v>
      </c>
      <c r="B2332" t="s">
        <v>35</v>
      </c>
      <c r="C2332" t="s">
        <v>15</v>
      </c>
      <c r="D2332" s="72" t="s">
        <v>2732</v>
      </c>
      <c r="E2332" t="s">
        <v>36</v>
      </c>
      <c r="F2332" t="s">
        <v>5559</v>
      </c>
      <c r="G2332" s="92">
        <v>42680.801898148151</v>
      </c>
      <c r="H2332" s="92">
        <v>42683.800659722219</v>
      </c>
      <c r="I2332" s="92">
        <v>42683.800659722219</v>
      </c>
      <c r="J2332" s="92"/>
      <c r="K2332" s="92">
        <v>42683.801944444444</v>
      </c>
      <c r="L2332" s="92">
        <f>IF(AND(单词表[[#This Row],[学英]]&lt;&gt;"",单词表[[#This Row],[学中]]&lt;&gt;"",单词表[[#This Row],[学词]]&lt;&gt;""),MAX(单词表[[#This Row],[学英]:[学词]]),"")</f>
        <v>42683.800659722219</v>
      </c>
      <c r="M2332" s="2" t="str">
        <f>IF(AND(单词表[[#This Row],[考英]]&lt;&gt;"",单词表[[#This Row],[考中]]&lt;&gt;""),MAX(单词表[[#This Row],[考英]:[考中]]),"")</f>
        <v/>
      </c>
      <c r="N2332" s="79"/>
    </row>
    <row r="2333" spans="1:14" hidden="1" x14ac:dyDescent="0.15">
      <c r="A2333">
        <v>2333</v>
      </c>
      <c r="B2333" t="s">
        <v>35</v>
      </c>
      <c r="C2333" t="s">
        <v>15</v>
      </c>
      <c r="D2333" s="72" t="s">
        <v>4027</v>
      </c>
      <c r="E2333" t="s">
        <v>61</v>
      </c>
      <c r="F2333" t="s">
        <v>4028</v>
      </c>
      <c r="G2333" s="92">
        <v>42680.801921296297</v>
      </c>
      <c r="H2333" s="92">
        <v>42680.801921296297</v>
      </c>
      <c r="I2333" s="92">
        <v>42680.801921296297</v>
      </c>
      <c r="J2333" s="92"/>
      <c r="K2333" s="92">
        <v>42681.878321759257</v>
      </c>
      <c r="L2333" s="92">
        <f>IF(AND(单词表[[#This Row],[学英]]&lt;&gt;"",单词表[[#This Row],[学中]]&lt;&gt;"",单词表[[#This Row],[学词]]&lt;&gt;""),MAX(单词表[[#This Row],[学英]:[学词]]),"")</f>
        <v>42680.801921296297</v>
      </c>
      <c r="M2333" s="2" t="str">
        <f>IF(AND(单词表[[#This Row],[考英]]&lt;&gt;"",单词表[[#This Row],[考中]]&lt;&gt;""),MAX(单词表[[#This Row],[考英]:[考中]]),"")</f>
        <v/>
      </c>
      <c r="N2333" s="79"/>
    </row>
    <row r="2334" spans="1:14" hidden="1" x14ac:dyDescent="0.15">
      <c r="A2334">
        <v>2334</v>
      </c>
      <c r="B2334" t="s">
        <v>35</v>
      </c>
      <c r="C2334" t="s">
        <v>15</v>
      </c>
      <c r="D2334" s="72" t="s">
        <v>4029</v>
      </c>
      <c r="E2334" t="s">
        <v>61</v>
      </c>
      <c r="F2334" t="s">
        <v>4030</v>
      </c>
      <c r="G2334" s="92">
        <v>42680.80195601852</v>
      </c>
      <c r="H2334" s="92">
        <v>42680.80195601852</v>
      </c>
      <c r="I2334" s="92">
        <v>42680.80195601852</v>
      </c>
      <c r="J2334" s="92"/>
      <c r="K2334" s="92">
        <v>42681.878368055557</v>
      </c>
      <c r="L2334" s="92">
        <f>IF(AND(单词表[[#This Row],[学英]]&lt;&gt;"",单词表[[#This Row],[学中]]&lt;&gt;"",单词表[[#This Row],[学词]]&lt;&gt;""),MAX(单词表[[#This Row],[学英]:[学词]]),"")</f>
        <v>42680.80195601852</v>
      </c>
      <c r="M2334" s="2" t="str">
        <f>IF(AND(单词表[[#This Row],[考英]]&lt;&gt;"",单词表[[#This Row],[考中]]&lt;&gt;""),MAX(单词表[[#This Row],[考英]:[考中]]),"")</f>
        <v/>
      </c>
      <c r="N2334" s="79"/>
    </row>
    <row r="2335" spans="1:14" hidden="1" x14ac:dyDescent="0.15">
      <c r="A2335">
        <v>2335</v>
      </c>
      <c r="B2335" t="s">
        <v>35</v>
      </c>
      <c r="C2335" t="s">
        <v>15</v>
      </c>
      <c r="D2335" s="72" t="s">
        <v>4031</v>
      </c>
      <c r="E2335" t="s">
        <v>61</v>
      </c>
      <c r="F2335" t="s">
        <v>4032</v>
      </c>
      <c r="G2335" s="92">
        <v>42680.801979166667</v>
      </c>
      <c r="H2335" s="92">
        <v>42683.802766203706</v>
      </c>
      <c r="I2335" s="92">
        <v>42683.802766203706</v>
      </c>
      <c r="J2335" s="92"/>
      <c r="K2335" s="92">
        <v>42683.802847222221</v>
      </c>
      <c r="L2335" s="92">
        <f>IF(AND(单词表[[#This Row],[学英]]&lt;&gt;"",单词表[[#This Row],[学中]]&lt;&gt;"",单词表[[#This Row],[学词]]&lt;&gt;""),MAX(单词表[[#This Row],[学英]:[学词]]),"")</f>
        <v>42683.802766203706</v>
      </c>
      <c r="M2335" s="2" t="str">
        <f>IF(AND(单词表[[#This Row],[考英]]&lt;&gt;"",单词表[[#This Row],[考中]]&lt;&gt;""),MAX(单词表[[#This Row],[考英]:[考中]]),"")</f>
        <v/>
      </c>
      <c r="N2335" s="79"/>
    </row>
    <row r="2336" spans="1:14" hidden="1" x14ac:dyDescent="0.15">
      <c r="A2336">
        <v>2336</v>
      </c>
      <c r="B2336" t="s">
        <v>35</v>
      </c>
      <c r="C2336" t="s">
        <v>15</v>
      </c>
      <c r="D2336" s="72" t="s">
        <v>1826</v>
      </c>
      <c r="E2336" t="s">
        <v>36</v>
      </c>
      <c r="F2336" t="s">
        <v>4033</v>
      </c>
      <c r="G2336" s="92">
        <v>42680.802372685182</v>
      </c>
      <c r="H2336" s="92">
        <v>42680.802372685182</v>
      </c>
      <c r="I2336" s="92">
        <v>42680.802372685182</v>
      </c>
      <c r="J2336" s="92"/>
      <c r="K2336" s="92">
        <v>42683.799803240741</v>
      </c>
      <c r="L2336" s="92">
        <f>IF(AND(单词表[[#This Row],[学英]]&lt;&gt;"",单词表[[#This Row],[学中]]&lt;&gt;"",单词表[[#This Row],[学词]]&lt;&gt;""),MAX(单词表[[#This Row],[学英]:[学词]]),"")</f>
        <v>42680.802372685182</v>
      </c>
      <c r="M2336" s="2" t="str">
        <f>IF(AND(单词表[[#This Row],[考英]]&lt;&gt;"",单词表[[#This Row],[考中]]&lt;&gt;""),MAX(单词表[[#This Row],[考英]:[考中]]),"")</f>
        <v/>
      </c>
      <c r="N2336" s="79"/>
    </row>
    <row r="2337" spans="1:14" hidden="1" x14ac:dyDescent="0.15">
      <c r="A2337">
        <v>2337</v>
      </c>
      <c r="B2337" t="s">
        <v>35</v>
      </c>
      <c r="C2337" t="s">
        <v>15</v>
      </c>
      <c r="D2337" s="72" t="s">
        <v>1782</v>
      </c>
      <c r="E2337" t="s">
        <v>36</v>
      </c>
      <c r="F2337" t="s">
        <v>4034</v>
      </c>
      <c r="G2337" s="92">
        <v>42680.802418981482</v>
      </c>
      <c r="H2337" s="92">
        <v>42680.802418981482</v>
      </c>
      <c r="I2337" s="92">
        <v>42680.802418981482</v>
      </c>
      <c r="J2337" s="92"/>
      <c r="K2337" s="92">
        <v>42683.799849537034</v>
      </c>
      <c r="L2337" s="92">
        <f>IF(AND(单词表[[#This Row],[学英]]&lt;&gt;"",单词表[[#This Row],[学中]]&lt;&gt;"",单词表[[#This Row],[学词]]&lt;&gt;""),MAX(单词表[[#This Row],[学英]:[学词]]),"")</f>
        <v>42680.802418981482</v>
      </c>
      <c r="M2337" s="2" t="str">
        <f>IF(AND(单词表[[#This Row],[考英]]&lt;&gt;"",单词表[[#This Row],[考中]]&lt;&gt;""),MAX(单词表[[#This Row],[考英]:[考中]]),"")</f>
        <v/>
      </c>
      <c r="N2337" s="79"/>
    </row>
    <row r="2338" spans="1:14" hidden="1" x14ac:dyDescent="0.15">
      <c r="A2338">
        <v>2338</v>
      </c>
      <c r="B2338" t="s">
        <v>35</v>
      </c>
      <c r="C2338" t="s">
        <v>15</v>
      </c>
      <c r="D2338" s="72" t="s">
        <v>1308</v>
      </c>
      <c r="E2338" t="s">
        <v>36</v>
      </c>
      <c r="F2338" t="s">
        <v>4035</v>
      </c>
      <c r="G2338" s="92">
        <v>42680.802453703705</v>
      </c>
      <c r="H2338" s="92">
        <v>42683.800706018519</v>
      </c>
      <c r="I2338" s="92">
        <v>42683.800706018519</v>
      </c>
      <c r="J2338" s="92"/>
      <c r="K2338" s="92">
        <v>42683.802048611113</v>
      </c>
      <c r="L2338" s="92">
        <f>IF(AND(单词表[[#This Row],[学英]]&lt;&gt;"",单词表[[#This Row],[学中]]&lt;&gt;"",单词表[[#This Row],[学词]]&lt;&gt;""),MAX(单词表[[#This Row],[学英]:[学词]]),"")</f>
        <v>42683.800706018519</v>
      </c>
      <c r="M2338" s="2" t="str">
        <f>IF(AND(单词表[[#This Row],[考英]]&lt;&gt;"",单词表[[#This Row],[考中]]&lt;&gt;""),MAX(单词表[[#This Row],[考英]:[考中]]),"")</f>
        <v/>
      </c>
      <c r="N2338" s="79"/>
    </row>
    <row r="2339" spans="1:14" hidden="1" x14ac:dyDescent="0.15">
      <c r="A2339">
        <v>2339</v>
      </c>
      <c r="B2339" t="s">
        <v>35</v>
      </c>
      <c r="C2339" t="s">
        <v>15</v>
      </c>
      <c r="D2339" s="72" t="s">
        <v>1308</v>
      </c>
      <c r="E2339" t="s">
        <v>61</v>
      </c>
      <c r="F2339" t="s">
        <v>4036</v>
      </c>
      <c r="G2339" s="92">
        <v>42680.802499999998</v>
      </c>
      <c r="H2339" s="92">
        <v>42680.802499999998</v>
      </c>
      <c r="I2339" s="92">
        <v>42680.802499999998</v>
      </c>
      <c r="J2339" s="92"/>
      <c r="K2339" s="92">
        <v>42683.799953703703</v>
      </c>
      <c r="L2339" s="92">
        <f>IF(AND(单词表[[#This Row],[学英]]&lt;&gt;"",单词表[[#This Row],[学中]]&lt;&gt;"",单词表[[#This Row],[学词]]&lt;&gt;""),MAX(单词表[[#This Row],[学英]:[学词]]),"")</f>
        <v>42680.802499999998</v>
      </c>
      <c r="M2339" s="2" t="str">
        <f>IF(AND(单词表[[#This Row],[考英]]&lt;&gt;"",单词表[[#This Row],[考中]]&lt;&gt;""),MAX(单词表[[#This Row],[考英]:[考中]]),"")</f>
        <v/>
      </c>
      <c r="N2339" s="79"/>
    </row>
    <row r="2340" spans="1:14" hidden="1" x14ac:dyDescent="0.15">
      <c r="A2340">
        <v>2340</v>
      </c>
      <c r="B2340" t="s">
        <v>35</v>
      </c>
      <c r="C2340" t="s">
        <v>15</v>
      </c>
      <c r="D2340" s="72" t="s">
        <v>4037</v>
      </c>
      <c r="E2340" t="s">
        <v>36</v>
      </c>
      <c r="F2340" t="s">
        <v>4038</v>
      </c>
      <c r="G2340" s="92">
        <v>42680.802569444444</v>
      </c>
      <c r="H2340" s="92">
        <v>42683.800729166665</v>
      </c>
      <c r="I2340" s="92">
        <v>42683.800729166665</v>
      </c>
      <c r="J2340" s="92"/>
      <c r="K2340" s="92">
        <v>42683.802129629628</v>
      </c>
      <c r="L2340" s="92">
        <f>IF(AND(单词表[[#This Row],[学英]]&lt;&gt;"",单词表[[#This Row],[学中]]&lt;&gt;"",单词表[[#This Row],[学词]]&lt;&gt;""),MAX(单词表[[#This Row],[学英]:[学词]]),"")</f>
        <v>42683.800729166665</v>
      </c>
      <c r="M2340" s="2" t="str">
        <f>IF(AND(单词表[[#This Row],[考英]]&lt;&gt;"",单词表[[#This Row],[考中]]&lt;&gt;""),MAX(单词表[[#This Row],[考英]:[考中]]),"")</f>
        <v/>
      </c>
      <c r="N2340" s="79"/>
    </row>
    <row r="2341" spans="1:14" hidden="1" x14ac:dyDescent="0.15">
      <c r="A2341">
        <v>2341</v>
      </c>
      <c r="B2341" t="s">
        <v>35</v>
      </c>
      <c r="C2341" t="s">
        <v>15</v>
      </c>
      <c r="D2341" s="72" t="s">
        <v>2561</v>
      </c>
      <c r="E2341" t="s">
        <v>36</v>
      </c>
      <c r="F2341" t="s">
        <v>4039</v>
      </c>
      <c r="G2341" s="92">
        <v>42680.802615740744</v>
      </c>
      <c r="H2341" s="92">
        <v>42680.802615740744</v>
      </c>
      <c r="I2341" s="92">
        <v>42680.802615740744</v>
      </c>
      <c r="J2341" s="92"/>
      <c r="K2341" s="92">
        <v>42683.800081018519</v>
      </c>
      <c r="L2341" s="92">
        <f>IF(AND(单词表[[#This Row],[学英]]&lt;&gt;"",单词表[[#This Row],[学中]]&lt;&gt;"",单词表[[#This Row],[学词]]&lt;&gt;""),MAX(单词表[[#This Row],[学英]:[学词]]),"")</f>
        <v>42680.802615740744</v>
      </c>
      <c r="M2341" s="2" t="str">
        <f>IF(AND(单词表[[#This Row],[考英]]&lt;&gt;"",单词表[[#This Row],[考中]]&lt;&gt;""),MAX(单词表[[#This Row],[考英]:[考中]]),"")</f>
        <v/>
      </c>
      <c r="N2341" s="79"/>
    </row>
    <row r="2342" spans="1:14" hidden="1" x14ac:dyDescent="0.15">
      <c r="A2342">
        <v>2342</v>
      </c>
      <c r="B2342" t="s">
        <v>35</v>
      </c>
      <c r="C2342" t="s">
        <v>15</v>
      </c>
      <c r="D2342" s="72" t="s">
        <v>4040</v>
      </c>
      <c r="E2342" t="s">
        <v>210</v>
      </c>
      <c r="F2342" t="s">
        <v>4041</v>
      </c>
      <c r="G2342" s="92">
        <v>42680.80265046296</v>
      </c>
      <c r="H2342" s="92">
        <v>42683.800752314812</v>
      </c>
      <c r="I2342" s="92">
        <v>42683.800752314812</v>
      </c>
      <c r="J2342" s="92"/>
      <c r="K2342" s="92">
        <v>42683.802175925928</v>
      </c>
      <c r="L2342" s="92">
        <f>IF(AND(单词表[[#This Row],[学英]]&lt;&gt;"",单词表[[#This Row],[学中]]&lt;&gt;"",单词表[[#This Row],[学词]]&lt;&gt;""),MAX(单词表[[#This Row],[学英]:[学词]]),"")</f>
        <v>42683.800752314812</v>
      </c>
      <c r="M2342" s="2" t="str">
        <f>IF(AND(单词表[[#This Row],[考英]]&lt;&gt;"",单词表[[#This Row],[考中]]&lt;&gt;""),MAX(单词表[[#This Row],[考英]:[考中]]),"")</f>
        <v/>
      </c>
      <c r="N2342" s="79"/>
    </row>
    <row r="2343" spans="1:14" hidden="1" x14ac:dyDescent="0.15">
      <c r="A2343">
        <v>2343</v>
      </c>
      <c r="B2343" t="s">
        <v>35</v>
      </c>
      <c r="C2343" t="s">
        <v>15</v>
      </c>
      <c r="D2343" s="72" t="s">
        <v>4042</v>
      </c>
      <c r="E2343" t="s">
        <v>73</v>
      </c>
      <c r="F2343" t="s">
        <v>4043</v>
      </c>
      <c r="G2343" s="92">
        <v>42680.802685185183</v>
      </c>
      <c r="H2343" s="92">
        <v>42683.800775462965</v>
      </c>
      <c r="I2343" s="92">
        <v>42683.800775462965</v>
      </c>
      <c r="J2343" s="92"/>
      <c r="K2343" s="92">
        <v>42683.802303240744</v>
      </c>
      <c r="L2343" s="92">
        <f>IF(AND(单词表[[#This Row],[学英]]&lt;&gt;"",单词表[[#This Row],[学中]]&lt;&gt;"",单词表[[#This Row],[学词]]&lt;&gt;""),MAX(单词表[[#This Row],[学英]:[学词]]),"")</f>
        <v>42683.800775462965</v>
      </c>
      <c r="M2343" s="2" t="str">
        <f>IF(AND(单词表[[#This Row],[考英]]&lt;&gt;"",单词表[[#This Row],[考中]]&lt;&gt;""),MAX(单词表[[#This Row],[考英]:[考中]]),"")</f>
        <v/>
      </c>
      <c r="N2343" s="79"/>
    </row>
    <row r="2344" spans="1:14" hidden="1" x14ac:dyDescent="0.15">
      <c r="A2344">
        <v>2344</v>
      </c>
      <c r="B2344" t="s">
        <v>35</v>
      </c>
      <c r="C2344" t="s">
        <v>15</v>
      </c>
      <c r="D2344" s="72" t="s">
        <v>2401</v>
      </c>
      <c r="E2344" t="s">
        <v>36</v>
      </c>
      <c r="F2344" t="s">
        <v>2402</v>
      </c>
      <c r="G2344" s="92">
        <v>42680.802743055552</v>
      </c>
      <c r="H2344" s="92">
        <v>42680.802743055552</v>
      </c>
      <c r="I2344" s="92">
        <v>42680.802743055552</v>
      </c>
      <c r="J2344" s="92"/>
      <c r="K2344" s="92">
        <v>42683.800115740742</v>
      </c>
      <c r="L2344" s="92">
        <f>IF(AND(单词表[[#This Row],[学英]]&lt;&gt;"",单词表[[#This Row],[学中]]&lt;&gt;"",单词表[[#This Row],[学词]]&lt;&gt;""),MAX(单词表[[#This Row],[学英]:[学词]]),"")</f>
        <v>42680.802743055552</v>
      </c>
      <c r="M2344" s="2" t="str">
        <f>IF(AND(单词表[[#This Row],[考英]]&lt;&gt;"",单词表[[#This Row],[考中]]&lt;&gt;""),MAX(单词表[[#This Row],[考英]:[考中]]),"")</f>
        <v/>
      </c>
      <c r="N2344" s="79"/>
    </row>
    <row r="2345" spans="1:14" hidden="1" x14ac:dyDescent="0.15">
      <c r="A2345">
        <v>2345</v>
      </c>
      <c r="B2345" t="s">
        <v>35</v>
      </c>
      <c r="C2345" t="s">
        <v>15</v>
      </c>
      <c r="D2345" s="72" t="s">
        <v>4044</v>
      </c>
      <c r="E2345" t="s">
        <v>36</v>
      </c>
      <c r="F2345" t="s">
        <v>4045</v>
      </c>
      <c r="G2345" s="92">
        <v>42680.802766203706</v>
      </c>
      <c r="H2345" s="92">
        <v>42683.800798611112</v>
      </c>
      <c r="I2345" s="92">
        <v>42683.800798611112</v>
      </c>
      <c r="J2345" s="92"/>
      <c r="K2345" s="92">
        <v>42683.80232638889</v>
      </c>
      <c r="L2345" s="92">
        <f>IF(AND(单词表[[#This Row],[学英]]&lt;&gt;"",单词表[[#This Row],[学中]]&lt;&gt;"",单词表[[#This Row],[学词]]&lt;&gt;""),MAX(单词表[[#This Row],[学英]:[学词]]),"")</f>
        <v>42683.800798611112</v>
      </c>
      <c r="M2345" s="2" t="str">
        <f>IF(AND(单词表[[#This Row],[考英]]&lt;&gt;"",单词表[[#This Row],[考中]]&lt;&gt;""),MAX(单词表[[#This Row],[考英]:[考中]]),"")</f>
        <v/>
      </c>
      <c r="N2345" s="79"/>
    </row>
    <row r="2346" spans="1:14" hidden="1" x14ac:dyDescent="0.15">
      <c r="A2346">
        <v>2346</v>
      </c>
      <c r="B2346" t="s">
        <v>35</v>
      </c>
      <c r="C2346" t="s">
        <v>15</v>
      </c>
      <c r="D2346" s="72" t="s">
        <v>4046</v>
      </c>
      <c r="E2346" t="s">
        <v>702</v>
      </c>
      <c r="F2346" t="s">
        <v>4047</v>
      </c>
      <c r="G2346" s="92">
        <v>42680.802812499998</v>
      </c>
      <c r="H2346" s="92">
        <v>42683.800821759258</v>
      </c>
      <c r="I2346" s="92">
        <v>42683.800821759258</v>
      </c>
      <c r="J2346" s="92"/>
      <c r="K2346" s="92">
        <v>42683.802442129629</v>
      </c>
      <c r="L2346" s="92">
        <f>IF(AND(单词表[[#This Row],[学英]]&lt;&gt;"",单词表[[#This Row],[学中]]&lt;&gt;"",单词表[[#This Row],[学词]]&lt;&gt;""),MAX(单词表[[#This Row],[学英]:[学词]]),"")</f>
        <v>42683.800821759258</v>
      </c>
      <c r="M2346" s="2" t="str">
        <f>IF(AND(单词表[[#This Row],[考英]]&lt;&gt;"",单词表[[#This Row],[考中]]&lt;&gt;""),MAX(单词表[[#This Row],[考英]:[考中]]),"")</f>
        <v/>
      </c>
      <c r="N2346" s="79"/>
    </row>
    <row r="2347" spans="1:14" hidden="1" x14ac:dyDescent="0.15">
      <c r="A2347">
        <v>2347</v>
      </c>
      <c r="B2347" t="s">
        <v>35</v>
      </c>
      <c r="C2347" t="s">
        <v>15</v>
      </c>
      <c r="D2347" s="72" t="s">
        <v>4048</v>
      </c>
      <c r="E2347" t="s">
        <v>36</v>
      </c>
      <c r="F2347" t="s">
        <v>4049</v>
      </c>
      <c r="G2347" s="92">
        <v>42680.802870370368</v>
      </c>
      <c r="H2347" s="92">
        <v>42683.800833333335</v>
      </c>
      <c r="I2347" s="92">
        <v>42683.800833333335</v>
      </c>
      <c r="J2347" s="92"/>
      <c r="K2347" s="92">
        <v>42683.802534722221</v>
      </c>
      <c r="L2347" s="92">
        <f>IF(AND(单词表[[#This Row],[学英]]&lt;&gt;"",单词表[[#This Row],[学中]]&lt;&gt;"",单词表[[#This Row],[学词]]&lt;&gt;""),MAX(单词表[[#This Row],[学英]:[学词]]),"")</f>
        <v>42683.800833333335</v>
      </c>
      <c r="M2347" s="2" t="str">
        <f>IF(AND(单词表[[#This Row],[考英]]&lt;&gt;"",单词表[[#This Row],[考中]]&lt;&gt;""),MAX(单词表[[#This Row],[考英]:[考中]]),"")</f>
        <v/>
      </c>
      <c r="N2347" s="79"/>
    </row>
    <row r="2348" spans="1:14" hidden="1" x14ac:dyDescent="0.15">
      <c r="A2348">
        <v>2348</v>
      </c>
      <c r="B2348" t="s">
        <v>35</v>
      </c>
      <c r="C2348" t="s">
        <v>15</v>
      </c>
      <c r="D2348" s="72" t="s">
        <v>968</v>
      </c>
      <c r="E2348" t="s">
        <v>73</v>
      </c>
      <c r="F2348" t="s">
        <v>4050</v>
      </c>
      <c r="G2348" s="92">
        <v>42680.802951388891</v>
      </c>
      <c r="H2348" s="92">
        <v>42680.802951388891</v>
      </c>
      <c r="I2348" s="92">
        <v>42680.802951388891</v>
      </c>
      <c r="J2348" s="92"/>
      <c r="K2348" s="92">
        <v>42683.800150462965</v>
      </c>
      <c r="L2348" s="92">
        <f>IF(AND(单词表[[#This Row],[学英]]&lt;&gt;"",单词表[[#This Row],[学中]]&lt;&gt;"",单词表[[#This Row],[学词]]&lt;&gt;""),MAX(单词表[[#This Row],[学英]:[学词]]),"")</f>
        <v>42680.802951388891</v>
      </c>
      <c r="M2348" s="2" t="str">
        <f>IF(AND(单词表[[#This Row],[考英]]&lt;&gt;"",单词表[[#This Row],[考中]]&lt;&gt;""),MAX(单词表[[#This Row],[考英]:[考中]]),"")</f>
        <v/>
      </c>
      <c r="N2348" s="79"/>
    </row>
    <row r="2349" spans="1:14" hidden="1" x14ac:dyDescent="0.15">
      <c r="A2349">
        <v>2349</v>
      </c>
      <c r="B2349" t="s">
        <v>35</v>
      </c>
      <c r="C2349" t="s">
        <v>15</v>
      </c>
      <c r="D2349" s="72" t="s">
        <v>2967</v>
      </c>
      <c r="E2349" t="s">
        <v>38</v>
      </c>
      <c r="F2349" t="s">
        <v>5560</v>
      </c>
      <c r="G2349" s="92">
        <v>42680.802986111114</v>
      </c>
      <c r="H2349" s="92">
        <v>42680.802986111114</v>
      </c>
      <c r="I2349" s="92">
        <v>42680.802986111114</v>
      </c>
      <c r="J2349" s="92"/>
      <c r="K2349" s="92">
        <v>42683.800196759257</v>
      </c>
      <c r="L2349" s="92">
        <f>IF(AND(单词表[[#This Row],[学英]]&lt;&gt;"",单词表[[#This Row],[学中]]&lt;&gt;"",单词表[[#This Row],[学词]]&lt;&gt;""),MAX(单词表[[#This Row],[学英]:[学词]]),"")</f>
        <v>42680.802986111114</v>
      </c>
      <c r="M2349" s="2" t="str">
        <f>IF(AND(单词表[[#This Row],[考英]]&lt;&gt;"",单词表[[#This Row],[考中]]&lt;&gt;""),MAX(单词表[[#This Row],[考英]:[考中]]),"")</f>
        <v/>
      </c>
      <c r="N2349" s="79"/>
    </row>
    <row r="2350" spans="1:14" hidden="1" x14ac:dyDescent="0.15">
      <c r="A2350">
        <v>2350</v>
      </c>
      <c r="B2350" t="s">
        <v>35</v>
      </c>
      <c r="C2350" t="s">
        <v>15</v>
      </c>
      <c r="D2350" s="72" t="s">
        <v>4051</v>
      </c>
      <c r="E2350" t="s">
        <v>73</v>
      </c>
      <c r="F2350" t="s">
        <v>4052</v>
      </c>
      <c r="G2350" s="92">
        <v>42680.803101851852</v>
      </c>
      <c r="H2350" s="92">
        <v>42680.803101851852</v>
      </c>
      <c r="I2350" s="92">
        <v>42680.803101851852</v>
      </c>
      <c r="J2350" s="92"/>
      <c r="K2350" s="92">
        <v>42683.80023148148</v>
      </c>
      <c r="L2350" s="92">
        <f>IF(AND(单词表[[#This Row],[学英]]&lt;&gt;"",单词表[[#This Row],[学中]]&lt;&gt;"",单词表[[#This Row],[学词]]&lt;&gt;""),MAX(单词表[[#This Row],[学英]:[学词]]),"")</f>
        <v>42680.803101851852</v>
      </c>
      <c r="M2350" s="2" t="str">
        <f>IF(AND(单词表[[#This Row],[考英]]&lt;&gt;"",单词表[[#This Row],[考中]]&lt;&gt;""),MAX(单词表[[#This Row],[考英]:[考中]]),"")</f>
        <v/>
      </c>
      <c r="N2350" s="79"/>
    </row>
    <row r="2351" spans="1:14" hidden="1" x14ac:dyDescent="0.15">
      <c r="A2351">
        <v>2351</v>
      </c>
      <c r="B2351" t="s">
        <v>35</v>
      </c>
      <c r="C2351" t="s">
        <v>15</v>
      </c>
      <c r="D2351" s="72" t="s">
        <v>4053</v>
      </c>
      <c r="E2351" t="s">
        <v>36</v>
      </c>
      <c r="F2351" t="s">
        <v>4054</v>
      </c>
      <c r="G2351" s="92">
        <v>42680.80332175926</v>
      </c>
      <c r="H2351" s="92">
        <v>42680.80332175926</v>
      </c>
      <c r="I2351" s="92">
        <v>42680.80332175926</v>
      </c>
      <c r="J2351" s="92"/>
      <c r="K2351" s="92">
        <v>42683.800266203703</v>
      </c>
      <c r="L2351" s="92">
        <f>IF(AND(单词表[[#This Row],[学英]]&lt;&gt;"",单词表[[#This Row],[学中]]&lt;&gt;"",单词表[[#This Row],[学词]]&lt;&gt;""),MAX(单词表[[#This Row],[学英]:[学词]]),"")</f>
        <v>42680.80332175926</v>
      </c>
      <c r="M2351" s="2" t="str">
        <f>IF(AND(单词表[[#This Row],[考英]]&lt;&gt;"",单词表[[#This Row],[考中]]&lt;&gt;""),MAX(单词表[[#This Row],[考英]:[考中]]),"")</f>
        <v/>
      </c>
      <c r="N2351" s="79"/>
    </row>
    <row r="2352" spans="1:14" hidden="1" x14ac:dyDescent="0.15">
      <c r="A2352">
        <v>2352</v>
      </c>
      <c r="B2352" t="s">
        <v>35</v>
      </c>
      <c r="C2352" t="s">
        <v>15</v>
      </c>
      <c r="D2352" s="72" t="s">
        <v>4055</v>
      </c>
      <c r="E2352" t="s">
        <v>157</v>
      </c>
      <c r="F2352" t="s">
        <v>4056</v>
      </c>
      <c r="G2352" s="92">
        <v>42680.803622685184</v>
      </c>
      <c r="H2352" s="92">
        <v>42683.800856481481</v>
      </c>
      <c r="I2352" s="92">
        <v>42683.800856481481</v>
      </c>
      <c r="J2352" s="92"/>
      <c r="K2352" s="92">
        <v>42683.802627314813</v>
      </c>
      <c r="L2352" s="92">
        <f>IF(AND(单词表[[#This Row],[学英]]&lt;&gt;"",单词表[[#This Row],[学中]]&lt;&gt;"",单词表[[#This Row],[学词]]&lt;&gt;""),MAX(单词表[[#This Row],[学英]:[学词]]),"")</f>
        <v>42683.800856481481</v>
      </c>
      <c r="M2352" s="2" t="str">
        <f>IF(AND(单词表[[#This Row],[考英]]&lt;&gt;"",单词表[[#This Row],[考中]]&lt;&gt;""),MAX(单词表[[#This Row],[考英]:[考中]]),"")</f>
        <v/>
      </c>
      <c r="N2352" s="79"/>
    </row>
    <row r="2353" spans="1:14" hidden="1" x14ac:dyDescent="0.15">
      <c r="A2353">
        <v>2353</v>
      </c>
      <c r="B2353" t="s">
        <v>35</v>
      </c>
      <c r="C2353" t="s">
        <v>16</v>
      </c>
      <c r="D2353" s="72" t="s">
        <v>4057</v>
      </c>
      <c r="E2353" t="s">
        <v>36</v>
      </c>
      <c r="F2353" t="s">
        <v>4058</v>
      </c>
      <c r="G2353" s="92">
        <v>42681.874340277776</v>
      </c>
      <c r="H2353" s="92">
        <v>42681.883819444447</v>
      </c>
      <c r="I2353" s="92">
        <v>42681.883819444447</v>
      </c>
      <c r="J2353" s="92"/>
      <c r="K2353" s="92">
        <v>42697.782592592594</v>
      </c>
      <c r="L2353" s="92">
        <f>IF(AND(单词表[[#This Row],[学英]]&lt;&gt;"",单词表[[#This Row],[学中]]&lt;&gt;"",单词表[[#This Row],[学词]]&lt;&gt;""),MAX(单词表[[#This Row],[学英]:[学词]]),"")</f>
        <v>42681.883819444447</v>
      </c>
      <c r="M2353" s="2" t="str">
        <f>IF(AND(单词表[[#This Row],[考英]]&lt;&gt;"",单词表[[#This Row],[考中]]&lt;&gt;""),MAX(单词表[[#This Row],[考英]:[考中]]),"")</f>
        <v/>
      </c>
      <c r="N2353" s="79"/>
    </row>
    <row r="2354" spans="1:14" hidden="1" x14ac:dyDescent="0.15">
      <c r="A2354">
        <v>2354</v>
      </c>
      <c r="B2354" t="s">
        <v>35</v>
      </c>
      <c r="C2354" t="s">
        <v>16</v>
      </c>
      <c r="D2354" s="72" t="s">
        <v>4059</v>
      </c>
      <c r="E2354" t="s">
        <v>36</v>
      </c>
      <c r="F2354" t="s">
        <v>4060</v>
      </c>
      <c r="G2354" s="92">
        <v>42681.874363425923</v>
      </c>
      <c r="H2354" s="92">
        <v>42681.874363425923</v>
      </c>
      <c r="I2354" s="92">
        <v>42681.874363425923</v>
      </c>
      <c r="J2354" s="92"/>
      <c r="K2354" s="92">
        <v>42697.782627314817</v>
      </c>
      <c r="L2354" s="92">
        <f>IF(AND(单词表[[#This Row],[学英]]&lt;&gt;"",单词表[[#This Row],[学中]]&lt;&gt;"",单词表[[#This Row],[学词]]&lt;&gt;""),MAX(单词表[[#This Row],[学英]:[学词]]),"")</f>
        <v>42681.874363425923</v>
      </c>
      <c r="M2354" s="2" t="str">
        <f>IF(AND(单词表[[#This Row],[考英]]&lt;&gt;"",单词表[[#This Row],[考中]]&lt;&gt;""),MAX(单词表[[#This Row],[考英]:[考中]]),"")</f>
        <v/>
      </c>
      <c r="N2354" s="79"/>
    </row>
    <row r="2355" spans="1:14" hidden="1" x14ac:dyDescent="0.15">
      <c r="A2355">
        <v>2355</v>
      </c>
      <c r="B2355" t="s">
        <v>35</v>
      </c>
      <c r="C2355" t="s">
        <v>16</v>
      </c>
      <c r="D2355" s="72" t="s">
        <v>4061</v>
      </c>
      <c r="E2355" t="s">
        <v>73</v>
      </c>
      <c r="F2355" t="s">
        <v>4062</v>
      </c>
      <c r="G2355" s="92">
        <v>42681.874456018515</v>
      </c>
      <c r="H2355" s="92">
        <v>42681.885277777779</v>
      </c>
      <c r="I2355" s="92">
        <v>42681.885277777779</v>
      </c>
      <c r="J2355" s="92"/>
      <c r="K2355" s="92">
        <v>42697.78266203704</v>
      </c>
      <c r="L2355" s="92">
        <f>IF(AND(单词表[[#This Row],[学英]]&lt;&gt;"",单词表[[#This Row],[学中]]&lt;&gt;"",单词表[[#This Row],[学词]]&lt;&gt;""),MAX(单词表[[#This Row],[学英]:[学词]]),"")</f>
        <v>42681.885277777779</v>
      </c>
      <c r="M2355" s="2" t="str">
        <f>IF(AND(单词表[[#This Row],[考英]]&lt;&gt;"",单词表[[#This Row],[考中]]&lt;&gt;""),MAX(单词表[[#This Row],[考英]:[考中]]),"")</f>
        <v/>
      </c>
      <c r="N2355" s="79"/>
    </row>
    <row r="2356" spans="1:14" hidden="1" x14ac:dyDescent="0.15">
      <c r="A2356">
        <v>2356</v>
      </c>
      <c r="B2356" t="s">
        <v>35</v>
      </c>
      <c r="C2356" t="s">
        <v>16</v>
      </c>
      <c r="D2356" s="72" t="s">
        <v>4063</v>
      </c>
      <c r="E2356" t="s">
        <v>36</v>
      </c>
      <c r="F2356" t="s">
        <v>4064</v>
      </c>
      <c r="G2356" s="92">
        <v>42681.874571759261</v>
      </c>
      <c r="H2356" s="92">
        <v>42681.88385416667</v>
      </c>
      <c r="I2356" s="92">
        <v>42681.88385416667</v>
      </c>
      <c r="J2356" s="92"/>
      <c r="K2356" s="92">
        <v>42697.782696759263</v>
      </c>
      <c r="L2356" s="92">
        <f>IF(AND(单词表[[#This Row],[学英]]&lt;&gt;"",单词表[[#This Row],[学中]]&lt;&gt;"",单词表[[#This Row],[学词]]&lt;&gt;""),MAX(单词表[[#This Row],[学英]:[学词]]),"")</f>
        <v>42681.88385416667</v>
      </c>
      <c r="M2356" s="2" t="str">
        <f>IF(AND(单词表[[#This Row],[考英]]&lt;&gt;"",单词表[[#This Row],[考中]]&lt;&gt;""),MAX(单词表[[#This Row],[考英]:[考中]]),"")</f>
        <v/>
      </c>
      <c r="N2356" s="79"/>
    </row>
    <row r="2357" spans="1:14" hidden="1" x14ac:dyDescent="0.15">
      <c r="A2357">
        <v>2357</v>
      </c>
      <c r="B2357" t="s">
        <v>35</v>
      </c>
      <c r="C2357" t="s">
        <v>16</v>
      </c>
      <c r="D2357" s="72" t="s">
        <v>4065</v>
      </c>
      <c r="E2357" t="s">
        <v>36</v>
      </c>
      <c r="F2357" t="s">
        <v>4066</v>
      </c>
      <c r="G2357" s="92">
        <v>42681.874699074076</v>
      </c>
      <c r="H2357" s="92">
        <v>42681.88386574074</v>
      </c>
      <c r="I2357" s="92">
        <v>42681.88386574074</v>
      </c>
      <c r="J2357" s="92"/>
      <c r="K2357" s="92">
        <v>42681.88484953704</v>
      </c>
      <c r="L2357" s="92">
        <f>IF(AND(单词表[[#This Row],[学英]]&lt;&gt;"",单词表[[#This Row],[学中]]&lt;&gt;"",单词表[[#This Row],[学词]]&lt;&gt;""),MAX(单词表[[#This Row],[学英]:[学词]]),"")</f>
        <v>42681.88386574074</v>
      </c>
      <c r="M2357" s="2" t="str">
        <f>IF(AND(单词表[[#This Row],[考英]]&lt;&gt;"",单词表[[#This Row],[考中]]&lt;&gt;""),MAX(单词表[[#This Row],[考英]:[考中]]),"")</f>
        <v/>
      </c>
      <c r="N2357" s="79"/>
    </row>
    <row r="2358" spans="1:14" hidden="1" x14ac:dyDescent="0.15">
      <c r="A2358">
        <v>2358</v>
      </c>
      <c r="B2358" t="s">
        <v>35</v>
      </c>
      <c r="C2358" t="s">
        <v>16</v>
      </c>
      <c r="D2358" s="72" t="s">
        <v>4067</v>
      </c>
      <c r="E2358" t="s">
        <v>36</v>
      </c>
      <c r="F2358" t="s">
        <v>4068</v>
      </c>
      <c r="G2358" s="92">
        <v>42681.874756944446</v>
      </c>
      <c r="H2358" s="92">
        <v>42681.874756944446</v>
      </c>
      <c r="I2358" s="92">
        <v>42681.874756944446</v>
      </c>
      <c r="J2358" s="92"/>
      <c r="K2358" s="92">
        <v>42681.884884259256</v>
      </c>
      <c r="L2358" s="92">
        <f>IF(AND(单词表[[#This Row],[学英]]&lt;&gt;"",单词表[[#This Row],[学中]]&lt;&gt;"",单词表[[#This Row],[学词]]&lt;&gt;""),MAX(单词表[[#This Row],[学英]:[学词]]),"")</f>
        <v>42681.874756944446</v>
      </c>
      <c r="M2358" s="2" t="str">
        <f>IF(AND(单词表[[#This Row],[考英]]&lt;&gt;"",单词表[[#This Row],[考中]]&lt;&gt;""),MAX(单词表[[#This Row],[考英]:[考中]]),"")</f>
        <v/>
      </c>
      <c r="N2358" s="79"/>
    </row>
    <row r="2359" spans="1:14" hidden="1" x14ac:dyDescent="0.15">
      <c r="A2359">
        <v>2359</v>
      </c>
      <c r="B2359" t="s">
        <v>35</v>
      </c>
      <c r="C2359" t="s">
        <v>16</v>
      </c>
      <c r="D2359" s="72" t="s">
        <v>4069</v>
      </c>
      <c r="E2359" t="s">
        <v>36</v>
      </c>
      <c r="F2359" t="s">
        <v>4070</v>
      </c>
      <c r="G2359" s="92">
        <v>42681.874814814815</v>
      </c>
      <c r="H2359" s="92">
        <v>42681.883888888886</v>
      </c>
      <c r="I2359" s="92">
        <v>42681.883888888886</v>
      </c>
      <c r="J2359" s="92"/>
      <c r="K2359" s="92">
        <v>42681.884918981479</v>
      </c>
      <c r="L2359" s="92">
        <f>IF(AND(单词表[[#This Row],[学英]]&lt;&gt;"",单词表[[#This Row],[学中]]&lt;&gt;"",单词表[[#This Row],[学词]]&lt;&gt;""),MAX(单词表[[#This Row],[学英]:[学词]]),"")</f>
        <v>42681.883888888886</v>
      </c>
      <c r="M2359" s="2" t="str">
        <f>IF(AND(单词表[[#This Row],[考英]]&lt;&gt;"",单词表[[#This Row],[考中]]&lt;&gt;""),MAX(单词表[[#This Row],[考英]:[考中]]),"")</f>
        <v/>
      </c>
      <c r="N2359" s="79"/>
    </row>
    <row r="2360" spans="1:14" hidden="1" x14ac:dyDescent="0.15">
      <c r="A2360">
        <v>2360</v>
      </c>
      <c r="B2360" t="s">
        <v>35</v>
      </c>
      <c r="C2360" t="s">
        <v>16</v>
      </c>
      <c r="D2360" s="72" t="s">
        <v>4071</v>
      </c>
      <c r="E2360" t="s">
        <v>36</v>
      </c>
      <c r="F2360" t="s">
        <v>4072</v>
      </c>
      <c r="G2360" s="92">
        <v>42681.8752662037</v>
      </c>
      <c r="H2360" s="92">
        <v>42681.8752662037</v>
      </c>
      <c r="I2360" s="92">
        <v>42681.8752662037</v>
      </c>
      <c r="J2360" s="92"/>
      <c r="K2360" s="92">
        <v>42681.884953703702</v>
      </c>
      <c r="L2360" s="92">
        <f>IF(AND(单词表[[#This Row],[学英]]&lt;&gt;"",单词表[[#This Row],[学中]]&lt;&gt;"",单词表[[#This Row],[学词]]&lt;&gt;""),MAX(单词表[[#This Row],[学英]:[学词]]),"")</f>
        <v>42681.8752662037</v>
      </c>
      <c r="M2360" s="2" t="str">
        <f>IF(AND(单词表[[#This Row],[考英]]&lt;&gt;"",单词表[[#This Row],[考中]]&lt;&gt;""),MAX(单词表[[#This Row],[考英]:[考中]]),"")</f>
        <v/>
      </c>
      <c r="N2360" s="79"/>
    </row>
    <row r="2361" spans="1:14" hidden="1" x14ac:dyDescent="0.15">
      <c r="A2361">
        <v>2361</v>
      </c>
      <c r="B2361" t="s">
        <v>35</v>
      </c>
      <c r="C2361" t="s">
        <v>16</v>
      </c>
      <c r="D2361" s="72" t="s">
        <v>1256</v>
      </c>
      <c r="E2361" t="s">
        <v>36</v>
      </c>
      <c r="F2361" t="s">
        <v>4073</v>
      </c>
      <c r="G2361" s="92">
        <v>42681.876851851855</v>
      </c>
      <c r="H2361" s="92">
        <v>42681.876851851855</v>
      </c>
      <c r="I2361" s="92">
        <v>42681.876851851855</v>
      </c>
      <c r="J2361" s="92"/>
      <c r="K2361" s="92">
        <v>42681.884976851848</v>
      </c>
      <c r="L2361" s="92">
        <f>IF(AND(单词表[[#This Row],[学英]]&lt;&gt;"",单词表[[#This Row],[学中]]&lt;&gt;"",单词表[[#This Row],[学词]]&lt;&gt;""),MAX(单词表[[#This Row],[学英]:[学词]]),"")</f>
        <v>42681.876851851855</v>
      </c>
      <c r="M2361" s="2" t="str">
        <f>IF(AND(单词表[[#This Row],[考英]]&lt;&gt;"",单词表[[#This Row],[考中]]&lt;&gt;""),MAX(单词表[[#This Row],[考英]:[考中]]),"")</f>
        <v/>
      </c>
      <c r="N2361" s="79"/>
    </row>
    <row r="2362" spans="1:14" hidden="1" x14ac:dyDescent="0.15">
      <c r="A2362">
        <v>2362</v>
      </c>
      <c r="B2362" t="s">
        <v>35</v>
      </c>
      <c r="C2362" t="s">
        <v>16</v>
      </c>
      <c r="D2362" s="72" t="s">
        <v>4074</v>
      </c>
      <c r="E2362" t="s">
        <v>36</v>
      </c>
      <c r="F2362" t="s">
        <v>4075</v>
      </c>
      <c r="G2362" s="92">
        <v>42681.876875000002</v>
      </c>
      <c r="H2362" s="92">
        <v>42681.876875000002</v>
      </c>
      <c r="I2362" s="92">
        <v>42681.876875000002</v>
      </c>
      <c r="J2362" s="92"/>
      <c r="K2362" s="92">
        <v>42681.885011574072</v>
      </c>
      <c r="L2362" s="92">
        <f>IF(AND(单词表[[#This Row],[学英]]&lt;&gt;"",单词表[[#This Row],[学中]]&lt;&gt;"",单词表[[#This Row],[学词]]&lt;&gt;""),MAX(单词表[[#This Row],[学英]:[学词]]),"")</f>
        <v>42681.876875000002</v>
      </c>
      <c r="M2362" s="2" t="str">
        <f>IF(AND(单词表[[#This Row],[考英]]&lt;&gt;"",单词表[[#This Row],[考中]]&lt;&gt;""),MAX(单词表[[#This Row],[考英]:[考中]]),"")</f>
        <v/>
      </c>
      <c r="N2362" s="79"/>
    </row>
    <row r="2363" spans="1:14" hidden="1" x14ac:dyDescent="0.15">
      <c r="A2363">
        <v>2363</v>
      </c>
      <c r="B2363" t="s">
        <v>35</v>
      </c>
      <c r="C2363" t="s">
        <v>16</v>
      </c>
      <c r="D2363" s="72" t="s">
        <v>4076</v>
      </c>
      <c r="E2363" t="s">
        <v>702</v>
      </c>
      <c r="F2363" t="s">
        <v>2833</v>
      </c>
      <c r="G2363" s="92">
        <v>42681.876898148148</v>
      </c>
      <c r="H2363" s="92">
        <v>42681.885289351849</v>
      </c>
      <c r="I2363" s="92">
        <v>42681.885289351849</v>
      </c>
      <c r="J2363" s="92"/>
      <c r="K2363" s="92">
        <v>42681.88548611111</v>
      </c>
      <c r="L2363" s="92">
        <f>IF(AND(单词表[[#This Row],[学英]]&lt;&gt;"",单词表[[#This Row],[学中]]&lt;&gt;"",单词表[[#This Row],[学词]]&lt;&gt;""),MAX(单词表[[#This Row],[学英]:[学词]]),"")</f>
        <v>42681.885289351849</v>
      </c>
      <c r="M2363" s="2" t="str">
        <f>IF(AND(单词表[[#This Row],[考英]]&lt;&gt;"",单词表[[#This Row],[考中]]&lt;&gt;""),MAX(单词表[[#This Row],[考英]:[考中]]),"")</f>
        <v/>
      </c>
      <c r="N2363" s="79"/>
    </row>
    <row r="2364" spans="1:14" hidden="1" x14ac:dyDescent="0.15">
      <c r="A2364">
        <v>2364</v>
      </c>
      <c r="B2364" t="s">
        <v>35</v>
      </c>
      <c r="C2364" t="s">
        <v>16</v>
      </c>
      <c r="D2364" s="72" t="s">
        <v>4077</v>
      </c>
      <c r="E2364" t="s">
        <v>36</v>
      </c>
      <c r="F2364" t="s">
        <v>4078</v>
      </c>
      <c r="G2364" s="92">
        <v>42681.876909722225</v>
      </c>
      <c r="H2364" s="92">
        <v>42681.876909722225</v>
      </c>
      <c r="I2364" s="92">
        <v>42681.876909722225</v>
      </c>
      <c r="J2364" s="92"/>
      <c r="K2364" s="92">
        <v>42681.885057870371</v>
      </c>
      <c r="L2364" s="92">
        <f>IF(AND(单词表[[#This Row],[学英]]&lt;&gt;"",单词表[[#This Row],[学中]]&lt;&gt;"",单词表[[#This Row],[学词]]&lt;&gt;""),MAX(单词表[[#This Row],[学英]:[学词]]),"")</f>
        <v>42681.876909722225</v>
      </c>
      <c r="M2364" s="2" t="str">
        <f>IF(AND(单词表[[#This Row],[考英]]&lt;&gt;"",单词表[[#This Row],[考中]]&lt;&gt;""),MAX(单词表[[#This Row],[考英]:[考中]]),"")</f>
        <v/>
      </c>
      <c r="N2364" s="79"/>
    </row>
    <row r="2365" spans="1:14" hidden="1" x14ac:dyDescent="0.15">
      <c r="A2365">
        <v>2365</v>
      </c>
      <c r="B2365" t="s">
        <v>35</v>
      </c>
      <c r="C2365" t="s">
        <v>16</v>
      </c>
      <c r="D2365" s="72" t="s">
        <v>4079</v>
      </c>
      <c r="E2365" t="s">
        <v>36</v>
      </c>
      <c r="F2365" t="s">
        <v>4080</v>
      </c>
      <c r="G2365" s="92">
        <v>42681.876932870371</v>
      </c>
      <c r="H2365" s="92">
        <v>42681.876932870371</v>
      </c>
      <c r="I2365" s="92">
        <v>42681.876932870371</v>
      </c>
      <c r="J2365" s="92"/>
      <c r="K2365" s="92">
        <v>42681.885092592594</v>
      </c>
      <c r="L2365" s="92">
        <f>IF(AND(单词表[[#This Row],[学英]]&lt;&gt;"",单词表[[#This Row],[学中]]&lt;&gt;"",单词表[[#This Row],[学词]]&lt;&gt;""),MAX(单词表[[#This Row],[学英]:[学词]]),"")</f>
        <v>42681.876932870371</v>
      </c>
      <c r="M2365" s="2" t="str">
        <f>IF(AND(单词表[[#This Row],[考英]]&lt;&gt;"",单词表[[#This Row],[考中]]&lt;&gt;""),MAX(单词表[[#This Row],[考英]:[考中]]),"")</f>
        <v/>
      </c>
      <c r="N2365" s="79"/>
    </row>
    <row r="2366" spans="1:14" hidden="1" x14ac:dyDescent="0.15">
      <c r="A2366">
        <v>2366</v>
      </c>
      <c r="B2366" t="s">
        <v>35</v>
      </c>
      <c r="C2366" t="s">
        <v>16</v>
      </c>
      <c r="D2366" s="72" t="s">
        <v>4081</v>
      </c>
      <c r="E2366" t="s">
        <v>702</v>
      </c>
      <c r="F2366" t="s">
        <v>4082</v>
      </c>
      <c r="G2366" s="92">
        <v>42681.876956018517</v>
      </c>
      <c r="H2366" s="92">
        <v>42681.883912037039</v>
      </c>
      <c r="I2366" s="92">
        <v>42681.883912037039</v>
      </c>
      <c r="J2366" s="92"/>
      <c r="K2366" s="92">
        <v>42681.885127314818</v>
      </c>
      <c r="L2366" s="92">
        <f>IF(AND(单词表[[#This Row],[学英]]&lt;&gt;"",单词表[[#This Row],[学中]]&lt;&gt;"",单词表[[#This Row],[学词]]&lt;&gt;""),MAX(单词表[[#This Row],[学英]:[学词]]),"")</f>
        <v>42681.883912037039</v>
      </c>
      <c r="M2366" s="2" t="str">
        <f>IF(AND(单词表[[#This Row],[考英]]&lt;&gt;"",单词表[[#This Row],[考中]]&lt;&gt;""),MAX(单词表[[#This Row],[考英]:[考中]]),"")</f>
        <v/>
      </c>
      <c r="N2366" s="79"/>
    </row>
    <row r="2367" spans="1:14" hidden="1" x14ac:dyDescent="0.15">
      <c r="A2367">
        <v>2367</v>
      </c>
      <c r="B2367" t="s">
        <v>35</v>
      </c>
      <c r="C2367" t="s">
        <v>16</v>
      </c>
      <c r="D2367" s="72" t="s">
        <v>4083</v>
      </c>
      <c r="E2367" t="s">
        <v>36</v>
      </c>
      <c r="F2367" t="s">
        <v>4084</v>
      </c>
      <c r="G2367" s="92">
        <v>42681.876979166664</v>
      </c>
      <c r="H2367" s="92">
        <v>42696.752314814818</v>
      </c>
      <c r="I2367" s="92">
        <v>42696.752314814818</v>
      </c>
      <c r="J2367" s="92"/>
      <c r="K2367" s="92">
        <v>42697.785057870373</v>
      </c>
      <c r="L2367" s="92">
        <f>IF(AND(单词表[[#This Row],[学英]]&lt;&gt;"",单词表[[#This Row],[学中]]&lt;&gt;"",单词表[[#This Row],[学词]]&lt;&gt;""),MAX(单词表[[#This Row],[学英]:[学词]]),"")</f>
        <v>42696.752314814818</v>
      </c>
      <c r="M2367" s="2" t="str">
        <f>IF(AND(单词表[[#This Row],[考英]]&lt;&gt;"",单词表[[#This Row],[考中]]&lt;&gt;""),MAX(单词表[[#This Row],[考英]:[考中]]),"")</f>
        <v/>
      </c>
      <c r="N2367" s="79"/>
    </row>
    <row r="2368" spans="1:14" hidden="1" x14ac:dyDescent="0.15">
      <c r="A2368">
        <v>2368</v>
      </c>
      <c r="B2368" t="s">
        <v>35</v>
      </c>
      <c r="C2368" t="s">
        <v>16</v>
      </c>
      <c r="D2368" s="72" t="s">
        <v>4085</v>
      </c>
      <c r="E2368" t="s">
        <v>36</v>
      </c>
      <c r="F2368" t="s">
        <v>4086</v>
      </c>
      <c r="G2368" s="92">
        <v>42681.885740740741</v>
      </c>
      <c r="H2368" s="92">
        <v>42681.885740740741</v>
      </c>
      <c r="I2368" s="92">
        <v>42681.885740740741</v>
      </c>
      <c r="J2368" s="92"/>
      <c r="K2368" s="92">
        <v>42681.887060185189</v>
      </c>
      <c r="L2368" s="92">
        <f>IF(AND(单词表[[#This Row],[学英]]&lt;&gt;"",单词表[[#This Row],[学中]]&lt;&gt;"",单词表[[#This Row],[学词]]&lt;&gt;""),MAX(单词表[[#This Row],[学英]:[学词]]),"")</f>
        <v>42681.885740740741</v>
      </c>
      <c r="M2368" s="2" t="str">
        <f>IF(AND(单词表[[#This Row],[考英]]&lt;&gt;"",单词表[[#This Row],[考中]]&lt;&gt;""),MAX(单词表[[#This Row],[考英]:[考中]]),"")</f>
        <v/>
      </c>
      <c r="N2368" s="79"/>
    </row>
    <row r="2369" spans="1:14" hidden="1" x14ac:dyDescent="0.15">
      <c r="A2369">
        <v>2369</v>
      </c>
      <c r="B2369" t="s">
        <v>35</v>
      </c>
      <c r="C2369" t="s">
        <v>16</v>
      </c>
      <c r="D2369" s="72" t="s">
        <v>2504</v>
      </c>
      <c r="E2369" t="s">
        <v>36</v>
      </c>
      <c r="F2369" t="s">
        <v>5861</v>
      </c>
      <c r="G2369" s="92">
        <v>42681.885752314818</v>
      </c>
      <c r="H2369" s="92">
        <v>42697.785370370373</v>
      </c>
      <c r="I2369" s="92">
        <v>42697.785370370373</v>
      </c>
      <c r="J2369" s="92"/>
      <c r="K2369" s="92">
        <v>42697.787407407406</v>
      </c>
      <c r="L2369" s="92">
        <f>IF(AND(单词表[[#This Row],[学英]]&lt;&gt;"",单词表[[#This Row],[学中]]&lt;&gt;"",单词表[[#This Row],[学词]]&lt;&gt;""),MAX(单词表[[#This Row],[学英]:[学词]]),"")</f>
        <v>42697.785370370373</v>
      </c>
      <c r="M2369" s="2" t="str">
        <f>IF(AND(单词表[[#This Row],[考英]]&lt;&gt;"",单词表[[#This Row],[考中]]&lt;&gt;""),MAX(单词表[[#This Row],[考英]:[考中]]),"")</f>
        <v/>
      </c>
      <c r="N2369" s="79"/>
    </row>
    <row r="2370" spans="1:14" hidden="1" x14ac:dyDescent="0.15">
      <c r="A2370">
        <v>2370</v>
      </c>
      <c r="B2370" t="s">
        <v>35</v>
      </c>
      <c r="C2370" t="s">
        <v>16</v>
      </c>
      <c r="D2370" s="72" t="s">
        <v>1402</v>
      </c>
      <c r="E2370" t="s">
        <v>736</v>
      </c>
      <c r="F2370" t="s">
        <v>1403</v>
      </c>
      <c r="G2370" s="92">
        <v>42681.885775462964</v>
      </c>
      <c r="H2370" s="92">
        <v>42681.885775462964</v>
      </c>
      <c r="I2370" s="92">
        <v>42681.885775462964</v>
      </c>
      <c r="J2370" s="92"/>
      <c r="K2370" s="92">
        <v>42681.887129629627</v>
      </c>
      <c r="L2370" s="92">
        <f>IF(AND(单词表[[#This Row],[学英]]&lt;&gt;"",单词表[[#This Row],[学中]]&lt;&gt;"",单词表[[#This Row],[学词]]&lt;&gt;""),MAX(单词表[[#This Row],[学英]:[学词]]),"")</f>
        <v>42681.885775462964</v>
      </c>
      <c r="M2370" s="2" t="str">
        <f>IF(AND(单词表[[#This Row],[考英]]&lt;&gt;"",单词表[[#This Row],[考中]]&lt;&gt;""),MAX(单词表[[#This Row],[考英]:[考中]]),"")</f>
        <v/>
      </c>
      <c r="N2370" s="79"/>
    </row>
    <row r="2371" spans="1:14" hidden="1" x14ac:dyDescent="0.15">
      <c r="A2371">
        <v>2371</v>
      </c>
      <c r="B2371" t="s">
        <v>35</v>
      </c>
      <c r="C2371" t="s">
        <v>16</v>
      </c>
      <c r="D2371" s="72" t="s">
        <v>4087</v>
      </c>
      <c r="E2371" t="s">
        <v>736</v>
      </c>
      <c r="F2371" t="s">
        <v>4088</v>
      </c>
      <c r="G2371" s="92">
        <v>42681.885798611111</v>
      </c>
      <c r="H2371" s="92">
        <v>42697.785416666666</v>
      </c>
      <c r="I2371" s="92">
        <v>42697.785416666666</v>
      </c>
      <c r="J2371" s="92"/>
      <c r="K2371" s="92">
        <v>42697.787453703706</v>
      </c>
      <c r="L2371" s="92">
        <f>IF(AND(单词表[[#This Row],[学英]]&lt;&gt;"",单词表[[#This Row],[学中]]&lt;&gt;"",单词表[[#This Row],[学词]]&lt;&gt;""),MAX(单词表[[#This Row],[学英]:[学词]]),"")</f>
        <v>42697.785416666666</v>
      </c>
      <c r="M2371" s="2" t="str">
        <f>IF(AND(单词表[[#This Row],[考英]]&lt;&gt;"",单词表[[#This Row],[考中]]&lt;&gt;""),MAX(单词表[[#This Row],[考英]:[考中]]),"")</f>
        <v/>
      </c>
      <c r="N2371" s="79"/>
    </row>
    <row r="2372" spans="1:14" hidden="1" x14ac:dyDescent="0.15">
      <c r="A2372">
        <v>2372</v>
      </c>
      <c r="B2372" t="s">
        <v>35</v>
      </c>
      <c r="C2372" t="s">
        <v>16</v>
      </c>
      <c r="D2372" s="72" t="s">
        <v>2328</v>
      </c>
      <c r="E2372" t="s">
        <v>36</v>
      </c>
      <c r="F2372" t="s">
        <v>2329</v>
      </c>
      <c r="G2372" s="92">
        <v>42681.885810185187</v>
      </c>
      <c r="H2372" s="92">
        <v>42697.785439814812</v>
      </c>
      <c r="I2372" s="92">
        <v>42697.785439814812</v>
      </c>
      <c r="J2372" s="92"/>
      <c r="K2372" s="92">
        <v>42697.787476851852</v>
      </c>
      <c r="L2372" s="92">
        <f>IF(AND(单词表[[#This Row],[学英]]&lt;&gt;"",单词表[[#This Row],[学中]]&lt;&gt;"",单词表[[#This Row],[学词]]&lt;&gt;""),MAX(单词表[[#This Row],[学英]:[学词]]),"")</f>
        <v>42697.785439814812</v>
      </c>
      <c r="M2372" s="2" t="str">
        <f>IF(AND(单词表[[#This Row],[考英]]&lt;&gt;"",单词表[[#This Row],[考中]]&lt;&gt;""),MAX(单词表[[#This Row],[考英]:[考中]]),"")</f>
        <v/>
      </c>
      <c r="N2372" s="79"/>
    </row>
    <row r="2373" spans="1:14" hidden="1" x14ac:dyDescent="0.15">
      <c r="A2373">
        <v>2373</v>
      </c>
      <c r="B2373" t="s">
        <v>35</v>
      </c>
      <c r="C2373" t="s">
        <v>16</v>
      </c>
      <c r="D2373" s="72" t="s">
        <v>3123</v>
      </c>
      <c r="E2373" t="s">
        <v>73</v>
      </c>
      <c r="F2373" t="s">
        <v>4089</v>
      </c>
      <c r="G2373" s="92">
        <v>42681.885833333334</v>
      </c>
      <c r="H2373" s="92">
        <v>42681.885833333334</v>
      </c>
      <c r="I2373" s="92">
        <v>42681.885833333334</v>
      </c>
      <c r="J2373" s="92"/>
      <c r="K2373" s="92">
        <v>42681.88753472222</v>
      </c>
      <c r="L2373" s="92">
        <f>IF(AND(单词表[[#This Row],[学英]]&lt;&gt;"",单词表[[#This Row],[学中]]&lt;&gt;"",单词表[[#This Row],[学词]]&lt;&gt;""),MAX(单词表[[#This Row],[学英]:[学词]]),"")</f>
        <v>42681.885833333334</v>
      </c>
      <c r="M2373" s="2" t="str">
        <f>IF(AND(单词表[[#This Row],[考英]]&lt;&gt;"",单词表[[#This Row],[考中]]&lt;&gt;""),MAX(单词表[[#This Row],[考英]:[考中]]),"")</f>
        <v/>
      </c>
      <c r="N2373" s="79"/>
    </row>
    <row r="2374" spans="1:14" hidden="1" x14ac:dyDescent="0.15">
      <c r="A2374">
        <v>2374</v>
      </c>
      <c r="B2374" t="s">
        <v>35</v>
      </c>
      <c r="C2374" t="s">
        <v>16</v>
      </c>
      <c r="D2374" s="72" t="s">
        <v>4090</v>
      </c>
      <c r="E2374" t="s">
        <v>61</v>
      </c>
      <c r="F2374" t="s">
        <v>4091</v>
      </c>
      <c r="G2374" s="92">
        <v>42681.88585648148</v>
      </c>
      <c r="H2374" s="92">
        <v>42681.88585648148</v>
      </c>
      <c r="I2374" s="92">
        <v>42681.88585648148</v>
      </c>
      <c r="J2374" s="92"/>
      <c r="K2374" s="92">
        <v>42681.887569444443</v>
      </c>
      <c r="L2374" s="92">
        <f>IF(AND(单词表[[#This Row],[学英]]&lt;&gt;"",单词表[[#This Row],[学中]]&lt;&gt;"",单词表[[#This Row],[学词]]&lt;&gt;""),MAX(单词表[[#This Row],[学英]:[学词]]),"")</f>
        <v>42681.88585648148</v>
      </c>
      <c r="M2374" s="2" t="str">
        <f>IF(AND(单词表[[#This Row],[考英]]&lt;&gt;"",单词表[[#This Row],[考中]]&lt;&gt;""),MAX(单词表[[#This Row],[考英]:[考中]]),"")</f>
        <v/>
      </c>
      <c r="N2374" s="79"/>
    </row>
    <row r="2375" spans="1:14" hidden="1" x14ac:dyDescent="0.15">
      <c r="A2375">
        <v>2375</v>
      </c>
      <c r="B2375" t="s">
        <v>35</v>
      </c>
      <c r="C2375" t="s">
        <v>16</v>
      </c>
      <c r="D2375" s="72" t="s">
        <v>4090</v>
      </c>
      <c r="E2375" t="s">
        <v>36</v>
      </c>
      <c r="F2375" t="s">
        <v>4092</v>
      </c>
      <c r="G2375" s="92">
        <v>42681.885879629626</v>
      </c>
      <c r="H2375" s="92">
        <v>42681.885879629626</v>
      </c>
      <c r="I2375" s="92">
        <v>42681.885879629626</v>
      </c>
      <c r="J2375" s="92"/>
      <c r="K2375" s="92">
        <v>42681.887592592589</v>
      </c>
      <c r="L2375" s="92">
        <f>IF(AND(单词表[[#This Row],[学英]]&lt;&gt;"",单词表[[#This Row],[学中]]&lt;&gt;"",单词表[[#This Row],[学词]]&lt;&gt;""),MAX(单词表[[#This Row],[学英]:[学词]]),"")</f>
        <v>42681.885879629626</v>
      </c>
      <c r="M2375" s="2" t="str">
        <f>IF(AND(单词表[[#This Row],[考英]]&lt;&gt;"",单词表[[#This Row],[考中]]&lt;&gt;""),MAX(单词表[[#This Row],[考英]:[考中]]),"")</f>
        <v/>
      </c>
      <c r="N2375" s="79"/>
    </row>
    <row r="2376" spans="1:14" hidden="1" x14ac:dyDescent="0.15">
      <c r="A2376">
        <v>2376</v>
      </c>
      <c r="B2376" t="s">
        <v>35</v>
      </c>
      <c r="C2376" t="s">
        <v>16</v>
      </c>
      <c r="D2376" s="72" t="s">
        <v>4093</v>
      </c>
      <c r="E2376" t="s">
        <v>36</v>
      </c>
      <c r="F2376" t="s">
        <v>4094</v>
      </c>
      <c r="G2376" s="92">
        <v>42681.88590277778</v>
      </c>
      <c r="H2376" s="92">
        <v>42681.88590277778</v>
      </c>
      <c r="I2376" s="92">
        <v>42681.88590277778</v>
      </c>
      <c r="J2376" s="92"/>
      <c r="K2376" s="92">
        <v>42681.887627314813</v>
      </c>
      <c r="L2376" s="92">
        <f>IF(AND(单词表[[#This Row],[学英]]&lt;&gt;"",单词表[[#This Row],[学中]]&lt;&gt;"",单词表[[#This Row],[学词]]&lt;&gt;""),MAX(单词表[[#This Row],[学英]:[学词]]),"")</f>
        <v>42681.88590277778</v>
      </c>
      <c r="M2376" s="2" t="str">
        <f>IF(AND(单词表[[#This Row],[考英]]&lt;&gt;"",单词表[[#This Row],[考中]]&lt;&gt;""),MAX(单词表[[#This Row],[考英]:[考中]]),"")</f>
        <v/>
      </c>
      <c r="N2376" s="79"/>
    </row>
    <row r="2377" spans="1:14" hidden="1" x14ac:dyDescent="0.15">
      <c r="A2377">
        <v>2377</v>
      </c>
      <c r="B2377" t="s">
        <v>35</v>
      </c>
      <c r="C2377" t="s">
        <v>16</v>
      </c>
      <c r="D2377" s="72" t="s">
        <v>4095</v>
      </c>
      <c r="E2377" t="s">
        <v>36</v>
      </c>
      <c r="F2377" t="s">
        <v>4096</v>
      </c>
      <c r="G2377" s="92">
        <v>42681.885925925926</v>
      </c>
      <c r="H2377" s="92">
        <v>42681.885925925926</v>
      </c>
      <c r="I2377" s="92">
        <v>42681.885925925926</v>
      </c>
      <c r="J2377" s="92"/>
      <c r="K2377" s="92">
        <v>42681.887662037036</v>
      </c>
      <c r="L2377" s="92">
        <f>IF(AND(单词表[[#This Row],[学英]]&lt;&gt;"",单词表[[#This Row],[学中]]&lt;&gt;"",单词表[[#This Row],[学词]]&lt;&gt;""),MAX(单词表[[#This Row],[学英]:[学词]]),"")</f>
        <v>42681.885925925926</v>
      </c>
      <c r="M2377" s="2" t="str">
        <f>IF(AND(单词表[[#This Row],[考英]]&lt;&gt;"",单词表[[#This Row],[考中]]&lt;&gt;""),MAX(单词表[[#This Row],[考英]:[考中]]),"")</f>
        <v/>
      </c>
      <c r="N2377" s="79"/>
    </row>
    <row r="2378" spans="1:14" hidden="1" x14ac:dyDescent="0.15">
      <c r="A2378">
        <v>2378</v>
      </c>
      <c r="B2378" t="s">
        <v>35</v>
      </c>
      <c r="C2378" t="s">
        <v>16</v>
      </c>
      <c r="D2378" s="72" t="s">
        <v>4097</v>
      </c>
      <c r="E2378" t="s">
        <v>702</v>
      </c>
      <c r="F2378" t="s">
        <v>4098</v>
      </c>
      <c r="G2378" s="92">
        <v>42681.885949074072</v>
      </c>
      <c r="H2378" s="92">
        <v>42681.885949074072</v>
      </c>
      <c r="I2378" s="92">
        <v>42681.885949074072</v>
      </c>
      <c r="J2378" s="92"/>
      <c r="K2378" s="92">
        <v>42681.887696759259</v>
      </c>
      <c r="L2378" s="92">
        <f>IF(AND(单词表[[#This Row],[学英]]&lt;&gt;"",单词表[[#This Row],[学中]]&lt;&gt;"",单词表[[#This Row],[学词]]&lt;&gt;""),MAX(单词表[[#This Row],[学英]:[学词]]),"")</f>
        <v>42681.885949074072</v>
      </c>
      <c r="M2378" s="2" t="str">
        <f>IF(AND(单词表[[#This Row],[考英]]&lt;&gt;"",单词表[[#This Row],[考中]]&lt;&gt;""),MAX(单词表[[#This Row],[考英]:[考中]]),"")</f>
        <v/>
      </c>
      <c r="N2378" s="79"/>
    </row>
    <row r="2379" spans="1:14" hidden="1" x14ac:dyDescent="0.15">
      <c r="A2379">
        <v>2379</v>
      </c>
      <c r="B2379" t="s">
        <v>35</v>
      </c>
      <c r="C2379" t="s">
        <v>16</v>
      </c>
      <c r="D2379" s="72" t="s">
        <v>4099</v>
      </c>
      <c r="E2379" t="s">
        <v>36</v>
      </c>
      <c r="F2379" t="s">
        <v>5561</v>
      </c>
      <c r="G2379" s="92">
        <v>42681.88784722222</v>
      </c>
      <c r="H2379" s="92">
        <v>42681.88784722222</v>
      </c>
      <c r="I2379" s="92">
        <v>42681.88784722222</v>
      </c>
      <c r="J2379" s="92"/>
      <c r="K2379" s="92">
        <v>42682.739282407405</v>
      </c>
      <c r="L2379" s="92">
        <f>IF(AND(单词表[[#This Row],[学英]]&lt;&gt;"",单词表[[#This Row],[学中]]&lt;&gt;"",单词表[[#This Row],[学词]]&lt;&gt;""),MAX(单词表[[#This Row],[学英]:[学词]]),"")</f>
        <v>42681.88784722222</v>
      </c>
      <c r="M2379" s="2" t="str">
        <f>IF(AND(单词表[[#This Row],[考英]]&lt;&gt;"",单词表[[#This Row],[考中]]&lt;&gt;""),MAX(单词表[[#This Row],[考英]:[考中]]),"")</f>
        <v/>
      </c>
      <c r="N2379" s="79"/>
    </row>
    <row r="2380" spans="1:14" hidden="1" x14ac:dyDescent="0.15">
      <c r="A2380">
        <v>2380</v>
      </c>
      <c r="B2380" t="s">
        <v>35</v>
      </c>
      <c r="C2380" t="s">
        <v>16</v>
      </c>
      <c r="D2380" s="72" t="s">
        <v>4100</v>
      </c>
      <c r="E2380" t="s">
        <v>157</v>
      </c>
      <c r="F2380" t="s">
        <v>4101</v>
      </c>
      <c r="G2380" s="92">
        <v>42681.887870370374</v>
      </c>
      <c r="H2380" s="92">
        <v>42682.739039351851</v>
      </c>
      <c r="I2380" s="92">
        <v>42682.739039351851</v>
      </c>
      <c r="J2380" s="92"/>
      <c r="K2380" s="92">
        <v>42682.739317129628</v>
      </c>
      <c r="L2380" s="92">
        <f>IF(AND(单词表[[#This Row],[学英]]&lt;&gt;"",单词表[[#This Row],[学中]]&lt;&gt;"",单词表[[#This Row],[学词]]&lt;&gt;""),MAX(单词表[[#This Row],[学英]:[学词]]),"")</f>
        <v>42682.739039351851</v>
      </c>
      <c r="M2380" s="2" t="str">
        <f>IF(AND(单词表[[#This Row],[考英]]&lt;&gt;"",单词表[[#This Row],[考中]]&lt;&gt;""),MAX(单词表[[#This Row],[考英]:[考中]]),"")</f>
        <v/>
      </c>
      <c r="N2380" s="79"/>
    </row>
    <row r="2381" spans="1:14" hidden="1" x14ac:dyDescent="0.15">
      <c r="A2381">
        <v>2381</v>
      </c>
      <c r="B2381" t="s">
        <v>35</v>
      </c>
      <c r="C2381" t="s">
        <v>16</v>
      </c>
      <c r="D2381" s="72" t="s">
        <v>761</v>
      </c>
      <c r="E2381" t="s">
        <v>36</v>
      </c>
      <c r="F2381" t="s">
        <v>4102</v>
      </c>
      <c r="G2381" s="92">
        <v>42681.88789351852</v>
      </c>
      <c r="H2381" s="92">
        <v>42681.88789351852</v>
      </c>
      <c r="I2381" s="92">
        <v>42681.88789351852</v>
      </c>
      <c r="J2381" s="92"/>
      <c r="K2381" s="92">
        <v>42682.739351851851</v>
      </c>
      <c r="L2381" s="92">
        <f>IF(AND(单词表[[#This Row],[学英]]&lt;&gt;"",单词表[[#This Row],[学中]]&lt;&gt;"",单词表[[#This Row],[学词]]&lt;&gt;""),MAX(单词表[[#This Row],[学英]:[学词]]),"")</f>
        <v>42681.88789351852</v>
      </c>
      <c r="M2381" s="2" t="str">
        <f>IF(AND(单词表[[#This Row],[考英]]&lt;&gt;"",单词表[[#This Row],[考中]]&lt;&gt;""),MAX(单词表[[#This Row],[考英]:[考中]]),"")</f>
        <v/>
      </c>
      <c r="N2381" s="79"/>
    </row>
    <row r="2382" spans="1:14" hidden="1" x14ac:dyDescent="0.15">
      <c r="A2382">
        <v>2382</v>
      </c>
      <c r="B2382" t="s">
        <v>35</v>
      </c>
      <c r="C2382" t="s">
        <v>16</v>
      </c>
      <c r="D2382" s="72" t="s">
        <v>1440</v>
      </c>
      <c r="E2382" t="s">
        <v>157</v>
      </c>
      <c r="F2382" t="s">
        <v>4103</v>
      </c>
      <c r="G2382" s="92">
        <v>42681.88790509259</v>
      </c>
      <c r="H2382" s="92">
        <v>42682.739074074074</v>
      </c>
      <c r="I2382" s="92">
        <v>42682.739074074074</v>
      </c>
      <c r="J2382" s="92"/>
      <c r="K2382" s="92">
        <v>42682.73946759259</v>
      </c>
      <c r="L2382" s="92">
        <f>IF(AND(单词表[[#This Row],[学英]]&lt;&gt;"",单词表[[#This Row],[学中]]&lt;&gt;"",单词表[[#This Row],[学词]]&lt;&gt;""),MAX(单词表[[#This Row],[学英]:[学词]]),"")</f>
        <v>42682.739074074074</v>
      </c>
      <c r="M2382" s="2" t="str">
        <f>IF(AND(单词表[[#This Row],[考英]]&lt;&gt;"",单词表[[#This Row],[考中]]&lt;&gt;""),MAX(单词表[[#This Row],[考英]:[考中]]),"")</f>
        <v/>
      </c>
      <c r="N2382" s="79"/>
    </row>
    <row r="2383" spans="1:14" hidden="1" x14ac:dyDescent="0.15">
      <c r="A2383">
        <v>2383</v>
      </c>
      <c r="B2383" t="s">
        <v>35</v>
      </c>
      <c r="C2383" t="s">
        <v>16</v>
      </c>
      <c r="D2383" s="72" t="s">
        <v>322</v>
      </c>
      <c r="E2383" t="s">
        <v>36</v>
      </c>
      <c r="F2383" t="s">
        <v>5562</v>
      </c>
      <c r="G2383" s="92">
        <v>42681.887916666667</v>
      </c>
      <c r="H2383" s="92">
        <v>42682.73909722222</v>
      </c>
      <c r="I2383" s="92">
        <v>42682.73909722222</v>
      </c>
      <c r="J2383" s="92"/>
      <c r="K2383" s="92">
        <v>42682.739502314813</v>
      </c>
      <c r="L2383" s="92">
        <f>IF(AND(单词表[[#This Row],[学英]]&lt;&gt;"",单词表[[#This Row],[学中]]&lt;&gt;"",单词表[[#This Row],[学词]]&lt;&gt;""),MAX(单词表[[#This Row],[学英]:[学词]]),"")</f>
        <v>42682.73909722222</v>
      </c>
      <c r="M2383" s="2" t="str">
        <f>IF(AND(单词表[[#This Row],[考英]]&lt;&gt;"",单词表[[#This Row],[考中]]&lt;&gt;""),MAX(单词表[[#This Row],[考英]:[考中]]),"")</f>
        <v/>
      </c>
      <c r="N2383" s="79"/>
    </row>
    <row r="2384" spans="1:14" hidden="1" x14ac:dyDescent="0.15">
      <c r="A2384">
        <v>2384</v>
      </c>
      <c r="B2384" t="s">
        <v>35</v>
      </c>
      <c r="C2384" t="s">
        <v>16</v>
      </c>
      <c r="D2384" s="72" t="s">
        <v>4104</v>
      </c>
      <c r="E2384" t="s">
        <v>702</v>
      </c>
      <c r="F2384" t="s">
        <v>5563</v>
      </c>
      <c r="G2384" s="92">
        <v>42681.887939814813</v>
      </c>
      <c r="H2384" s="92">
        <v>42682.739120370374</v>
      </c>
      <c r="I2384" s="92">
        <v>42682.739120370374</v>
      </c>
      <c r="J2384" s="92"/>
      <c r="K2384" s="92">
        <v>42682.739641203705</v>
      </c>
      <c r="L2384" s="92">
        <f>IF(AND(单词表[[#This Row],[学英]]&lt;&gt;"",单词表[[#This Row],[学中]]&lt;&gt;"",单词表[[#This Row],[学词]]&lt;&gt;""),MAX(单词表[[#This Row],[学英]:[学词]]),"")</f>
        <v>42682.739120370374</v>
      </c>
      <c r="M2384" s="2" t="str">
        <f>IF(AND(单词表[[#This Row],[考英]]&lt;&gt;"",单词表[[#This Row],[考中]]&lt;&gt;""),MAX(单词表[[#This Row],[考英]:[考中]]),"")</f>
        <v/>
      </c>
      <c r="N2384" s="79"/>
    </row>
    <row r="2385" spans="1:14" hidden="1" x14ac:dyDescent="0.15">
      <c r="A2385">
        <v>2385</v>
      </c>
      <c r="B2385" t="s">
        <v>35</v>
      </c>
      <c r="C2385" t="s">
        <v>16</v>
      </c>
      <c r="D2385" s="72" t="s">
        <v>4105</v>
      </c>
      <c r="E2385" t="s">
        <v>61</v>
      </c>
      <c r="F2385" t="s">
        <v>4106</v>
      </c>
      <c r="G2385" s="92">
        <v>42681.88795138889</v>
      </c>
      <c r="H2385" s="92">
        <v>42681.88795138889</v>
      </c>
      <c r="I2385" s="92">
        <v>42681.88795138889</v>
      </c>
      <c r="J2385" s="92"/>
      <c r="K2385" s="92">
        <v>42682.739664351851</v>
      </c>
      <c r="L2385" s="92">
        <f>IF(AND(单词表[[#This Row],[学英]]&lt;&gt;"",单词表[[#This Row],[学中]]&lt;&gt;"",单词表[[#This Row],[学词]]&lt;&gt;""),MAX(单词表[[#This Row],[学英]:[学词]]),"")</f>
        <v>42681.88795138889</v>
      </c>
      <c r="M2385" s="2" t="str">
        <f>IF(AND(单词表[[#This Row],[考英]]&lt;&gt;"",单词表[[#This Row],[考中]]&lt;&gt;""),MAX(单词表[[#This Row],[考英]:[考中]]),"")</f>
        <v/>
      </c>
      <c r="N2385" s="79"/>
    </row>
    <row r="2386" spans="1:14" hidden="1" x14ac:dyDescent="0.15">
      <c r="A2386">
        <v>2386</v>
      </c>
      <c r="B2386" t="s">
        <v>35</v>
      </c>
      <c r="C2386" t="s">
        <v>16</v>
      </c>
      <c r="D2386" s="72" t="s">
        <v>4107</v>
      </c>
      <c r="E2386" t="s">
        <v>36</v>
      </c>
      <c r="F2386" t="s">
        <v>4108</v>
      </c>
      <c r="G2386" s="92">
        <v>42681.887974537036</v>
      </c>
      <c r="H2386" s="92">
        <v>42682.739131944443</v>
      </c>
      <c r="I2386" s="92">
        <v>42682.739131944443</v>
      </c>
      <c r="J2386" s="92"/>
      <c r="K2386" s="92">
        <v>42682.739803240744</v>
      </c>
      <c r="L2386" s="92">
        <f>IF(AND(单词表[[#This Row],[学英]]&lt;&gt;"",单词表[[#This Row],[学中]]&lt;&gt;"",单词表[[#This Row],[学词]]&lt;&gt;""),MAX(单词表[[#This Row],[学英]:[学词]]),"")</f>
        <v>42682.739131944443</v>
      </c>
      <c r="M2386" s="2" t="str">
        <f>IF(AND(单词表[[#This Row],[考英]]&lt;&gt;"",单词表[[#This Row],[考中]]&lt;&gt;""),MAX(单词表[[#This Row],[考英]:[考中]]),"")</f>
        <v/>
      </c>
      <c r="N2386" s="79"/>
    </row>
    <row r="2387" spans="1:14" hidden="1" x14ac:dyDescent="0.15">
      <c r="A2387">
        <v>2387</v>
      </c>
      <c r="B2387" t="s">
        <v>35</v>
      </c>
      <c r="C2387" t="s">
        <v>16</v>
      </c>
      <c r="D2387" s="72" t="s">
        <v>2209</v>
      </c>
      <c r="E2387" t="s">
        <v>61</v>
      </c>
      <c r="F2387" t="s">
        <v>4109</v>
      </c>
      <c r="G2387" s="92">
        <v>42681.887997685182</v>
      </c>
      <c r="H2387" s="92">
        <v>42681.887997685182</v>
      </c>
      <c r="I2387" s="92">
        <v>42681.887997685182</v>
      </c>
      <c r="J2387" s="92"/>
      <c r="K2387" s="92">
        <v>42682.739837962959</v>
      </c>
      <c r="L2387" s="92">
        <f>IF(AND(单词表[[#This Row],[学英]]&lt;&gt;"",单词表[[#This Row],[学中]]&lt;&gt;"",单词表[[#This Row],[学词]]&lt;&gt;""),MAX(单词表[[#This Row],[学英]:[学词]]),"")</f>
        <v>42681.887997685182</v>
      </c>
      <c r="M2387" s="2" t="str">
        <f>IF(AND(单词表[[#This Row],[考英]]&lt;&gt;"",单词表[[#This Row],[考中]]&lt;&gt;""),MAX(单词表[[#This Row],[考英]:[考中]]),"")</f>
        <v/>
      </c>
      <c r="N2387" s="79"/>
    </row>
    <row r="2388" spans="1:14" hidden="1" x14ac:dyDescent="0.15">
      <c r="A2388">
        <v>2388</v>
      </c>
      <c r="B2388" t="s">
        <v>35</v>
      </c>
      <c r="C2388" t="s">
        <v>16</v>
      </c>
      <c r="D2388" s="72" t="s">
        <v>4110</v>
      </c>
      <c r="E2388" t="s">
        <v>736</v>
      </c>
      <c r="F2388" t="s">
        <v>5564</v>
      </c>
      <c r="G2388" s="92">
        <v>42681.888009259259</v>
      </c>
      <c r="H2388" s="92">
        <v>42681.888009259259</v>
      </c>
      <c r="I2388" s="92">
        <v>42681.888009259259</v>
      </c>
      <c r="J2388" s="92"/>
      <c r="K2388" s="92">
        <v>42682.739872685182</v>
      </c>
      <c r="L2388" s="92">
        <f>IF(AND(单词表[[#This Row],[学英]]&lt;&gt;"",单词表[[#This Row],[学中]]&lt;&gt;"",单词表[[#This Row],[学词]]&lt;&gt;""),MAX(单词表[[#This Row],[学英]:[学词]]),"")</f>
        <v>42681.888009259259</v>
      </c>
      <c r="M2388" s="2" t="str">
        <f>IF(AND(单词表[[#This Row],[考英]]&lt;&gt;"",单词表[[#This Row],[考中]]&lt;&gt;""),MAX(单词表[[#This Row],[考英]:[考中]]),"")</f>
        <v/>
      </c>
      <c r="N2388" s="79"/>
    </row>
    <row r="2389" spans="1:14" hidden="1" x14ac:dyDescent="0.15">
      <c r="A2389">
        <v>2389</v>
      </c>
      <c r="B2389" t="s">
        <v>35</v>
      </c>
      <c r="C2389" t="s">
        <v>16</v>
      </c>
      <c r="D2389" s="72" t="s">
        <v>4111</v>
      </c>
      <c r="E2389" t="s">
        <v>1019</v>
      </c>
      <c r="F2389" t="s">
        <v>5565</v>
      </c>
      <c r="G2389" s="92">
        <v>42682.700335648151</v>
      </c>
      <c r="H2389" s="92">
        <v>42682.739155092589</v>
      </c>
      <c r="I2389" s="92">
        <v>42682.739155092589</v>
      </c>
      <c r="J2389" s="92"/>
      <c r="K2389" s="92">
        <v>42682.740023148152</v>
      </c>
      <c r="L2389" s="92">
        <f>IF(AND(单词表[[#This Row],[学英]]&lt;&gt;"",单词表[[#This Row],[学中]]&lt;&gt;"",单词表[[#This Row],[学词]]&lt;&gt;""),MAX(单词表[[#This Row],[学英]:[学词]]),"")</f>
        <v>42682.739155092589</v>
      </c>
      <c r="M2389" s="2" t="str">
        <f>IF(AND(单词表[[#This Row],[考英]]&lt;&gt;"",单词表[[#This Row],[考中]]&lt;&gt;""),MAX(单词表[[#This Row],[考英]:[考中]]),"")</f>
        <v/>
      </c>
      <c r="N2389" s="79"/>
    </row>
    <row r="2390" spans="1:14" hidden="1" x14ac:dyDescent="0.15">
      <c r="A2390">
        <v>2390</v>
      </c>
      <c r="B2390" t="s">
        <v>35</v>
      </c>
      <c r="C2390" t="s">
        <v>16</v>
      </c>
      <c r="D2390" s="72" t="s">
        <v>4112</v>
      </c>
      <c r="E2390" t="s">
        <v>36</v>
      </c>
      <c r="F2390" t="s">
        <v>4113</v>
      </c>
      <c r="G2390" s="92">
        <v>42682.700358796297</v>
      </c>
      <c r="H2390" s="92">
        <v>42682.700358796297</v>
      </c>
      <c r="I2390" s="92">
        <v>42682.700358796297</v>
      </c>
      <c r="J2390" s="92"/>
      <c r="K2390" s="92">
        <v>42682.740057870367</v>
      </c>
      <c r="L2390" s="92">
        <f>IF(AND(单词表[[#This Row],[学英]]&lt;&gt;"",单词表[[#This Row],[学中]]&lt;&gt;"",单词表[[#This Row],[学词]]&lt;&gt;""),MAX(单词表[[#This Row],[学英]:[学词]]),"")</f>
        <v>42682.700358796297</v>
      </c>
      <c r="M2390" s="2" t="str">
        <f>IF(AND(单词表[[#This Row],[考英]]&lt;&gt;"",单词表[[#This Row],[考中]]&lt;&gt;""),MAX(单词表[[#This Row],[考英]:[考中]]),"")</f>
        <v/>
      </c>
      <c r="N2390" s="79"/>
    </row>
    <row r="2391" spans="1:14" hidden="1" x14ac:dyDescent="0.15">
      <c r="A2391">
        <v>2391</v>
      </c>
      <c r="B2391" t="s">
        <v>35</v>
      </c>
      <c r="C2391" t="s">
        <v>16</v>
      </c>
      <c r="D2391" s="72" t="s">
        <v>4114</v>
      </c>
      <c r="E2391" t="s">
        <v>702</v>
      </c>
      <c r="F2391" t="s">
        <v>4115</v>
      </c>
      <c r="G2391" s="92">
        <v>42682.700381944444</v>
      </c>
      <c r="H2391" s="92">
        <v>42682.700381944444</v>
      </c>
      <c r="I2391" s="92">
        <v>42682.700381944444</v>
      </c>
      <c r="J2391" s="92"/>
      <c r="K2391" s="92">
        <v>42682.74009259259</v>
      </c>
      <c r="L2391" s="92">
        <f>IF(AND(单词表[[#This Row],[学英]]&lt;&gt;"",单词表[[#This Row],[学中]]&lt;&gt;"",单词表[[#This Row],[学词]]&lt;&gt;""),MAX(单词表[[#This Row],[学英]:[学词]]),"")</f>
        <v>42682.700381944444</v>
      </c>
      <c r="M2391" s="2" t="str">
        <f>IF(AND(单词表[[#This Row],[考英]]&lt;&gt;"",单词表[[#This Row],[考中]]&lt;&gt;""),MAX(单词表[[#This Row],[考英]:[考中]]),"")</f>
        <v/>
      </c>
      <c r="N2391" s="79"/>
    </row>
    <row r="2392" spans="1:14" hidden="1" x14ac:dyDescent="0.15">
      <c r="A2392">
        <v>2392</v>
      </c>
      <c r="B2392" t="s">
        <v>35</v>
      </c>
      <c r="C2392" t="s">
        <v>16</v>
      </c>
      <c r="D2392" s="72" t="s">
        <v>3065</v>
      </c>
      <c r="E2392" t="s">
        <v>73</v>
      </c>
      <c r="F2392" t="s">
        <v>5566</v>
      </c>
      <c r="G2392" s="92">
        <v>42682.700428240743</v>
      </c>
      <c r="H2392" s="92">
        <v>42682.740636574075</v>
      </c>
      <c r="I2392" s="92">
        <v>42682.740636574075</v>
      </c>
      <c r="J2392" s="92"/>
      <c r="K2392" s="92">
        <v>42682.740752314814</v>
      </c>
      <c r="L2392" s="92">
        <f>IF(AND(单词表[[#This Row],[学英]]&lt;&gt;"",单词表[[#This Row],[学中]]&lt;&gt;"",单词表[[#This Row],[学词]]&lt;&gt;""),MAX(单词表[[#This Row],[学英]:[学词]]),"")</f>
        <v>42682.740636574075</v>
      </c>
      <c r="M2392" s="2" t="str">
        <f>IF(AND(单词表[[#This Row],[考英]]&lt;&gt;"",单词表[[#This Row],[考中]]&lt;&gt;""),MAX(单词表[[#This Row],[考英]:[考中]]),"")</f>
        <v/>
      </c>
      <c r="N2392" s="79"/>
    </row>
    <row r="2393" spans="1:14" hidden="1" x14ac:dyDescent="0.15">
      <c r="A2393">
        <v>2393</v>
      </c>
      <c r="B2393" t="s">
        <v>35</v>
      </c>
      <c r="C2393" t="s">
        <v>16</v>
      </c>
      <c r="D2393" s="72" t="s">
        <v>4116</v>
      </c>
      <c r="E2393" t="s">
        <v>36</v>
      </c>
      <c r="F2393" t="s">
        <v>4117</v>
      </c>
      <c r="G2393" s="92">
        <v>42682.70045138889</v>
      </c>
      <c r="H2393" s="92">
        <v>42682.739189814813</v>
      </c>
      <c r="I2393" s="92">
        <v>42682.739189814813</v>
      </c>
      <c r="J2393" s="92"/>
      <c r="K2393" s="92">
        <v>42682.740277777775</v>
      </c>
      <c r="L2393" s="92">
        <f>IF(AND(单词表[[#This Row],[学英]]&lt;&gt;"",单词表[[#This Row],[学中]]&lt;&gt;"",单词表[[#This Row],[学词]]&lt;&gt;""),MAX(单词表[[#This Row],[学英]:[学词]]),"")</f>
        <v>42682.739189814813</v>
      </c>
      <c r="M2393" s="2" t="str">
        <f>IF(AND(单词表[[#This Row],[考英]]&lt;&gt;"",单词表[[#This Row],[考中]]&lt;&gt;""),MAX(单词表[[#This Row],[考英]:[考中]]),"")</f>
        <v/>
      </c>
      <c r="N2393" s="79"/>
    </row>
    <row r="2394" spans="1:14" hidden="1" x14ac:dyDescent="0.15">
      <c r="A2394">
        <v>2394</v>
      </c>
      <c r="B2394" t="s">
        <v>35</v>
      </c>
      <c r="C2394" t="s">
        <v>16</v>
      </c>
      <c r="D2394" s="72" t="s">
        <v>1304</v>
      </c>
      <c r="E2394" t="s">
        <v>61</v>
      </c>
      <c r="F2394" t="s">
        <v>4118</v>
      </c>
      <c r="G2394" s="92">
        <v>42682.700474537036</v>
      </c>
      <c r="H2394" s="92">
        <v>42682.700474537036</v>
      </c>
      <c r="I2394" s="92">
        <v>42682.700474537036</v>
      </c>
      <c r="J2394" s="92"/>
      <c r="K2394" s="92">
        <v>42682.740300925929</v>
      </c>
      <c r="L2394" s="92">
        <f>IF(AND(单词表[[#This Row],[学英]]&lt;&gt;"",单词表[[#This Row],[学中]]&lt;&gt;"",单词表[[#This Row],[学词]]&lt;&gt;""),MAX(单词表[[#This Row],[学英]:[学词]]),"")</f>
        <v>42682.700474537036</v>
      </c>
      <c r="M2394" s="2" t="str">
        <f>IF(AND(单词表[[#This Row],[考英]]&lt;&gt;"",单词表[[#This Row],[考中]]&lt;&gt;""),MAX(单词表[[#This Row],[考英]:[考中]]),"")</f>
        <v/>
      </c>
      <c r="N2394" s="79"/>
    </row>
    <row r="2395" spans="1:14" hidden="1" x14ac:dyDescent="0.15">
      <c r="A2395">
        <v>2395</v>
      </c>
      <c r="B2395" t="s">
        <v>35</v>
      </c>
      <c r="C2395" t="s">
        <v>16</v>
      </c>
      <c r="D2395" s="72" t="s">
        <v>1304</v>
      </c>
      <c r="E2395" t="s">
        <v>36</v>
      </c>
      <c r="F2395" t="s">
        <v>4119</v>
      </c>
      <c r="G2395" s="92">
        <v>42682.700520833336</v>
      </c>
      <c r="H2395" s="92">
        <v>42682.700520833336</v>
      </c>
      <c r="I2395" s="92">
        <v>42682.700520833336</v>
      </c>
      <c r="J2395" s="92"/>
      <c r="K2395" s="92">
        <v>42682.740335648145</v>
      </c>
      <c r="L2395" s="92">
        <f>IF(AND(单词表[[#This Row],[学英]]&lt;&gt;"",单词表[[#This Row],[学中]]&lt;&gt;"",单词表[[#This Row],[学词]]&lt;&gt;""),MAX(单词表[[#This Row],[学英]:[学词]]),"")</f>
        <v>42682.700520833336</v>
      </c>
      <c r="M2395" s="2" t="str">
        <f>IF(AND(单词表[[#This Row],[考英]]&lt;&gt;"",单词表[[#This Row],[考中]]&lt;&gt;""),MAX(单词表[[#This Row],[考英]:[考中]]),"")</f>
        <v/>
      </c>
      <c r="N2395" s="79"/>
    </row>
    <row r="2396" spans="1:14" hidden="1" x14ac:dyDescent="0.15">
      <c r="A2396">
        <v>2396</v>
      </c>
      <c r="B2396" t="s">
        <v>35</v>
      </c>
      <c r="C2396" t="s">
        <v>16</v>
      </c>
      <c r="D2396" s="72" t="s">
        <v>4120</v>
      </c>
      <c r="E2396" t="s">
        <v>36</v>
      </c>
      <c r="F2396" t="s">
        <v>4121</v>
      </c>
      <c r="G2396" s="92">
        <v>42682.700555555559</v>
      </c>
      <c r="H2396" s="92">
        <v>42682.739201388889</v>
      </c>
      <c r="I2396" s="92">
        <v>42682.739201388889</v>
      </c>
      <c r="J2396" s="92"/>
      <c r="K2396" s="92">
        <v>42682.740439814814</v>
      </c>
      <c r="L2396" s="92">
        <f>IF(AND(单词表[[#This Row],[学英]]&lt;&gt;"",单词表[[#This Row],[学中]]&lt;&gt;"",单词表[[#This Row],[学词]]&lt;&gt;""),MAX(单词表[[#This Row],[学英]:[学词]]),"")</f>
        <v>42682.739201388889</v>
      </c>
      <c r="M2396" s="2" t="str">
        <f>IF(AND(单词表[[#This Row],[考英]]&lt;&gt;"",单词表[[#This Row],[考中]]&lt;&gt;""),MAX(单词表[[#This Row],[考英]:[考中]]),"")</f>
        <v/>
      </c>
      <c r="N2396" s="79"/>
    </row>
    <row r="2397" spans="1:14" hidden="1" x14ac:dyDescent="0.15">
      <c r="A2397">
        <v>2397</v>
      </c>
      <c r="B2397" t="s">
        <v>35</v>
      </c>
      <c r="C2397" t="s">
        <v>16</v>
      </c>
      <c r="D2397" s="72" t="s">
        <v>2641</v>
      </c>
      <c r="E2397" t="s">
        <v>73</v>
      </c>
      <c r="F2397" t="s">
        <v>4122</v>
      </c>
      <c r="G2397" s="92">
        <v>42682.700567129628</v>
      </c>
      <c r="H2397" s="92">
        <v>42682.700567129628</v>
      </c>
      <c r="I2397" s="92">
        <v>42682.700567129628</v>
      </c>
      <c r="J2397" s="92"/>
      <c r="K2397" s="92">
        <v>42682.740474537037</v>
      </c>
      <c r="L2397" s="92">
        <f>IF(AND(单词表[[#This Row],[学英]]&lt;&gt;"",单词表[[#This Row],[学中]]&lt;&gt;"",单词表[[#This Row],[学词]]&lt;&gt;""),MAX(单词表[[#This Row],[学英]:[学词]]),"")</f>
        <v>42682.700567129628</v>
      </c>
      <c r="M2397" s="2" t="str">
        <f>IF(AND(单词表[[#This Row],[考英]]&lt;&gt;"",单词表[[#This Row],[考中]]&lt;&gt;""),MAX(单词表[[#This Row],[考英]:[考中]]),"")</f>
        <v/>
      </c>
      <c r="N2397" s="79"/>
    </row>
    <row r="2398" spans="1:14" hidden="1" x14ac:dyDescent="0.15">
      <c r="A2398">
        <v>2398</v>
      </c>
      <c r="B2398" t="s">
        <v>35</v>
      </c>
      <c r="C2398" t="s">
        <v>16</v>
      </c>
      <c r="D2398" s="72" t="s">
        <v>4123</v>
      </c>
      <c r="E2398" t="s">
        <v>702</v>
      </c>
      <c r="F2398" t="s">
        <v>5567</v>
      </c>
      <c r="G2398" s="92">
        <v>42682.700590277775</v>
      </c>
      <c r="H2398" s="92">
        <v>42682.700590277775</v>
      </c>
      <c r="I2398" s="92">
        <v>42682.700590277775</v>
      </c>
      <c r="J2398" s="92"/>
      <c r="K2398" s="92">
        <v>42682.740520833337</v>
      </c>
      <c r="L2398" s="92">
        <f>IF(AND(单词表[[#This Row],[学英]]&lt;&gt;"",单词表[[#This Row],[学中]]&lt;&gt;"",单词表[[#This Row],[学词]]&lt;&gt;""),MAX(单词表[[#This Row],[学英]:[学词]]),"")</f>
        <v>42682.700590277775</v>
      </c>
      <c r="M2398" s="2" t="str">
        <f>IF(AND(单词表[[#This Row],[考英]]&lt;&gt;"",单词表[[#This Row],[考中]]&lt;&gt;""),MAX(单词表[[#This Row],[考英]:[考中]]),"")</f>
        <v/>
      </c>
      <c r="N2398" s="79"/>
    </row>
    <row r="2399" spans="1:14" hidden="1" x14ac:dyDescent="0.15">
      <c r="A2399">
        <v>2399</v>
      </c>
      <c r="B2399" t="s">
        <v>35</v>
      </c>
      <c r="C2399" t="s">
        <v>16</v>
      </c>
      <c r="D2399" s="72" t="s">
        <v>4124</v>
      </c>
      <c r="E2399" t="s">
        <v>73</v>
      </c>
      <c r="F2399" t="s">
        <v>4125</v>
      </c>
      <c r="G2399" s="92">
        <v>42683.795902777776</v>
      </c>
      <c r="H2399" s="92">
        <v>42683.795902777776</v>
      </c>
      <c r="I2399" s="92">
        <v>42683.795902777776</v>
      </c>
      <c r="J2399" s="92"/>
      <c r="K2399" s="92">
        <v>42683.7971875</v>
      </c>
      <c r="L2399" s="92">
        <f>IF(AND(单词表[[#This Row],[学英]]&lt;&gt;"",单词表[[#This Row],[学中]]&lt;&gt;"",单词表[[#This Row],[学词]]&lt;&gt;""),MAX(单词表[[#This Row],[学英]:[学词]]),"")</f>
        <v>42683.795902777776</v>
      </c>
      <c r="M2399" s="2" t="str">
        <f>IF(AND(单词表[[#This Row],[考英]]&lt;&gt;"",单词表[[#This Row],[考中]]&lt;&gt;""),MAX(单词表[[#This Row],[考英]:[考中]]),"")</f>
        <v/>
      </c>
      <c r="N2399" s="79"/>
    </row>
    <row r="2400" spans="1:14" hidden="1" x14ac:dyDescent="0.15">
      <c r="A2400">
        <v>2400</v>
      </c>
      <c r="B2400" t="s">
        <v>35</v>
      </c>
      <c r="C2400" t="s">
        <v>16</v>
      </c>
      <c r="D2400" s="72" t="s">
        <v>4124</v>
      </c>
      <c r="E2400" t="s">
        <v>36</v>
      </c>
      <c r="F2400" t="s">
        <v>4126</v>
      </c>
      <c r="G2400" s="92">
        <v>42683.795925925922</v>
      </c>
      <c r="H2400" s="92">
        <v>42683.795925925922</v>
      </c>
      <c r="I2400" s="92">
        <v>42683.795925925922</v>
      </c>
      <c r="J2400" s="92"/>
      <c r="K2400" s="92">
        <v>42683.797222222223</v>
      </c>
      <c r="L2400" s="92">
        <f>IF(AND(单词表[[#This Row],[学英]]&lt;&gt;"",单词表[[#This Row],[学中]]&lt;&gt;"",单词表[[#This Row],[学词]]&lt;&gt;""),MAX(单词表[[#This Row],[学英]:[学词]]),"")</f>
        <v>42683.795925925922</v>
      </c>
      <c r="M2400" s="2" t="str">
        <f>IF(AND(单词表[[#This Row],[考英]]&lt;&gt;"",单词表[[#This Row],[考中]]&lt;&gt;""),MAX(单词表[[#This Row],[考英]:[考中]]),"")</f>
        <v/>
      </c>
      <c r="N2400" s="79"/>
    </row>
    <row r="2401" spans="1:14" hidden="1" x14ac:dyDescent="0.15">
      <c r="A2401">
        <v>2401</v>
      </c>
      <c r="B2401" t="s">
        <v>35</v>
      </c>
      <c r="C2401" t="s">
        <v>16</v>
      </c>
      <c r="D2401" s="72" t="s">
        <v>4127</v>
      </c>
      <c r="E2401" t="s">
        <v>36</v>
      </c>
      <c r="F2401" t="s">
        <v>4128</v>
      </c>
      <c r="G2401" s="92">
        <v>42683.795937499999</v>
      </c>
      <c r="H2401" s="92">
        <v>42683.7969212963</v>
      </c>
      <c r="I2401" s="92">
        <v>42683.7969212963</v>
      </c>
      <c r="J2401" s="92"/>
      <c r="K2401" s="92">
        <v>42683.79724537037</v>
      </c>
      <c r="L2401" s="92">
        <f>IF(AND(单词表[[#This Row],[学英]]&lt;&gt;"",单词表[[#This Row],[学中]]&lt;&gt;"",单词表[[#This Row],[学词]]&lt;&gt;""),MAX(单词表[[#This Row],[学英]:[学词]]),"")</f>
        <v>42683.7969212963</v>
      </c>
      <c r="M2401" s="2" t="str">
        <f>IF(AND(单词表[[#This Row],[考英]]&lt;&gt;"",单词表[[#This Row],[考中]]&lt;&gt;""),MAX(单词表[[#This Row],[考英]:[考中]]),"")</f>
        <v/>
      </c>
      <c r="N2401" s="79"/>
    </row>
    <row r="2402" spans="1:14" hidden="1" x14ac:dyDescent="0.15">
      <c r="A2402">
        <v>2402</v>
      </c>
      <c r="B2402" t="s">
        <v>35</v>
      </c>
      <c r="C2402" t="s">
        <v>16</v>
      </c>
      <c r="D2402" s="72" t="s">
        <v>4129</v>
      </c>
      <c r="E2402" t="s">
        <v>61</v>
      </c>
      <c r="F2402" t="s">
        <v>4130</v>
      </c>
      <c r="G2402" s="92">
        <v>42683.795960648145</v>
      </c>
      <c r="H2402" s="92">
        <v>42683.795960648145</v>
      </c>
      <c r="I2402" s="92">
        <v>42683.795960648145</v>
      </c>
      <c r="J2402" s="92"/>
      <c r="K2402" s="92">
        <v>42683.797268518516</v>
      </c>
      <c r="L2402" s="92">
        <f>IF(AND(单词表[[#This Row],[学英]]&lt;&gt;"",单词表[[#This Row],[学中]]&lt;&gt;"",单词表[[#This Row],[学词]]&lt;&gt;""),MAX(单词表[[#This Row],[学英]:[学词]]),"")</f>
        <v>42683.795960648145</v>
      </c>
      <c r="M2402" s="2" t="str">
        <f>IF(AND(单词表[[#This Row],[考英]]&lt;&gt;"",单词表[[#This Row],[考中]]&lt;&gt;""),MAX(单词表[[#This Row],[考英]:[考中]]),"")</f>
        <v/>
      </c>
      <c r="N2402" s="79"/>
    </row>
    <row r="2403" spans="1:14" hidden="1" x14ac:dyDescent="0.15">
      <c r="A2403">
        <v>2403</v>
      </c>
      <c r="B2403" t="s">
        <v>35</v>
      </c>
      <c r="C2403" t="s">
        <v>16</v>
      </c>
      <c r="D2403" s="72" t="s">
        <v>4131</v>
      </c>
      <c r="E2403" t="s">
        <v>36</v>
      </c>
      <c r="F2403" t="s">
        <v>4132</v>
      </c>
      <c r="G2403" s="92">
        <v>42683.795983796299</v>
      </c>
      <c r="H2403" s="92">
        <v>42683.796990740739</v>
      </c>
      <c r="I2403" s="92">
        <v>42683.796990740739</v>
      </c>
      <c r="J2403" s="92"/>
      <c r="K2403" s="92">
        <v>42683.797314814816</v>
      </c>
      <c r="L2403" s="92">
        <f>IF(AND(单词表[[#This Row],[学英]]&lt;&gt;"",单词表[[#This Row],[学中]]&lt;&gt;"",单词表[[#This Row],[学词]]&lt;&gt;""),MAX(单词表[[#This Row],[学英]:[学词]]),"")</f>
        <v>42683.796990740739</v>
      </c>
      <c r="M2403" s="2" t="str">
        <f>IF(AND(单词表[[#This Row],[考英]]&lt;&gt;"",单词表[[#This Row],[考中]]&lt;&gt;""),MAX(单词表[[#This Row],[考英]:[考中]]),"")</f>
        <v/>
      </c>
      <c r="N2403" s="79"/>
    </row>
    <row r="2404" spans="1:14" hidden="1" x14ac:dyDescent="0.15">
      <c r="A2404">
        <v>2404</v>
      </c>
      <c r="B2404" t="s">
        <v>35</v>
      </c>
      <c r="C2404" t="s">
        <v>16</v>
      </c>
      <c r="D2404" s="72" t="s">
        <v>750</v>
      </c>
      <c r="E2404" t="s">
        <v>61</v>
      </c>
      <c r="F2404" t="s">
        <v>5857</v>
      </c>
      <c r="G2404" s="92">
        <v>42683.795995370368</v>
      </c>
      <c r="H2404" s="92">
        <v>42683.795995370368</v>
      </c>
      <c r="I2404" s="92">
        <v>42683.795995370368</v>
      </c>
      <c r="J2404" s="92"/>
      <c r="K2404" s="92">
        <v>42683.797337962962</v>
      </c>
      <c r="L2404" s="92">
        <f>IF(AND(单词表[[#This Row],[学英]]&lt;&gt;"",单词表[[#This Row],[学中]]&lt;&gt;"",单词表[[#This Row],[学词]]&lt;&gt;""),MAX(单词表[[#This Row],[学英]:[学词]]),"")</f>
        <v>42683.795995370368</v>
      </c>
      <c r="M2404" s="2" t="str">
        <f>IF(AND(单词表[[#This Row],[考英]]&lt;&gt;"",单词表[[#This Row],[考中]]&lt;&gt;""),MAX(单词表[[#This Row],[考英]:[考中]]),"")</f>
        <v/>
      </c>
      <c r="N2404" s="79"/>
    </row>
    <row r="2405" spans="1:14" hidden="1" x14ac:dyDescent="0.15">
      <c r="A2405">
        <v>2405</v>
      </c>
      <c r="B2405" t="s">
        <v>35</v>
      </c>
      <c r="C2405" t="s">
        <v>16</v>
      </c>
      <c r="D2405" s="72" t="s">
        <v>4133</v>
      </c>
      <c r="E2405" t="s">
        <v>736</v>
      </c>
      <c r="F2405" t="s">
        <v>5568</v>
      </c>
      <c r="G2405" s="92">
        <v>42683.796018518522</v>
      </c>
      <c r="H2405" s="92">
        <v>42683.797025462962</v>
      </c>
      <c r="I2405" s="92">
        <v>42683.797025462962</v>
      </c>
      <c r="J2405" s="92"/>
      <c r="K2405" s="92">
        <v>42683.797361111108</v>
      </c>
      <c r="L2405" s="92">
        <f>IF(AND(单词表[[#This Row],[学英]]&lt;&gt;"",单词表[[#This Row],[学中]]&lt;&gt;"",单词表[[#This Row],[学词]]&lt;&gt;""),MAX(单词表[[#This Row],[学英]:[学词]]),"")</f>
        <v>42683.797025462962</v>
      </c>
      <c r="M2405" s="2" t="str">
        <f>IF(AND(单词表[[#This Row],[考英]]&lt;&gt;"",单词表[[#This Row],[考中]]&lt;&gt;""),MAX(单词表[[#This Row],[考英]:[考中]]),"")</f>
        <v/>
      </c>
      <c r="N2405" s="79"/>
    </row>
    <row r="2406" spans="1:14" hidden="1" x14ac:dyDescent="0.15">
      <c r="A2406">
        <v>2406</v>
      </c>
      <c r="B2406" t="s">
        <v>35</v>
      </c>
      <c r="C2406" t="s">
        <v>16</v>
      </c>
      <c r="D2406" s="72" t="s">
        <v>4134</v>
      </c>
      <c r="E2406" t="s">
        <v>36</v>
      </c>
      <c r="F2406" t="s">
        <v>4135</v>
      </c>
      <c r="G2406" s="92">
        <v>42683.796064814815</v>
      </c>
      <c r="H2406" s="92">
        <v>42683.796064814815</v>
      </c>
      <c r="I2406" s="92">
        <v>42683.796064814815</v>
      </c>
      <c r="J2406" s="92"/>
      <c r="K2406" s="92">
        <v>42683.797500000001</v>
      </c>
      <c r="L2406" s="92">
        <f>IF(AND(单词表[[#This Row],[学英]]&lt;&gt;"",单词表[[#This Row],[学中]]&lt;&gt;"",单词表[[#This Row],[学词]]&lt;&gt;""),MAX(单词表[[#This Row],[学英]:[学词]]),"")</f>
        <v>42683.796064814815</v>
      </c>
      <c r="M2406" s="2" t="str">
        <f>IF(AND(单词表[[#This Row],[考英]]&lt;&gt;"",单词表[[#This Row],[考中]]&lt;&gt;""),MAX(单词表[[#This Row],[考英]:[考中]]),"")</f>
        <v/>
      </c>
      <c r="N2406" s="79"/>
    </row>
    <row r="2407" spans="1:14" hidden="1" x14ac:dyDescent="0.15">
      <c r="A2407">
        <v>2407</v>
      </c>
      <c r="B2407" t="s">
        <v>35</v>
      </c>
      <c r="C2407" t="s">
        <v>16</v>
      </c>
      <c r="D2407" s="72" t="s">
        <v>4136</v>
      </c>
      <c r="E2407" t="s">
        <v>36</v>
      </c>
      <c r="F2407" t="s">
        <v>5569</v>
      </c>
      <c r="G2407" s="92">
        <v>42683.796087962961</v>
      </c>
      <c r="H2407" s="92">
        <v>42683.797106481485</v>
      </c>
      <c r="I2407" s="92">
        <v>42683.797106481485</v>
      </c>
      <c r="J2407" s="92"/>
      <c r="K2407" s="92">
        <v>42683.797534722224</v>
      </c>
      <c r="L2407" s="92">
        <f>IF(AND(单词表[[#This Row],[学英]]&lt;&gt;"",单词表[[#This Row],[学中]]&lt;&gt;"",单词表[[#This Row],[学词]]&lt;&gt;""),MAX(单词表[[#This Row],[学英]:[学词]]),"")</f>
        <v>42683.797106481485</v>
      </c>
      <c r="M2407" s="2" t="str">
        <f>IF(AND(单词表[[#This Row],[考英]]&lt;&gt;"",单词表[[#This Row],[考中]]&lt;&gt;""),MAX(单词表[[#This Row],[考英]:[考中]]),"")</f>
        <v/>
      </c>
      <c r="N2407" s="79"/>
    </row>
    <row r="2408" spans="1:14" hidden="1" x14ac:dyDescent="0.15">
      <c r="A2408">
        <v>2408</v>
      </c>
      <c r="B2408" t="s">
        <v>35</v>
      </c>
      <c r="C2408" t="s">
        <v>16</v>
      </c>
      <c r="D2408" s="72" t="s">
        <v>4137</v>
      </c>
      <c r="E2408" t="s">
        <v>61</v>
      </c>
      <c r="F2408" t="s">
        <v>4138</v>
      </c>
      <c r="G2408" s="92">
        <v>42683.796111111114</v>
      </c>
      <c r="H2408" s="92">
        <v>42683.796111111114</v>
      </c>
      <c r="I2408" s="92">
        <v>42683.796111111114</v>
      </c>
      <c r="J2408" s="92"/>
      <c r="K2408" s="92">
        <v>42683.797569444447</v>
      </c>
      <c r="L2408" s="92">
        <f>IF(AND(单词表[[#This Row],[学英]]&lt;&gt;"",单词表[[#This Row],[学中]]&lt;&gt;"",单词表[[#This Row],[学词]]&lt;&gt;""),MAX(单词表[[#This Row],[学英]:[学词]]),"")</f>
        <v>42683.796111111114</v>
      </c>
      <c r="M2408" s="2" t="str">
        <f>IF(AND(单词表[[#This Row],[考英]]&lt;&gt;"",单词表[[#This Row],[考中]]&lt;&gt;""),MAX(单词表[[#This Row],[考英]:[考中]]),"")</f>
        <v/>
      </c>
      <c r="N2408" s="79"/>
    </row>
    <row r="2409" spans="1:14" hidden="1" x14ac:dyDescent="0.15">
      <c r="A2409">
        <v>2409</v>
      </c>
      <c r="B2409" t="s">
        <v>35</v>
      </c>
      <c r="C2409" t="s">
        <v>16</v>
      </c>
      <c r="D2409" s="72" t="s">
        <v>4139</v>
      </c>
      <c r="E2409" t="s">
        <v>36</v>
      </c>
      <c r="F2409" t="s">
        <v>4140</v>
      </c>
      <c r="G2409" s="92">
        <v>42683.803518518522</v>
      </c>
      <c r="H2409" s="92">
        <v>42683.803518518522</v>
      </c>
      <c r="I2409" s="92">
        <v>42683.803518518522</v>
      </c>
      <c r="J2409" s="92"/>
      <c r="K2409" s="92">
        <v>42683.80400462963</v>
      </c>
      <c r="L2409" s="92">
        <f>IF(AND(单词表[[#This Row],[学英]]&lt;&gt;"",单词表[[#This Row],[学中]]&lt;&gt;"",单词表[[#This Row],[学词]]&lt;&gt;""),MAX(单词表[[#This Row],[学英]:[学词]]),"")</f>
        <v>42683.803518518522</v>
      </c>
      <c r="M2409" s="2" t="str">
        <f>IF(AND(单词表[[#This Row],[考英]]&lt;&gt;"",单词表[[#This Row],[考中]]&lt;&gt;""),MAX(单词表[[#This Row],[考英]:[考中]]),"")</f>
        <v/>
      </c>
      <c r="N2409" s="79"/>
    </row>
    <row r="2410" spans="1:14" hidden="1" x14ac:dyDescent="0.15">
      <c r="A2410">
        <v>2410</v>
      </c>
      <c r="B2410" t="s">
        <v>35</v>
      </c>
      <c r="C2410" t="s">
        <v>16</v>
      </c>
      <c r="D2410" s="72" t="s">
        <v>4141</v>
      </c>
      <c r="E2410" t="s">
        <v>61</v>
      </c>
      <c r="F2410" t="s">
        <v>4142</v>
      </c>
      <c r="G2410" s="92">
        <v>42683.803564814814</v>
      </c>
      <c r="H2410" s="92">
        <v>42683.803564814814</v>
      </c>
      <c r="I2410" s="92">
        <v>42683.803564814814</v>
      </c>
      <c r="J2410" s="92"/>
      <c r="K2410" s="92">
        <v>42683.804039351853</v>
      </c>
      <c r="L2410" s="92">
        <f>IF(AND(单词表[[#This Row],[学英]]&lt;&gt;"",单词表[[#This Row],[学中]]&lt;&gt;"",单词表[[#This Row],[学词]]&lt;&gt;""),MAX(单词表[[#This Row],[学英]:[学词]]),"")</f>
        <v>42683.803564814814</v>
      </c>
      <c r="M2410" s="2" t="str">
        <f>IF(AND(单词表[[#This Row],[考英]]&lt;&gt;"",单词表[[#This Row],[考中]]&lt;&gt;""),MAX(单词表[[#This Row],[考英]:[考中]]),"")</f>
        <v/>
      </c>
      <c r="N2410" s="79"/>
    </row>
    <row r="2411" spans="1:14" hidden="1" x14ac:dyDescent="0.15">
      <c r="A2411">
        <v>2411</v>
      </c>
      <c r="B2411" t="s">
        <v>35</v>
      </c>
      <c r="C2411" t="s">
        <v>16</v>
      </c>
      <c r="D2411" s="72" t="s">
        <v>4143</v>
      </c>
      <c r="E2411" t="s">
        <v>736</v>
      </c>
      <c r="F2411" t="s">
        <v>4144</v>
      </c>
      <c r="G2411" s="92">
        <v>42683.803622685184</v>
      </c>
      <c r="H2411" s="92">
        <v>42683.803622685184</v>
      </c>
      <c r="I2411" s="92">
        <v>42683.803622685184</v>
      </c>
      <c r="J2411" s="92"/>
      <c r="K2411" s="92">
        <v>42683.804074074076</v>
      </c>
      <c r="L2411" s="92">
        <f>IF(AND(单词表[[#This Row],[学英]]&lt;&gt;"",单词表[[#This Row],[学中]]&lt;&gt;"",单词表[[#This Row],[学词]]&lt;&gt;""),MAX(单词表[[#This Row],[学英]:[学词]]),"")</f>
        <v>42683.803622685184</v>
      </c>
      <c r="M2411" s="2" t="str">
        <f>IF(AND(单词表[[#This Row],[考英]]&lt;&gt;"",单词表[[#This Row],[考中]]&lt;&gt;""),MAX(单词表[[#This Row],[考英]:[考中]]),"")</f>
        <v/>
      </c>
      <c r="N2411" s="79"/>
    </row>
    <row r="2412" spans="1:14" hidden="1" x14ac:dyDescent="0.15">
      <c r="A2412">
        <v>2412</v>
      </c>
      <c r="B2412" t="s">
        <v>35</v>
      </c>
      <c r="C2412" t="s">
        <v>16</v>
      </c>
      <c r="D2412" s="72" t="s">
        <v>4145</v>
      </c>
      <c r="E2412" t="s">
        <v>73</v>
      </c>
      <c r="F2412" t="s">
        <v>4146</v>
      </c>
      <c r="G2412" s="92">
        <v>42683.80364583333</v>
      </c>
      <c r="H2412" s="92">
        <v>42683.80364583333</v>
      </c>
      <c r="I2412" s="92">
        <v>42683.80364583333</v>
      </c>
      <c r="J2412" s="92"/>
      <c r="K2412" s="92">
        <v>42683.804108796299</v>
      </c>
      <c r="L2412" s="92">
        <f>IF(AND(单词表[[#This Row],[学英]]&lt;&gt;"",单词表[[#This Row],[学中]]&lt;&gt;"",单词表[[#This Row],[学词]]&lt;&gt;""),MAX(单词表[[#This Row],[学英]:[学词]]),"")</f>
        <v>42683.80364583333</v>
      </c>
      <c r="M2412" s="2" t="str">
        <f>IF(AND(单词表[[#This Row],[考英]]&lt;&gt;"",单词表[[#This Row],[考中]]&lt;&gt;""),MAX(单词表[[#This Row],[考英]:[考中]]),"")</f>
        <v/>
      </c>
      <c r="N2412" s="79"/>
    </row>
    <row r="2413" spans="1:14" hidden="1" x14ac:dyDescent="0.15">
      <c r="A2413">
        <v>2413</v>
      </c>
      <c r="B2413" t="s">
        <v>35</v>
      </c>
      <c r="C2413" t="s">
        <v>16</v>
      </c>
      <c r="D2413" s="72" t="s">
        <v>2170</v>
      </c>
      <c r="E2413" t="s">
        <v>36</v>
      </c>
      <c r="F2413" t="s">
        <v>2171</v>
      </c>
      <c r="G2413" s="92">
        <v>42683.803668981483</v>
      </c>
      <c r="H2413" s="92">
        <v>42683.803668981483</v>
      </c>
      <c r="I2413" s="92">
        <v>42683.803668981483</v>
      </c>
      <c r="J2413" s="92"/>
      <c r="K2413" s="92">
        <v>42683.804143518515</v>
      </c>
      <c r="L2413" s="92">
        <f>IF(AND(单词表[[#This Row],[学英]]&lt;&gt;"",单词表[[#This Row],[学中]]&lt;&gt;"",单词表[[#This Row],[学词]]&lt;&gt;""),MAX(单词表[[#This Row],[学英]:[学词]]),"")</f>
        <v>42683.803668981483</v>
      </c>
      <c r="M2413" s="2" t="str">
        <f>IF(AND(单词表[[#This Row],[考英]]&lt;&gt;"",单词表[[#This Row],[考中]]&lt;&gt;""),MAX(单词表[[#This Row],[考英]:[考中]]),"")</f>
        <v/>
      </c>
      <c r="N2413" s="79"/>
    </row>
    <row r="2414" spans="1:14" hidden="1" x14ac:dyDescent="0.15">
      <c r="A2414">
        <v>2414</v>
      </c>
      <c r="B2414" t="s">
        <v>35</v>
      </c>
      <c r="C2414" t="s">
        <v>16</v>
      </c>
      <c r="D2414" s="72" t="s">
        <v>4147</v>
      </c>
      <c r="E2414" t="s">
        <v>36</v>
      </c>
      <c r="F2414" t="s">
        <v>4148</v>
      </c>
      <c r="G2414" s="92">
        <v>42683.80369212963</v>
      </c>
      <c r="H2414" s="92">
        <v>42683.80369212963</v>
      </c>
      <c r="I2414" s="92">
        <v>42683.80369212963</v>
      </c>
      <c r="J2414" s="92"/>
      <c r="K2414" s="92">
        <v>42683.804166666669</v>
      </c>
      <c r="L2414" s="92">
        <f>IF(AND(单词表[[#This Row],[学英]]&lt;&gt;"",单词表[[#This Row],[学中]]&lt;&gt;"",单词表[[#This Row],[学词]]&lt;&gt;""),MAX(单词表[[#This Row],[学英]:[学词]]),"")</f>
        <v>42683.80369212963</v>
      </c>
      <c r="M2414" s="2" t="str">
        <f>IF(AND(单词表[[#This Row],[考英]]&lt;&gt;"",单词表[[#This Row],[考中]]&lt;&gt;""),MAX(单词表[[#This Row],[考英]:[考中]]),"")</f>
        <v/>
      </c>
      <c r="N2414" s="79"/>
    </row>
    <row r="2415" spans="1:14" hidden="1" x14ac:dyDescent="0.15">
      <c r="A2415">
        <v>2415</v>
      </c>
      <c r="B2415" t="s">
        <v>35</v>
      </c>
      <c r="C2415" t="s">
        <v>16</v>
      </c>
      <c r="D2415" s="72" t="s">
        <v>4149</v>
      </c>
      <c r="E2415" t="s">
        <v>736</v>
      </c>
      <c r="F2415" t="s">
        <v>4150</v>
      </c>
      <c r="G2415" s="92">
        <v>42683.803715277776</v>
      </c>
      <c r="H2415" s="92">
        <v>42683.803715277776</v>
      </c>
      <c r="I2415" s="92">
        <v>42683.803715277776</v>
      </c>
      <c r="J2415" s="92"/>
      <c r="K2415" s="92">
        <v>42683.804201388892</v>
      </c>
      <c r="L2415" s="92">
        <f>IF(AND(单词表[[#This Row],[学英]]&lt;&gt;"",单词表[[#This Row],[学中]]&lt;&gt;"",单词表[[#This Row],[学词]]&lt;&gt;""),MAX(单词表[[#This Row],[学英]:[学词]]),"")</f>
        <v>42683.803715277776</v>
      </c>
      <c r="M2415" s="2" t="str">
        <f>IF(AND(单词表[[#This Row],[考英]]&lt;&gt;"",单词表[[#This Row],[考中]]&lt;&gt;""),MAX(单词表[[#This Row],[考英]:[考中]]),"")</f>
        <v/>
      </c>
      <c r="N2415" s="79"/>
    </row>
    <row r="2416" spans="1:14" hidden="1" x14ac:dyDescent="0.15">
      <c r="A2416">
        <v>2416</v>
      </c>
      <c r="B2416" t="s">
        <v>35</v>
      </c>
      <c r="C2416" t="s">
        <v>16</v>
      </c>
      <c r="D2416" s="72" t="s">
        <v>2220</v>
      </c>
      <c r="E2416" t="s">
        <v>73</v>
      </c>
      <c r="F2416" t="s">
        <v>4151</v>
      </c>
      <c r="G2416" s="92">
        <v>42683.803749999999</v>
      </c>
      <c r="H2416" s="92">
        <v>42683.803761574076</v>
      </c>
      <c r="I2416" s="92">
        <v>42683.803761574076</v>
      </c>
      <c r="J2416" s="92"/>
      <c r="K2416" s="92">
        <v>42683.804247685184</v>
      </c>
      <c r="L2416" s="92">
        <f>IF(AND(单词表[[#This Row],[学英]]&lt;&gt;"",单词表[[#This Row],[学中]]&lt;&gt;"",单词表[[#This Row],[学词]]&lt;&gt;""),MAX(单词表[[#This Row],[学英]:[学词]]),"")</f>
        <v>42683.803761574076</v>
      </c>
      <c r="M2416" s="2" t="str">
        <f>IF(AND(单词表[[#This Row],[考英]]&lt;&gt;"",单词表[[#This Row],[考中]]&lt;&gt;""),MAX(单词表[[#This Row],[考英]:[考中]]),"")</f>
        <v/>
      </c>
      <c r="N2416" s="79"/>
    </row>
    <row r="2417" spans="1:14" hidden="1" x14ac:dyDescent="0.15">
      <c r="A2417">
        <v>2417</v>
      </c>
      <c r="B2417" t="s">
        <v>35</v>
      </c>
      <c r="C2417" t="s">
        <v>16</v>
      </c>
      <c r="D2417" s="72" t="s">
        <v>3223</v>
      </c>
      <c r="E2417" t="s">
        <v>36</v>
      </c>
      <c r="F2417" t="s">
        <v>4152</v>
      </c>
      <c r="G2417" s="92">
        <v>42683.803784722222</v>
      </c>
      <c r="H2417" s="92">
        <v>42683.803784722222</v>
      </c>
      <c r="I2417" s="92">
        <v>42683.803784722222</v>
      </c>
      <c r="J2417" s="92"/>
      <c r="K2417" s="92">
        <v>42683.804386574076</v>
      </c>
      <c r="L2417" s="92">
        <f>IF(AND(单词表[[#This Row],[学英]]&lt;&gt;"",单词表[[#This Row],[学中]]&lt;&gt;"",单词表[[#This Row],[学词]]&lt;&gt;""),MAX(单词表[[#This Row],[学英]:[学词]]),"")</f>
        <v>42683.803784722222</v>
      </c>
      <c r="M2417" s="2" t="str">
        <f>IF(AND(单词表[[#This Row],[考英]]&lt;&gt;"",单词表[[#This Row],[考中]]&lt;&gt;""),MAX(单词表[[#This Row],[考英]:[考中]]),"")</f>
        <v/>
      </c>
      <c r="N2417" s="79"/>
    </row>
    <row r="2418" spans="1:14" hidden="1" x14ac:dyDescent="0.15">
      <c r="A2418">
        <v>2418</v>
      </c>
      <c r="B2418" t="s">
        <v>35</v>
      </c>
      <c r="C2418" t="s">
        <v>16</v>
      </c>
      <c r="D2418" s="72" t="s">
        <v>4153</v>
      </c>
      <c r="E2418" t="s">
        <v>36</v>
      </c>
      <c r="F2418" t="s">
        <v>4154</v>
      </c>
      <c r="G2418" s="92">
        <v>42683.803819444445</v>
      </c>
      <c r="H2418" s="92">
        <v>42683.803819444445</v>
      </c>
      <c r="I2418" s="92">
        <v>42683.803819444445</v>
      </c>
      <c r="J2418" s="92"/>
      <c r="K2418" s="92">
        <v>42683.804479166669</v>
      </c>
      <c r="L2418" s="92">
        <f>IF(AND(单词表[[#This Row],[学英]]&lt;&gt;"",单词表[[#This Row],[学中]]&lt;&gt;"",单词表[[#This Row],[学词]]&lt;&gt;""),MAX(单词表[[#This Row],[学英]:[学词]]),"")</f>
        <v>42683.803819444445</v>
      </c>
      <c r="M2418" s="2" t="str">
        <f>IF(AND(单词表[[#This Row],[考英]]&lt;&gt;"",单词表[[#This Row],[考中]]&lt;&gt;""),MAX(单词表[[#This Row],[考英]:[考中]]),"")</f>
        <v/>
      </c>
      <c r="N2418" s="79"/>
    </row>
    <row r="2419" spans="1:14" hidden="1" x14ac:dyDescent="0.15">
      <c r="A2419">
        <v>2419</v>
      </c>
      <c r="B2419" t="s">
        <v>35</v>
      </c>
      <c r="C2419" t="s">
        <v>16</v>
      </c>
      <c r="D2419" s="72" t="s">
        <v>4155</v>
      </c>
      <c r="E2419" t="s">
        <v>73</v>
      </c>
      <c r="F2419" t="s">
        <v>4156</v>
      </c>
      <c r="G2419" s="92">
        <v>42683.804629629631</v>
      </c>
      <c r="H2419" s="92">
        <v>42683.804629629631</v>
      </c>
      <c r="I2419" s="92">
        <v>42683.804629629631</v>
      </c>
      <c r="J2419" s="92"/>
      <c r="K2419" s="92">
        <v>42683.815821759257</v>
      </c>
      <c r="L2419" s="92">
        <f>IF(AND(单词表[[#This Row],[学英]]&lt;&gt;"",单词表[[#This Row],[学中]]&lt;&gt;"",单词表[[#This Row],[学词]]&lt;&gt;""),MAX(单词表[[#This Row],[学英]:[学词]]),"")</f>
        <v>42683.804629629631</v>
      </c>
      <c r="M2419" s="2" t="str">
        <f>IF(AND(单词表[[#This Row],[考英]]&lt;&gt;"",单词表[[#This Row],[考中]]&lt;&gt;""),MAX(单词表[[#This Row],[考英]:[考中]]),"")</f>
        <v/>
      </c>
      <c r="N2419" s="79"/>
    </row>
    <row r="2420" spans="1:14" hidden="1" x14ac:dyDescent="0.15">
      <c r="A2420">
        <v>2420</v>
      </c>
      <c r="B2420" t="s">
        <v>35</v>
      </c>
      <c r="C2420" t="s">
        <v>16</v>
      </c>
      <c r="D2420" s="72" t="s">
        <v>4157</v>
      </c>
      <c r="E2420" t="s">
        <v>73</v>
      </c>
      <c r="F2420" t="s">
        <v>591</v>
      </c>
      <c r="G2420" s="92">
        <v>42683.804652777777</v>
      </c>
      <c r="H2420" s="92">
        <v>42683.804652777777</v>
      </c>
      <c r="I2420" s="92">
        <v>42683.804652777777</v>
      </c>
      <c r="J2420" s="92"/>
      <c r="K2420" s="92">
        <v>42683.81585648148</v>
      </c>
      <c r="L2420" s="92">
        <f>IF(AND(单词表[[#This Row],[学英]]&lt;&gt;"",单词表[[#This Row],[学中]]&lt;&gt;"",单词表[[#This Row],[学词]]&lt;&gt;""),MAX(单词表[[#This Row],[学英]:[学词]]),"")</f>
        <v>42683.804652777777</v>
      </c>
      <c r="M2420" s="2" t="str">
        <f>IF(AND(单词表[[#This Row],[考英]]&lt;&gt;"",单词表[[#This Row],[考中]]&lt;&gt;""),MAX(单词表[[#This Row],[考英]:[考中]]),"")</f>
        <v/>
      </c>
      <c r="N2420" s="79"/>
    </row>
    <row r="2421" spans="1:14" hidden="1" x14ac:dyDescent="0.15">
      <c r="A2421">
        <v>2421</v>
      </c>
      <c r="B2421" t="s">
        <v>35</v>
      </c>
      <c r="C2421" t="s">
        <v>16</v>
      </c>
      <c r="D2421" s="72" t="s">
        <v>4158</v>
      </c>
      <c r="E2421" t="s">
        <v>73</v>
      </c>
      <c r="F2421" t="s">
        <v>4159</v>
      </c>
      <c r="G2421" s="92">
        <v>42683.804722222223</v>
      </c>
      <c r="H2421" s="92">
        <v>42683.804722222223</v>
      </c>
      <c r="I2421" s="92">
        <v>42683.804722222223</v>
      </c>
      <c r="J2421" s="92"/>
      <c r="K2421" s="92">
        <v>42683.815949074073</v>
      </c>
      <c r="L2421" s="92">
        <f>IF(AND(单词表[[#This Row],[学英]]&lt;&gt;"",单词表[[#This Row],[学中]]&lt;&gt;"",单词表[[#This Row],[学词]]&lt;&gt;""),MAX(单词表[[#This Row],[学英]:[学词]]),"")</f>
        <v>42683.804722222223</v>
      </c>
      <c r="M2421" s="2" t="str">
        <f>IF(AND(单词表[[#This Row],[考英]]&lt;&gt;"",单词表[[#This Row],[考中]]&lt;&gt;""),MAX(单词表[[#This Row],[考英]:[考中]]),"")</f>
        <v/>
      </c>
      <c r="N2421" s="79"/>
    </row>
    <row r="2422" spans="1:14" hidden="1" x14ac:dyDescent="0.15">
      <c r="A2422">
        <v>2422</v>
      </c>
      <c r="B2422" t="s">
        <v>35</v>
      </c>
      <c r="C2422" t="s">
        <v>16</v>
      </c>
      <c r="D2422" s="72" t="s">
        <v>3267</v>
      </c>
      <c r="E2422" t="s">
        <v>73</v>
      </c>
      <c r="F2422" t="s">
        <v>4160</v>
      </c>
      <c r="G2422" s="92">
        <v>42683.804756944446</v>
      </c>
      <c r="H2422" s="92">
        <v>42683.804756944446</v>
      </c>
      <c r="I2422" s="92">
        <v>42683.804756944446</v>
      </c>
      <c r="J2422" s="92"/>
      <c r="K2422" s="92">
        <v>42683.815983796296</v>
      </c>
      <c r="L2422" s="92">
        <f>IF(AND(单词表[[#This Row],[学英]]&lt;&gt;"",单词表[[#This Row],[学中]]&lt;&gt;"",单词表[[#This Row],[学词]]&lt;&gt;""),MAX(单词表[[#This Row],[学英]:[学词]]),"")</f>
        <v>42683.804756944446</v>
      </c>
      <c r="M2422" s="2" t="str">
        <f>IF(AND(单词表[[#This Row],[考英]]&lt;&gt;"",单词表[[#This Row],[考中]]&lt;&gt;""),MAX(单词表[[#This Row],[考英]:[考中]]),"")</f>
        <v/>
      </c>
      <c r="N2422" s="79"/>
    </row>
    <row r="2423" spans="1:14" hidden="1" x14ac:dyDescent="0.15">
      <c r="A2423">
        <v>2423</v>
      </c>
      <c r="B2423" t="s">
        <v>35</v>
      </c>
      <c r="C2423" t="s">
        <v>16</v>
      </c>
      <c r="D2423" s="72" t="s">
        <v>4161</v>
      </c>
      <c r="E2423" t="s">
        <v>36</v>
      </c>
      <c r="F2423" t="s">
        <v>4162</v>
      </c>
      <c r="G2423" s="92">
        <v>42683.804826388892</v>
      </c>
      <c r="H2423" s="92">
        <v>42683.804826388892</v>
      </c>
      <c r="I2423" s="92">
        <v>42683.804826388892</v>
      </c>
      <c r="J2423" s="92"/>
      <c r="K2423" s="92">
        <v>42683.816203703704</v>
      </c>
      <c r="L2423" s="92">
        <f>IF(AND(单词表[[#This Row],[学英]]&lt;&gt;"",单词表[[#This Row],[学中]]&lt;&gt;"",单词表[[#This Row],[学词]]&lt;&gt;""),MAX(单词表[[#This Row],[学英]:[学词]]),"")</f>
        <v>42683.804826388892</v>
      </c>
      <c r="M2423" s="2" t="str">
        <f>IF(AND(单词表[[#This Row],[考英]]&lt;&gt;"",单词表[[#This Row],[考中]]&lt;&gt;""),MAX(单词表[[#This Row],[考英]:[考中]]),"")</f>
        <v/>
      </c>
      <c r="N2423" s="79"/>
    </row>
    <row r="2424" spans="1:14" hidden="1" x14ac:dyDescent="0.15">
      <c r="A2424">
        <v>2424</v>
      </c>
      <c r="B2424" t="s">
        <v>35</v>
      </c>
      <c r="C2424" t="s">
        <v>16</v>
      </c>
      <c r="D2424" s="72" t="s">
        <v>4163</v>
      </c>
      <c r="E2424" t="s">
        <v>36</v>
      </c>
      <c r="F2424" t="s">
        <v>4164</v>
      </c>
      <c r="G2424" s="92">
        <v>42683.804895833331</v>
      </c>
      <c r="H2424" s="92">
        <v>42683.804907407408</v>
      </c>
      <c r="I2424" s="92">
        <v>42683.804907407408</v>
      </c>
      <c r="J2424" s="92"/>
      <c r="K2424" s="92">
        <v>42683.81622685185</v>
      </c>
      <c r="L2424" s="92">
        <f>IF(AND(单词表[[#This Row],[学英]]&lt;&gt;"",单词表[[#This Row],[学中]]&lt;&gt;"",单词表[[#This Row],[学词]]&lt;&gt;""),MAX(单词表[[#This Row],[学英]:[学词]]),"")</f>
        <v>42683.804907407408</v>
      </c>
      <c r="M2424" s="2" t="str">
        <f>IF(AND(单词表[[#This Row],[考英]]&lt;&gt;"",单词表[[#This Row],[考中]]&lt;&gt;""),MAX(单词表[[#This Row],[考英]:[考中]]),"")</f>
        <v/>
      </c>
      <c r="N2424" s="79"/>
    </row>
    <row r="2425" spans="1:14" hidden="1" x14ac:dyDescent="0.15">
      <c r="A2425">
        <v>2425</v>
      </c>
      <c r="B2425" t="s">
        <v>35</v>
      </c>
      <c r="C2425" t="s">
        <v>16</v>
      </c>
      <c r="D2425" s="72" t="s">
        <v>4165</v>
      </c>
      <c r="E2425" t="s">
        <v>73</v>
      </c>
      <c r="F2425" t="s">
        <v>3586</v>
      </c>
      <c r="G2425" s="92">
        <v>42683.8049537037</v>
      </c>
      <c r="H2425" s="92">
        <v>42683.8049537037</v>
      </c>
      <c r="I2425" s="92">
        <v>42683.8049537037</v>
      </c>
      <c r="J2425" s="92"/>
      <c r="K2425" s="92">
        <v>42683.816261574073</v>
      </c>
      <c r="L2425" s="92">
        <f>IF(AND(单词表[[#This Row],[学英]]&lt;&gt;"",单词表[[#This Row],[学中]]&lt;&gt;"",单词表[[#This Row],[学词]]&lt;&gt;""),MAX(单词表[[#This Row],[学英]:[学词]]),"")</f>
        <v>42683.8049537037</v>
      </c>
      <c r="M2425" s="2" t="str">
        <f>IF(AND(单词表[[#This Row],[考英]]&lt;&gt;"",单词表[[#This Row],[考中]]&lt;&gt;""),MAX(单词表[[#This Row],[考英]:[考中]]),"")</f>
        <v/>
      </c>
      <c r="N2425" s="79"/>
    </row>
    <row r="2426" spans="1:14" hidden="1" x14ac:dyDescent="0.15">
      <c r="A2426">
        <v>2426</v>
      </c>
      <c r="B2426" t="s">
        <v>35</v>
      </c>
      <c r="C2426" t="s">
        <v>16</v>
      </c>
      <c r="D2426" s="72" t="s">
        <v>4166</v>
      </c>
      <c r="E2426" t="s">
        <v>36</v>
      </c>
      <c r="F2426" t="s">
        <v>4167</v>
      </c>
      <c r="G2426" s="92">
        <v>42683.805023148147</v>
      </c>
      <c r="H2426" s="92">
        <v>42683.805023148147</v>
      </c>
      <c r="I2426" s="92">
        <v>42683.805023148147</v>
      </c>
      <c r="J2426" s="92"/>
      <c r="K2426" s="92">
        <v>42683.816296296296</v>
      </c>
      <c r="L2426" s="92">
        <f>IF(AND(单词表[[#This Row],[学英]]&lt;&gt;"",单词表[[#This Row],[学中]]&lt;&gt;"",单词表[[#This Row],[学词]]&lt;&gt;""),MAX(单词表[[#This Row],[学英]:[学词]]),"")</f>
        <v>42683.805023148147</v>
      </c>
      <c r="M2426" s="2" t="str">
        <f>IF(AND(单词表[[#This Row],[考英]]&lt;&gt;"",单词表[[#This Row],[考中]]&lt;&gt;""),MAX(单词表[[#This Row],[考英]:[考中]]),"")</f>
        <v/>
      </c>
      <c r="N2426" s="79"/>
    </row>
    <row r="2427" spans="1:14" hidden="1" x14ac:dyDescent="0.15">
      <c r="A2427">
        <v>2427</v>
      </c>
      <c r="B2427" t="s">
        <v>35</v>
      </c>
      <c r="C2427" t="s">
        <v>16</v>
      </c>
      <c r="D2427" s="72" t="s">
        <v>4168</v>
      </c>
      <c r="E2427" t="s">
        <v>73</v>
      </c>
      <c r="F2427" t="s">
        <v>4169</v>
      </c>
      <c r="G2427" s="92">
        <v>42683.805138888885</v>
      </c>
      <c r="H2427" s="92">
        <v>42683.805138888885</v>
      </c>
      <c r="I2427" s="92">
        <v>42683.805138888885</v>
      </c>
      <c r="J2427" s="92"/>
      <c r="K2427" s="92">
        <v>42683.816331018519</v>
      </c>
      <c r="L2427" s="92">
        <f>IF(AND(单词表[[#This Row],[学英]]&lt;&gt;"",单词表[[#This Row],[学中]]&lt;&gt;"",单词表[[#This Row],[学词]]&lt;&gt;""),MAX(单词表[[#This Row],[学英]:[学词]]),"")</f>
        <v>42683.805138888885</v>
      </c>
      <c r="M2427" s="2" t="str">
        <f>IF(AND(单词表[[#This Row],[考英]]&lt;&gt;"",单词表[[#This Row],[考中]]&lt;&gt;""),MAX(单词表[[#This Row],[考英]:[考中]]),"")</f>
        <v/>
      </c>
      <c r="N2427" s="79"/>
    </row>
    <row r="2428" spans="1:14" hidden="1" x14ac:dyDescent="0.15">
      <c r="A2428">
        <v>2428</v>
      </c>
      <c r="B2428" t="s">
        <v>35</v>
      </c>
      <c r="C2428" t="s">
        <v>16</v>
      </c>
      <c r="D2428" s="72" t="s">
        <v>4170</v>
      </c>
      <c r="E2428" t="s">
        <v>73</v>
      </c>
      <c r="F2428" t="s">
        <v>4171</v>
      </c>
      <c r="G2428" s="92">
        <v>42683.805208333331</v>
      </c>
      <c r="H2428" s="92">
        <v>42683.805208333331</v>
      </c>
      <c r="I2428" s="92">
        <v>42683.805208333331</v>
      </c>
      <c r="J2428" s="92"/>
      <c r="K2428" s="92">
        <v>42683.816365740742</v>
      </c>
      <c r="L2428" s="92">
        <f>IF(AND(单词表[[#This Row],[学英]]&lt;&gt;"",单词表[[#This Row],[学中]]&lt;&gt;"",单词表[[#This Row],[学词]]&lt;&gt;""),MAX(单词表[[#This Row],[学英]:[学词]]),"")</f>
        <v>42683.805208333331</v>
      </c>
      <c r="M2428" s="2" t="str">
        <f>IF(AND(单词表[[#This Row],[考英]]&lt;&gt;"",单词表[[#This Row],[考中]]&lt;&gt;""),MAX(单词表[[#This Row],[考英]:[考中]]),"")</f>
        <v/>
      </c>
      <c r="N2428" s="79"/>
    </row>
    <row r="2429" spans="1:14" hidden="1" x14ac:dyDescent="0.15">
      <c r="A2429">
        <v>2429</v>
      </c>
      <c r="B2429" t="s">
        <v>35</v>
      </c>
      <c r="C2429" t="s">
        <v>16</v>
      </c>
      <c r="D2429" s="72" t="s">
        <v>189</v>
      </c>
      <c r="E2429" t="s">
        <v>736</v>
      </c>
      <c r="F2429" t="s">
        <v>190</v>
      </c>
      <c r="G2429" s="92">
        <v>42683.816493055558</v>
      </c>
      <c r="H2429" s="92">
        <v>42683.820474537039</v>
      </c>
      <c r="I2429" s="92">
        <v>42683.820474537039</v>
      </c>
      <c r="J2429" s="92"/>
      <c r="K2429" s="92">
        <v>42683.820694444446</v>
      </c>
      <c r="L2429" s="92">
        <f>IF(AND(单词表[[#This Row],[学英]]&lt;&gt;"",单词表[[#This Row],[学中]]&lt;&gt;"",单词表[[#This Row],[学词]]&lt;&gt;""),MAX(单词表[[#This Row],[学英]:[学词]]),"")</f>
        <v>42683.820474537039</v>
      </c>
      <c r="M2429" s="2" t="str">
        <f>IF(AND(单词表[[#This Row],[考英]]&lt;&gt;"",单词表[[#This Row],[考中]]&lt;&gt;""),MAX(单词表[[#This Row],[考英]:[考中]]),"")</f>
        <v/>
      </c>
      <c r="N2429" s="79"/>
    </row>
    <row r="2430" spans="1:14" hidden="1" x14ac:dyDescent="0.15">
      <c r="A2430">
        <v>2430</v>
      </c>
      <c r="B2430" t="s">
        <v>35</v>
      </c>
      <c r="C2430" t="s">
        <v>16</v>
      </c>
      <c r="D2430" s="72" t="s">
        <v>2502</v>
      </c>
      <c r="E2430" t="s">
        <v>36</v>
      </c>
      <c r="F2430" t="s">
        <v>2503</v>
      </c>
      <c r="G2430" s="92">
        <v>42683.816504629627</v>
      </c>
      <c r="H2430" s="92">
        <v>42683.816504629627</v>
      </c>
      <c r="I2430" s="92">
        <v>42683.816504629627</v>
      </c>
      <c r="J2430" s="92"/>
      <c r="K2430" s="92">
        <v>42683.820717592593</v>
      </c>
      <c r="L2430" s="92">
        <f>IF(AND(单词表[[#This Row],[学英]]&lt;&gt;"",单词表[[#This Row],[学中]]&lt;&gt;"",单词表[[#This Row],[学词]]&lt;&gt;""),MAX(单词表[[#This Row],[学英]:[学词]]),"")</f>
        <v>42683.816504629627</v>
      </c>
      <c r="M2430" s="2" t="str">
        <f>IF(AND(单词表[[#This Row],[考英]]&lt;&gt;"",单词表[[#This Row],[考中]]&lt;&gt;""),MAX(单词表[[#This Row],[考英]:[考中]]),"")</f>
        <v/>
      </c>
      <c r="N2430" s="79"/>
    </row>
    <row r="2431" spans="1:14" hidden="1" x14ac:dyDescent="0.15">
      <c r="A2431">
        <v>2431</v>
      </c>
      <c r="B2431" t="s">
        <v>35</v>
      </c>
      <c r="C2431" t="s">
        <v>16</v>
      </c>
      <c r="D2431" s="72" t="s">
        <v>504</v>
      </c>
      <c r="E2431" t="s">
        <v>73</v>
      </c>
      <c r="F2431" t="s">
        <v>4172</v>
      </c>
      <c r="G2431" s="92">
        <v>42683.816527777781</v>
      </c>
      <c r="H2431" s="92">
        <v>42683.816527777781</v>
      </c>
      <c r="I2431" s="92">
        <v>42683.816527777781</v>
      </c>
      <c r="J2431" s="92"/>
      <c r="K2431" s="92">
        <v>42683.820752314816</v>
      </c>
      <c r="L2431" s="92">
        <f>IF(AND(单词表[[#This Row],[学英]]&lt;&gt;"",单词表[[#This Row],[学中]]&lt;&gt;"",单词表[[#This Row],[学词]]&lt;&gt;""),MAX(单词表[[#This Row],[学英]:[学词]]),"")</f>
        <v>42683.816527777781</v>
      </c>
      <c r="M2431" s="2" t="str">
        <f>IF(AND(单词表[[#This Row],[考英]]&lt;&gt;"",单词表[[#This Row],[考中]]&lt;&gt;""),MAX(单词表[[#This Row],[考英]:[考中]]),"")</f>
        <v/>
      </c>
      <c r="N2431" s="79"/>
    </row>
    <row r="2432" spans="1:14" hidden="1" x14ac:dyDescent="0.15">
      <c r="A2432">
        <v>2432</v>
      </c>
      <c r="B2432" t="s">
        <v>35</v>
      </c>
      <c r="C2432" t="s">
        <v>16</v>
      </c>
      <c r="D2432" s="72" t="s">
        <v>4173</v>
      </c>
      <c r="E2432" t="s">
        <v>36</v>
      </c>
      <c r="F2432" t="s">
        <v>5570</v>
      </c>
      <c r="G2432" s="92">
        <v>42683.816550925927</v>
      </c>
      <c r="H2432" s="92">
        <v>42683.827280092592</v>
      </c>
      <c r="I2432" s="92">
        <v>42683.827280092592</v>
      </c>
      <c r="J2432" s="92"/>
      <c r="K2432" s="92">
        <v>42683.827615740738</v>
      </c>
      <c r="L2432" s="92">
        <f>IF(AND(单词表[[#This Row],[学英]]&lt;&gt;"",单词表[[#This Row],[学中]]&lt;&gt;"",单词表[[#This Row],[学词]]&lt;&gt;""),MAX(单词表[[#This Row],[学英]:[学词]]),"")</f>
        <v>42683.827280092592</v>
      </c>
      <c r="M2432" s="2" t="str">
        <f>IF(AND(单词表[[#This Row],[考英]]&lt;&gt;"",单词表[[#This Row],[考中]]&lt;&gt;""),MAX(单词表[[#This Row],[考英]:[考中]]),"")</f>
        <v/>
      </c>
      <c r="N2432" s="79"/>
    </row>
    <row r="2433" spans="1:14" hidden="1" x14ac:dyDescent="0.15">
      <c r="A2433">
        <v>2433</v>
      </c>
      <c r="B2433" t="s">
        <v>35</v>
      </c>
      <c r="C2433" t="s">
        <v>16</v>
      </c>
      <c r="D2433" s="72" t="s">
        <v>4174</v>
      </c>
      <c r="E2433" t="s">
        <v>73</v>
      </c>
      <c r="F2433" t="s">
        <v>4175</v>
      </c>
      <c r="G2433" s="92">
        <v>42683.816562499997</v>
      </c>
      <c r="H2433" s="92">
        <v>42683.827314814815</v>
      </c>
      <c r="I2433" s="92">
        <v>42683.827314814815</v>
      </c>
      <c r="J2433" s="92"/>
      <c r="K2433" s="92">
        <v>42683.827777777777</v>
      </c>
      <c r="L2433" s="92">
        <f>IF(AND(单词表[[#This Row],[学英]]&lt;&gt;"",单词表[[#This Row],[学中]]&lt;&gt;"",单词表[[#This Row],[学词]]&lt;&gt;""),MAX(单词表[[#This Row],[学英]:[学词]]),"")</f>
        <v>42683.827314814815</v>
      </c>
      <c r="M2433" s="2" t="str">
        <f>IF(AND(单词表[[#This Row],[考英]]&lt;&gt;"",单词表[[#This Row],[考中]]&lt;&gt;""),MAX(单词表[[#This Row],[考英]:[考中]]),"")</f>
        <v/>
      </c>
      <c r="N2433" s="79"/>
    </row>
    <row r="2434" spans="1:14" hidden="1" x14ac:dyDescent="0.15">
      <c r="A2434">
        <v>2434</v>
      </c>
      <c r="B2434" t="s">
        <v>35</v>
      </c>
      <c r="C2434" t="s">
        <v>16</v>
      </c>
      <c r="D2434" s="72" t="s">
        <v>926</v>
      </c>
      <c r="E2434" t="s">
        <v>36</v>
      </c>
      <c r="F2434" t="s">
        <v>925</v>
      </c>
      <c r="G2434" s="92">
        <v>42683.81658564815</v>
      </c>
      <c r="H2434" s="92">
        <v>42683.827326388891</v>
      </c>
      <c r="I2434" s="92">
        <v>42683.827326388891</v>
      </c>
      <c r="J2434" s="92"/>
      <c r="K2434" s="92">
        <v>42683.827824074076</v>
      </c>
      <c r="L2434" s="92">
        <f>IF(AND(单词表[[#This Row],[学英]]&lt;&gt;"",单词表[[#This Row],[学中]]&lt;&gt;"",单词表[[#This Row],[学词]]&lt;&gt;""),MAX(单词表[[#This Row],[学英]:[学词]]),"")</f>
        <v>42683.827326388891</v>
      </c>
      <c r="M2434" s="2" t="str">
        <f>IF(AND(单词表[[#This Row],[考英]]&lt;&gt;"",单词表[[#This Row],[考中]]&lt;&gt;""),MAX(单词表[[#This Row],[考英]:[考中]]),"")</f>
        <v/>
      </c>
      <c r="N2434" s="79"/>
    </row>
    <row r="2435" spans="1:14" hidden="1" x14ac:dyDescent="0.15">
      <c r="A2435">
        <v>2435</v>
      </c>
      <c r="B2435" t="s">
        <v>35</v>
      </c>
      <c r="C2435" t="s">
        <v>16</v>
      </c>
      <c r="D2435" s="72" t="s">
        <v>933</v>
      </c>
      <c r="E2435" t="s">
        <v>73</v>
      </c>
      <c r="F2435" t="s">
        <v>934</v>
      </c>
      <c r="G2435" s="92">
        <v>42683.816608796296</v>
      </c>
      <c r="H2435" s="92">
        <v>42683.816608796296</v>
      </c>
      <c r="I2435" s="92">
        <v>42683.816608796296</v>
      </c>
      <c r="J2435" s="92"/>
      <c r="K2435" s="92">
        <v>42683.827847222223</v>
      </c>
      <c r="L2435" s="92">
        <f>IF(AND(单词表[[#This Row],[学英]]&lt;&gt;"",单词表[[#This Row],[学中]]&lt;&gt;"",单词表[[#This Row],[学词]]&lt;&gt;""),MAX(单词表[[#This Row],[学英]:[学词]]),"")</f>
        <v>42683.816608796296</v>
      </c>
      <c r="M2435" s="2" t="str">
        <f>IF(AND(单词表[[#This Row],[考英]]&lt;&gt;"",单词表[[#This Row],[考中]]&lt;&gt;""),MAX(单词表[[#This Row],[考英]:[考中]]),"")</f>
        <v/>
      </c>
      <c r="N2435" s="79"/>
    </row>
    <row r="2436" spans="1:14" hidden="1" x14ac:dyDescent="0.15">
      <c r="A2436">
        <v>2436</v>
      </c>
      <c r="B2436" t="s">
        <v>35</v>
      </c>
      <c r="C2436" t="s">
        <v>16</v>
      </c>
      <c r="D2436" s="72" t="s">
        <v>3051</v>
      </c>
      <c r="E2436" t="s">
        <v>73</v>
      </c>
      <c r="F2436" t="s">
        <v>4176</v>
      </c>
      <c r="G2436" s="92">
        <v>42683.816643518519</v>
      </c>
      <c r="H2436" s="92">
        <v>42683.816643518519</v>
      </c>
      <c r="I2436" s="92">
        <v>42683.816643518519</v>
      </c>
      <c r="J2436" s="92"/>
      <c r="K2436" s="92">
        <v>42683.827893518515</v>
      </c>
      <c r="L2436" s="92">
        <f>IF(AND(单词表[[#This Row],[学英]]&lt;&gt;"",单词表[[#This Row],[学中]]&lt;&gt;"",单词表[[#This Row],[学词]]&lt;&gt;""),MAX(单词表[[#This Row],[学英]:[学词]]),"")</f>
        <v>42683.816643518519</v>
      </c>
      <c r="M2436" s="2" t="str">
        <f>IF(AND(单词表[[#This Row],[考英]]&lt;&gt;"",单词表[[#This Row],[考中]]&lt;&gt;""),MAX(单词表[[#This Row],[考英]:[考中]]),"")</f>
        <v/>
      </c>
      <c r="N2436" s="79"/>
    </row>
    <row r="2437" spans="1:14" hidden="1" x14ac:dyDescent="0.15">
      <c r="A2437">
        <v>2437</v>
      </c>
      <c r="B2437" t="s">
        <v>35</v>
      </c>
      <c r="C2437" t="s">
        <v>16</v>
      </c>
      <c r="D2437" s="72" t="s">
        <v>2965</v>
      </c>
      <c r="E2437" t="s">
        <v>36</v>
      </c>
      <c r="F2437" t="s">
        <v>4177</v>
      </c>
      <c r="G2437" s="92">
        <v>42683.816666666666</v>
      </c>
      <c r="H2437" s="92">
        <v>42683.816666666666</v>
      </c>
      <c r="I2437" s="92">
        <v>42683.816666666666</v>
      </c>
      <c r="J2437" s="92"/>
      <c r="K2437" s="92">
        <v>42683.827928240738</v>
      </c>
      <c r="L2437" s="92">
        <f>IF(AND(单词表[[#This Row],[学英]]&lt;&gt;"",单词表[[#This Row],[学中]]&lt;&gt;"",单词表[[#This Row],[学词]]&lt;&gt;""),MAX(单词表[[#This Row],[学英]:[学词]]),"")</f>
        <v>42683.816666666666</v>
      </c>
      <c r="M2437" s="2" t="str">
        <f>IF(AND(单词表[[#This Row],[考英]]&lt;&gt;"",单词表[[#This Row],[考中]]&lt;&gt;""),MAX(单词表[[#This Row],[考英]:[考中]]),"")</f>
        <v/>
      </c>
      <c r="N2437" s="79"/>
    </row>
    <row r="2438" spans="1:14" hidden="1" x14ac:dyDescent="0.15">
      <c r="A2438">
        <v>2438</v>
      </c>
      <c r="B2438" t="s">
        <v>35</v>
      </c>
      <c r="C2438" t="s">
        <v>16</v>
      </c>
      <c r="D2438" s="72" t="s">
        <v>4178</v>
      </c>
      <c r="E2438" t="s">
        <v>36</v>
      </c>
      <c r="F2438" t="s">
        <v>4179</v>
      </c>
      <c r="G2438" s="92">
        <v>42683.816678240742</v>
      </c>
      <c r="H2438" s="92">
        <v>42683.820532407408</v>
      </c>
      <c r="I2438" s="92">
        <v>42683.820532407408</v>
      </c>
      <c r="J2438" s="92"/>
      <c r="K2438" s="92">
        <v>42683.827951388892</v>
      </c>
      <c r="L2438" s="92">
        <f>IF(AND(单词表[[#This Row],[学英]]&lt;&gt;"",单词表[[#This Row],[学中]]&lt;&gt;"",单词表[[#This Row],[学词]]&lt;&gt;""),MAX(单词表[[#This Row],[学英]:[学词]]),"")</f>
        <v>42683.820532407408</v>
      </c>
      <c r="M2438" s="2" t="str">
        <f>IF(AND(单词表[[#This Row],[考英]]&lt;&gt;"",单词表[[#This Row],[考中]]&lt;&gt;""),MAX(单词表[[#This Row],[考英]:[考中]]),"")</f>
        <v/>
      </c>
      <c r="N2438" s="79"/>
    </row>
    <row r="2439" spans="1:14" hidden="1" x14ac:dyDescent="0.15">
      <c r="A2439">
        <v>2439</v>
      </c>
      <c r="B2439" t="s">
        <v>35</v>
      </c>
      <c r="C2439" t="s">
        <v>16</v>
      </c>
      <c r="D2439" s="72" t="s">
        <v>856</v>
      </c>
      <c r="E2439" t="s">
        <v>73</v>
      </c>
      <c r="F2439" t="s">
        <v>4180</v>
      </c>
      <c r="G2439" s="92">
        <v>42696.753379629627</v>
      </c>
      <c r="H2439" s="92">
        <v>42696.753379629627</v>
      </c>
      <c r="I2439" s="92">
        <v>42696.753379629627</v>
      </c>
      <c r="J2439" s="92"/>
      <c r="K2439" s="92">
        <v>42697.785092592596</v>
      </c>
      <c r="L2439" s="92">
        <f>IF(AND(单词表[[#This Row],[学英]]&lt;&gt;"",单词表[[#This Row],[学中]]&lt;&gt;"",单词表[[#This Row],[学词]]&lt;&gt;""),MAX(单词表[[#This Row],[学英]:[学词]]),"")</f>
        <v>42696.753379629627</v>
      </c>
      <c r="M2439" s="2" t="str">
        <f>IF(AND(单词表[[#This Row],[考英]]&lt;&gt;"",单词表[[#This Row],[考中]]&lt;&gt;""),MAX(单词表[[#This Row],[考英]:[考中]]),"")</f>
        <v/>
      </c>
      <c r="N2439" s="79"/>
    </row>
    <row r="2440" spans="1:14" hidden="1" x14ac:dyDescent="0.15">
      <c r="A2440">
        <v>2440</v>
      </c>
      <c r="B2440" t="s">
        <v>35</v>
      </c>
      <c r="C2440" t="s">
        <v>16</v>
      </c>
      <c r="D2440" s="72" t="s">
        <v>4181</v>
      </c>
      <c r="E2440" t="s">
        <v>36</v>
      </c>
      <c r="F2440" t="s">
        <v>4182</v>
      </c>
      <c r="G2440" s="92">
        <v>42696.75340277778</v>
      </c>
      <c r="H2440" s="92">
        <v>42697.785486111112</v>
      </c>
      <c r="I2440" s="92">
        <v>42697.785486111112</v>
      </c>
      <c r="J2440" s="92"/>
      <c r="K2440" s="92">
        <v>42697.787511574075</v>
      </c>
      <c r="L2440" s="92">
        <f>IF(AND(单词表[[#This Row],[学英]]&lt;&gt;"",单词表[[#This Row],[学中]]&lt;&gt;"",单词表[[#This Row],[学词]]&lt;&gt;""),MAX(单词表[[#This Row],[学英]:[学词]]),"")</f>
        <v>42697.785486111112</v>
      </c>
      <c r="M2440" s="2" t="str">
        <f>IF(AND(单词表[[#This Row],[考英]]&lt;&gt;"",单词表[[#This Row],[考中]]&lt;&gt;""),MAX(单词表[[#This Row],[考英]:[考中]]),"")</f>
        <v/>
      </c>
      <c r="N2440" s="79"/>
    </row>
    <row r="2441" spans="1:14" hidden="1" x14ac:dyDescent="0.15">
      <c r="A2441">
        <v>2441</v>
      </c>
      <c r="B2441" t="s">
        <v>35</v>
      </c>
      <c r="C2441" t="s">
        <v>16</v>
      </c>
      <c r="D2441" s="72" t="s">
        <v>4183</v>
      </c>
      <c r="E2441" t="s">
        <v>73</v>
      </c>
      <c r="F2441" t="s">
        <v>4184</v>
      </c>
      <c r="G2441" s="92">
        <v>42696.75341435185</v>
      </c>
      <c r="H2441" s="92">
        <v>42697.785520833335</v>
      </c>
      <c r="I2441" s="92">
        <v>42697.785520833335</v>
      </c>
      <c r="J2441" s="92"/>
      <c r="K2441" s="92">
        <v>42697.787546296298</v>
      </c>
      <c r="L2441" s="92">
        <f>IF(AND(单词表[[#This Row],[学英]]&lt;&gt;"",单词表[[#This Row],[学中]]&lt;&gt;"",单词表[[#This Row],[学词]]&lt;&gt;""),MAX(单词表[[#This Row],[学英]:[学词]]),"")</f>
        <v>42697.785520833335</v>
      </c>
      <c r="M2441" s="2" t="str">
        <f>IF(AND(单词表[[#This Row],[考英]]&lt;&gt;"",单词表[[#This Row],[考中]]&lt;&gt;""),MAX(单词表[[#This Row],[考英]:[考中]]),"")</f>
        <v/>
      </c>
      <c r="N2441" s="79"/>
    </row>
    <row r="2442" spans="1:14" hidden="1" x14ac:dyDescent="0.15">
      <c r="A2442">
        <v>2442</v>
      </c>
      <c r="B2442" t="s">
        <v>35</v>
      </c>
      <c r="C2442" t="s">
        <v>16</v>
      </c>
      <c r="D2442" s="72" t="s">
        <v>4185</v>
      </c>
      <c r="E2442" t="s">
        <v>36</v>
      </c>
      <c r="F2442" t="s">
        <v>4186</v>
      </c>
      <c r="G2442" s="92">
        <v>42696.753437500003</v>
      </c>
      <c r="H2442" s="92">
        <v>42697.785567129627</v>
      </c>
      <c r="I2442" s="92">
        <v>42697.785567129627</v>
      </c>
      <c r="J2442" s="92"/>
      <c r="K2442" s="92">
        <v>42697.787581018521</v>
      </c>
      <c r="L2442" s="92">
        <f>IF(AND(单词表[[#This Row],[学英]]&lt;&gt;"",单词表[[#This Row],[学中]]&lt;&gt;"",单词表[[#This Row],[学词]]&lt;&gt;""),MAX(单词表[[#This Row],[学英]:[学词]]),"")</f>
        <v>42697.785567129627</v>
      </c>
      <c r="M2442" s="2" t="str">
        <f>IF(AND(单词表[[#This Row],[考英]]&lt;&gt;"",单词表[[#This Row],[考中]]&lt;&gt;""),MAX(单词表[[#This Row],[考英]:[考中]]),"")</f>
        <v/>
      </c>
      <c r="N2442" s="79"/>
    </row>
    <row r="2443" spans="1:14" hidden="1" x14ac:dyDescent="0.15">
      <c r="A2443">
        <v>2443</v>
      </c>
      <c r="B2443" t="s">
        <v>35</v>
      </c>
      <c r="C2443" t="s">
        <v>16</v>
      </c>
      <c r="D2443" s="72" t="s">
        <v>4187</v>
      </c>
      <c r="E2443" t="s">
        <v>36</v>
      </c>
      <c r="F2443" t="s">
        <v>4188</v>
      </c>
      <c r="G2443" s="92">
        <v>42696.753460648149</v>
      </c>
      <c r="H2443" s="92">
        <v>42696.753460648149</v>
      </c>
      <c r="I2443" s="92">
        <v>42696.753460648149</v>
      </c>
      <c r="J2443" s="92"/>
      <c r="K2443" s="92">
        <v>42697.785115740742</v>
      </c>
      <c r="L2443" s="92">
        <f>IF(AND(单词表[[#This Row],[学英]]&lt;&gt;"",单词表[[#This Row],[学中]]&lt;&gt;"",单词表[[#This Row],[学词]]&lt;&gt;""),MAX(单词表[[#This Row],[学英]:[学词]]),"")</f>
        <v>42696.753460648149</v>
      </c>
      <c r="M2443" s="2" t="str">
        <f>IF(AND(单词表[[#This Row],[考英]]&lt;&gt;"",单词表[[#This Row],[考中]]&lt;&gt;""),MAX(单词表[[#This Row],[考英]:[考中]]),"")</f>
        <v/>
      </c>
      <c r="N2443" s="79"/>
    </row>
    <row r="2444" spans="1:14" hidden="1" x14ac:dyDescent="0.15">
      <c r="A2444">
        <v>2444</v>
      </c>
      <c r="B2444" t="s">
        <v>35</v>
      </c>
      <c r="C2444" t="s">
        <v>16</v>
      </c>
      <c r="D2444" s="72" t="s">
        <v>2679</v>
      </c>
      <c r="E2444" t="s">
        <v>36</v>
      </c>
      <c r="F2444" t="s">
        <v>4189</v>
      </c>
      <c r="G2444" s="92">
        <v>42696.753472222219</v>
      </c>
      <c r="H2444" s="92">
        <v>42696.753472222219</v>
      </c>
      <c r="I2444" s="92">
        <v>42696.753472222219</v>
      </c>
      <c r="J2444" s="92"/>
      <c r="K2444" s="92">
        <v>42697.785162037035</v>
      </c>
      <c r="L2444" s="92">
        <f>IF(AND(单词表[[#This Row],[学英]]&lt;&gt;"",单词表[[#This Row],[学中]]&lt;&gt;"",单词表[[#This Row],[学词]]&lt;&gt;""),MAX(单词表[[#This Row],[学英]:[学词]]),"")</f>
        <v>42696.753472222219</v>
      </c>
      <c r="M2444" s="2" t="str">
        <f>IF(AND(单词表[[#This Row],[考英]]&lt;&gt;"",单词表[[#This Row],[考中]]&lt;&gt;""),MAX(单词表[[#This Row],[考英]:[考中]]),"")</f>
        <v/>
      </c>
      <c r="N2444" s="79"/>
    </row>
    <row r="2445" spans="1:14" hidden="1" x14ac:dyDescent="0.15">
      <c r="A2445">
        <v>2445</v>
      </c>
      <c r="B2445" t="s">
        <v>35</v>
      </c>
      <c r="C2445" t="s">
        <v>16</v>
      </c>
      <c r="D2445" s="72" t="s">
        <v>2472</v>
      </c>
      <c r="E2445" t="s">
        <v>36</v>
      </c>
      <c r="F2445" t="s">
        <v>2473</v>
      </c>
      <c r="G2445" s="92">
        <v>42697.785752314812</v>
      </c>
      <c r="H2445" s="92">
        <v>42697.785752314812</v>
      </c>
      <c r="I2445" s="92">
        <v>42697.785752314812</v>
      </c>
      <c r="J2445" s="92"/>
      <c r="K2445" s="92">
        <v>42697.787615740737</v>
      </c>
      <c r="L2445" s="92">
        <f>IF(AND(单词表[[#This Row],[学英]]&lt;&gt;"",单词表[[#This Row],[学中]]&lt;&gt;"",单词表[[#This Row],[学词]]&lt;&gt;""),MAX(单词表[[#This Row],[学英]:[学词]]),"")</f>
        <v>42697.785752314812</v>
      </c>
      <c r="M2445" s="2" t="str">
        <f>IF(AND(单词表[[#This Row],[考英]]&lt;&gt;"",单词表[[#This Row],[考中]]&lt;&gt;""),MAX(单词表[[#This Row],[考英]:[考中]]),"")</f>
        <v/>
      </c>
      <c r="N2445" s="79"/>
    </row>
    <row r="2446" spans="1:14" hidden="1" x14ac:dyDescent="0.15">
      <c r="A2446">
        <v>2446</v>
      </c>
      <c r="B2446" t="s">
        <v>35</v>
      </c>
      <c r="C2446" t="s">
        <v>16</v>
      </c>
      <c r="D2446" s="72" t="s">
        <v>748</v>
      </c>
      <c r="E2446" t="s">
        <v>36</v>
      </c>
      <c r="F2446" t="s">
        <v>4190</v>
      </c>
      <c r="G2446" s="92">
        <v>42697.785833333335</v>
      </c>
      <c r="H2446" s="92">
        <v>42697.785833333335</v>
      </c>
      <c r="I2446" s="92">
        <v>42697.785833333335</v>
      </c>
      <c r="J2446" s="92"/>
      <c r="K2446" s="92">
        <v>42697.78765046296</v>
      </c>
      <c r="L2446" s="92">
        <f>IF(AND(单词表[[#This Row],[学英]]&lt;&gt;"",单词表[[#This Row],[学中]]&lt;&gt;"",单词表[[#This Row],[学词]]&lt;&gt;""),MAX(单词表[[#This Row],[学英]:[学词]]),"")</f>
        <v>42697.785833333335</v>
      </c>
      <c r="M2446" s="2" t="str">
        <f>IF(AND(单词表[[#This Row],[考英]]&lt;&gt;"",单词表[[#This Row],[考中]]&lt;&gt;""),MAX(单词表[[#This Row],[考英]:[考中]]),"")</f>
        <v/>
      </c>
      <c r="N2446" s="79"/>
    </row>
    <row r="2447" spans="1:14" hidden="1" x14ac:dyDescent="0.15">
      <c r="A2447">
        <v>2447</v>
      </c>
      <c r="B2447" t="s">
        <v>35</v>
      </c>
      <c r="C2447" t="s">
        <v>16</v>
      </c>
      <c r="D2447" s="72" t="s">
        <v>861</v>
      </c>
      <c r="E2447" t="s">
        <v>61</v>
      </c>
      <c r="F2447" t="s">
        <v>4191</v>
      </c>
      <c r="G2447" s="92">
        <v>42697.785914351851</v>
      </c>
      <c r="H2447" s="92">
        <v>42697.785914351851</v>
      </c>
      <c r="I2447" s="92">
        <v>42697.785914351851</v>
      </c>
      <c r="J2447" s="92"/>
      <c r="K2447" s="92">
        <v>42697.787685185183</v>
      </c>
      <c r="L2447" s="92">
        <f>IF(AND(单词表[[#This Row],[学英]]&lt;&gt;"",单词表[[#This Row],[学中]]&lt;&gt;"",单词表[[#This Row],[学词]]&lt;&gt;""),MAX(单词表[[#This Row],[学英]:[学词]]),"")</f>
        <v>42697.785914351851</v>
      </c>
      <c r="M2447" s="2" t="str">
        <f>IF(AND(单词表[[#This Row],[考英]]&lt;&gt;"",单词表[[#This Row],[考中]]&lt;&gt;""),MAX(单词表[[#This Row],[考英]:[考中]]),"")</f>
        <v/>
      </c>
      <c r="N2447" s="79"/>
    </row>
    <row r="2448" spans="1:14" hidden="1" x14ac:dyDescent="0.15">
      <c r="A2448">
        <v>2448</v>
      </c>
      <c r="B2448" t="s">
        <v>35</v>
      </c>
      <c r="C2448" t="s">
        <v>16</v>
      </c>
      <c r="D2448" s="72" t="s">
        <v>4192</v>
      </c>
      <c r="E2448" t="s">
        <v>61</v>
      </c>
      <c r="F2448" t="s">
        <v>4193</v>
      </c>
      <c r="G2448" s="92">
        <v>42697.786168981482</v>
      </c>
      <c r="H2448" s="92">
        <v>42697.790196759262</v>
      </c>
      <c r="I2448" s="92">
        <v>42697.790196759262</v>
      </c>
      <c r="J2448" s="92"/>
      <c r="K2448" s="92">
        <v>42697.793194444443</v>
      </c>
      <c r="L2448" s="92">
        <f>IF(AND(单词表[[#This Row],[学英]]&lt;&gt;"",单词表[[#This Row],[学中]]&lt;&gt;"",单词表[[#This Row],[学词]]&lt;&gt;""),MAX(单词表[[#This Row],[学英]:[学词]]),"")</f>
        <v>42697.790196759262</v>
      </c>
      <c r="M2448" s="2" t="str">
        <f>IF(AND(单词表[[#This Row],[考英]]&lt;&gt;"",单词表[[#This Row],[考中]]&lt;&gt;""),MAX(单词表[[#This Row],[考英]:[考中]]),"")</f>
        <v/>
      </c>
      <c r="N2448" s="79"/>
    </row>
    <row r="2449" spans="1:14" hidden="1" x14ac:dyDescent="0.15">
      <c r="A2449">
        <v>2449</v>
      </c>
      <c r="B2449" t="s">
        <v>35</v>
      </c>
      <c r="C2449" t="s">
        <v>16</v>
      </c>
      <c r="D2449" s="72" t="s">
        <v>4194</v>
      </c>
      <c r="E2449" t="s">
        <v>36</v>
      </c>
      <c r="F2449" t="s">
        <v>4195</v>
      </c>
      <c r="G2449" s="92">
        <v>42697.790219907409</v>
      </c>
      <c r="H2449" s="92">
        <v>42697.790219907409</v>
      </c>
      <c r="I2449" s="92">
        <v>42697.790219907409</v>
      </c>
      <c r="J2449" s="92"/>
      <c r="K2449" s="92">
        <v>42697.793310185189</v>
      </c>
      <c r="L2449" s="92">
        <f>IF(AND(单词表[[#This Row],[学英]]&lt;&gt;"",单词表[[#This Row],[学中]]&lt;&gt;"",单词表[[#This Row],[学词]]&lt;&gt;""),MAX(单词表[[#This Row],[学英]:[学词]]),"")</f>
        <v>42697.790219907409</v>
      </c>
      <c r="M2449" s="2" t="str">
        <f>IF(AND(单词表[[#This Row],[考英]]&lt;&gt;"",单词表[[#This Row],[考中]]&lt;&gt;""),MAX(单词表[[#This Row],[考英]:[考中]]),"")</f>
        <v/>
      </c>
      <c r="N2449" s="79"/>
    </row>
    <row r="2450" spans="1:14" hidden="1" x14ac:dyDescent="0.15">
      <c r="A2450">
        <v>2450</v>
      </c>
      <c r="B2450" t="s">
        <v>35</v>
      </c>
      <c r="C2450" t="s">
        <v>16</v>
      </c>
      <c r="D2450" s="72" t="s">
        <v>5862</v>
      </c>
      <c r="E2450" t="s">
        <v>702</v>
      </c>
      <c r="F2450" t="s">
        <v>5863</v>
      </c>
      <c r="G2450" s="92">
        <v>42697.790243055555</v>
      </c>
      <c r="H2450" s="92">
        <v>42697.790243055555</v>
      </c>
      <c r="I2450" s="92">
        <v>42697.790243055555</v>
      </c>
      <c r="J2450" s="92"/>
      <c r="K2450" s="92">
        <v>42697.793333333335</v>
      </c>
      <c r="L2450" s="92">
        <f>IF(AND(单词表[[#This Row],[学英]]&lt;&gt;"",单词表[[#This Row],[学中]]&lt;&gt;"",单词表[[#This Row],[学词]]&lt;&gt;""),MAX(单词表[[#This Row],[学英]:[学词]]),"")</f>
        <v>42697.790243055555</v>
      </c>
      <c r="M2450" s="2" t="str">
        <f>IF(AND(单词表[[#This Row],[考英]]&lt;&gt;"",单词表[[#This Row],[考中]]&lt;&gt;""),MAX(单词表[[#This Row],[考英]:[考中]]),"")</f>
        <v/>
      </c>
      <c r="N2450" s="79"/>
    </row>
    <row r="2451" spans="1:14" hidden="1" x14ac:dyDescent="0.15">
      <c r="A2451">
        <v>2451</v>
      </c>
      <c r="B2451" t="s">
        <v>35</v>
      </c>
      <c r="C2451" t="s">
        <v>16</v>
      </c>
      <c r="D2451" s="72" t="s">
        <v>4196</v>
      </c>
      <c r="E2451" t="s">
        <v>736</v>
      </c>
      <c r="F2451" t="s">
        <v>4197</v>
      </c>
      <c r="G2451" s="92">
        <v>42697.791076388887</v>
      </c>
      <c r="H2451" s="92">
        <v>42697.79310185185</v>
      </c>
      <c r="I2451" s="92">
        <v>42697.79310185185</v>
      </c>
      <c r="J2451" s="92"/>
      <c r="K2451" s="92">
        <v>42697.793391203704</v>
      </c>
      <c r="L2451" s="92">
        <f>IF(AND(单词表[[#This Row],[学英]]&lt;&gt;"",单词表[[#This Row],[学中]]&lt;&gt;"",单词表[[#This Row],[学词]]&lt;&gt;""),MAX(单词表[[#This Row],[学英]:[学词]]),"")</f>
        <v>42697.79310185185</v>
      </c>
      <c r="M2451" s="2" t="str">
        <f>IF(AND(单词表[[#This Row],[考英]]&lt;&gt;"",单词表[[#This Row],[考中]]&lt;&gt;""),MAX(单词表[[#This Row],[考英]:[考中]]),"")</f>
        <v/>
      </c>
      <c r="N2451" s="79"/>
    </row>
    <row r="2452" spans="1:14" hidden="1" x14ac:dyDescent="0.15">
      <c r="A2452">
        <v>2452</v>
      </c>
      <c r="B2452" t="s">
        <v>35</v>
      </c>
      <c r="C2452" t="s">
        <v>16</v>
      </c>
      <c r="D2452" s="72" t="s">
        <v>4198</v>
      </c>
      <c r="E2452" t="s">
        <v>36</v>
      </c>
      <c r="F2452" t="s">
        <v>4199</v>
      </c>
      <c r="G2452" s="92">
        <v>42697.791134259256</v>
      </c>
      <c r="H2452" s="92">
        <v>42697.791134259256</v>
      </c>
      <c r="I2452" s="92">
        <v>42697.791134259256</v>
      </c>
      <c r="J2452" s="92"/>
      <c r="K2452" s="92">
        <v>42697.793414351851</v>
      </c>
      <c r="L2452" s="92">
        <f>IF(AND(单词表[[#This Row],[学英]]&lt;&gt;"",单词表[[#This Row],[学中]]&lt;&gt;"",单词表[[#This Row],[学词]]&lt;&gt;""),MAX(单词表[[#This Row],[学英]:[学词]]),"")</f>
        <v>42697.791134259256</v>
      </c>
      <c r="M2452" s="2" t="str">
        <f>IF(AND(单词表[[#This Row],[考英]]&lt;&gt;"",单词表[[#This Row],[考中]]&lt;&gt;""),MAX(单词表[[#This Row],[考英]:[考中]]),"")</f>
        <v/>
      </c>
      <c r="N2452" s="79"/>
    </row>
    <row r="2453" spans="1:14" hidden="1" x14ac:dyDescent="0.15">
      <c r="A2453">
        <v>2453</v>
      </c>
      <c r="B2453" t="s">
        <v>35</v>
      </c>
      <c r="C2453" t="s">
        <v>16</v>
      </c>
      <c r="D2453" s="72" t="s">
        <v>4200</v>
      </c>
      <c r="E2453" t="s">
        <v>61</v>
      </c>
      <c r="F2453" t="s">
        <v>4201</v>
      </c>
      <c r="G2453" s="92">
        <v>42697.791215277779</v>
      </c>
      <c r="H2453" s="92">
        <v>42697.791215277779</v>
      </c>
      <c r="I2453" s="92">
        <v>42697.791215277779</v>
      </c>
      <c r="J2453" s="92"/>
      <c r="K2453" s="92">
        <v>42697.79346064815</v>
      </c>
      <c r="L2453" s="92">
        <f>IF(AND(单词表[[#This Row],[学英]]&lt;&gt;"",单词表[[#This Row],[学中]]&lt;&gt;"",单词表[[#This Row],[学词]]&lt;&gt;""),MAX(单词表[[#This Row],[学英]:[学词]]),"")</f>
        <v>42697.791215277779</v>
      </c>
      <c r="M2453" s="2" t="str">
        <f>IF(AND(单词表[[#This Row],[考英]]&lt;&gt;"",单词表[[#This Row],[考中]]&lt;&gt;""),MAX(单词表[[#This Row],[考英]:[考中]]),"")</f>
        <v/>
      </c>
      <c r="N2453" s="79"/>
    </row>
    <row r="2454" spans="1:14" hidden="1" x14ac:dyDescent="0.15">
      <c r="A2454">
        <v>2454</v>
      </c>
      <c r="B2454" t="s">
        <v>35</v>
      </c>
      <c r="C2454" t="s">
        <v>16</v>
      </c>
      <c r="D2454" s="72" t="s">
        <v>4202</v>
      </c>
      <c r="E2454" t="s">
        <v>36</v>
      </c>
      <c r="F2454" t="s">
        <v>4203</v>
      </c>
      <c r="G2454" s="92">
        <v>42697.791296296295</v>
      </c>
      <c r="H2454" s="92">
        <v>42697.791296296295</v>
      </c>
      <c r="I2454" s="92">
        <v>42697.791296296295</v>
      </c>
      <c r="J2454" s="92"/>
      <c r="K2454" s="92">
        <v>42697.793495370373</v>
      </c>
      <c r="L2454" s="92">
        <f>IF(AND(单词表[[#This Row],[学英]]&lt;&gt;"",单词表[[#This Row],[学中]]&lt;&gt;"",单词表[[#This Row],[学词]]&lt;&gt;""),MAX(单词表[[#This Row],[学英]:[学词]]),"")</f>
        <v>42697.791296296295</v>
      </c>
      <c r="M2454" s="2" t="str">
        <f>IF(AND(单词表[[#This Row],[考英]]&lt;&gt;"",单词表[[#This Row],[考中]]&lt;&gt;""),MAX(单词表[[#This Row],[考英]:[考中]]),"")</f>
        <v/>
      </c>
      <c r="N2454" s="79"/>
    </row>
    <row r="2455" spans="1:14" hidden="1" x14ac:dyDescent="0.15">
      <c r="A2455">
        <v>2455</v>
      </c>
      <c r="B2455" t="s">
        <v>35</v>
      </c>
      <c r="C2455" t="s">
        <v>16</v>
      </c>
      <c r="D2455" s="72" t="s">
        <v>4204</v>
      </c>
      <c r="E2455" t="s">
        <v>36</v>
      </c>
      <c r="F2455" t="s">
        <v>4205</v>
      </c>
      <c r="G2455" s="92">
        <v>42697.791331018518</v>
      </c>
      <c r="H2455" s="92">
        <v>42697.791331018518</v>
      </c>
      <c r="I2455" s="92">
        <v>42697.791331018518</v>
      </c>
      <c r="J2455" s="92"/>
      <c r="K2455" s="92">
        <v>42697.79351851852</v>
      </c>
      <c r="L2455" s="92">
        <f>IF(AND(单词表[[#This Row],[学英]]&lt;&gt;"",单词表[[#This Row],[学中]]&lt;&gt;"",单词表[[#This Row],[学词]]&lt;&gt;""),MAX(单词表[[#This Row],[学英]:[学词]]),"")</f>
        <v>42697.791331018518</v>
      </c>
      <c r="M2455" s="2" t="str">
        <f>IF(AND(单词表[[#This Row],[考英]]&lt;&gt;"",单词表[[#This Row],[考中]]&lt;&gt;""),MAX(单词表[[#This Row],[考英]:[考中]]),"")</f>
        <v/>
      </c>
      <c r="N2455" s="79"/>
    </row>
    <row r="2456" spans="1:14" hidden="1" x14ac:dyDescent="0.15">
      <c r="A2456">
        <v>2456</v>
      </c>
      <c r="B2456" t="s">
        <v>35</v>
      </c>
      <c r="C2456" t="s">
        <v>16</v>
      </c>
      <c r="D2456" s="72" t="s">
        <v>5864</v>
      </c>
      <c r="E2456" t="s">
        <v>36</v>
      </c>
      <c r="F2456" t="s">
        <v>758</v>
      </c>
      <c r="G2456" s="92">
        <v>42697.791712962964</v>
      </c>
      <c r="H2456" s="92">
        <v>42697.791712962964</v>
      </c>
      <c r="I2456" s="92">
        <v>42697.791712962964</v>
      </c>
      <c r="J2456" s="92"/>
      <c r="K2456" s="92">
        <v>42697.793541666666</v>
      </c>
      <c r="L2456" s="92">
        <f>IF(AND(单词表[[#This Row],[学英]]&lt;&gt;"",单词表[[#This Row],[学中]]&lt;&gt;"",单词表[[#This Row],[学词]]&lt;&gt;""),MAX(单词表[[#This Row],[学英]:[学词]]),"")</f>
        <v>42697.791712962964</v>
      </c>
      <c r="M2456" s="2" t="str">
        <f>IF(AND(单词表[[#This Row],[考英]]&lt;&gt;"",单词表[[#This Row],[考中]]&lt;&gt;""),MAX(单词表[[#This Row],[考英]:[考中]]),"")</f>
        <v/>
      </c>
      <c r="N2456" s="79"/>
    </row>
    <row r="2457" spans="1:14" hidden="1" x14ac:dyDescent="0.15">
      <c r="A2457">
        <v>2457</v>
      </c>
      <c r="B2457" t="s">
        <v>35</v>
      </c>
      <c r="C2457" t="s">
        <v>16</v>
      </c>
      <c r="D2457" s="72" t="s">
        <v>4206</v>
      </c>
      <c r="E2457" t="s">
        <v>36</v>
      </c>
      <c r="F2457" t="s">
        <v>4207</v>
      </c>
      <c r="G2457" s="92">
        <v>42697.79179398148</v>
      </c>
      <c r="H2457" s="92">
        <v>42697.79179398148</v>
      </c>
      <c r="I2457" s="92">
        <v>42697.79179398148</v>
      </c>
      <c r="J2457" s="92"/>
      <c r="K2457" s="92">
        <v>42697.793576388889</v>
      </c>
      <c r="L2457" s="92">
        <f>IF(AND(单词表[[#This Row],[学英]]&lt;&gt;"",单词表[[#This Row],[学中]]&lt;&gt;"",单词表[[#This Row],[学词]]&lt;&gt;""),MAX(单词表[[#This Row],[学英]:[学词]]),"")</f>
        <v>42697.79179398148</v>
      </c>
      <c r="M2457" s="2" t="str">
        <f>IF(AND(单词表[[#This Row],[考英]]&lt;&gt;"",单词表[[#This Row],[考中]]&lt;&gt;""),MAX(单词表[[#This Row],[考英]:[考中]]),"")</f>
        <v/>
      </c>
      <c r="N2457" s="79"/>
    </row>
    <row r="2458" spans="1:14" hidden="1" x14ac:dyDescent="0.15">
      <c r="A2458">
        <v>2458</v>
      </c>
      <c r="B2458" t="s">
        <v>35</v>
      </c>
      <c r="C2458" t="s">
        <v>16</v>
      </c>
      <c r="D2458" s="72" t="s">
        <v>2982</v>
      </c>
      <c r="E2458" t="s">
        <v>36</v>
      </c>
      <c r="F2458" t="s">
        <v>4208</v>
      </c>
      <c r="G2458" s="92">
        <v>42697.791863425926</v>
      </c>
      <c r="H2458" s="92">
        <v>42697.791863425926</v>
      </c>
      <c r="I2458" s="92">
        <v>42697.791863425926</v>
      </c>
      <c r="J2458" s="92"/>
      <c r="K2458" s="92">
        <v>42697.793611111112</v>
      </c>
      <c r="L2458" s="92">
        <f>IF(AND(单词表[[#This Row],[学英]]&lt;&gt;"",单词表[[#This Row],[学中]]&lt;&gt;"",单词表[[#This Row],[学词]]&lt;&gt;""),MAX(单词表[[#This Row],[学英]:[学词]]),"")</f>
        <v>42697.791863425926</v>
      </c>
      <c r="M2458" s="2" t="str">
        <f>IF(AND(单词表[[#This Row],[考英]]&lt;&gt;"",单词表[[#This Row],[考中]]&lt;&gt;""),MAX(单词表[[#This Row],[考英]:[考中]]),"")</f>
        <v/>
      </c>
      <c r="N2458" s="79"/>
    </row>
    <row r="2459" spans="1:14" hidden="1" x14ac:dyDescent="0.15">
      <c r="A2459">
        <v>2459</v>
      </c>
      <c r="B2459" t="s">
        <v>35</v>
      </c>
      <c r="C2459" t="s">
        <v>17</v>
      </c>
      <c r="D2459" s="72" t="s">
        <v>851</v>
      </c>
      <c r="E2459" t="s">
        <v>36</v>
      </c>
      <c r="F2459" t="s">
        <v>852</v>
      </c>
      <c r="G2459" s="92">
        <v>42700.418067129627</v>
      </c>
      <c r="H2459" s="92">
        <v>42700.418067129627</v>
      </c>
      <c r="I2459" s="92">
        <v>42700.418067129627</v>
      </c>
      <c r="J2459" s="92"/>
      <c r="K2459" s="92">
        <v>42700.419965277775</v>
      </c>
      <c r="L2459" s="92">
        <f>IF(AND(单词表[[#This Row],[学英]]&lt;&gt;"",单词表[[#This Row],[学中]]&lt;&gt;"",单词表[[#This Row],[学词]]&lt;&gt;""),MAX(单词表[[#This Row],[学英]:[学词]]),"")</f>
        <v>42700.418067129627</v>
      </c>
      <c r="M2459" s="2" t="str">
        <f>IF(AND(单词表[[#This Row],[考英]]&lt;&gt;"",单词表[[#This Row],[考中]]&lt;&gt;""),MAX(单词表[[#This Row],[考英]:[考中]]),"")</f>
        <v/>
      </c>
      <c r="N2459" s="79"/>
    </row>
    <row r="2460" spans="1:14" hidden="1" x14ac:dyDescent="0.15">
      <c r="A2460">
        <v>2460</v>
      </c>
      <c r="B2460" t="s">
        <v>35</v>
      </c>
      <c r="C2460" t="s">
        <v>17</v>
      </c>
      <c r="D2460" s="72" t="s">
        <v>4209</v>
      </c>
      <c r="E2460" t="s">
        <v>73</v>
      </c>
      <c r="F2460" t="s">
        <v>3232</v>
      </c>
      <c r="G2460" s="92">
        <v>42700.418090277781</v>
      </c>
      <c r="H2460" s="92">
        <v>42700.419490740744</v>
      </c>
      <c r="I2460" s="92">
        <v>42700.419490740744</v>
      </c>
      <c r="J2460" s="92"/>
      <c r="K2460" s="92">
        <v>42700.42</v>
      </c>
      <c r="L2460" s="92">
        <f>IF(AND(单词表[[#This Row],[学英]]&lt;&gt;"",单词表[[#This Row],[学中]]&lt;&gt;"",单词表[[#This Row],[学词]]&lt;&gt;""),MAX(单词表[[#This Row],[学英]:[学词]]),"")</f>
        <v>42700.419490740744</v>
      </c>
      <c r="M2460" s="2" t="str">
        <f>IF(AND(单词表[[#This Row],[考英]]&lt;&gt;"",单词表[[#This Row],[考中]]&lt;&gt;""),MAX(单词表[[#This Row],[考英]:[考中]]),"")</f>
        <v/>
      </c>
      <c r="N2460" s="79"/>
    </row>
    <row r="2461" spans="1:14" hidden="1" x14ac:dyDescent="0.15">
      <c r="A2461">
        <v>2461</v>
      </c>
      <c r="B2461" t="s">
        <v>35</v>
      </c>
      <c r="C2461" t="s">
        <v>17</v>
      </c>
      <c r="D2461" s="72" t="s">
        <v>4210</v>
      </c>
      <c r="E2461" t="s">
        <v>73</v>
      </c>
      <c r="F2461" t="s">
        <v>4211</v>
      </c>
      <c r="G2461" s="92">
        <v>42700.41810185185</v>
      </c>
      <c r="H2461" s="92">
        <v>42700.419594907406</v>
      </c>
      <c r="I2461" s="92">
        <v>42700.419594907406</v>
      </c>
      <c r="J2461" s="92"/>
      <c r="K2461" s="92">
        <v>42700.420034722221</v>
      </c>
      <c r="L2461" s="92">
        <f>IF(AND(单词表[[#This Row],[学英]]&lt;&gt;"",单词表[[#This Row],[学中]]&lt;&gt;"",单词表[[#This Row],[学词]]&lt;&gt;""),MAX(单词表[[#This Row],[学英]:[学词]]),"")</f>
        <v>42700.419594907406</v>
      </c>
      <c r="M2461" s="2" t="str">
        <f>IF(AND(单词表[[#This Row],[考英]]&lt;&gt;"",单词表[[#This Row],[考中]]&lt;&gt;""),MAX(单词表[[#This Row],[考英]:[考中]]),"")</f>
        <v/>
      </c>
      <c r="N2461" s="79"/>
    </row>
    <row r="2462" spans="1:14" hidden="1" x14ac:dyDescent="0.15">
      <c r="A2462">
        <v>2462</v>
      </c>
      <c r="B2462" t="s">
        <v>35</v>
      </c>
      <c r="C2462" t="s">
        <v>17</v>
      </c>
      <c r="D2462" s="72" t="s">
        <v>1643</v>
      </c>
      <c r="E2462" t="s">
        <v>73</v>
      </c>
      <c r="F2462" t="s">
        <v>4212</v>
      </c>
      <c r="G2462" s="92">
        <v>42700.418113425927</v>
      </c>
      <c r="H2462" s="92">
        <v>42700.419641203705</v>
      </c>
      <c r="I2462" s="92">
        <v>42700.419641203705</v>
      </c>
      <c r="J2462" s="92"/>
      <c r="K2462" s="92">
        <v>42700.420069444444</v>
      </c>
      <c r="L2462" s="92">
        <f>IF(AND(单词表[[#This Row],[学英]]&lt;&gt;"",单词表[[#This Row],[学中]]&lt;&gt;"",单词表[[#This Row],[学词]]&lt;&gt;""),MAX(单词表[[#This Row],[学英]:[学词]]),"")</f>
        <v>42700.419641203705</v>
      </c>
      <c r="M2462" s="2" t="str">
        <f>IF(AND(单词表[[#This Row],[考英]]&lt;&gt;"",单词表[[#This Row],[考中]]&lt;&gt;""),MAX(单词表[[#This Row],[考英]:[考中]]),"")</f>
        <v/>
      </c>
      <c r="N2462" s="79"/>
    </row>
    <row r="2463" spans="1:14" hidden="1" x14ac:dyDescent="0.15">
      <c r="A2463">
        <v>2463</v>
      </c>
      <c r="B2463" t="s">
        <v>35</v>
      </c>
      <c r="C2463" t="s">
        <v>17</v>
      </c>
      <c r="D2463" s="72" t="s">
        <v>1643</v>
      </c>
      <c r="E2463" t="s">
        <v>36</v>
      </c>
      <c r="F2463" t="s">
        <v>4213</v>
      </c>
      <c r="G2463" s="92">
        <v>42700.41814814815</v>
      </c>
      <c r="H2463" s="92">
        <v>42700.41814814815</v>
      </c>
      <c r="I2463" s="92">
        <v>42700.41814814815</v>
      </c>
      <c r="J2463" s="92"/>
      <c r="K2463" s="92">
        <v>42700.420104166667</v>
      </c>
      <c r="L2463" s="92">
        <f>IF(AND(单词表[[#This Row],[学英]]&lt;&gt;"",单词表[[#This Row],[学中]]&lt;&gt;"",单词表[[#This Row],[学词]]&lt;&gt;""),MAX(单词表[[#This Row],[学英]:[学词]]),"")</f>
        <v>42700.41814814815</v>
      </c>
      <c r="M2463" s="2" t="str">
        <f>IF(AND(单词表[[#This Row],[考英]]&lt;&gt;"",单词表[[#This Row],[考中]]&lt;&gt;""),MAX(单词表[[#This Row],[考英]:[考中]]),"")</f>
        <v/>
      </c>
      <c r="N2463" s="79"/>
    </row>
    <row r="2464" spans="1:14" hidden="1" x14ac:dyDescent="0.15">
      <c r="A2464">
        <v>2464</v>
      </c>
      <c r="B2464" t="s">
        <v>35</v>
      </c>
      <c r="C2464" t="s">
        <v>17</v>
      </c>
      <c r="D2464" s="72" t="s">
        <v>4214</v>
      </c>
      <c r="E2464" t="s">
        <v>73</v>
      </c>
      <c r="F2464" t="s">
        <v>4215</v>
      </c>
      <c r="G2464" s="92">
        <v>42700.418182870373</v>
      </c>
      <c r="H2464" s="92">
        <v>42700.418182870373</v>
      </c>
      <c r="I2464" s="92">
        <v>42700.418182870373</v>
      </c>
      <c r="J2464" s="92"/>
      <c r="K2464" s="92">
        <v>42700.420138888891</v>
      </c>
      <c r="L2464" s="92">
        <f>IF(AND(单词表[[#This Row],[学英]]&lt;&gt;"",单词表[[#This Row],[学中]]&lt;&gt;"",单词表[[#This Row],[学词]]&lt;&gt;""),MAX(单词表[[#This Row],[学英]:[学词]]),"")</f>
        <v>42700.418182870373</v>
      </c>
      <c r="M2464" s="2" t="str">
        <f>IF(AND(单词表[[#This Row],[考英]]&lt;&gt;"",单词表[[#This Row],[考中]]&lt;&gt;""),MAX(单词表[[#This Row],[考英]:[考中]]),"")</f>
        <v/>
      </c>
      <c r="N2464" s="79"/>
    </row>
    <row r="2465" spans="1:14" hidden="1" x14ac:dyDescent="0.15">
      <c r="A2465">
        <v>2465</v>
      </c>
      <c r="B2465" t="s">
        <v>35</v>
      </c>
      <c r="C2465" t="s">
        <v>17</v>
      </c>
      <c r="D2465" s="72" t="s">
        <v>4216</v>
      </c>
      <c r="E2465" t="s">
        <v>73</v>
      </c>
      <c r="F2465" t="s">
        <v>4217</v>
      </c>
      <c r="G2465" s="92">
        <v>42700.418206018519</v>
      </c>
      <c r="H2465" s="92">
        <v>42700.418206018519</v>
      </c>
      <c r="I2465" s="92">
        <v>42700.418206018519</v>
      </c>
      <c r="J2465" s="92"/>
      <c r="K2465" s="92">
        <v>42700.420162037037</v>
      </c>
      <c r="L2465" s="92">
        <f>IF(AND(单词表[[#This Row],[学英]]&lt;&gt;"",单词表[[#This Row],[学中]]&lt;&gt;"",单词表[[#This Row],[学词]]&lt;&gt;""),MAX(单词表[[#This Row],[学英]:[学词]]),"")</f>
        <v>42700.418206018519</v>
      </c>
      <c r="M2465" s="2" t="str">
        <f>IF(AND(单词表[[#This Row],[考英]]&lt;&gt;"",单词表[[#This Row],[考中]]&lt;&gt;""),MAX(单词表[[#This Row],[考英]:[考中]]),"")</f>
        <v/>
      </c>
      <c r="N2465" s="79"/>
    </row>
    <row r="2466" spans="1:14" hidden="1" x14ac:dyDescent="0.15">
      <c r="A2466">
        <v>2466</v>
      </c>
      <c r="B2466" t="s">
        <v>35</v>
      </c>
      <c r="C2466" t="s">
        <v>17</v>
      </c>
      <c r="D2466" s="72" t="s">
        <v>4218</v>
      </c>
      <c r="E2466" t="s">
        <v>73</v>
      </c>
      <c r="F2466" t="s">
        <v>4219</v>
      </c>
      <c r="G2466" s="92">
        <v>42700.418217592596</v>
      </c>
      <c r="H2466" s="92">
        <v>42700.418217592596</v>
      </c>
      <c r="I2466" s="92">
        <v>42700.418217592596</v>
      </c>
      <c r="J2466" s="92"/>
      <c r="K2466" s="92">
        <v>42700.42019675926</v>
      </c>
      <c r="L2466" s="92">
        <f>IF(AND(单词表[[#This Row],[学英]]&lt;&gt;"",单词表[[#This Row],[学中]]&lt;&gt;"",单词表[[#This Row],[学词]]&lt;&gt;""),MAX(单词表[[#This Row],[学英]:[学词]]),"")</f>
        <v>42700.418217592596</v>
      </c>
      <c r="M2466" s="2" t="str">
        <f>IF(AND(单词表[[#This Row],[考英]]&lt;&gt;"",单词表[[#This Row],[考中]]&lt;&gt;""),MAX(单词表[[#This Row],[考英]:[考中]]),"")</f>
        <v/>
      </c>
      <c r="N2466" s="79"/>
    </row>
    <row r="2467" spans="1:14" hidden="1" x14ac:dyDescent="0.15">
      <c r="A2467">
        <v>2467</v>
      </c>
      <c r="B2467" t="s">
        <v>35</v>
      </c>
      <c r="C2467" t="s">
        <v>17</v>
      </c>
      <c r="D2467" s="72" t="s">
        <v>4220</v>
      </c>
      <c r="E2467" t="s">
        <v>36</v>
      </c>
      <c r="F2467" t="s">
        <v>4221</v>
      </c>
      <c r="G2467" s="92">
        <v>42700.418240740742</v>
      </c>
      <c r="H2467" s="92">
        <v>42700.418240740742</v>
      </c>
      <c r="I2467" s="92">
        <v>42700.418240740742</v>
      </c>
      <c r="J2467" s="92"/>
      <c r="K2467" s="92">
        <v>42700.420231481483</v>
      </c>
      <c r="L2467" s="92">
        <f>IF(AND(单词表[[#This Row],[学英]]&lt;&gt;"",单词表[[#This Row],[学中]]&lt;&gt;"",单词表[[#This Row],[学词]]&lt;&gt;""),MAX(单词表[[#This Row],[学英]:[学词]]),"")</f>
        <v>42700.418240740742</v>
      </c>
      <c r="M2467" s="2" t="str">
        <f>IF(AND(单词表[[#This Row],[考英]]&lt;&gt;"",单词表[[#This Row],[考中]]&lt;&gt;""),MAX(单词表[[#This Row],[考英]:[考中]]),"")</f>
        <v/>
      </c>
      <c r="N2467" s="79"/>
    </row>
    <row r="2468" spans="1:14" hidden="1" x14ac:dyDescent="0.15">
      <c r="A2468">
        <v>2468</v>
      </c>
      <c r="B2468" t="s">
        <v>35</v>
      </c>
      <c r="C2468" t="s">
        <v>17</v>
      </c>
      <c r="D2468" s="72" t="s">
        <v>4222</v>
      </c>
      <c r="E2468" t="s">
        <v>73</v>
      </c>
      <c r="F2468" t="s">
        <v>4223</v>
      </c>
      <c r="G2468" s="92">
        <v>42700.418275462966</v>
      </c>
      <c r="H2468" s="92">
        <v>42700.418275462966</v>
      </c>
      <c r="I2468" s="92">
        <v>42700.418275462966</v>
      </c>
      <c r="J2468" s="92"/>
      <c r="K2468" s="92">
        <v>42700.420266203706</v>
      </c>
      <c r="L2468" s="92">
        <f>IF(AND(单词表[[#This Row],[学英]]&lt;&gt;"",单词表[[#This Row],[学中]]&lt;&gt;"",单词表[[#This Row],[学词]]&lt;&gt;""),MAX(单词表[[#This Row],[学英]:[学词]]),"")</f>
        <v>42700.418275462966</v>
      </c>
      <c r="M2468" s="2" t="str">
        <f>IF(AND(单词表[[#This Row],[考英]]&lt;&gt;"",单词表[[#This Row],[考中]]&lt;&gt;""),MAX(单词表[[#This Row],[考英]:[考中]]),"")</f>
        <v/>
      </c>
      <c r="N2468" s="79"/>
    </row>
    <row r="2469" spans="1:14" hidden="1" x14ac:dyDescent="0.15">
      <c r="A2469">
        <v>2469</v>
      </c>
      <c r="B2469" t="s">
        <v>35</v>
      </c>
      <c r="C2469" t="s">
        <v>17</v>
      </c>
      <c r="D2469" s="72" t="s">
        <v>555</v>
      </c>
      <c r="E2469" t="s">
        <v>73</v>
      </c>
      <c r="F2469" t="s">
        <v>556</v>
      </c>
      <c r="G2469" s="92">
        <v>42700.418310185189</v>
      </c>
      <c r="H2469" s="92">
        <v>42700.418310185189</v>
      </c>
      <c r="I2469" s="92">
        <v>42700.418310185189</v>
      </c>
      <c r="J2469" s="92"/>
      <c r="K2469" s="92">
        <v>42700.420312499999</v>
      </c>
      <c r="L2469" s="92">
        <f>IF(AND(单词表[[#This Row],[学英]]&lt;&gt;"",单词表[[#This Row],[学中]]&lt;&gt;"",单词表[[#This Row],[学词]]&lt;&gt;""),MAX(单词表[[#This Row],[学英]:[学词]]),"")</f>
        <v>42700.418310185189</v>
      </c>
      <c r="M2469" s="2" t="str">
        <f>IF(AND(单词表[[#This Row],[考英]]&lt;&gt;"",单词表[[#This Row],[考中]]&lt;&gt;""),MAX(单词表[[#This Row],[考英]:[考中]]),"")</f>
        <v/>
      </c>
      <c r="N2469" s="79"/>
    </row>
    <row r="2470" spans="1:14" hidden="1" x14ac:dyDescent="0.15">
      <c r="A2470">
        <v>2470</v>
      </c>
      <c r="B2470" t="s">
        <v>35</v>
      </c>
      <c r="C2470" t="s">
        <v>17</v>
      </c>
      <c r="D2470" s="72" t="s">
        <v>492</v>
      </c>
      <c r="E2470" t="s">
        <v>61</v>
      </c>
      <c r="F2470" t="s">
        <v>4224</v>
      </c>
      <c r="G2470" s="92">
        <v>42700.418344907404</v>
      </c>
      <c r="H2470" s="92">
        <v>42700.418344907404</v>
      </c>
      <c r="I2470" s="92">
        <v>42700.418344907404</v>
      </c>
      <c r="J2470" s="92"/>
      <c r="K2470" s="92">
        <v>42700.420335648145</v>
      </c>
      <c r="L2470" s="92">
        <f>IF(AND(单词表[[#This Row],[学英]]&lt;&gt;"",单词表[[#This Row],[学中]]&lt;&gt;"",单词表[[#This Row],[学词]]&lt;&gt;""),MAX(单词表[[#This Row],[学英]:[学词]]),"")</f>
        <v>42700.418344907404</v>
      </c>
      <c r="M2470" s="2" t="str">
        <f>IF(AND(单词表[[#This Row],[考英]]&lt;&gt;"",单词表[[#This Row],[考中]]&lt;&gt;""),MAX(单词表[[#This Row],[考英]:[考中]]),"")</f>
        <v/>
      </c>
      <c r="N2470" s="79"/>
    </row>
    <row r="2471" spans="1:14" hidden="1" x14ac:dyDescent="0.15">
      <c r="A2471">
        <v>2471</v>
      </c>
      <c r="B2471" t="s">
        <v>35</v>
      </c>
      <c r="C2471" t="s">
        <v>17</v>
      </c>
      <c r="D2471" s="72" t="s">
        <v>1856</v>
      </c>
      <c r="E2471" t="s">
        <v>702</v>
      </c>
      <c r="F2471" t="s">
        <v>1950</v>
      </c>
      <c r="G2471" s="92">
        <v>42700.425671296296</v>
      </c>
      <c r="H2471" s="92">
        <v>42700.425671296296</v>
      </c>
      <c r="I2471" s="92">
        <v>42700.425671296296</v>
      </c>
      <c r="J2471" s="92"/>
      <c r="K2471" s="92">
        <v>42700.42627314815</v>
      </c>
      <c r="L2471" s="92">
        <f>IF(AND(单词表[[#This Row],[学英]]&lt;&gt;"",单词表[[#This Row],[学中]]&lt;&gt;"",单词表[[#This Row],[学词]]&lt;&gt;""),MAX(单词表[[#This Row],[学英]:[学词]]),"")</f>
        <v>42700.425671296296</v>
      </c>
      <c r="M2471" s="2" t="str">
        <f>IF(AND(单词表[[#This Row],[考英]]&lt;&gt;"",单词表[[#This Row],[考中]]&lt;&gt;""),MAX(单词表[[#This Row],[考英]:[考中]]),"")</f>
        <v/>
      </c>
      <c r="N2471" s="79"/>
    </row>
    <row r="2472" spans="1:14" hidden="1" x14ac:dyDescent="0.15">
      <c r="A2472">
        <v>2472</v>
      </c>
      <c r="B2472" t="s">
        <v>35</v>
      </c>
      <c r="C2472" t="s">
        <v>17</v>
      </c>
      <c r="D2472" s="72" t="s">
        <v>2466</v>
      </c>
      <c r="E2472" t="s">
        <v>36</v>
      </c>
      <c r="F2472" t="s">
        <v>4225</v>
      </c>
      <c r="G2472" s="92">
        <v>42700.425717592596</v>
      </c>
      <c r="H2472" s="92">
        <v>42700.425729166665</v>
      </c>
      <c r="I2472" s="92">
        <v>42700.425729166665</v>
      </c>
      <c r="J2472" s="92"/>
      <c r="K2472" s="92">
        <v>42700.426319444443</v>
      </c>
      <c r="L2472" s="92">
        <f>IF(AND(单词表[[#This Row],[学英]]&lt;&gt;"",单词表[[#This Row],[学中]]&lt;&gt;"",单词表[[#This Row],[学词]]&lt;&gt;""),MAX(单词表[[#This Row],[学英]:[学词]]),"")</f>
        <v>42700.425729166665</v>
      </c>
      <c r="M2472" s="2" t="str">
        <f>IF(AND(单词表[[#This Row],[考英]]&lt;&gt;"",单词表[[#This Row],[考中]]&lt;&gt;""),MAX(单词表[[#This Row],[考英]:[考中]]),"")</f>
        <v/>
      </c>
      <c r="N2472" s="79"/>
    </row>
    <row r="2473" spans="1:14" hidden="1" x14ac:dyDescent="0.15">
      <c r="A2473">
        <v>2473</v>
      </c>
      <c r="B2473" t="s">
        <v>35</v>
      </c>
      <c r="C2473" t="s">
        <v>17</v>
      </c>
      <c r="D2473" s="72" t="s">
        <v>2395</v>
      </c>
      <c r="E2473" t="s">
        <v>36</v>
      </c>
      <c r="F2473" t="s">
        <v>2396</v>
      </c>
      <c r="G2473" s="92">
        <v>42700.425798611112</v>
      </c>
      <c r="H2473" s="92">
        <v>42700.425798611112</v>
      </c>
      <c r="I2473" s="92">
        <v>42700.425798611112</v>
      </c>
      <c r="J2473" s="92"/>
      <c r="K2473" s="92">
        <v>42700.426354166666</v>
      </c>
      <c r="L2473" s="92">
        <f>IF(AND(单词表[[#This Row],[学英]]&lt;&gt;"",单词表[[#This Row],[学中]]&lt;&gt;"",单词表[[#This Row],[学词]]&lt;&gt;""),MAX(单词表[[#This Row],[学英]:[学词]]),"")</f>
        <v>42700.425798611112</v>
      </c>
      <c r="M2473" s="2" t="str">
        <f>IF(AND(单词表[[#This Row],[考英]]&lt;&gt;"",单词表[[#This Row],[考中]]&lt;&gt;""),MAX(单词表[[#This Row],[考英]:[考中]]),"")</f>
        <v/>
      </c>
      <c r="N2473" s="79"/>
    </row>
    <row r="2474" spans="1:14" hidden="1" x14ac:dyDescent="0.15">
      <c r="A2474">
        <v>2474</v>
      </c>
      <c r="B2474" t="s">
        <v>35</v>
      </c>
      <c r="C2474" t="s">
        <v>17</v>
      </c>
      <c r="D2474" s="72" t="s">
        <v>2397</v>
      </c>
      <c r="E2474" t="s">
        <v>36</v>
      </c>
      <c r="F2474" t="s">
        <v>2398</v>
      </c>
      <c r="G2474" s="92">
        <v>42700.425844907404</v>
      </c>
      <c r="H2474" s="92">
        <v>42700.425844907404</v>
      </c>
      <c r="I2474" s="92">
        <v>42700.425844907404</v>
      </c>
      <c r="J2474" s="92"/>
      <c r="K2474" s="92">
        <v>42700.426458333335</v>
      </c>
      <c r="L2474" s="92">
        <f>IF(AND(单词表[[#This Row],[学英]]&lt;&gt;"",单词表[[#This Row],[学中]]&lt;&gt;"",单词表[[#This Row],[学词]]&lt;&gt;""),MAX(单词表[[#This Row],[学英]:[学词]]),"")</f>
        <v>42700.425844907404</v>
      </c>
      <c r="M2474" s="2" t="str">
        <f>IF(AND(单词表[[#This Row],[考英]]&lt;&gt;"",单词表[[#This Row],[考中]]&lt;&gt;""),MAX(单词表[[#This Row],[考英]:[考中]]),"")</f>
        <v/>
      </c>
      <c r="N2474" s="79"/>
    </row>
    <row r="2475" spans="1:14" hidden="1" x14ac:dyDescent="0.15">
      <c r="A2475">
        <v>2475</v>
      </c>
      <c r="B2475" t="s">
        <v>35</v>
      </c>
      <c r="C2475" t="s">
        <v>17</v>
      </c>
      <c r="D2475" s="72" t="s">
        <v>4226</v>
      </c>
      <c r="E2475" t="s">
        <v>36</v>
      </c>
      <c r="F2475" t="s">
        <v>4227</v>
      </c>
      <c r="G2475" s="92">
        <v>42700.42591435185</v>
      </c>
      <c r="H2475" s="92">
        <v>42700.42591435185</v>
      </c>
      <c r="I2475" s="92">
        <v>42700.42591435185</v>
      </c>
      <c r="J2475" s="92"/>
      <c r="K2475" s="92">
        <v>42700.426493055558</v>
      </c>
      <c r="L2475" s="92">
        <f>IF(AND(单词表[[#This Row],[学英]]&lt;&gt;"",单词表[[#This Row],[学中]]&lt;&gt;"",单词表[[#This Row],[学词]]&lt;&gt;""),MAX(单词表[[#This Row],[学英]:[学词]]),"")</f>
        <v>42700.42591435185</v>
      </c>
      <c r="M2475" s="2" t="str">
        <f>IF(AND(单词表[[#This Row],[考英]]&lt;&gt;"",单词表[[#This Row],[考中]]&lt;&gt;""),MAX(单词表[[#This Row],[考英]:[考中]]),"")</f>
        <v/>
      </c>
      <c r="N2475" s="79"/>
    </row>
    <row r="2476" spans="1:14" hidden="1" x14ac:dyDescent="0.15">
      <c r="A2476">
        <v>2476</v>
      </c>
      <c r="B2476" t="s">
        <v>35</v>
      </c>
      <c r="C2476" t="s">
        <v>17</v>
      </c>
      <c r="D2476" s="72" t="s">
        <v>4228</v>
      </c>
      <c r="E2476" t="s">
        <v>702</v>
      </c>
      <c r="F2476" t="s">
        <v>4229</v>
      </c>
      <c r="G2476" s="92">
        <v>42700.426006944443</v>
      </c>
      <c r="H2476" s="92">
        <v>42700.426006944443</v>
      </c>
      <c r="I2476" s="92">
        <v>42700.426006944443</v>
      </c>
      <c r="J2476" s="92"/>
      <c r="K2476" s="92">
        <v>42700.426550925928</v>
      </c>
      <c r="L2476" s="92">
        <f>IF(AND(单词表[[#This Row],[学英]]&lt;&gt;"",单词表[[#This Row],[学中]]&lt;&gt;"",单词表[[#This Row],[学词]]&lt;&gt;""),MAX(单词表[[#This Row],[学英]:[学词]]),"")</f>
        <v>42700.426006944443</v>
      </c>
      <c r="M2476" s="2" t="str">
        <f>IF(AND(单词表[[#This Row],[考英]]&lt;&gt;"",单词表[[#This Row],[考中]]&lt;&gt;""),MAX(单词表[[#This Row],[考英]:[考中]]),"")</f>
        <v/>
      </c>
      <c r="N2476" s="79"/>
    </row>
    <row r="2477" spans="1:14" hidden="1" x14ac:dyDescent="0.15">
      <c r="A2477">
        <v>2477</v>
      </c>
      <c r="B2477" t="s">
        <v>35</v>
      </c>
      <c r="C2477" t="s">
        <v>17</v>
      </c>
      <c r="D2477" s="72" t="s">
        <v>4230</v>
      </c>
      <c r="E2477" t="s">
        <v>73</v>
      </c>
      <c r="F2477" t="s">
        <v>4231</v>
      </c>
      <c r="G2477" s="92">
        <v>42700.426064814812</v>
      </c>
      <c r="H2477" s="92">
        <v>42700.426064814812</v>
      </c>
      <c r="I2477" s="92">
        <v>42700.426064814812</v>
      </c>
      <c r="J2477" s="92"/>
      <c r="K2477" s="92">
        <v>42700.426585648151</v>
      </c>
      <c r="L2477" s="92">
        <f>IF(AND(单词表[[#This Row],[学英]]&lt;&gt;"",单词表[[#This Row],[学中]]&lt;&gt;"",单词表[[#This Row],[学词]]&lt;&gt;""),MAX(单词表[[#This Row],[学英]:[学词]]),"")</f>
        <v>42700.426064814812</v>
      </c>
      <c r="M2477" s="2" t="str">
        <f>IF(AND(单词表[[#This Row],[考英]]&lt;&gt;"",单词表[[#This Row],[考中]]&lt;&gt;""),MAX(单词表[[#This Row],[考英]:[考中]]),"")</f>
        <v/>
      </c>
      <c r="N2477" s="79"/>
    </row>
    <row r="2478" spans="1:14" hidden="1" x14ac:dyDescent="0.15">
      <c r="A2478">
        <v>2478</v>
      </c>
      <c r="B2478" t="s">
        <v>35</v>
      </c>
      <c r="C2478" t="s">
        <v>17</v>
      </c>
      <c r="D2478" s="72" t="s">
        <v>4232</v>
      </c>
      <c r="E2478" t="s">
        <v>702</v>
      </c>
      <c r="F2478" t="s">
        <v>4233</v>
      </c>
      <c r="G2478" s="92">
        <v>42700.426122685189</v>
      </c>
      <c r="H2478" s="92">
        <v>42700.426122685189</v>
      </c>
      <c r="I2478" s="92">
        <v>42700.426122685189</v>
      </c>
      <c r="J2478" s="92"/>
      <c r="K2478" s="92">
        <v>42700.426620370374</v>
      </c>
      <c r="L2478" s="92">
        <f>IF(AND(单词表[[#This Row],[学英]]&lt;&gt;"",单词表[[#This Row],[学中]]&lt;&gt;"",单词表[[#This Row],[学词]]&lt;&gt;""),MAX(单词表[[#This Row],[学英]:[学词]]),"")</f>
        <v>42700.426122685189</v>
      </c>
      <c r="M2478" s="2" t="str">
        <f>IF(AND(单词表[[#This Row],[考英]]&lt;&gt;"",单词表[[#This Row],[考中]]&lt;&gt;""),MAX(单词表[[#This Row],[考英]:[考中]]),"")</f>
        <v/>
      </c>
      <c r="N2478" s="79"/>
    </row>
    <row r="2479" spans="1:14" hidden="1" x14ac:dyDescent="0.15">
      <c r="A2479">
        <v>2479</v>
      </c>
      <c r="B2479" t="s">
        <v>35</v>
      </c>
      <c r="C2479" t="s">
        <v>17</v>
      </c>
      <c r="D2479" s="72" t="s">
        <v>3131</v>
      </c>
      <c r="E2479" t="s">
        <v>61</v>
      </c>
      <c r="F2479" t="s">
        <v>4234</v>
      </c>
      <c r="G2479" s="92">
        <v>42700.426157407404</v>
      </c>
      <c r="H2479" s="92">
        <v>42700.426157407404</v>
      </c>
      <c r="I2479" s="92">
        <v>42700.426157407404</v>
      </c>
      <c r="J2479" s="92"/>
      <c r="K2479" s="92">
        <v>42700.42664351852</v>
      </c>
      <c r="L2479" s="92">
        <f>IF(AND(单词表[[#This Row],[学英]]&lt;&gt;"",单词表[[#This Row],[学中]]&lt;&gt;"",单词表[[#This Row],[学词]]&lt;&gt;""),MAX(单词表[[#This Row],[学英]:[学词]]),"")</f>
        <v>42700.426157407404</v>
      </c>
      <c r="M2479" s="2" t="str">
        <f>IF(AND(单词表[[#This Row],[考英]]&lt;&gt;"",单词表[[#This Row],[考中]]&lt;&gt;""),MAX(单词表[[#This Row],[考英]:[考中]]),"")</f>
        <v/>
      </c>
      <c r="N2479" s="79"/>
    </row>
    <row r="2480" spans="1:14" hidden="1" x14ac:dyDescent="0.15">
      <c r="A2480">
        <v>2480</v>
      </c>
      <c r="B2480" t="s">
        <v>35</v>
      </c>
      <c r="C2480" t="s">
        <v>17</v>
      </c>
      <c r="D2480" s="72" t="s">
        <v>3793</v>
      </c>
      <c r="E2480" t="s">
        <v>702</v>
      </c>
      <c r="F2480" t="s">
        <v>2471</v>
      </c>
      <c r="G2480" s="92">
        <v>42700.426192129627</v>
      </c>
      <c r="H2480" s="92">
        <v>42700.426192129627</v>
      </c>
      <c r="I2480" s="92">
        <v>42700.426192129627</v>
      </c>
      <c r="J2480" s="92"/>
      <c r="K2480" s="92">
        <v>42700.426678240743</v>
      </c>
      <c r="L2480" s="92">
        <f>IF(AND(单词表[[#This Row],[学英]]&lt;&gt;"",单词表[[#This Row],[学中]]&lt;&gt;"",单词表[[#This Row],[学词]]&lt;&gt;""),MAX(单词表[[#This Row],[学英]:[学词]]),"")</f>
        <v>42700.426192129627</v>
      </c>
      <c r="M2480" s="2" t="str">
        <f>IF(AND(单词表[[#This Row],[考英]]&lt;&gt;"",单词表[[#This Row],[考中]]&lt;&gt;""),MAX(单词表[[#This Row],[考英]:[考中]]),"")</f>
        <v/>
      </c>
      <c r="N2480" s="79"/>
    </row>
    <row r="2481" spans="1:14" hidden="1" x14ac:dyDescent="0.15">
      <c r="A2481">
        <v>2481</v>
      </c>
      <c r="B2481" t="s">
        <v>35</v>
      </c>
      <c r="C2481" t="s">
        <v>17</v>
      </c>
      <c r="D2481" s="72" t="s">
        <v>1710</v>
      </c>
      <c r="E2481" t="s">
        <v>36</v>
      </c>
      <c r="F2481" t="s">
        <v>1711</v>
      </c>
      <c r="G2481" s="92">
        <v>42700.426863425928</v>
      </c>
      <c r="H2481" s="92">
        <v>42700.428483796299</v>
      </c>
      <c r="I2481" s="92">
        <v>42700.428483796299</v>
      </c>
      <c r="J2481" s="92"/>
      <c r="K2481" s="92">
        <v>42700.429513888892</v>
      </c>
      <c r="L2481" s="92">
        <f>IF(AND(单词表[[#This Row],[学英]]&lt;&gt;"",单词表[[#This Row],[学中]]&lt;&gt;"",单词表[[#This Row],[学词]]&lt;&gt;""),MAX(单词表[[#This Row],[学英]:[学词]]),"")</f>
        <v>42700.428483796299</v>
      </c>
      <c r="M2481" s="2" t="str">
        <f>IF(AND(单词表[[#This Row],[考英]]&lt;&gt;"",单词表[[#This Row],[考中]]&lt;&gt;""),MAX(单词表[[#This Row],[考英]:[考中]]),"")</f>
        <v/>
      </c>
      <c r="N2481" s="79"/>
    </row>
    <row r="2482" spans="1:14" hidden="1" x14ac:dyDescent="0.15">
      <c r="A2482">
        <v>2482</v>
      </c>
      <c r="B2482" t="s">
        <v>35</v>
      </c>
      <c r="C2482" t="s">
        <v>17</v>
      </c>
      <c r="D2482" s="72" t="s">
        <v>4235</v>
      </c>
      <c r="E2482" t="s">
        <v>73</v>
      </c>
      <c r="F2482" t="s">
        <v>4236</v>
      </c>
      <c r="G2482" s="92">
        <v>42700.426886574074</v>
      </c>
      <c r="H2482" s="92">
        <v>42700.428518518522</v>
      </c>
      <c r="I2482" s="92">
        <v>42700.428518518522</v>
      </c>
      <c r="J2482" s="92"/>
      <c r="K2482" s="92">
        <v>42700.429560185185</v>
      </c>
      <c r="L2482" s="92">
        <f>IF(AND(单词表[[#This Row],[学英]]&lt;&gt;"",单词表[[#This Row],[学中]]&lt;&gt;"",单词表[[#This Row],[学词]]&lt;&gt;""),MAX(单词表[[#This Row],[学英]:[学词]]),"")</f>
        <v>42700.428518518522</v>
      </c>
      <c r="M2482" s="2" t="str">
        <f>IF(AND(单词表[[#This Row],[考英]]&lt;&gt;"",单词表[[#This Row],[考中]]&lt;&gt;""),MAX(单词表[[#This Row],[考英]:[考中]]),"")</f>
        <v/>
      </c>
      <c r="N2482" s="79"/>
    </row>
    <row r="2483" spans="1:14" hidden="1" x14ac:dyDescent="0.15">
      <c r="A2483">
        <v>2483</v>
      </c>
      <c r="B2483" t="s">
        <v>35</v>
      </c>
      <c r="C2483" t="s">
        <v>17</v>
      </c>
      <c r="D2483" s="72" t="s">
        <v>4237</v>
      </c>
      <c r="E2483" t="s">
        <v>61</v>
      </c>
      <c r="F2483" t="s">
        <v>5571</v>
      </c>
      <c r="G2483" s="92">
        <v>42700.427465277775</v>
      </c>
      <c r="H2483" s="92">
        <v>42700.429398148146</v>
      </c>
      <c r="I2483" s="92">
        <v>42700.429398148146</v>
      </c>
      <c r="J2483" s="92"/>
      <c r="K2483" s="92">
        <v>42700.429594907408</v>
      </c>
      <c r="L2483" s="92">
        <f>IF(AND(单词表[[#This Row],[学英]]&lt;&gt;"",单词表[[#This Row],[学中]]&lt;&gt;"",单词表[[#This Row],[学词]]&lt;&gt;""),MAX(单词表[[#This Row],[学英]:[学词]]),"")</f>
        <v>42700.429398148146</v>
      </c>
      <c r="M2483" s="2" t="str">
        <f>IF(AND(单词表[[#This Row],[考英]]&lt;&gt;"",单词表[[#This Row],[考中]]&lt;&gt;""),MAX(单词表[[#This Row],[考英]:[考中]]),"")</f>
        <v/>
      </c>
      <c r="N2483" s="79"/>
    </row>
    <row r="2484" spans="1:14" hidden="1" x14ac:dyDescent="0.15">
      <c r="A2484">
        <v>2484</v>
      </c>
      <c r="B2484" t="s">
        <v>35</v>
      </c>
      <c r="C2484" t="s">
        <v>17</v>
      </c>
      <c r="D2484" s="72" t="s">
        <v>1298</v>
      </c>
      <c r="E2484" t="s">
        <v>36</v>
      </c>
      <c r="F2484" t="s">
        <v>4238</v>
      </c>
      <c r="G2484" s="92">
        <v>42700.427488425928</v>
      </c>
      <c r="H2484" s="92">
        <v>42700.427488425928</v>
      </c>
      <c r="I2484" s="92">
        <v>42700.427488425928</v>
      </c>
      <c r="J2484" s="92"/>
      <c r="K2484" s="92">
        <v>42700.427997685183</v>
      </c>
      <c r="L2484" s="92">
        <f>IF(AND(单词表[[#This Row],[学英]]&lt;&gt;"",单词表[[#This Row],[学中]]&lt;&gt;"",单词表[[#This Row],[学词]]&lt;&gt;""),MAX(单词表[[#This Row],[学英]:[学词]]),"")</f>
        <v>42700.427488425928</v>
      </c>
      <c r="M2484" s="2" t="str">
        <f>IF(AND(单词表[[#This Row],[考英]]&lt;&gt;"",单词表[[#This Row],[考中]]&lt;&gt;""),MAX(单词表[[#This Row],[考英]:[考中]]),"")</f>
        <v/>
      </c>
      <c r="N2484" s="79"/>
    </row>
    <row r="2485" spans="1:14" hidden="1" x14ac:dyDescent="0.15">
      <c r="A2485">
        <v>2485</v>
      </c>
      <c r="B2485" t="s">
        <v>35</v>
      </c>
      <c r="C2485" t="s">
        <v>17</v>
      </c>
      <c r="D2485" s="72" t="s">
        <v>4239</v>
      </c>
      <c r="E2485" t="s">
        <v>36</v>
      </c>
      <c r="F2485" t="s">
        <v>4240</v>
      </c>
      <c r="G2485" s="92">
        <v>42700.427511574075</v>
      </c>
      <c r="H2485" s="92">
        <v>42700.427511574075</v>
      </c>
      <c r="I2485" s="92">
        <v>42700.427511574075</v>
      </c>
      <c r="J2485" s="92"/>
      <c r="K2485" s="92">
        <v>42700.429629629631</v>
      </c>
      <c r="L2485" s="92">
        <f>IF(AND(单词表[[#This Row],[学英]]&lt;&gt;"",单词表[[#This Row],[学中]]&lt;&gt;"",单词表[[#This Row],[学词]]&lt;&gt;""),MAX(单词表[[#This Row],[学英]:[学词]]),"")</f>
        <v>42700.427511574075</v>
      </c>
      <c r="M2485" s="2" t="str">
        <f>IF(AND(单词表[[#This Row],[考英]]&lt;&gt;"",单词表[[#This Row],[考中]]&lt;&gt;""),MAX(单词表[[#This Row],[考英]:[考中]]),"")</f>
        <v/>
      </c>
      <c r="N2485" s="79"/>
    </row>
    <row r="2486" spans="1:14" hidden="1" x14ac:dyDescent="0.15">
      <c r="A2486">
        <v>2486</v>
      </c>
      <c r="B2486" t="s">
        <v>35</v>
      </c>
      <c r="C2486" t="s">
        <v>17</v>
      </c>
      <c r="D2486" s="72" t="s">
        <v>2795</v>
      </c>
      <c r="E2486" t="s">
        <v>73</v>
      </c>
      <c r="F2486" t="s">
        <v>2796</v>
      </c>
      <c r="G2486" s="92">
        <v>42700.427546296298</v>
      </c>
      <c r="H2486" s="92">
        <v>42700.427546296298</v>
      </c>
      <c r="I2486" s="92">
        <v>42700.427546296298</v>
      </c>
      <c r="J2486" s="92"/>
      <c r="K2486" s="92">
        <v>42700.429664351854</v>
      </c>
      <c r="L2486" s="92">
        <f>IF(AND(单词表[[#This Row],[学英]]&lt;&gt;"",单词表[[#This Row],[学中]]&lt;&gt;"",单词表[[#This Row],[学词]]&lt;&gt;""),MAX(单词表[[#This Row],[学英]:[学词]]),"")</f>
        <v>42700.427546296298</v>
      </c>
      <c r="M2486" s="2" t="str">
        <f>IF(AND(单词表[[#This Row],[考英]]&lt;&gt;"",单词表[[#This Row],[考中]]&lt;&gt;""),MAX(单词表[[#This Row],[考英]:[考中]]),"")</f>
        <v/>
      </c>
      <c r="N2486" s="79"/>
    </row>
    <row r="2487" spans="1:14" hidden="1" x14ac:dyDescent="0.15">
      <c r="A2487">
        <v>2487</v>
      </c>
      <c r="B2487" t="s">
        <v>35</v>
      </c>
      <c r="C2487" t="s">
        <v>17</v>
      </c>
      <c r="D2487" s="72" t="s">
        <v>4241</v>
      </c>
      <c r="E2487" t="s">
        <v>36</v>
      </c>
      <c r="F2487" t="s">
        <v>4242</v>
      </c>
      <c r="G2487" s="92">
        <v>42700.427557870367</v>
      </c>
      <c r="H2487" s="92">
        <v>42700.42863425926</v>
      </c>
      <c r="I2487" s="92">
        <v>42700.42863425926</v>
      </c>
      <c r="J2487" s="92"/>
      <c r="K2487" s="92">
        <v>42700.4296875</v>
      </c>
      <c r="L2487" s="92">
        <f>IF(AND(单词表[[#This Row],[学英]]&lt;&gt;"",单词表[[#This Row],[学中]]&lt;&gt;"",单词表[[#This Row],[学词]]&lt;&gt;""),MAX(单词表[[#This Row],[学英]:[学词]]),"")</f>
        <v>42700.42863425926</v>
      </c>
      <c r="M2487" s="2" t="str">
        <f>IF(AND(单词表[[#This Row],[考英]]&lt;&gt;"",单词表[[#This Row],[考中]]&lt;&gt;""),MAX(单词表[[#This Row],[考英]:[考中]]),"")</f>
        <v/>
      </c>
      <c r="N2487" s="79"/>
    </row>
    <row r="2488" spans="1:14" hidden="1" x14ac:dyDescent="0.15">
      <c r="A2488">
        <v>2488</v>
      </c>
      <c r="B2488" t="s">
        <v>35</v>
      </c>
      <c r="C2488" t="s">
        <v>17</v>
      </c>
      <c r="D2488" s="72" t="s">
        <v>4243</v>
      </c>
      <c r="E2488" t="s">
        <v>36</v>
      </c>
      <c r="F2488" t="s">
        <v>4244</v>
      </c>
      <c r="G2488" s="92">
        <v>42700.427581018521</v>
      </c>
      <c r="H2488" s="92">
        <v>42700.427581018521</v>
      </c>
      <c r="I2488" s="92">
        <v>42700.427581018521</v>
      </c>
      <c r="J2488" s="92"/>
      <c r="K2488" s="92">
        <v>42700.429710648146</v>
      </c>
      <c r="L2488" s="92">
        <f>IF(AND(单词表[[#This Row],[学英]]&lt;&gt;"",单词表[[#This Row],[学中]]&lt;&gt;"",单词表[[#This Row],[学词]]&lt;&gt;""),MAX(单词表[[#This Row],[学英]:[学词]]),"")</f>
        <v>42700.427581018521</v>
      </c>
      <c r="M2488" s="2" t="str">
        <f>IF(AND(单词表[[#This Row],[考英]]&lt;&gt;"",单词表[[#This Row],[考中]]&lt;&gt;""),MAX(单词表[[#This Row],[考英]:[考中]]),"")</f>
        <v/>
      </c>
      <c r="N2488" s="79"/>
    </row>
    <row r="2489" spans="1:14" hidden="1" x14ac:dyDescent="0.15">
      <c r="A2489">
        <v>2489</v>
      </c>
      <c r="B2489" t="s">
        <v>35</v>
      </c>
      <c r="C2489" t="s">
        <v>17</v>
      </c>
      <c r="D2489" s="72" t="s">
        <v>4245</v>
      </c>
      <c r="E2489" t="s">
        <v>36</v>
      </c>
      <c r="F2489" t="s">
        <v>5572</v>
      </c>
      <c r="G2489" s="92">
        <v>42700.42769675926</v>
      </c>
      <c r="H2489" s="92">
        <v>42700.42769675926</v>
      </c>
      <c r="I2489" s="92">
        <v>42700.42769675926</v>
      </c>
      <c r="J2489" s="92"/>
      <c r="K2489" s="92">
        <v>42700.429745370369</v>
      </c>
      <c r="L2489" s="92">
        <f>IF(AND(单词表[[#This Row],[学英]]&lt;&gt;"",单词表[[#This Row],[学中]]&lt;&gt;"",单词表[[#This Row],[学词]]&lt;&gt;""),MAX(单词表[[#This Row],[学英]:[学词]]),"")</f>
        <v>42700.42769675926</v>
      </c>
      <c r="M2489" s="2" t="str">
        <f>IF(AND(单词表[[#This Row],[考英]]&lt;&gt;"",单词表[[#This Row],[考中]]&lt;&gt;""),MAX(单词表[[#This Row],[考英]:[考中]]),"")</f>
        <v/>
      </c>
      <c r="N2489" s="79"/>
    </row>
    <row r="2490" spans="1:14" hidden="1" x14ac:dyDescent="0.15">
      <c r="A2490">
        <v>2490</v>
      </c>
      <c r="B2490" t="s">
        <v>35</v>
      </c>
      <c r="C2490" t="s">
        <v>17</v>
      </c>
      <c r="D2490" s="72" t="s">
        <v>4246</v>
      </c>
      <c r="E2490" t="s">
        <v>61</v>
      </c>
      <c r="F2490" t="s">
        <v>4247</v>
      </c>
      <c r="G2490" s="92">
        <v>42700.427719907406</v>
      </c>
      <c r="H2490" s="92">
        <v>42700.429444444446</v>
      </c>
      <c r="I2490" s="92">
        <v>42700.429444444446</v>
      </c>
      <c r="J2490" s="92"/>
      <c r="K2490" s="92">
        <v>42700.429780092592</v>
      </c>
      <c r="L2490" s="92">
        <f>IF(AND(单词表[[#This Row],[学英]]&lt;&gt;"",单词表[[#This Row],[学中]]&lt;&gt;"",单词表[[#This Row],[学词]]&lt;&gt;""),MAX(单词表[[#This Row],[学英]:[学词]]),"")</f>
        <v>42700.429444444446</v>
      </c>
      <c r="M2490" s="2" t="str">
        <f>IF(AND(单词表[[#This Row],[考英]]&lt;&gt;"",单词表[[#This Row],[考中]]&lt;&gt;""),MAX(单词表[[#This Row],[考英]:[考中]]),"")</f>
        <v/>
      </c>
      <c r="N2490" s="79"/>
    </row>
    <row r="2491" spans="1:14" hidden="1" x14ac:dyDescent="0.15">
      <c r="A2491">
        <v>2491</v>
      </c>
      <c r="B2491" t="s">
        <v>35</v>
      </c>
      <c r="C2491" t="s">
        <v>17</v>
      </c>
      <c r="D2491" s="72" t="s">
        <v>2407</v>
      </c>
      <c r="E2491" t="s">
        <v>36</v>
      </c>
      <c r="F2491" t="s">
        <v>2408</v>
      </c>
      <c r="G2491" s="92">
        <v>42700.477129629631</v>
      </c>
      <c r="H2491" s="92">
        <v>42700.477129629631</v>
      </c>
      <c r="I2491" s="92">
        <v>42700.477129629631</v>
      </c>
      <c r="J2491" s="92"/>
      <c r="K2491" s="92">
        <v>42700.486273148148</v>
      </c>
      <c r="L2491" s="92">
        <f>IF(AND(单词表[[#This Row],[学英]]&lt;&gt;"",单词表[[#This Row],[学中]]&lt;&gt;"",单词表[[#This Row],[学词]]&lt;&gt;""),MAX(单词表[[#This Row],[学英]:[学词]]),"")</f>
        <v>42700.477129629631</v>
      </c>
      <c r="M2491" s="2" t="str">
        <f>IF(AND(单词表[[#This Row],[考英]]&lt;&gt;"",单词表[[#This Row],[考中]]&lt;&gt;""),MAX(单词表[[#This Row],[考英]:[考中]]),"")</f>
        <v/>
      </c>
      <c r="N2491" s="79"/>
    </row>
    <row r="2492" spans="1:14" hidden="1" x14ac:dyDescent="0.15">
      <c r="A2492">
        <v>2492</v>
      </c>
      <c r="B2492" t="s">
        <v>35</v>
      </c>
      <c r="C2492" t="s">
        <v>17</v>
      </c>
      <c r="D2492" s="72" t="s">
        <v>4248</v>
      </c>
      <c r="E2492" t="s">
        <v>36</v>
      </c>
      <c r="F2492" t="s">
        <v>4249</v>
      </c>
      <c r="G2492" s="92">
        <v>42700.477141203701</v>
      </c>
      <c r="H2492" s="92">
        <v>42700.480983796297</v>
      </c>
      <c r="I2492" s="92">
        <v>42700.480983796297</v>
      </c>
      <c r="J2492" s="92"/>
      <c r="K2492" s="92">
        <v>42700.486307870371</v>
      </c>
      <c r="L2492" s="92">
        <f>IF(AND(单词表[[#This Row],[学英]]&lt;&gt;"",单词表[[#This Row],[学中]]&lt;&gt;"",单词表[[#This Row],[学词]]&lt;&gt;""),MAX(单词表[[#This Row],[学英]:[学词]]),"")</f>
        <v>42700.480983796297</v>
      </c>
      <c r="M2492" s="2" t="str">
        <f>IF(AND(单词表[[#This Row],[考英]]&lt;&gt;"",单词表[[#This Row],[考中]]&lt;&gt;""),MAX(单词表[[#This Row],[考英]:[考中]]),"")</f>
        <v/>
      </c>
      <c r="N2492" s="79"/>
    </row>
    <row r="2493" spans="1:14" hidden="1" x14ac:dyDescent="0.15">
      <c r="A2493">
        <v>2493</v>
      </c>
      <c r="B2493" t="s">
        <v>35</v>
      </c>
      <c r="C2493" t="s">
        <v>17</v>
      </c>
      <c r="D2493" s="72" t="s">
        <v>4250</v>
      </c>
      <c r="E2493" t="s">
        <v>36</v>
      </c>
      <c r="F2493" t="s">
        <v>4251</v>
      </c>
      <c r="G2493" s="92">
        <v>42700.477164351854</v>
      </c>
      <c r="H2493" s="92">
        <v>42700.477164351854</v>
      </c>
      <c r="I2493" s="92">
        <v>42700.477164351854</v>
      </c>
      <c r="J2493" s="92"/>
      <c r="K2493" s="92">
        <v>42700.486354166664</v>
      </c>
      <c r="L2493" s="92">
        <f>IF(AND(单词表[[#This Row],[学英]]&lt;&gt;"",单词表[[#This Row],[学中]]&lt;&gt;"",单词表[[#This Row],[学词]]&lt;&gt;""),MAX(单词表[[#This Row],[学英]:[学词]]),"")</f>
        <v>42700.477164351854</v>
      </c>
      <c r="M2493" s="2" t="str">
        <f>IF(AND(单词表[[#This Row],[考英]]&lt;&gt;"",单词表[[#This Row],[考中]]&lt;&gt;""),MAX(单词表[[#This Row],[考英]:[考中]]),"")</f>
        <v/>
      </c>
      <c r="N2493" s="79"/>
    </row>
    <row r="2494" spans="1:14" hidden="1" x14ac:dyDescent="0.15">
      <c r="A2494">
        <v>2494</v>
      </c>
      <c r="B2494" t="s">
        <v>35</v>
      </c>
      <c r="C2494" t="s">
        <v>17</v>
      </c>
      <c r="D2494" s="72" t="s">
        <v>680</v>
      </c>
      <c r="E2494" t="s">
        <v>36</v>
      </c>
      <c r="F2494" t="s">
        <v>681</v>
      </c>
      <c r="G2494" s="92">
        <v>42700.477199074077</v>
      </c>
      <c r="H2494" s="92">
        <v>42700.477199074077</v>
      </c>
      <c r="I2494" s="92">
        <v>42700.477199074077</v>
      </c>
      <c r="J2494" s="92"/>
      <c r="K2494" s="92">
        <v>42700.486388888887</v>
      </c>
      <c r="L2494" s="92">
        <f>IF(AND(单词表[[#This Row],[学英]]&lt;&gt;"",单词表[[#This Row],[学中]]&lt;&gt;"",单词表[[#This Row],[学词]]&lt;&gt;""),MAX(单词表[[#This Row],[学英]:[学词]]),"")</f>
        <v>42700.477199074077</v>
      </c>
      <c r="M2494" s="2" t="str">
        <f>IF(AND(单词表[[#This Row],[考英]]&lt;&gt;"",单词表[[#This Row],[考中]]&lt;&gt;""),MAX(单词表[[#This Row],[考英]:[考中]]),"")</f>
        <v/>
      </c>
      <c r="N2494" s="79"/>
    </row>
    <row r="2495" spans="1:14" hidden="1" x14ac:dyDescent="0.15">
      <c r="A2495">
        <v>2495</v>
      </c>
      <c r="B2495" t="s">
        <v>35</v>
      </c>
      <c r="C2495" t="s">
        <v>17</v>
      </c>
      <c r="D2495" s="72" t="s">
        <v>4252</v>
      </c>
      <c r="E2495" t="s">
        <v>38</v>
      </c>
      <c r="F2495" t="s">
        <v>4253</v>
      </c>
      <c r="G2495" s="92">
        <v>42700.477222222224</v>
      </c>
      <c r="H2495" s="92">
        <v>42700.485671296294</v>
      </c>
      <c r="I2495" s="92">
        <v>42700.485671296294</v>
      </c>
      <c r="J2495" s="92"/>
      <c r="K2495" s="92">
        <v>42700.486550925925</v>
      </c>
      <c r="L2495" s="92">
        <f>IF(AND(单词表[[#This Row],[学英]]&lt;&gt;"",单词表[[#This Row],[学中]]&lt;&gt;"",单词表[[#This Row],[学词]]&lt;&gt;""),MAX(单词表[[#This Row],[学英]:[学词]]),"")</f>
        <v>42700.485671296294</v>
      </c>
      <c r="M2495" s="2" t="str">
        <f>IF(AND(单词表[[#This Row],[考英]]&lt;&gt;"",单词表[[#This Row],[考中]]&lt;&gt;""),MAX(单词表[[#This Row],[考英]:[考中]]),"")</f>
        <v/>
      </c>
      <c r="N2495" s="79"/>
    </row>
    <row r="2496" spans="1:14" hidden="1" x14ac:dyDescent="0.15">
      <c r="A2496">
        <v>2496</v>
      </c>
      <c r="B2496" t="s">
        <v>35</v>
      </c>
      <c r="C2496" t="s">
        <v>17</v>
      </c>
      <c r="D2496" s="72" t="s">
        <v>4254</v>
      </c>
      <c r="E2496" t="s">
        <v>702</v>
      </c>
      <c r="F2496" t="s">
        <v>4255</v>
      </c>
      <c r="G2496" s="92">
        <v>42700.477233796293</v>
      </c>
      <c r="H2496" s="92">
        <v>42700.485694444447</v>
      </c>
      <c r="I2496" s="92">
        <v>42700.485694444447</v>
      </c>
      <c r="J2496" s="92"/>
      <c r="K2496" s="92">
        <v>42700.486585648148</v>
      </c>
      <c r="L2496" s="92">
        <f>IF(AND(单词表[[#This Row],[学英]]&lt;&gt;"",单词表[[#This Row],[学中]]&lt;&gt;"",单词表[[#This Row],[学词]]&lt;&gt;""),MAX(单词表[[#This Row],[学英]:[学词]]),"")</f>
        <v>42700.485694444447</v>
      </c>
      <c r="M2496" s="2" t="str">
        <f>IF(AND(单词表[[#This Row],[考英]]&lt;&gt;"",单词表[[#This Row],[考中]]&lt;&gt;""),MAX(单词表[[#This Row],[考英]:[考中]]),"")</f>
        <v/>
      </c>
      <c r="N2496" s="79"/>
    </row>
    <row r="2497" spans="1:14" hidden="1" x14ac:dyDescent="0.15">
      <c r="A2497">
        <v>2497</v>
      </c>
      <c r="B2497" t="s">
        <v>35</v>
      </c>
      <c r="C2497" t="s">
        <v>17</v>
      </c>
      <c r="D2497" s="72" t="s">
        <v>1737</v>
      </c>
      <c r="E2497" t="s">
        <v>36</v>
      </c>
      <c r="F2497" t="s">
        <v>4256</v>
      </c>
      <c r="G2497" s="92">
        <v>42700.477256944447</v>
      </c>
      <c r="H2497" s="92">
        <v>42700.477256944447</v>
      </c>
      <c r="I2497" s="92">
        <v>42700.477256944447</v>
      </c>
      <c r="J2497" s="92"/>
      <c r="K2497" s="92">
        <v>42700.486631944441</v>
      </c>
      <c r="L2497" s="92">
        <f>IF(AND(单词表[[#This Row],[学英]]&lt;&gt;"",单词表[[#This Row],[学中]]&lt;&gt;"",单词表[[#This Row],[学词]]&lt;&gt;""),MAX(单词表[[#This Row],[学英]:[学词]]),"")</f>
        <v>42700.477256944447</v>
      </c>
      <c r="M2497" s="2" t="str">
        <f>IF(AND(单词表[[#This Row],[考英]]&lt;&gt;"",单词表[[#This Row],[考中]]&lt;&gt;""),MAX(单词表[[#This Row],[考英]:[考中]]),"")</f>
        <v/>
      </c>
      <c r="N2497" s="79"/>
    </row>
    <row r="2498" spans="1:14" hidden="1" x14ac:dyDescent="0.15">
      <c r="A2498">
        <v>2498</v>
      </c>
      <c r="B2498" t="s">
        <v>35</v>
      </c>
      <c r="C2498" t="s">
        <v>17</v>
      </c>
      <c r="D2498" s="72" t="s">
        <v>4257</v>
      </c>
      <c r="E2498" t="s">
        <v>36</v>
      </c>
      <c r="F2498" t="s">
        <v>4258</v>
      </c>
      <c r="G2498" s="92">
        <v>42700.47729166667</v>
      </c>
      <c r="H2498" s="92">
        <v>42700.483356481483</v>
      </c>
      <c r="I2498" s="92">
        <v>42700.483356481483</v>
      </c>
      <c r="J2498" s="92"/>
      <c r="K2498" s="92">
        <v>42700.486678240741</v>
      </c>
      <c r="L2498" s="92">
        <f>IF(AND(单词表[[#This Row],[学英]]&lt;&gt;"",单词表[[#This Row],[学中]]&lt;&gt;"",单词表[[#This Row],[学词]]&lt;&gt;""),MAX(单词表[[#This Row],[学英]:[学词]]),"")</f>
        <v>42700.483356481483</v>
      </c>
      <c r="M2498" s="2" t="str">
        <f>IF(AND(单词表[[#This Row],[考英]]&lt;&gt;"",单词表[[#This Row],[考中]]&lt;&gt;""),MAX(单词表[[#This Row],[考英]:[考中]]),"")</f>
        <v/>
      </c>
      <c r="N2498" s="79"/>
    </row>
    <row r="2499" spans="1:14" hidden="1" x14ac:dyDescent="0.15">
      <c r="A2499">
        <v>2499</v>
      </c>
      <c r="B2499" t="s">
        <v>35</v>
      </c>
      <c r="C2499" t="s">
        <v>17</v>
      </c>
      <c r="D2499" s="72" t="s">
        <v>4259</v>
      </c>
      <c r="E2499" t="s">
        <v>36</v>
      </c>
      <c r="F2499" t="s">
        <v>4260</v>
      </c>
      <c r="G2499" s="92">
        <v>42700.477303240739</v>
      </c>
      <c r="H2499" s="92">
        <v>42700.48337962963</v>
      </c>
      <c r="I2499" s="92">
        <v>42700.48337962963</v>
      </c>
      <c r="J2499" s="92"/>
      <c r="K2499" s="92">
        <v>42700.486724537041</v>
      </c>
      <c r="L2499" s="92">
        <f>IF(AND(单词表[[#This Row],[学英]]&lt;&gt;"",单词表[[#This Row],[学中]]&lt;&gt;"",单词表[[#This Row],[学词]]&lt;&gt;""),MAX(单词表[[#This Row],[学英]:[学词]]),"")</f>
        <v>42700.48337962963</v>
      </c>
      <c r="M2499" s="2" t="str">
        <f>IF(AND(单词表[[#This Row],[考英]]&lt;&gt;"",单词表[[#This Row],[考中]]&lt;&gt;""),MAX(单词表[[#This Row],[考英]:[考中]]),"")</f>
        <v/>
      </c>
      <c r="N2499" s="79"/>
    </row>
    <row r="2500" spans="1:14" hidden="1" x14ac:dyDescent="0.15">
      <c r="A2500">
        <v>2500</v>
      </c>
      <c r="B2500" t="s">
        <v>35</v>
      </c>
      <c r="C2500" t="s">
        <v>17</v>
      </c>
      <c r="D2500" s="72" t="s">
        <v>2451</v>
      </c>
      <c r="E2500" t="s">
        <v>36</v>
      </c>
      <c r="F2500" t="s">
        <v>2452</v>
      </c>
      <c r="G2500" s="92">
        <v>42700.477337962962</v>
      </c>
      <c r="H2500" s="92">
        <v>42700.477337962962</v>
      </c>
      <c r="I2500" s="92">
        <v>42700.477337962962</v>
      </c>
      <c r="J2500" s="92"/>
      <c r="K2500" s="92">
        <v>42700.486759259256</v>
      </c>
      <c r="L2500" s="92">
        <f>IF(AND(单词表[[#This Row],[学英]]&lt;&gt;"",单词表[[#This Row],[学中]]&lt;&gt;"",单词表[[#This Row],[学词]]&lt;&gt;""),MAX(单词表[[#This Row],[学英]:[学词]]),"")</f>
        <v>42700.477337962962</v>
      </c>
      <c r="M2500" s="2" t="str">
        <f>IF(AND(单词表[[#This Row],[考英]]&lt;&gt;"",单词表[[#This Row],[考中]]&lt;&gt;""),MAX(单词表[[#This Row],[考英]:[考中]]),"")</f>
        <v/>
      </c>
      <c r="N2500" s="79"/>
    </row>
    <row r="2501" spans="1:14" hidden="1" x14ac:dyDescent="0.15">
      <c r="A2501">
        <v>2501</v>
      </c>
      <c r="B2501" t="s">
        <v>35</v>
      </c>
      <c r="C2501" t="s">
        <v>17</v>
      </c>
      <c r="D2501" s="72" t="s">
        <v>4261</v>
      </c>
      <c r="E2501" t="s">
        <v>36</v>
      </c>
      <c r="F2501" t="s">
        <v>4262</v>
      </c>
      <c r="G2501" s="92">
        <v>42700.487569444442</v>
      </c>
      <c r="H2501" s="92">
        <v>42700.487569444442</v>
      </c>
      <c r="I2501" s="92">
        <v>42700.487569444442</v>
      </c>
      <c r="J2501" s="92"/>
      <c r="K2501" s="92">
        <v>42700.488518518519</v>
      </c>
      <c r="L2501" s="92">
        <f>IF(AND(单词表[[#This Row],[学英]]&lt;&gt;"",单词表[[#This Row],[学中]]&lt;&gt;"",单词表[[#This Row],[学词]]&lt;&gt;""),MAX(单词表[[#This Row],[学英]:[学词]]),"")</f>
        <v>42700.487569444442</v>
      </c>
      <c r="M2501" s="2" t="str">
        <f>IF(AND(单词表[[#This Row],[考英]]&lt;&gt;"",单词表[[#This Row],[考中]]&lt;&gt;""),MAX(单词表[[#This Row],[考英]:[考中]]),"")</f>
        <v/>
      </c>
      <c r="N2501" s="79"/>
    </row>
    <row r="2502" spans="1:14" hidden="1" x14ac:dyDescent="0.15">
      <c r="A2502">
        <v>2502</v>
      </c>
      <c r="B2502" t="s">
        <v>35</v>
      </c>
      <c r="C2502" t="s">
        <v>17</v>
      </c>
      <c r="D2502" s="72" t="s">
        <v>4263</v>
      </c>
      <c r="E2502" t="s">
        <v>702</v>
      </c>
      <c r="F2502" t="s">
        <v>4264</v>
      </c>
      <c r="G2502" s="92">
        <v>42700.487592592595</v>
      </c>
      <c r="H2502" s="92">
        <v>42700.487592592595</v>
      </c>
      <c r="I2502" s="92">
        <v>42700.487592592595</v>
      </c>
      <c r="J2502" s="92"/>
      <c r="K2502" s="92">
        <v>42700.488553240742</v>
      </c>
      <c r="L2502" s="92">
        <f>IF(AND(单词表[[#This Row],[学英]]&lt;&gt;"",单词表[[#This Row],[学中]]&lt;&gt;"",单词表[[#This Row],[学词]]&lt;&gt;""),MAX(单词表[[#This Row],[学英]:[学词]]),"")</f>
        <v>42700.487592592595</v>
      </c>
      <c r="M2502" s="2" t="str">
        <f>IF(AND(单词表[[#This Row],[考英]]&lt;&gt;"",单词表[[#This Row],[考中]]&lt;&gt;""),MAX(单词表[[#This Row],[考英]:[考中]]),"")</f>
        <v/>
      </c>
      <c r="N2502" s="79"/>
    </row>
    <row r="2503" spans="1:14" hidden="1" x14ac:dyDescent="0.15">
      <c r="A2503">
        <v>2503</v>
      </c>
      <c r="B2503" t="s">
        <v>35</v>
      </c>
      <c r="C2503" t="s">
        <v>17</v>
      </c>
      <c r="D2503" s="72" t="s">
        <v>717</v>
      </c>
      <c r="E2503" t="s">
        <v>61</v>
      </c>
      <c r="F2503" t="s">
        <v>4265</v>
      </c>
      <c r="G2503" s="92">
        <v>42700.487708333334</v>
      </c>
      <c r="H2503" s="92">
        <v>42700.487708333334</v>
      </c>
      <c r="I2503" s="92">
        <v>42700.487708333334</v>
      </c>
      <c r="J2503" s="92"/>
      <c r="K2503" s="92">
        <v>42700.488599537035</v>
      </c>
      <c r="L2503" s="92">
        <f>IF(AND(单词表[[#This Row],[学英]]&lt;&gt;"",单词表[[#This Row],[学中]]&lt;&gt;"",单词表[[#This Row],[学词]]&lt;&gt;""),MAX(单词表[[#This Row],[学英]:[学词]]),"")</f>
        <v>42700.487708333334</v>
      </c>
      <c r="M2503" s="2" t="str">
        <f>IF(AND(单词表[[#This Row],[考英]]&lt;&gt;"",单词表[[#This Row],[考中]]&lt;&gt;""),MAX(单词表[[#This Row],[考英]:[考中]]),"")</f>
        <v/>
      </c>
      <c r="N2503" s="79"/>
    </row>
    <row r="2504" spans="1:14" hidden="1" x14ac:dyDescent="0.15">
      <c r="A2504">
        <v>2504</v>
      </c>
      <c r="B2504" t="s">
        <v>35</v>
      </c>
      <c r="C2504" t="s">
        <v>17</v>
      </c>
      <c r="D2504" s="72" t="s">
        <v>3639</v>
      </c>
      <c r="E2504" t="s">
        <v>36</v>
      </c>
      <c r="F2504" t="s">
        <v>3640</v>
      </c>
      <c r="G2504" s="92">
        <v>42700.48778935185</v>
      </c>
      <c r="H2504" s="92">
        <v>42700.48778935185</v>
      </c>
      <c r="I2504" s="92">
        <v>42700.48778935185</v>
      </c>
      <c r="J2504" s="92"/>
      <c r="K2504" s="92">
        <v>42700.488634259258</v>
      </c>
      <c r="L2504" s="92">
        <f>IF(AND(单词表[[#This Row],[学英]]&lt;&gt;"",单词表[[#This Row],[学中]]&lt;&gt;"",单词表[[#This Row],[学词]]&lt;&gt;""),MAX(单词表[[#This Row],[学英]:[学词]]),"")</f>
        <v>42700.48778935185</v>
      </c>
      <c r="M2504" s="2" t="str">
        <f>IF(AND(单词表[[#This Row],[考英]]&lt;&gt;"",单词表[[#This Row],[考中]]&lt;&gt;""),MAX(单词表[[#This Row],[考英]:[考中]]),"")</f>
        <v/>
      </c>
      <c r="N2504" s="79"/>
    </row>
    <row r="2505" spans="1:14" hidden="1" x14ac:dyDescent="0.15">
      <c r="A2505">
        <v>2505</v>
      </c>
      <c r="B2505" t="s">
        <v>35</v>
      </c>
      <c r="C2505" t="s">
        <v>17</v>
      </c>
      <c r="D2505" s="72" t="s">
        <v>4266</v>
      </c>
      <c r="E2505" t="s">
        <v>61</v>
      </c>
      <c r="F2505" t="s">
        <v>4267</v>
      </c>
      <c r="G2505" s="92">
        <v>42700.487847222219</v>
      </c>
      <c r="H2505" s="92">
        <v>42700.487847222219</v>
      </c>
      <c r="I2505" s="92">
        <v>42700.487847222219</v>
      </c>
      <c r="J2505" s="92"/>
      <c r="K2505" s="92">
        <v>42700.488680555558</v>
      </c>
      <c r="L2505" s="92">
        <f>IF(AND(单词表[[#This Row],[学英]]&lt;&gt;"",单词表[[#This Row],[学中]]&lt;&gt;"",单词表[[#This Row],[学词]]&lt;&gt;""),MAX(单词表[[#This Row],[学英]:[学词]]),"")</f>
        <v>42700.487847222219</v>
      </c>
      <c r="M2505" s="2" t="str">
        <f>IF(AND(单词表[[#This Row],[考英]]&lt;&gt;"",单词表[[#This Row],[考中]]&lt;&gt;""),MAX(单词表[[#This Row],[考英]:[考中]]),"")</f>
        <v/>
      </c>
      <c r="N2505" s="79"/>
    </row>
    <row r="2506" spans="1:14" hidden="1" x14ac:dyDescent="0.15">
      <c r="A2506">
        <v>2506</v>
      </c>
      <c r="B2506" t="s">
        <v>35</v>
      </c>
      <c r="C2506" t="s">
        <v>17</v>
      </c>
      <c r="D2506" s="72" t="s">
        <v>4268</v>
      </c>
      <c r="E2506" t="s">
        <v>36</v>
      </c>
      <c r="F2506" t="s">
        <v>4269</v>
      </c>
      <c r="G2506" s="92">
        <v>42700.487928240742</v>
      </c>
      <c r="H2506" s="92">
        <v>42700.489606481482</v>
      </c>
      <c r="I2506" s="92">
        <v>42700.489606481482</v>
      </c>
      <c r="J2506" s="92"/>
      <c r="K2506" s="92">
        <v>42700.489745370367</v>
      </c>
      <c r="L2506" s="92">
        <f>IF(AND(单词表[[#This Row],[学英]]&lt;&gt;"",单词表[[#This Row],[学中]]&lt;&gt;"",单词表[[#This Row],[学词]]&lt;&gt;""),MAX(单词表[[#This Row],[学英]:[学词]]),"")</f>
        <v>42700.489606481482</v>
      </c>
      <c r="M2506" s="2" t="str">
        <f>IF(AND(单词表[[#This Row],[考英]]&lt;&gt;"",单词表[[#This Row],[考中]]&lt;&gt;""),MAX(单词表[[#This Row],[考英]:[考中]]),"")</f>
        <v/>
      </c>
      <c r="N2506" s="79"/>
    </row>
    <row r="2507" spans="1:14" hidden="1" x14ac:dyDescent="0.15">
      <c r="A2507">
        <v>2507</v>
      </c>
      <c r="B2507" t="s">
        <v>35</v>
      </c>
      <c r="C2507" t="s">
        <v>17</v>
      </c>
      <c r="D2507" s="72" t="s">
        <v>896</v>
      </c>
      <c r="E2507" t="s">
        <v>73</v>
      </c>
      <c r="F2507" t="s">
        <v>897</v>
      </c>
      <c r="G2507" s="92">
        <v>42700.487997685188</v>
      </c>
      <c r="H2507" s="92">
        <v>42700.487997685188</v>
      </c>
      <c r="I2507" s="92">
        <v>42700.487997685188</v>
      </c>
      <c r="J2507" s="92"/>
      <c r="K2507" s="92">
        <v>42700.488842592589</v>
      </c>
      <c r="L2507" s="92">
        <f>IF(AND(单词表[[#This Row],[学英]]&lt;&gt;"",单词表[[#This Row],[学中]]&lt;&gt;"",单词表[[#This Row],[学词]]&lt;&gt;""),MAX(单词表[[#This Row],[学英]:[学词]]),"")</f>
        <v>42700.487997685188</v>
      </c>
      <c r="M2507" s="2" t="str">
        <f>IF(AND(单词表[[#This Row],[考英]]&lt;&gt;"",单词表[[#This Row],[考中]]&lt;&gt;""),MAX(单词表[[#This Row],[考英]:[考中]]),"")</f>
        <v/>
      </c>
      <c r="N2507" s="79"/>
    </row>
    <row r="2508" spans="1:14" hidden="1" x14ac:dyDescent="0.15">
      <c r="A2508">
        <v>2508</v>
      </c>
      <c r="B2508" t="s">
        <v>35</v>
      </c>
      <c r="C2508" t="s">
        <v>17</v>
      </c>
      <c r="D2508" s="72" t="s">
        <v>4270</v>
      </c>
      <c r="E2508" t="s">
        <v>736</v>
      </c>
      <c r="F2508" t="s">
        <v>4271</v>
      </c>
      <c r="G2508" s="92">
        <v>42700.488067129627</v>
      </c>
      <c r="H2508" s="92">
        <v>42700.488067129627</v>
      </c>
      <c r="I2508" s="92">
        <v>42700.488067129627</v>
      </c>
      <c r="J2508" s="92"/>
      <c r="K2508" s="92">
        <v>42700.488900462966</v>
      </c>
      <c r="L2508" s="92">
        <f>IF(AND(单词表[[#This Row],[学英]]&lt;&gt;"",单词表[[#This Row],[学中]]&lt;&gt;"",单词表[[#This Row],[学词]]&lt;&gt;""),MAX(单词表[[#This Row],[学英]:[学词]]),"")</f>
        <v>42700.488067129627</v>
      </c>
      <c r="M2508" s="2" t="str">
        <f>IF(AND(单词表[[#This Row],[考英]]&lt;&gt;"",单词表[[#This Row],[考中]]&lt;&gt;""),MAX(单词表[[#This Row],[考英]:[考中]]),"")</f>
        <v/>
      </c>
      <c r="N2508" s="79"/>
    </row>
    <row r="2509" spans="1:14" hidden="1" x14ac:dyDescent="0.15">
      <c r="A2509">
        <v>2509</v>
      </c>
      <c r="B2509" t="s">
        <v>35</v>
      </c>
      <c r="C2509" t="s">
        <v>17</v>
      </c>
      <c r="D2509" s="72" t="s">
        <v>4272</v>
      </c>
      <c r="E2509" t="s">
        <v>73</v>
      </c>
      <c r="F2509" t="s">
        <v>4273</v>
      </c>
      <c r="G2509" s="92">
        <v>42700.48814814815</v>
      </c>
      <c r="H2509" s="92">
        <v>42700.48814814815</v>
      </c>
      <c r="I2509" s="92">
        <v>42700.48814814815</v>
      </c>
      <c r="J2509" s="92"/>
      <c r="K2509" s="92">
        <v>42700.488946759258</v>
      </c>
      <c r="L2509" s="92">
        <f>IF(AND(单词表[[#This Row],[学英]]&lt;&gt;"",单词表[[#This Row],[学中]]&lt;&gt;"",单词表[[#This Row],[学词]]&lt;&gt;""),MAX(单词表[[#This Row],[学英]:[学词]]),"")</f>
        <v>42700.48814814815</v>
      </c>
      <c r="M2509" s="2" t="str">
        <f>IF(AND(单词表[[#This Row],[考英]]&lt;&gt;"",单词表[[#This Row],[考中]]&lt;&gt;""),MAX(单词表[[#This Row],[考英]:[考中]]),"")</f>
        <v/>
      </c>
      <c r="N2509" s="79"/>
    </row>
    <row r="2510" spans="1:14" hidden="1" x14ac:dyDescent="0.15">
      <c r="A2510">
        <v>2510</v>
      </c>
      <c r="B2510" t="s">
        <v>35</v>
      </c>
      <c r="C2510" t="s">
        <v>17</v>
      </c>
      <c r="D2510" s="72" t="s">
        <v>4274</v>
      </c>
      <c r="E2510" t="s">
        <v>36</v>
      </c>
      <c r="F2510" t="s">
        <v>5573</v>
      </c>
      <c r="G2510" s="92">
        <v>42700.488217592596</v>
      </c>
      <c r="H2510" s="92">
        <v>42700.488217592596</v>
      </c>
      <c r="I2510" s="92">
        <v>42700.488217592596</v>
      </c>
      <c r="J2510" s="92"/>
      <c r="K2510" s="92">
        <v>42700.489074074074</v>
      </c>
      <c r="L2510" s="92">
        <f>IF(AND(单词表[[#This Row],[学英]]&lt;&gt;"",单词表[[#This Row],[学中]]&lt;&gt;"",单词表[[#This Row],[学词]]&lt;&gt;""),MAX(单词表[[#This Row],[学英]:[学词]]),"")</f>
        <v>42700.488217592596</v>
      </c>
      <c r="M2510" s="2" t="str">
        <f>IF(AND(单词表[[#This Row],[考英]]&lt;&gt;"",单词表[[#This Row],[考中]]&lt;&gt;""),MAX(单词表[[#This Row],[考英]:[考中]]),"")</f>
        <v/>
      </c>
      <c r="N2510" s="79"/>
    </row>
    <row r="2511" spans="1:14" hidden="1" x14ac:dyDescent="0.15">
      <c r="A2511">
        <v>2511</v>
      </c>
      <c r="B2511" t="s">
        <v>35</v>
      </c>
      <c r="C2511" t="s">
        <v>17</v>
      </c>
      <c r="D2511" s="72" t="s">
        <v>2433</v>
      </c>
      <c r="E2511" t="s">
        <v>73</v>
      </c>
      <c r="F2511" t="s">
        <v>4275</v>
      </c>
      <c r="G2511" s="92">
        <v>42700.490555555552</v>
      </c>
      <c r="H2511" s="92">
        <v>42700.490555555552</v>
      </c>
      <c r="I2511" s="92">
        <v>42700.490555555552</v>
      </c>
      <c r="J2511" s="92"/>
      <c r="K2511" s="92">
        <v>42700.525578703702</v>
      </c>
      <c r="L2511" s="92">
        <f>IF(AND(单词表[[#This Row],[学英]]&lt;&gt;"",单词表[[#This Row],[学中]]&lt;&gt;"",单词表[[#This Row],[学词]]&lt;&gt;""),MAX(单词表[[#This Row],[学英]:[学词]]),"")</f>
        <v>42700.490555555552</v>
      </c>
      <c r="M2511" s="2" t="str">
        <f>IF(AND(单词表[[#This Row],[考英]]&lt;&gt;"",单词表[[#This Row],[考中]]&lt;&gt;""),MAX(单词表[[#This Row],[考英]:[考中]]),"")</f>
        <v/>
      </c>
      <c r="N2511" s="79"/>
    </row>
    <row r="2512" spans="1:14" hidden="1" x14ac:dyDescent="0.15">
      <c r="A2512">
        <v>2512</v>
      </c>
      <c r="B2512" t="s">
        <v>35</v>
      </c>
      <c r="C2512" t="s">
        <v>17</v>
      </c>
      <c r="D2512" s="72" t="s">
        <v>4276</v>
      </c>
      <c r="E2512" t="s">
        <v>36</v>
      </c>
      <c r="F2512" t="s">
        <v>4277</v>
      </c>
      <c r="G2512" s="92">
        <v>42700.490578703706</v>
      </c>
      <c r="H2512" s="92">
        <v>42700.490578703706</v>
      </c>
      <c r="I2512" s="92">
        <v>42700.490578703706</v>
      </c>
      <c r="J2512" s="92"/>
      <c r="K2512" s="92">
        <v>42700.525613425925</v>
      </c>
      <c r="L2512" s="92">
        <f>IF(AND(单词表[[#This Row],[学英]]&lt;&gt;"",单词表[[#This Row],[学中]]&lt;&gt;"",单词表[[#This Row],[学词]]&lt;&gt;""),MAX(单词表[[#This Row],[学英]:[学词]]),"")</f>
        <v>42700.490578703706</v>
      </c>
      <c r="M2512" s="2" t="str">
        <f>IF(AND(单词表[[#This Row],[考英]]&lt;&gt;"",单词表[[#This Row],[考中]]&lt;&gt;""),MAX(单词表[[#This Row],[考英]:[考中]]),"")</f>
        <v/>
      </c>
      <c r="N2512" s="79"/>
    </row>
    <row r="2513" spans="1:14" hidden="1" x14ac:dyDescent="0.15">
      <c r="A2513">
        <v>2513</v>
      </c>
      <c r="B2513" t="s">
        <v>35</v>
      </c>
      <c r="C2513" t="s">
        <v>17</v>
      </c>
      <c r="D2513" s="72" t="s">
        <v>3076</v>
      </c>
      <c r="E2513" t="s">
        <v>36</v>
      </c>
      <c r="F2513" t="s">
        <v>3077</v>
      </c>
      <c r="G2513" s="92">
        <v>42700.490648148145</v>
      </c>
      <c r="H2513" s="92">
        <v>42700.490648148145</v>
      </c>
      <c r="I2513" s="92">
        <v>42700.490648148145</v>
      </c>
      <c r="J2513" s="92"/>
      <c r="K2513" s="92">
        <v>42700.525648148148</v>
      </c>
      <c r="L2513" s="92">
        <f>IF(AND(单词表[[#This Row],[学英]]&lt;&gt;"",单词表[[#This Row],[学中]]&lt;&gt;"",单词表[[#This Row],[学词]]&lt;&gt;""),MAX(单词表[[#This Row],[学英]:[学词]]),"")</f>
        <v>42700.490648148145</v>
      </c>
      <c r="M2513" s="2" t="str">
        <f>IF(AND(单词表[[#This Row],[考英]]&lt;&gt;"",单词表[[#This Row],[考中]]&lt;&gt;""),MAX(单词表[[#This Row],[考英]:[考中]]),"")</f>
        <v/>
      </c>
      <c r="N2513" s="79"/>
    </row>
    <row r="2514" spans="1:14" hidden="1" x14ac:dyDescent="0.15">
      <c r="A2514">
        <v>2514</v>
      </c>
      <c r="B2514" t="s">
        <v>35</v>
      </c>
      <c r="C2514" t="s">
        <v>17</v>
      </c>
      <c r="D2514" s="72" t="s">
        <v>4278</v>
      </c>
      <c r="E2514" t="s">
        <v>36</v>
      </c>
      <c r="F2514" t="s">
        <v>4279</v>
      </c>
      <c r="G2514" s="92">
        <v>42700.490706018521</v>
      </c>
      <c r="H2514" s="92">
        <v>42700.490706018521</v>
      </c>
      <c r="I2514" s="92">
        <v>42700.490706018521</v>
      </c>
      <c r="J2514" s="92"/>
      <c r="K2514" s="92">
        <v>42700.525694444441</v>
      </c>
      <c r="L2514" s="92">
        <f>IF(AND(单词表[[#This Row],[学英]]&lt;&gt;"",单词表[[#This Row],[学中]]&lt;&gt;"",单词表[[#This Row],[学词]]&lt;&gt;""),MAX(单词表[[#This Row],[学英]:[学词]]),"")</f>
        <v>42700.490706018521</v>
      </c>
      <c r="M2514" s="2" t="str">
        <f>IF(AND(单词表[[#This Row],[考英]]&lt;&gt;"",单词表[[#This Row],[考中]]&lt;&gt;""),MAX(单词表[[#This Row],[考英]:[考中]]),"")</f>
        <v/>
      </c>
      <c r="N2514" s="79"/>
    </row>
    <row r="2515" spans="1:14" hidden="1" x14ac:dyDescent="0.15">
      <c r="A2515">
        <v>2515</v>
      </c>
      <c r="B2515" t="s">
        <v>35</v>
      </c>
      <c r="C2515" t="s">
        <v>17</v>
      </c>
      <c r="D2515" s="72" t="s">
        <v>4280</v>
      </c>
      <c r="E2515" t="s">
        <v>73</v>
      </c>
      <c r="F2515" t="s">
        <v>4281</v>
      </c>
      <c r="G2515" s="92">
        <v>42700.490787037037</v>
      </c>
      <c r="H2515" s="92">
        <v>42700.527129629627</v>
      </c>
      <c r="I2515" s="92">
        <v>42700.527129629627</v>
      </c>
      <c r="J2515" s="92"/>
      <c r="K2515" s="92">
        <v>42700.527372685188</v>
      </c>
      <c r="L2515" s="92">
        <f>IF(AND(单词表[[#This Row],[学英]]&lt;&gt;"",单词表[[#This Row],[学中]]&lt;&gt;"",单词表[[#This Row],[学词]]&lt;&gt;""),MAX(单词表[[#This Row],[学英]:[学词]]),"")</f>
        <v>42700.527129629627</v>
      </c>
      <c r="M2515" s="2" t="str">
        <f>IF(AND(单词表[[#This Row],[考英]]&lt;&gt;"",单词表[[#This Row],[考中]]&lt;&gt;""),MAX(单词表[[#This Row],[考英]:[考中]]),"")</f>
        <v/>
      </c>
      <c r="N2515" s="79"/>
    </row>
    <row r="2516" spans="1:14" hidden="1" x14ac:dyDescent="0.15">
      <c r="A2516">
        <v>2516</v>
      </c>
      <c r="B2516" t="s">
        <v>35</v>
      </c>
      <c r="C2516" t="s">
        <v>17</v>
      </c>
      <c r="D2516" s="72" t="s">
        <v>4282</v>
      </c>
      <c r="E2516" t="s">
        <v>73</v>
      </c>
      <c r="F2516" t="s">
        <v>4283</v>
      </c>
      <c r="G2516" s="92">
        <v>42700.490844907406</v>
      </c>
      <c r="H2516" s="92">
        <v>42700.490844907406</v>
      </c>
      <c r="I2516" s="92">
        <v>42700.490844907406</v>
      </c>
      <c r="J2516" s="92"/>
      <c r="K2516" s="92">
        <v>42700.52584490741</v>
      </c>
      <c r="L2516" s="92">
        <f>IF(AND(单词表[[#This Row],[学英]]&lt;&gt;"",单词表[[#This Row],[学中]]&lt;&gt;"",单词表[[#This Row],[学词]]&lt;&gt;""),MAX(单词表[[#This Row],[学英]:[学词]]),"")</f>
        <v>42700.490844907406</v>
      </c>
      <c r="M2516" s="2" t="str">
        <f>IF(AND(单词表[[#This Row],[考英]]&lt;&gt;"",单词表[[#This Row],[考中]]&lt;&gt;""),MAX(单词表[[#This Row],[考英]:[考中]]),"")</f>
        <v/>
      </c>
      <c r="N2516" s="79"/>
    </row>
    <row r="2517" spans="1:14" hidden="1" x14ac:dyDescent="0.15">
      <c r="A2517">
        <v>2517</v>
      </c>
      <c r="B2517" t="s">
        <v>35</v>
      </c>
      <c r="C2517" t="s">
        <v>17</v>
      </c>
      <c r="D2517" s="72" t="s">
        <v>4284</v>
      </c>
      <c r="E2517" t="s">
        <v>1016</v>
      </c>
      <c r="F2517" t="s">
        <v>4285</v>
      </c>
      <c r="G2517" s="92">
        <v>42700.490937499999</v>
      </c>
      <c r="H2517" s="92">
        <v>42700.490937499999</v>
      </c>
      <c r="I2517" s="92">
        <v>42700.490937499999</v>
      </c>
      <c r="J2517" s="92"/>
      <c r="K2517" s="92">
        <v>42700.525960648149</v>
      </c>
      <c r="L2517" s="92">
        <f>IF(AND(单词表[[#This Row],[学英]]&lt;&gt;"",单词表[[#This Row],[学中]]&lt;&gt;"",单词表[[#This Row],[学词]]&lt;&gt;""),MAX(单词表[[#This Row],[学英]:[学词]]),"")</f>
        <v>42700.490937499999</v>
      </c>
      <c r="M2517" s="2" t="str">
        <f>IF(AND(单词表[[#This Row],[考英]]&lt;&gt;"",单词表[[#This Row],[考中]]&lt;&gt;""),MAX(单词表[[#This Row],[考英]:[考中]]),"")</f>
        <v/>
      </c>
      <c r="N2517" s="79"/>
    </row>
    <row r="2518" spans="1:14" hidden="1" x14ac:dyDescent="0.15">
      <c r="A2518">
        <v>2518</v>
      </c>
      <c r="B2518" t="s">
        <v>35</v>
      </c>
      <c r="C2518" t="s">
        <v>17</v>
      </c>
      <c r="D2518" s="72" t="s">
        <v>4286</v>
      </c>
      <c r="E2518" t="s">
        <v>73</v>
      </c>
      <c r="F2518" t="s">
        <v>4287</v>
      </c>
      <c r="G2518" s="92">
        <v>42700.491030092591</v>
      </c>
      <c r="H2518" s="92">
        <v>42700.491030092591</v>
      </c>
      <c r="I2518" s="92">
        <v>42700.491030092591</v>
      </c>
      <c r="J2518" s="92"/>
      <c r="K2518" s="92">
        <v>42700.526099537034</v>
      </c>
      <c r="L2518" s="92">
        <f>IF(AND(单词表[[#This Row],[学英]]&lt;&gt;"",单词表[[#This Row],[学中]]&lt;&gt;"",单词表[[#This Row],[学词]]&lt;&gt;""),MAX(单词表[[#This Row],[学英]:[学词]]),"")</f>
        <v>42700.491030092591</v>
      </c>
      <c r="M2518" s="2" t="str">
        <f>IF(AND(单词表[[#This Row],[考英]]&lt;&gt;"",单词表[[#This Row],[考中]]&lt;&gt;""),MAX(单词表[[#This Row],[考英]:[考中]]),"")</f>
        <v/>
      </c>
      <c r="N2518" s="79"/>
    </row>
    <row r="2519" spans="1:14" hidden="1" x14ac:dyDescent="0.15">
      <c r="A2519">
        <v>2519</v>
      </c>
      <c r="B2519" t="s">
        <v>35</v>
      </c>
      <c r="C2519" t="s">
        <v>17</v>
      </c>
      <c r="D2519" s="72" t="s">
        <v>4288</v>
      </c>
      <c r="E2519" t="s">
        <v>36</v>
      </c>
      <c r="F2519" t="s">
        <v>4289</v>
      </c>
      <c r="G2519" s="92">
        <v>42700.491087962961</v>
      </c>
      <c r="H2519" s="92">
        <v>42700.491087962961</v>
      </c>
      <c r="I2519" s="92">
        <v>42700.491087962961</v>
      </c>
      <c r="J2519" s="92"/>
      <c r="K2519" s="92">
        <v>42700.526145833333</v>
      </c>
      <c r="L2519" s="92">
        <f>IF(AND(单词表[[#This Row],[学英]]&lt;&gt;"",单词表[[#This Row],[学中]]&lt;&gt;"",单词表[[#This Row],[学词]]&lt;&gt;""),MAX(单词表[[#This Row],[学英]:[学词]]),"")</f>
        <v>42700.491087962961</v>
      </c>
      <c r="M2519" s="2" t="str">
        <f>IF(AND(单词表[[#This Row],[考英]]&lt;&gt;"",单词表[[#This Row],[考中]]&lt;&gt;""),MAX(单词表[[#This Row],[考英]:[考中]]),"")</f>
        <v/>
      </c>
      <c r="N2519" s="79"/>
    </row>
    <row r="2520" spans="1:14" hidden="1" x14ac:dyDescent="0.15">
      <c r="A2520">
        <v>2520</v>
      </c>
      <c r="B2520" t="s">
        <v>35</v>
      </c>
      <c r="C2520" t="s">
        <v>17</v>
      </c>
      <c r="D2520" s="72" t="s">
        <v>4290</v>
      </c>
      <c r="E2520" t="s">
        <v>702</v>
      </c>
      <c r="F2520" t="s">
        <v>4291</v>
      </c>
      <c r="G2520" s="92">
        <v>42700.491296296299</v>
      </c>
      <c r="H2520" s="92">
        <v>42700.491296296299</v>
      </c>
      <c r="I2520" s="92">
        <v>42700.491296296299</v>
      </c>
      <c r="J2520" s="92"/>
      <c r="K2520" s="92">
        <v>42700.526238425926</v>
      </c>
      <c r="L2520" s="92">
        <f>IF(AND(单词表[[#This Row],[学英]]&lt;&gt;"",单词表[[#This Row],[学中]]&lt;&gt;"",单词表[[#This Row],[学词]]&lt;&gt;""),MAX(单词表[[#This Row],[学英]:[学词]]),"")</f>
        <v>42700.491296296299</v>
      </c>
      <c r="M2520" s="2" t="str">
        <f>IF(AND(单词表[[#This Row],[考英]]&lt;&gt;"",单词表[[#This Row],[考中]]&lt;&gt;""),MAX(单词表[[#This Row],[考英]:[考中]]),"")</f>
        <v/>
      </c>
      <c r="N2520" s="79"/>
    </row>
    <row r="2521" spans="1:14" hidden="1" x14ac:dyDescent="0.15">
      <c r="A2521">
        <v>2521</v>
      </c>
      <c r="B2521" t="s">
        <v>35</v>
      </c>
      <c r="C2521" t="s">
        <v>17</v>
      </c>
      <c r="D2521" s="72" t="s">
        <v>202</v>
      </c>
      <c r="E2521" t="s">
        <v>61</v>
      </c>
      <c r="F2521" t="s">
        <v>203</v>
      </c>
      <c r="G2521" s="92">
        <v>42700.491342592592</v>
      </c>
      <c r="H2521" s="92">
        <v>42700.491342592592</v>
      </c>
      <c r="I2521" s="92">
        <v>42700.491342592592</v>
      </c>
      <c r="J2521" s="92"/>
      <c r="K2521" s="92">
        <v>42700.526284722226</v>
      </c>
      <c r="L2521" s="92">
        <f>IF(AND(单词表[[#This Row],[学英]]&lt;&gt;"",单词表[[#This Row],[学中]]&lt;&gt;"",单词表[[#This Row],[学词]]&lt;&gt;""),MAX(单词表[[#This Row],[学英]:[学词]]),"")</f>
        <v>42700.491342592592</v>
      </c>
      <c r="M2521" s="2" t="str">
        <f>IF(AND(单词表[[#This Row],[考英]]&lt;&gt;"",单词表[[#This Row],[考中]]&lt;&gt;""),MAX(单词表[[#This Row],[考英]:[考中]]),"")</f>
        <v/>
      </c>
      <c r="N2521" s="79"/>
    </row>
    <row r="2522" spans="1:14" hidden="1" x14ac:dyDescent="0.15">
      <c r="A2522">
        <v>2522</v>
      </c>
      <c r="B2522" t="s">
        <v>35</v>
      </c>
      <c r="C2522" t="s">
        <v>17</v>
      </c>
      <c r="D2522" s="72" t="s">
        <v>4292</v>
      </c>
      <c r="E2522" t="s">
        <v>1019</v>
      </c>
      <c r="F2522" t="s">
        <v>4293</v>
      </c>
      <c r="G2522" s="92">
        <v>42700.491550925923</v>
      </c>
      <c r="H2522" s="92">
        <v>42700.52715277778</v>
      </c>
      <c r="I2522" s="92">
        <v>42700.52715277778</v>
      </c>
      <c r="J2522" s="92"/>
      <c r="K2522" s="92">
        <v>42700.527418981481</v>
      </c>
      <c r="L2522" s="92">
        <f>IF(AND(单词表[[#This Row],[学英]]&lt;&gt;"",单词表[[#This Row],[学中]]&lt;&gt;"",单词表[[#This Row],[学词]]&lt;&gt;""),MAX(单词表[[#This Row],[学英]:[学词]]),"")</f>
        <v>42700.52715277778</v>
      </c>
      <c r="M2522" s="2" t="str">
        <f>IF(AND(单词表[[#This Row],[考英]]&lt;&gt;"",单词表[[#This Row],[考中]]&lt;&gt;""),MAX(单词表[[#This Row],[考英]:[考中]]),"")</f>
        <v/>
      </c>
      <c r="N2522" s="79"/>
    </row>
    <row r="2523" spans="1:14" hidden="1" x14ac:dyDescent="0.15">
      <c r="A2523">
        <v>2523</v>
      </c>
      <c r="B2523" t="s">
        <v>35</v>
      </c>
      <c r="C2523" t="s">
        <v>17</v>
      </c>
      <c r="D2523" s="72" t="s">
        <v>4294</v>
      </c>
      <c r="E2523" t="s">
        <v>73</v>
      </c>
      <c r="F2523" t="s">
        <v>4295</v>
      </c>
      <c r="G2523" s="92">
        <v>42700.525138888886</v>
      </c>
      <c r="H2523" s="92">
        <v>42700.525138888886</v>
      </c>
      <c r="I2523" s="92">
        <v>42700.525138888886</v>
      </c>
      <c r="J2523" s="92"/>
      <c r="K2523" s="92">
        <v>42700.526423611111</v>
      </c>
      <c r="L2523" s="92">
        <f>IF(AND(单词表[[#This Row],[学英]]&lt;&gt;"",单词表[[#This Row],[学中]]&lt;&gt;"",单词表[[#This Row],[学词]]&lt;&gt;""),MAX(单词表[[#This Row],[学英]:[学词]]),"")</f>
        <v>42700.525138888886</v>
      </c>
      <c r="M2523" s="2" t="str">
        <f>IF(AND(单词表[[#This Row],[考英]]&lt;&gt;"",单词表[[#This Row],[考中]]&lt;&gt;""),MAX(单词表[[#This Row],[考英]:[考中]]),"")</f>
        <v/>
      </c>
      <c r="N2523" s="79"/>
    </row>
    <row r="2524" spans="1:14" hidden="1" x14ac:dyDescent="0.15">
      <c r="A2524">
        <v>2524</v>
      </c>
      <c r="B2524" t="s">
        <v>35</v>
      </c>
      <c r="C2524" t="s">
        <v>17</v>
      </c>
      <c r="D2524" s="72" t="s">
        <v>4296</v>
      </c>
      <c r="E2524" t="s">
        <v>36</v>
      </c>
      <c r="F2524" t="s">
        <v>4297</v>
      </c>
      <c r="G2524" s="92">
        <v>42700.525208333333</v>
      </c>
      <c r="H2524" s="92">
        <v>42700.525208333333</v>
      </c>
      <c r="I2524" s="92">
        <v>42700.525208333333</v>
      </c>
      <c r="J2524" s="92"/>
      <c r="K2524" s="92">
        <v>42700.526469907411</v>
      </c>
      <c r="L2524" s="92">
        <f>IF(AND(单词表[[#This Row],[学英]]&lt;&gt;"",单词表[[#This Row],[学中]]&lt;&gt;"",单词表[[#This Row],[学词]]&lt;&gt;""),MAX(单词表[[#This Row],[学英]:[学词]]),"")</f>
        <v>42700.525208333333</v>
      </c>
      <c r="M2524" s="2" t="str">
        <f>IF(AND(单词表[[#This Row],[考英]]&lt;&gt;"",单词表[[#This Row],[考中]]&lt;&gt;""),MAX(单词表[[#This Row],[考英]:[考中]]),"")</f>
        <v/>
      </c>
      <c r="N2524" s="79"/>
    </row>
    <row r="2525" spans="1:14" hidden="1" x14ac:dyDescent="0.15">
      <c r="A2525">
        <v>2525</v>
      </c>
      <c r="B2525" t="s">
        <v>35</v>
      </c>
      <c r="C2525" t="s">
        <v>17</v>
      </c>
      <c r="D2525" s="72" t="s">
        <v>561</v>
      </c>
      <c r="E2525" t="s">
        <v>73</v>
      </c>
      <c r="F2525" t="s">
        <v>4298</v>
      </c>
      <c r="G2525" s="92">
        <v>42700.525243055556</v>
      </c>
      <c r="H2525" s="92">
        <v>42700.525243055556</v>
      </c>
      <c r="I2525" s="92">
        <v>42700.525243055556</v>
      </c>
      <c r="J2525" s="92"/>
      <c r="K2525" s="92">
        <v>42700.526504629626</v>
      </c>
      <c r="L2525" s="92">
        <f>IF(AND(单词表[[#This Row],[学英]]&lt;&gt;"",单词表[[#This Row],[学中]]&lt;&gt;"",单词表[[#This Row],[学词]]&lt;&gt;""),MAX(单词表[[#This Row],[学英]:[学词]]),"")</f>
        <v>42700.525243055556</v>
      </c>
      <c r="M2525" s="2" t="str">
        <f>IF(AND(单词表[[#This Row],[考英]]&lt;&gt;"",单词表[[#This Row],[考中]]&lt;&gt;""),MAX(单词表[[#This Row],[考英]:[考中]]),"")</f>
        <v/>
      </c>
      <c r="N2525" s="79"/>
    </row>
    <row r="2526" spans="1:14" hidden="1" x14ac:dyDescent="0.15">
      <c r="A2526">
        <v>2526</v>
      </c>
      <c r="B2526" t="s">
        <v>35</v>
      </c>
      <c r="C2526" t="s">
        <v>17</v>
      </c>
      <c r="D2526" s="72" t="s">
        <v>4299</v>
      </c>
      <c r="E2526" t="s">
        <v>73</v>
      </c>
      <c r="F2526" t="s">
        <v>4300</v>
      </c>
      <c r="G2526" s="92">
        <v>42700.525277777779</v>
      </c>
      <c r="H2526" s="92">
        <v>42700.525277777779</v>
      </c>
      <c r="I2526" s="92">
        <v>42700.525277777779</v>
      </c>
      <c r="J2526" s="92"/>
      <c r="K2526" s="92">
        <v>42700.526724537034</v>
      </c>
      <c r="L2526" s="92">
        <f>IF(AND(单词表[[#This Row],[学英]]&lt;&gt;"",单词表[[#This Row],[学中]]&lt;&gt;"",单词表[[#This Row],[学词]]&lt;&gt;""),MAX(单词表[[#This Row],[学英]:[学词]]),"")</f>
        <v>42700.525277777779</v>
      </c>
      <c r="M2526" s="2" t="str">
        <f>IF(AND(单词表[[#This Row],[考英]]&lt;&gt;"",单词表[[#This Row],[考中]]&lt;&gt;""),MAX(单词表[[#This Row],[考英]:[考中]]),"")</f>
        <v/>
      </c>
      <c r="N2526" s="79"/>
    </row>
    <row r="2527" spans="1:14" hidden="1" x14ac:dyDescent="0.15">
      <c r="A2527">
        <v>2527</v>
      </c>
      <c r="B2527" t="s">
        <v>35</v>
      </c>
      <c r="C2527" t="s">
        <v>17</v>
      </c>
      <c r="D2527" s="72" t="s">
        <v>4301</v>
      </c>
      <c r="E2527" t="s">
        <v>157</v>
      </c>
      <c r="F2527" t="s">
        <v>4302</v>
      </c>
      <c r="G2527" s="92">
        <v>42700.525300925925</v>
      </c>
      <c r="H2527" s="92">
        <v>42700.525300925925</v>
      </c>
      <c r="I2527" s="92">
        <v>42700.525300925925</v>
      </c>
      <c r="J2527" s="92"/>
      <c r="K2527" s="92">
        <v>42700.526759259257</v>
      </c>
      <c r="L2527" s="92">
        <f>IF(AND(单词表[[#This Row],[学英]]&lt;&gt;"",单词表[[#This Row],[学中]]&lt;&gt;"",单词表[[#This Row],[学词]]&lt;&gt;""),MAX(单词表[[#This Row],[学英]:[学词]]),"")</f>
        <v>42700.525300925925</v>
      </c>
      <c r="M2527" s="2" t="str">
        <f>IF(AND(单词表[[#This Row],[考英]]&lt;&gt;"",单词表[[#This Row],[考中]]&lt;&gt;""),MAX(单词表[[#This Row],[考英]:[考中]]),"")</f>
        <v/>
      </c>
      <c r="N2527" s="79"/>
    </row>
    <row r="2528" spans="1:14" hidden="1" x14ac:dyDescent="0.15">
      <c r="A2528">
        <v>2528</v>
      </c>
      <c r="B2528" t="s">
        <v>35</v>
      </c>
      <c r="C2528" t="s">
        <v>17</v>
      </c>
      <c r="D2528" s="72" t="s">
        <v>4303</v>
      </c>
      <c r="E2528" t="s">
        <v>61</v>
      </c>
      <c r="F2528" t="s">
        <v>4304</v>
      </c>
      <c r="G2528" s="92">
        <v>42700.525381944448</v>
      </c>
      <c r="H2528" s="92">
        <v>42700.525381944448</v>
      </c>
      <c r="I2528" s="92">
        <v>42700.525381944448</v>
      </c>
      <c r="J2528" s="92"/>
      <c r="K2528" s="92">
        <v>42700.52685185185</v>
      </c>
      <c r="L2528" s="92">
        <f>IF(AND(单词表[[#This Row],[学英]]&lt;&gt;"",单词表[[#This Row],[学中]]&lt;&gt;"",单词表[[#This Row],[学词]]&lt;&gt;""),MAX(单词表[[#This Row],[学英]:[学词]]),"")</f>
        <v>42700.525381944448</v>
      </c>
      <c r="M2528" s="2" t="str">
        <f>IF(AND(单词表[[#This Row],[考英]]&lt;&gt;"",单词表[[#This Row],[考中]]&lt;&gt;""),MAX(单词表[[#This Row],[考英]:[考中]]),"")</f>
        <v/>
      </c>
      <c r="N2528" s="79"/>
    </row>
    <row r="2529" spans="1:14" hidden="1" x14ac:dyDescent="0.15">
      <c r="A2529">
        <v>2529</v>
      </c>
      <c r="B2529" t="s">
        <v>35</v>
      </c>
      <c r="C2529" t="s">
        <v>17</v>
      </c>
      <c r="D2529" s="72" t="s">
        <v>2566</v>
      </c>
      <c r="E2529" t="s">
        <v>36</v>
      </c>
      <c r="F2529" t="s">
        <v>4305</v>
      </c>
      <c r="G2529" s="92">
        <v>42700.52542824074</v>
      </c>
      <c r="H2529" s="92">
        <v>42700.52542824074</v>
      </c>
      <c r="I2529" s="92">
        <v>42700.52542824074</v>
      </c>
      <c r="J2529" s="92"/>
      <c r="K2529" s="92">
        <v>42700.526886574073</v>
      </c>
      <c r="L2529" s="92">
        <f>IF(AND(单词表[[#This Row],[学英]]&lt;&gt;"",单词表[[#This Row],[学中]]&lt;&gt;"",单词表[[#This Row],[学词]]&lt;&gt;""),MAX(单词表[[#This Row],[学英]:[学词]]),"")</f>
        <v>42700.52542824074</v>
      </c>
      <c r="M2529" s="2" t="str">
        <f>IF(AND(单词表[[#This Row],[考英]]&lt;&gt;"",单词表[[#This Row],[考中]]&lt;&gt;""),MAX(单词表[[#This Row],[考英]:[考中]]),"")</f>
        <v/>
      </c>
      <c r="N2529" s="79"/>
    </row>
    <row r="2530" spans="1:14" hidden="1" x14ac:dyDescent="0.15">
      <c r="A2530">
        <v>2530</v>
      </c>
      <c r="B2530" t="s">
        <v>35</v>
      </c>
      <c r="C2530" t="s">
        <v>17</v>
      </c>
      <c r="D2530" s="72" t="s">
        <v>697</v>
      </c>
      <c r="E2530" t="s">
        <v>61</v>
      </c>
      <c r="F2530" t="s">
        <v>698</v>
      </c>
      <c r="G2530" s="92">
        <v>42700.525462962964</v>
      </c>
      <c r="H2530" s="92">
        <v>42700.525462962964</v>
      </c>
      <c r="I2530" s="92">
        <v>42700.525462962964</v>
      </c>
      <c r="J2530" s="92"/>
      <c r="K2530" s="92">
        <v>42700.526956018519</v>
      </c>
      <c r="L2530" s="92">
        <f>IF(AND(单词表[[#This Row],[学英]]&lt;&gt;"",单词表[[#This Row],[学中]]&lt;&gt;"",单词表[[#This Row],[学词]]&lt;&gt;""),MAX(单词表[[#This Row],[学英]:[学词]]),"")</f>
        <v>42700.525462962964</v>
      </c>
      <c r="M2530" s="2" t="str">
        <f>IF(AND(单词表[[#This Row],[考英]]&lt;&gt;"",单词表[[#This Row],[考中]]&lt;&gt;""),MAX(单词表[[#This Row],[考英]:[考中]]),"")</f>
        <v/>
      </c>
      <c r="N2530" s="79"/>
    </row>
    <row r="2531" spans="1:14" hidden="1" x14ac:dyDescent="0.15">
      <c r="A2531">
        <v>2531</v>
      </c>
      <c r="B2531" t="s">
        <v>35</v>
      </c>
      <c r="C2531" t="s">
        <v>18</v>
      </c>
      <c r="D2531" s="72" t="s">
        <v>1850</v>
      </c>
      <c r="E2531" t="s">
        <v>36</v>
      </c>
      <c r="F2531" t="s">
        <v>1851</v>
      </c>
      <c r="G2531" s="92">
        <v>42703.65221064815</v>
      </c>
      <c r="H2531" s="92">
        <v>42703.65221064815</v>
      </c>
      <c r="I2531" s="92">
        <v>42703.65221064815</v>
      </c>
      <c r="J2531" s="92"/>
      <c r="K2531" s="92">
        <v>42715.511932870373</v>
      </c>
      <c r="L2531" s="92">
        <f>IF(AND(单词表[[#This Row],[学英]]&lt;&gt;"",单词表[[#This Row],[学中]]&lt;&gt;"",单词表[[#This Row],[学词]]&lt;&gt;""),MAX(单词表[[#This Row],[学英]:[学词]]),"")</f>
        <v>42703.65221064815</v>
      </c>
      <c r="M2531" s="2" t="str">
        <f>IF(AND(单词表[[#This Row],[考英]]&lt;&gt;"",单词表[[#This Row],[考中]]&lt;&gt;""),MAX(单词表[[#This Row],[考英]:[考中]]),"")</f>
        <v/>
      </c>
      <c r="N2531" s="79"/>
    </row>
    <row r="2532" spans="1:14" hidden="1" x14ac:dyDescent="0.15">
      <c r="A2532">
        <v>2532</v>
      </c>
      <c r="B2532" t="s">
        <v>35</v>
      </c>
      <c r="C2532" t="s">
        <v>18</v>
      </c>
      <c r="D2532" s="72" t="s">
        <v>4306</v>
      </c>
      <c r="E2532" t="s">
        <v>1019</v>
      </c>
      <c r="F2532" t="s">
        <v>4307</v>
      </c>
      <c r="G2532" s="92">
        <v>42703.652233796296</v>
      </c>
      <c r="H2532" s="92">
        <v>42715.512465277781</v>
      </c>
      <c r="I2532" s="92">
        <v>42715.512465277781</v>
      </c>
      <c r="J2532" s="92"/>
      <c r="K2532" s="92">
        <v>42715.512592592589</v>
      </c>
      <c r="L2532" s="92">
        <f>IF(AND(单词表[[#This Row],[学英]]&lt;&gt;"",单词表[[#This Row],[学中]]&lt;&gt;"",单词表[[#This Row],[学词]]&lt;&gt;""),MAX(单词表[[#This Row],[学英]:[学词]]),"")</f>
        <v>42715.512465277781</v>
      </c>
      <c r="M2532" s="2" t="str">
        <f>IF(AND(单词表[[#This Row],[考英]]&lt;&gt;"",单词表[[#This Row],[考中]]&lt;&gt;""),MAX(单词表[[#This Row],[考英]:[考中]]),"")</f>
        <v/>
      </c>
      <c r="N2532" s="79"/>
    </row>
    <row r="2533" spans="1:14" hidden="1" x14ac:dyDescent="0.15">
      <c r="A2533">
        <v>2533</v>
      </c>
      <c r="B2533" t="s">
        <v>35</v>
      </c>
      <c r="C2533" t="s">
        <v>18</v>
      </c>
      <c r="D2533" s="72" t="s">
        <v>563</v>
      </c>
      <c r="E2533" t="s">
        <v>36</v>
      </c>
      <c r="F2533" t="s">
        <v>4308</v>
      </c>
      <c r="G2533" s="92">
        <v>42703.652256944442</v>
      </c>
      <c r="H2533" s="92">
        <v>42703.652256944442</v>
      </c>
      <c r="I2533" s="92">
        <v>42703.652256944442</v>
      </c>
      <c r="J2533" s="92"/>
      <c r="K2533" s="92">
        <v>42715.512106481481</v>
      </c>
      <c r="L2533" s="92">
        <f>IF(AND(单词表[[#This Row],[学英]]&lt;&gt;"",单词表[[#This Row],[学中]]&lt;&gt;"",单词表[[#This Row],[学词]]&lt;&gt;""),MAX(单词表[[#This Row],[学英]:[学词]]),"")</f>
        <v>42703.652256944442</v>
      </c>
      <c r="M2533" s="2" t="str">
        <f>IF(AND(单词表[[#This Row],[考英]]&lt;&gt;"",单词表[[#This Row],[考中]]&lt;&gt;""),MAX(单词表[[#This Row],[考英]:[考中]]),"")</f>
        <v/>
      </c>
      <c r="N2533" s="79"/>
    </row>
    <row r="2534" spans="1:14" hidden="1" x14ac:dyDescent="0.15">
      <c r="A2534">
        <v>2534</v>
      </c>
      <c r="B2534" t="s">
        <v>35</v>
      </c>
      <c r="C2534" t="s">
        <v>18</v>
      </c>
      <c r="D2534" s="72" t="s">
        <v>4309</v>
      </c>
      <c r="E2534" t="s">
        <v>36</v>
      </c>
      <c r="F2534" t="s">
        <v>4310</v>
      </c>
      <c r="G2534" s="92">
        <v>42715.496863425928</v>
      </c>
      <c r="H2534" s="92">
        <v>42715.511550925927</v>
      </c>
      <c r="I2534" s="92">
        <v>42715.511550925927</v>
      </c>
      <c r="J2534" s="92"/>
      <c r="K2534" s="92">
        <v>42715.512141203704</v>
      </c>
      <c r="L2534" s="92">
        <f>IF(AND(单词表[[#This Row],[学英]]&lt;&gt;"",单词表[[#This Row],[学中]]&lt;&gt;"",单词表[[#This Row],[学词]]&lt;&gt;""),MAX(单词表[[#This Row],[学英]:[学词]]),"")</f>
        <v>42715.511550925927</v>
      </c>
      <c r="M2534" s="2" t="str">
        <f>IF(AND(单词表[[#This Row],[考英]]&lt;&gt;"",单词表[[#This Row],[考中]]&lt;&gt;""),MAX(单词表[[#This Row],[考英]:[考中]]),"")</f>
        <v/>
      </c>
      <c r="N2534" s="79"/>
    </row>
    <row r="2535" spans="1:14" hidden="1" x14ac:dyDescent="0.15">
      <c r="A2535">
        <v>2535</v>
      </c>
      <c r="B2535" t="s">
        <v>35</v>
      </c>
      <c r="C2535" t="s">
        <v>18</v>
      </c>
      <c r="D2535" s="72" t="s">
        <v>1468</v>
      </c>
      <c r="E2535" t="s">
        <v>73</v>
      </c>
      <c r="F2535" t="s">
        <v>4311</v>
      </c>
      <c r="G2535" s="92">
        <v>42715.496886574074</v>
      </c>
      <c r="H2535" s="92">
        <v>42715.511620370373</v>
      </c>
      <c r="I2535" s="92">
        <v>42715.511620370373</v>
      </c>
      <c r="J2535" s="92"/>
      <c r="K2535" s="92">
        <v>42715.512175925927</v>
      </c>
      <c r="L2535" s="92">
        <f>IF(AND(单词表[[#This Row],[学英]]&lt;&gt;"",单词表[[#This Row],[学中]]&lt;&gt;"",单词表[[#This Row],[学词]]&lt;&gt;""),MAX(单词表[[#This Row],[学英]:[学词]]),"")</f>
        <v>42715.511620370373</v>
      </c>
      <c r="M2535" s="2" t="str">
        <f>IF(AND(单词表[[#This Row],[考英]]&lt;&gt;"",单词表[[#This Row],[考中]]&lt;&gt;""),MAX(单词表[[#This Row],[考英]:[考中]]),"")</f>
        <v/>
      </c>
      <c r="N2535" s="79"/>
    </row>
    <row r="2536" spans="1:14" hidden="1" x14ac:dyDescent="0.15">
      <c r="A2536">
        <v>2536</v>
      </c>
      <c r="B2536" t="s">
        <v>35</v>
      </c>
      <c r="C2536" t="s">
        <v>18</v>
      </c>
      <c r="D2536" s="72" t="s">
        <v>4312</v>
      </c>
      <c r="E2536" t="s">
        <v>73</v>
      </c>
      <c r="F2536" t="s">
        <v>4313</v>
      </c>
      <c r="G2536" s="92">
        <v>42715.496921296297</v>
      </c>
      <c r="H2536" s="92">
        <v>42715.496921296297</v>
      </c>
      <c r="I2536" s="92">
        <v>42715.496921296297</v>
      </c>
      <c r="J2536" s="92"/>
      <c r="K2536" s="92">
        <v>42715.51221064815</v>
      </c>
      <c r="L2536" s="92">
        <f>IF(AND(单词表[[#This Row],[学英]]&lt;&gt;"",单词表[[#This Row],[学中]]&lt;&gt;"",单词表[[#This Row],[学词]]&lt;&gt;""),MAX(单词表[[#This Row],[学英]:[学词]]),"")</f>
        <v>42715.496921296297</v>
      </c>
      <c r="M2536" s="2" t="str">
        <f>IF(AND(单词表[[#This Row],[考英]]&lt;&gt;"",单词表[[#This Row],[考中]]&lt;&gt;""),MAX(单词表[[#This Row],[考英]:[考中]]),"")</f>
        <v/>
      </c>
      <c r="N2536" s="79"/>
    </row>
    <row r="2537" spans="1:14" hidden="1" x14ac:dyDescent="0.15">
      <c r="A2537">
        <v>2537</v>
      </c>
      <c r="B2537" t="s">
        <v>35</v>
      </c>
      <c r="C2537" t="s">
        <v>18</v>
      </c>
      <c r="D2537" s="72" t="s">
        <v>944</v>
      </c>
      <c r="E2537" t="s">
        <v>73</v>
      </c>
      <c r="F2537" t="s">
        <v>4314</v>
      </c>
      <c r="G2537" s="92">
        <v>42715.496932870374</v>
      </c>
      <c r="H2537" s="92">
        <v>42715.496932870374</v>
      </c>
      <c r="I2537" s="92">
        <v>42715.496932870374</v>
      </c>
      <c r="J2537" s="92"/>
      <c r="K2537" s="92">
        <v>42715.512245370373</v>
      </c>
      <c r="L2537" s="92">
        <f>IF(AND(单词表[[#This Row],[学英]]&lt;&gt;"",单词表[[#This Row],[学中]]&lt;&gt;"",单词表[[#This Row],[学词]]&lt;&gt;""),MAX(单词表[[#This Row],[学英]:[学词]]),"")</f>
        <v>42715.496932870374</v>
      </c>
      <c r="M2537" s="2" t="str">
        <f>IF(AND(单词表[[#This Row],[考英]]&lt;&gt;"",单词表[[#This Row],[考中]]&lt;&gt;""),MAX(单词表[[#This Row],[考英]:[考中]]),"")</f>
        <v/>
      </c>
      <c r="N2537" s="79"/>
    </row>
    <row r="2538" spans="1:14" hidden="1" x14ac:dyDescent="0.15">
      <c r="A2538">
        <v>2538</v>
      </c>
      <c r="B2538" t="s">
        <v>35</v>
      </c>
      <c r="C2538" t="s">
        <v>18</v>
      </c>
      <c r="D2538" s="72" t="s">
        <v>1720</v>
      </c>
      <c r="E2538" t="s">
        <v>73</v>
      </c>
      <c r="F2538" t="s">
        <v>1721</v>
      </c>
      <c r="G2538" s="92">
        <v>42715.496967592589</v>
      </c>
      <c r="H2538" s="92">
        <v>42715.496967592589</v>
      </c>
      <c r="I2538" s="92">
        <v>42715.496967592589</v>
      </c>
      <c r="J2538" s="92"/>
      <c r="K2538" s="92">
        <v>42715.512280092589</v>
      </c>
      <c r="L2538" s="92">
        <f>IF(AND(单词表[[#This Row],[学英]]&lt;&gt;"",单词表[[#This Row],[学中]]&lt;&gt;"",单词表[[#This Row],[学词]]&lt;&gt;""),MAX(单词表[[#This Row],[学英]:[学词]]),"")</f>
        <v>42715.496967592589</v>
      </c>
      <c r="M2538" s="2" t="str">
        <f>IF(AND(单词表[[#This Row],[考英]]&lt;&gt;"",单词表[[#This Row],[考中]]&lt;&gt;""),MAX(单词表[[#This Row],[考英]:[考中]]),"")</f>
        <v/>
      </c>
      <c r="N2538" s="79"/>
    </row>
    <row r="2539" spans="1:14" hidden="1" x14ac:dyDescent="0.15">
      <c r="A2539">
        <v>2539</v>
      </c>
      <c r="B2539" t="s">
        <v>35</v>
      </c>
      <c r="C2539" t="s">
        <v>18</v>
      </c>
      <c r="D2539" s="72" t="s">
        <v>4315</v>
      </c>
      <c r="E2539" t="s">
        <v>73</v>
      </c>
      <c r="F2539" t="s">
        <v>4316</v>
      </c>
      <c r="G2539" s="92">
        <v>42715.496990740743</v>
      </c>
      <c r="H2539" s="92">
        <v>42715.496990740743</v>
      </c>
      <c r="I2539" s="92">
        <v>42715.496990740743</v>
      </c>
      <c r="J2539" s="92"/>
      <c r="K2539" s="92">
        <v>42715.512314814812</v>
      </c>
      <c r="L2539" s="92">
        <f>IF(AND(单词表[[#This Row],[学英]]&lt;&gt;"",单词表[[#This Row],[学中]]&lt;&gt;"",单词表[[#This Row],[学词]]&lt;&gt;""),MAX(单词表[[#This Row],[学英]:[学词]]),"")</f>
        <v>42715.496990740743</v>
      </c>
      <c r="M2539" s="2" t="str">
        <f>IF(AND(单词表[[#This Row],[考英]]&lt;&gt;"",单词表[[#This Row],[考中]]&lt;&gt;""),MAX(单词表[[#This Row],[考英]:[考中]]),"")</f>
        <v/>
      </c>
      <c r="N2539" s="79"/>
    </row>
    <row r="2540" spans="1:14" hidden="1" x14ac:dyDescent="0.15">
      <c r="A2540">
        <v>2540</v>
      </c>
      <c r="B2540" t="s">
        <v>35</v>
      </c>
      <c r="C2540" t="s">
        <v>18</v>
      </c>
      <c r="D2540" s="72" t="s">
        <v>4317</v>
      </c>
      <c r="E2540" t="s">
        <v>73</v>
      </c>
      <c r="F2540" t="s">
        <v>4318</v>
      </c>
      <c r="G2540" s="92">
        <v>42715.497048611112</v>
      </c>
      <c r="H2540" s="92">
        <v>42715.511793981481</v>
      </c>
      <c r="I2540" s="92">
        <v>42715.511793981481</v>
      </c>
      <c r="J2540" s="92"/>
      <c r="K2540" s="92">
        <v>42715.512349537035</v>
      </c>
      <c r="L2540" s="92">
        <f>IF(AND(单词表[[#This Row],[学英]]&lt;&gt;"",单词表[[#This Row],[学中]]&lt;&gt;"",单词表[[#This Row],[学词]]&lt;&gt;""),MAX(单词表[[#This Row],[学英]:[学词]]),"")</f>
        <v>42715.511793981481</v>
      </c>
      <c r="M2540" s="2" t="str">
        <f>IF(AND(单词表[[#This Row],[考英]]&lt;&gt;"",单词表[[#This Row],[考中]]&lt;&gt;""),MAX(单词表[[#This Row],[考英]:[考中]]),"")</f>
        <v/>
      </c>
      <c r="N2540" s="79"/>
    </row>
    <row r="2541" spans="1:14" hidden="1" x14ac:dyDescent="0.15">
      <c r="A2541">
        <v>2541</v>
      </c>
      <c r="B2541" t="s">
        <v>35</v>
      </c>
      <c r="C2541" t="s">
        <v>18</v>
      </c>
      <c r="D2541" s="72" t="s">
        <v>4319</v>
      </c>
      <c r="E2541" t="s">
        <v>36</v>
      </c>
      <c r="F2541" t="s">
        <v>4320</v>
      </c>
      <c r="G2541" s="92">
        <v>42715.512800925928</v>
      </c>
      <c r="H2541" s="92">
        <v>42715.512800925928</v>
      </c>
      <c r="I2541" s="92">
        <v>42715.512800925928</v>
      </c>
      <c r="J2541" s="92"/>
      <c r="K2541" s="92">
        <v>42715.513298611113</v>
      </c>
      <c r="L2541" s="92">
        <f>IF(AND(单词表[[#This Row],[学英]]&lt;&gt;"",单词表[[#This Row],[学中]]&lt;&gt;"",单词表[[#This Row],[学词]]&lt;&gt;""),MAX(单词表[[#This Row],[学英]:[学词]]),"")</f>
        <v>42715.512800925928</v>
      </c>
      <c r="M2541" s="2" t="str">
        <f>IF(AND(单词表[[#This Row],[考英]]&lt;&gt;"",单词表[[#This Row],[考中]]&lt;&gt;""),MAX(单词表[[#This Row],[考英]:[考中]]),"")</f>
        <v/>
      </c>
      <c r="N2541" s="79"/>
    </row>
    <row r="2542" spans="1:14" hidden="1" x14ac:dyDescent="0.15">
      <c r="A2542">
        <v>2542</v>
      </c>
      <c r="B2542" t="s">
        <v>35</v>
      </c>
      <c r="C2542" t="s">
        <v>18</v>
      </c>
      <c r="D2542" s="72" t="s">
        <v>1792</v>
      </c>
      <c r="E2542" t="s">
        <v>36</v>
      </c>
      <c r="F2542" t="s">
        <v>5574</v>
      </c>
      <c r="G2542" s="92">
        <v>42715.512835648151</v>
      </c>
      <c r="H2542" s="92">
        <v>42715.512835648151</v>
      </c>
      <c r="I2542" s="92">
        <v>42715.512835648151</v>
      </c>
      <c r="J2542" s="92"/>
      <c r="K2542" s="92">
        <v>42715.513333333336</v>
      </c>
      <c r="L2542" s="92">
        <f>IF(AND(单词表[[#This Row],[学英]]&lt;&gt;"",单词表[[#This Row],[学中]]&lt;&gt;"",单词表[[#This Row],[学词]]&lt;&gt;""),MAX(单词表[[#This Row],[学英]:[学词]]),"")</f>
        <v>42715.512835648151</v>
      </c>
      <c r="M2542" s="2" t="str">
        <f>IF(AND(单词表[[#This Row],[考英]]&lt;&gt;"",单词表[[#This Row],[考中]]&lt;&gt;""),MAX(单词表[[#This Row],[考英]:[考中]]),"")</f>
        <v/>
      </c>
      <c r="N2542" s="79"/>
    </row>
    <row r="2543" spans="1:14" hidden="1" x14ac:dyDescent="0.15">
      <c r="A2543">
        <v>2543</v>
      </c>
      <c r="B2543" t="s">
        <v>35</v>
      </c>
      <c r="C2543" t="s">
        <v>18</v>
      </c>
      <c r="D2543" s="72" t="s">
        <v>4321</v>
      </c>
      <c r="E2543" t="s">
        <v>736</v>
      </c>
      <c r="F2543" t="s">
        <v>5575</v>
      </c>
      <c r="G2543" s="92">
        <v>42715.51284722222</v>
      </c>
      <c r="H2543" s="92">
        <v>42715.599930555552</v>
      </c>
      <c r="I2543" s="92">
        <v>42715.599930555552</v>
      </c>
      <c r="J2543" s="92"/>
      <c r="K2543" s="92">
        <v>42715.600162037037</v>
      </c>
      <c r="L2543" s="92">
        <f>IF(AND(单词表[[#This Row],[学英]]&lt;&gt;"",单词表[[#This Row],[学中]]&lt;&gt;"",单词表[[#This Row],[学词]]&lt;&gt;""),MAX(单词表[[#This Row],[学英]:[学词]]),"")</f>
        <v>42715.599930555552</v>
      </c>
      <c r="M2543" s="2" t="str">
        <f>IF(AND(单词表[[#This Row],[考英]]&lt;&gt;"",单词表[[#This Row],[考中]]&lt;&gt;""),MAX(单词表[[#This Row],[考英]:[考中]]),"")</f>
        <v/>
      </c>
      <c r="N2543" s="79"/>
    </row>
    <row r="2544" spans="1:14" hidden="1" x14ac:dyDescent="0.15">
      <c r="A2544">
        <v>2544</v>
      </c>
      <c r="B2544" t="s">
        <v>35</v>
      </c>
      <c r="C2544" t="s">
        <v>18</v>
      </c>
      <c r="D2544" s="72" t="s">
        <v>3231</v>
      </c>
      <c r="E2544" t="s">
        <v>73</v>
      </c>
      <c r="F2544" t="s">
        <v>3232</v>
      </c>
      <c r="G2544" s="92">
        <v>42715.512858796297</v>
      </c>
      <c r="H2544" s="92">
        <v>42715.512858796297</v>
      </c>
      <c r="I2544" s="92">
        <v>42715.512858796297</v>
      </c>
      <c r="J2544" s="92"/>
      <c r="K2544" s="92">
        <v>42715.513414351852</v>
      </c>
      <c r="L2544" s="92">
        <f>IF(AND(单词表[[#This Row],[学英]]&lt;&gt;"",单词表[[#This Row],[学中]]&lt;&gt;"",单词表[[#This Row],[学词]]&lt;&gt;""),MAX(单词表[[#This Row],[学英]:[学词]]),"")</f>
        <v>42715.512858796297</v>
      </c>
      <c r="M2544" s="2" t="str">
        <f>IF(AND(单词表[[#This Row],[考英]]&lt;&gt;"",单词表[[#This Row],[考中]]&lt;&gt;""),MAX(单词表[[#This Row],[考英]:[考中]]),"")</f>
        <v/>
      </c>
      <c r="N2544" s="79"/>
    </row>
    <row r="2545" spans="1:14" hidden="1" x14ac:dyDescent="0.15">
      <c r="A2545">
        <v>2545</v>
      </c>
      <c r="B2545" t="s">
        <v>35</v>
      </c>
      <c r="C2545" t="s">
        <v>18</v>
      </c>
      <c r="D2545" s="72" t="s">
        <v>234</v>
      </c>
      <c r="E2545" t="s">
        <v>36</v>
      </c>
      <c r="F2545" t="s">
        <v>235</v>
      </c>
      <c r="G2545" s="92">
        <v>42715.51289351852</v>
      </c>
      <c r="H2545" s="92">
        <v>42715.51289351852</v>
      </c>
      <c r="I2545" s="92">
        <v>42715.51289351852</v>
      </c>
      <c r="J2545" s="92"/>
      <c r="K2545" s="92">
        <v>42715.513460648152</v>
      </c>
      <c r="L2545" s="92">
        <f>IF(AND(单词表[[#This Row],[学英]]&lt;&gt;"",单词表[[#This Row],[学中]]&lt;&gt;"",单词表[[#This Row],[学词]]&lt;&gt;""),MAX(单词表[[#This Row],[学英]:[学词]]),"")</f>
        <v>42715.51289351852</v>
      </c>
      <c r="M2545" s="2" t="str">
        <f>IF(AND(单词表[[#This Row],[考英]]&lt;&gt;"",单词表[[#This Row],[考中]]&lt;&gt;""),MAX(单词表[[#This Row],[考英]:[考中]]),"")</f>
        <v/>
      </c>
      <c r="N2545" s="79"/>
    </row>
    <row r="2546" spans="1:14" hidden="1" x14ac:dyDescent="0.15">
      <c r="A2546">
        <v>2546</v>
      </c>
      <c r="B2546" t="s">
        <v>35</v>
      </c>
      <c r="C2546" t="s">
        <v>18</v>
      </c>
      <c r="D2546" s="72" t="s">
        <v>4322</v>
      </c>
      <c r="E2546" t="s">
        <v>73</v>
      </c>
      <c r="F2546" t="s">
        <v>4323</v>
      </c>
      <c r="G2546" s="92">
        <v>42715.51290509259</v>
      </c>
      <c r="H2546" s="92">
        <v>42715.51290509259</v>
      </c>
      <c r="I2546" s="92">
        <v>42715.51290509259</v>
      </c>
      <c r="J2546" s="92"/>
      <c r="K2546" s="92">
        <v>42715.513506944444</v>
      </c>
      <c r="L2546" s="92">
        <f>IF(AND(单词表[[#This Row],[学英]]&lt;&gt;"",单词表[[#This Row],[学中]]&lt;&gt;"",单词表[[#This Row],[学词]]&lt;&gt;""),MAX(单词表[[#This Row],[学英]:[学词]]),"")</f>
        <v>42715.51290509259</v>
      </c>
      <c r="M2546" s="2" t="str">
        <f>IF(AND(单词表[[#This Row],[考英]]&lt;&gt;"",单词表[[#This Row],[考中]]&lt;&gt;""),MAX(单词表[[#This Row],[考英]:[考中]]),"")</f>
        <v/>
      </c>
      <c r="N2546" s="79"/>
    </row>
    <row r="2547" spans="1:14" hidden="1" x14ac:dyDescent="0.15">
      <c r="A2547">
        <v>2547</v>
      </c>
      <c r="B2547" t="s">
        <v>35</v>
      </c>
      <c r="C2547" t="s">
        <v>18</v>
      </c>
      <c r="D2547" s="72" t="s">
        <v>4324</v>
      </c>
      <c r="E2547" t="s">
        <v>36</v>
      </c>
      <c r="F2547" t="s">
        <v>4325</v>
      </c>
      <c r="G2547" s="92">
        <v>42715.512939814813</v>
      </c>
      <c r="H2547" s="92">
        <v>42715.600740740738</v>
      </c>
      <c r="I2547" s="92">
        <v>42715.600740740738</v>
      </c>
      <c r="J2547" s="92"/>
      <c r="K2547" s="92">
        <v>42715.601041666669</v>
      </c>
      <c r="L2547" s="92">
        <f>IF(AND(单词表[[#This Row],[学英]]&lt;&gt;"",单词表[[#This Row],[学中]]&lt;&gt;"",单词表[[#This Row],[学词]]&lt;&gt;""),MAX(单词表[[#This Row],[学英]:[学词]]),"")</f>
        <v>42715.600740740738</v>
      </c>
      <c r="M2547" s="2" t="str">
        <f>IF(AND(单词表[[#This Row],[考英]]&lt;&gt;"",单词表[[#This Row],[考中]]&lt;&gt;""),MAX(单词表[[#This Row],[考英]:[考中]]),"")</f>
        <v/>
      </c>
      <c r="N2547" s="79"/>
    </row>
    <row r="2548" spans="1:14" hidden="1" x14ac:dyDescent="0.15">
      <c r="A2548">
        <v>2548</v>
      </c>
      <c r="B2548" t="s">
        <v>35</v>
      </c>
      <c r="C2548" t="s">
        <v>18</v>
      </c>
      <c r="D2548" s="72" t="s">
        <v>4326</v>
      </c>
      <c r="E2548" t="s">
        <v>36</v>
      </c>
      <c r="F2548" t="s">
        <v>4327</v>
      </c>
      <c r="G2548" s="92">
        <v>42715.51295138889</v>
      </c>
      <c r="H2548" s="92">
        <v>42715.600752314815</v>
      </c>
      <c r="I2548" s="92">
        <v>42715.600752314815</v>
      </c>
      <c r="J2548" s="92"/>
      <c r="K2548" s="92">
        <v>42715.601076388892</v>
      </c>
      <c r="L2548" s="92">
        <f>IF(AND(单词表[[#This Row],[学英]]&lt;&gt;"",单词表[[#This Row],[学中]]&lt;&gt;"",单词表[[#This Row],[学词]]&lt;&gt;""),MAX(单词表[[#This Row],[学英]:[学词]]),"")</f>
        <v>42715.600752314815</v>
      </c>
      <c r="M2548" s="2" t="str">
        <f>IF(AND(单词表[[#This Row],[考英]]&lt;&gt;"",单词表[[#This Row],[考中]]&lt;&gt;""),MAX(单词表[[#This Row],[考英]:[考中]]),"")</f>
        <v/>
      </c>
      <c r="N2548" s="79"/>
    </row>
    <row r="2549" spans="1:14" hidden="1" x14ac:dyDescent="0.15">
      <c r="A2549">
        <v>2549</v>
      </c>
      <c r="B2549" t="s">
        <v>35</v>
      </c>
      <c r="C2549" t="s">
        <v>18</v>
      </c>
      <c r="D2549" s="72" t="s">
        <v>4328</v>
      </c>
      <c r="E2549" t="s">
        <v>36</v>
      </c>
      <c r="F2549" t="s">
        <v>4329</v>
      </c>
      <c r="G2549" s="92">
        <v>42715.512986111113</v>
      </c>
      <c r="H2549" s="92">
        <v>42715.512986111113</v>
      </c>
      <c r="I2549" s="92">
        <v>42715.512986111113</v>
      </c>
      <c r="J2549" s="92"/>
      <c r="K2549" s="92">
        <v>42715.600254629629</v>
      </c>
      <c r="L2549" s="92">
        <f>IF(AND(单词表[[#This Row],[学英]]&lt;&gt;"",单词表[[#This Row],[学中]]&lt;&gt;"",单词表[[#This Row],[学词]]&lt;&gt;""),MAX(单词表[[#This Row],[学英]:[学词]]),"")</f>
        <v>42715.512986111113</v>
      </c>
      <c r="M2549" s="2" t="str">
        <f>IF(AND(单词表[[#This Row],[考英]]&lt;&gt;"",单词表[[#This Row],[考中]]&lt;&gt;""),MAX(单词表[[#This Row],[考英]:[考中]]),"")</f>
        <v/>
      </c>
      <c r="N2549" s="79"/>
    </row>
    <row r="2550" spans="1:14" hidden="1" x14ac:dyDescent="0.15">
      <c r="A2550">
        <v>2550</v>
      </c>
      <c r="B2550" t="s">
        <v>35</v>
      </c>
      <c r="C2550" t="s">
        <v>18</v>
      </c>
      <c r="D2550" s="72" t="s">
        <v>2551</v>
      </c>
      <c r="E2550" t="s">
        <v>36</v>
      </c>
      <c r="F2550" t="s">
        <v>2552</v>
      </c>
      <c r="G2550" s="92">
        <v>42715.513009259259</v>
      </c>
      <c r="H2550" s="92">
        <v>42715.513009259259</v>
      </c>
      <c r="I2550" s="92">
        <v>42715.513009259259</v>
      </c>
      <c r="J2550" s="92"/>
      <c r="K2550" s="92">
        <v>42715.600289351853</v>
      </c>
      <c r="L2550" s="92">
        <f>IF(AND(单词表[[#This Row],[学英]]&lt;&gt;"",单词表[[#This Row],[学中]]&lt;&gt;"",单词表[[#This Row],[学词]]&lt;&gt;""),MAX(单词表[[#This Row],[学英]:[学词]]),"")</f>
        <v>42715.513009259259</v>
      </c>
      <c r="M2550" s="2" t="str">
        <f>IF(AND(单词表[[#This Row],[考英]]&lt;&gt;"",单词表[[#This Row],[考中]]&lt;&gt;""),MAX(单词表[[#This Row],[考英]:[考中]]),"")</f>
        <v/>
      </c>
      <c r="N2550" s="79"/>
    </row>
    <row r="2551" spans="1:14" hidden="1" x14ac:dyDescent="0.15">
      <c r="A2551">
        <v>2551</v>
      </c>
      <c r="B2551" t="s">
        <v>35</v>
      </c>
      <c r="C2551" t="s">
        <v>18</v>
      </c>
      <c r="D2551" s="72" t="s">
        <v>4330</v>
      </c>
      <c r="E2551" t="s">
        <v>73</v>
      </c>
      <c r="F2551" t="s">
        <v>4331</v>
      </c>
      <c r="G2551" s="92">
        <v>42715.513032407405</v>
      </c>
      <c r="H2551" s="92">
        <v>42715.513032407405</v>
      </c>
      <c r="I2551" s="92">
        <v>42715.513032407405</v>
      </c>
      <c r="J2551" s="92"/>
      <c r="K2551" s="92">
        <v>42715.600439814814</v>
      </c>
      <c r="L2551" s="92">
        <f>IF(AND(单词表[[#This Row],[学英]]&lt;&gt;"",单词表[[#This Row],[学中]]&lt;&gt;"",单词表[[#This Row],[学词]]&lt;&gt;""),MAX(单词表[[#This Row],[学英]:[学词]]),"")</f>
        <v>42715.513032407405</v>
      </c>
      <c r="M2551" s="2" t="str">
        <f>IF(AND(单词表[[#This Row],[考英]]&lt;&gt;"",单词表[[#This Row],[考中]]&lt;&gt;""),MAX(单词表[[#This Row],[考英]:[考中]]),"")</f>
        <v/>
      </c>
      <c r="N2551" s="79"/>
    </row>
    <row r="2552" spans="1:14" hidden="1" x14ac:dyDescent="0.15">
      <c r="A2552">
        <v>2552</v>
      </c>
      <c r="B2552" t="s">
        <v>35</v>
      </c>
      <c r="C2552" t="s">
        <v>18</v>
      </c>
      <c r="D2552" s="72" t="s">
        <v>2122</v>
      </c>
      <c r="E2552" t="s">
        <v>36</v>
      </c>
      <c r="F2552" t="s">
        <v>4332</v>
      </c>
      <c r="G2552" s="92">
        <v>42715.513055555559</v>
      </c>
      <c r="H2552" s="92">
        <v>42715.513055555559</v>
      </c>
      <c r="I2552" s="92">
        <v>42715.513055555559</v>
      </c>
      <c r="J2552" s="92"/>
      <c r="K2552" s="92">
        <v>42715.600486111114</v>
      </c>
      <c r="L2552" s="92">
        <f>IF(AND(单词表[[#This Row],[学英]]&lt;&gt;"",单词表[[#This Row],[学中]]&lt;&gt;"",单词表[[#This Row],[学词]]&lt;&gt;""),MAX(单词表[[#This Row],[学英]:[学词]]),"")</f>
        <v>42715.513055555559</v>
      </c>
      <c r="M2552" s="2" t="str">
        <f>IF(AND(单词表[[#This Row],[考英]]&lt;&gt;"",单词表[[#This Row],[考中]]&lt;&gt;""),MAX(单词表[[#This Row],[考英]:[考中]]),"")</f>
        <v/>
      </c>
      <c r="N2552" s="79"/>
    </row>
    <row r="2553" spans="1:14" hidden="1" x14ac:dyDescent="0.15">
      <c r="A2553">
        <v>2553</v>
      </c>
      <c r="B2553" t="s">
        <v>35</v>
      </c>
      <c r="C2553" t="s">
        <v>18</v>
      </c>
      <c r="D2553" s="72" t="s">
        <v>330</v>
      </c>
      <c r="E2553" t="s">
        <v>73</v>
      </c>
      <c r="F2553" t="s">
        <v>4333</v>
      </c>
      <c r="G2553" s="92">
        <v>42715.513078703705</v>
      </c>
      <c r="H2553" s="92">
        <v>42715.600798611114</v>
      </c>
      <c r="I2553" s="92">
        <v>42715.600798611114</v>
      </c>
      <c r="J2553" s="92"/>
      <c r="K2553" s="92">
        <v>42715.601168981484</v>
      </c>
      <c r="L2553" s="92">
        <f>IF(AND(单词表[[#This Row],[学英]]&lt;&gt;"",单词表[[#This Row],[学中]]&lt;&gt;"",单词表[[#This Row],[学词]]&lt;&gt;""),MAX(单词表[[#This Row],[学英]:[学词]]),"")</f>
        <v>42715.600798611114</v>
      </c>
      <c r="M2553" s="2" t="str">
        <f>IF(AND(单词表[[#This Row],[考英]]&lt;&gt;"",单词表[[#This Row],[考中]]&lt;&gt;""),MAX(单词表[[#This Row],[考英]:[考中]]),"")</f>
        <v/>
      </c>
      <c r="N2553" s="79"/>
    </row>
    <row r="2554" spans="1:14" hidden="1" x14ac:dyDescent="0.15">
      <c r="A2554">
        <v>2554</v>
      </c>
      <c r="B2554" t="s">
        <v>35</v>
      </c>
      <c r="C2554" t="s">
        <v>18</v>
      </c>
      <c r="D2554" s="72" t="s">
        <v>4334</v>
      </c>
      <c r="E2554" t="s">
        <v>702</v>
      </c>
      <c r="F2554" t="s">
        <v>5576</v>
      </c>
      <c r="G2554" s="92">
        <v>42715.513101851851</v>
      </c>
      <c r="H2554" s="92">
        <v>42715.600810185184</v>
      </c>
      <c r="I2554" s="92">
        <v>42715.600810185184</v>
      </c>
      <c r="J2554" s="92"/>
      <c r="K2554" s="92">
        <v>42715.601215277777</v>
      </c>
      <c r="L2554" s="92">
        <f>IF(AND(单词表[[#This Row],[学英]]&lt;&gt;"",单词表[[#This Row],[学中]]&lt;&gt;"",单词表[[#This Row],[学词]]&lt;&gt;""),MAX(单词表[[#This Row],[学英]:[学词]]),"")</f>
        <v>42715.600810185184</v>
      </c>
      <c r="M2554" s="2" t="str">
        <f>IF(AND(单词表[[#This Row],[考英]]&lt;&gt;"",单词表[[#This Row],[考中]]&lt;&gt;""),MAX(单词表[[#This Row],[考英]:[考中]]),"")</f>
        <v/>
      </c>
      <c r="N2554" s="79"/>
    </row>
    <row r="2555" spans="1:14" hidden="1" x14ac:dyDescent="0.15">
      <c r="A2555">
        <v>2555</v>
      </c>
      <c r="B2555" t="s">
        <v>35</v>
      </c>
      <c r="C2555" t="s">
        <v>18</v>
      </c>
      <c r="D2555" s="72" t="s">
        <v>2478</v>
      </c>
      <c r="E2555" t="s">
        <v>73</v>
      </c>
      <c r="F2555" t="s">
        <v>2479</v>
      </c>
      <c r="G2555" s="92">
        <v>42715.513113425928</v>
      </c>
      <c r="H2555" s="92">
        <v>42715.600844907407</v>
      </c>
      <c r="I2555" s="92">
        <v>42715.600844907407</v>
      </c>
      <c r="J2555" s="92"/>
      <c r="K2555" s="92">
        <v>42715.6012962963</v>
      </c>
      <c r="L2555" s="92">
        <f>IF(AND(单词表[[#This Row],[学英]]&lt;&gt;"",单词表[[#This Row],[学中]]&lt;&gt;"",单词表[[#This Row],[学词]]&lt;&gt;""),MAX(单词表[[#This Row],[学英]:[学词]]),"")</f>
        <v>42715.600844907407</v>
      </c>
      <c r="M2555" s="2" t="str">
        <f>IF(AND(单词表[[#This Row],[考英]]&lt;&gt;"",单词表[[#This Row],[考中]]&lt;&gt;""),MAX(单词表[[#This Row],[考英]:[考中]]),"")</f>
        <v/>
      </c>
      <c r="N2555" s="79"/>
    </row>
    <row r="2556" spans="1:14" hidden="1" x14ac:dyDescent="0.15">
      <c r="A2556">
        <v>2556</v>
      </c>
      <c r="B2556" t="s">
        <v>35</v>
      </c>
      <c r="C2556" t="s">
        <v>18</v>
      </c>
      <c r="D2556" s="72" t="s">
        <v>4335</v>
      </c>
      <c r="E2556" t="s">
        <v>73</v>
      </c>
      <c r="F2556" t="s">
        <v>4336</v>
      </c>
      <c r="G2556" s="92">
        <v>42715.602326388886</v>
      </c>
      <c r="H2556" s="92">
        <v>42715.602326388886</v>
      </c>
      <c r="I2556" s="92">
        <v>42715.602326388886</v>
      </c>
      <c r="J2556" s="92"/>
      <c r="K2556" s="92">
        <v>42715.602488425924</v>
      </c>
      <c r="L2556" s="92">
        <f>IF(AND(单词表[[#This Row],[学英]]&lt;&gt;"",单词表[[#This Row],[学中]]&lt;&gt;"",单词表[[#This Row],[学词]]&lt;&gt;""),MAX(单词表[[#This Row],[学英]:[学词]]),"")</f>
        <v>42715.602326388886</v>
      </c>
      <c r="M2556" s="2" t="str">
        <f>IF(AND(单词表[[#This Row],[考英]]&lt;&gt;"",单词表[[#This Row],[考中]]&lt;&gt;""),MAX(单词表[[#This Row],[考英]:[考中]]),"")</f>
        <v/>
      </c>
      <c r="N2556" s="79"/>
    </row>
    <row r="2557" spans="1:14" hidden="1" x14ac:dyDescent="0.15">
      <c r="A2557">
        <v>2557</v>
      </c>
      <c r="B2557" t="s">
        <v>35</v>
      </c>
      <c r="C2557" t="s">
        <v>18</v>
      </c>
      <c r="D2557" s="72" t="s">
        <v>4337</v>
      </c>
      <c r="E2557" t="s">
        <v>36</v>
      </c>
      <c r="F2557" t="s">
        <v>4338</v>
      </c>
      <c r="G2557" s="92">
        <v>42715.602349537039</v>
      </c>
      <c r="H2557" s="92">
        <v>42715.602349537039</v>
      </c>
      <c r="I2557" s="92">
        <v>42715.602349537039</v>
      </c>
      <c r="J2557" s="92"/>
      <c r="K2557" s="92">
        <v>42715.602592592593</v>
      </c>
      <c r="L2557" s="92">
        <f>IF(AND(单词表[[#This Row],[学英]]&lt;&gt;"",单词表[[#This Row],[学中]]&lt;&gt;"",单词表[[#This Row],[学词]]&lt;&gt;""),MAX(单词表[[#This Row],[学英]:[学词]]),"")</f>
        <v>42715.602349537039</v>
      </c>
      <c r="M2557" s="2" t="str">
        <f>IF(AND(单词表[[#This Row],[考英]]&lt;&gt;"",单词表[[#This Row],[考中]]&lt;&gt;""),MAX(单词表[[#This Row],[考英]:[考中]]),"")</f>
        <v/>
      </c>
      <c r="N2557" s="79"/>
    </row>
    <row r="2558" spans="1:14" hidden="1" x14ac:dyDescent="0.15">
      <c r="A2558">
        <v>2558</v>
      </c>
      <c r="B2558" t="s">
        <v>35</v>
      </c>
      <c r="C2558" t="s">
        <v>18</v>
      </c>
      <c r="D2558" s="72" t="s">
        <v>2320</v>
      </c>
      <c r="E2558" t="s">
        <v>73</v>
      </c>
      <c r="F2558" t="s">
        <v>4339</v>
      </c>
      <c r="G2558" s="92">
        <v>42715.602372685185</v>
      </c>
      <c r="H2558" s="92">
        <v>42715.602372685185</v>
      </c>
      <c r="I2558" s="92">
        <v>42715.602372685185</v>
      </c>
      <c r="J2558" s="92"/>
      <c r="K2558" s="92">
        <v>42715.602627314816</v>
      </c>
      <c r="L2558" s="92">
        <f>IF(AND(单词表[[#This Row],[学英]]&lt;&gt;"",单词表[[#This Row],[学中]]&lt;&gt;"",单词表[[#This Row],[学词]]&lt;&gt;""),MAX(单词表[[#This Row],[学英]:[学词]]),"")</f>
        <v>42715.602372685185</v>
      </c>
      <c r="M2558" s="2" t="str">
        <f>IF(AND(单词表[[#This Row],[考英]]&lt;&gt;"",单词表[[#This Row],[考中]]&lt;&gt;""),MAX(单词表[[#This Row],[考英]:[考中]]),"")</f>
        <v/>
      </c>
      <c r="N2558" s="79"/>
    </row>
    <row r="2559" spans="1:14" hidden="1" x14ac:dyDescent="0.15">
      <c r="A2559">
        <v>2559</v>
      </c>
      <c r="B2559" t="s">
        <v>35</v>
      </c>
      <c r="C2559" t="s">
        <v>18</v>
      </c>
      <c r="D2559" s="72" t="s">
        <v>4340</v>
      </c>
      <c r="E2559" t="s">
        <v>36</v>
      </c>
      <c r="F2559" t="s">
        <v>4341</v>
      </c>
      <c r="G2559" s="92">
        <v>42715.602395833332</v>
      </c>
      <c r="H2559" s="92">
        <v>42715.602395833332</v>
      </c>
      <c r="I2559" s="92">
        <v>42715.602395833332</v>
      </c>
      <c r="J2559" s="92"/>
      <c r="K2559" s="92">
        <v>42715.602662037039</v>
      </c>
      <c r="L2559" s="92">
        <f>IF(AND(单词表[[#This Row],[学英]]&lt;&gt;"",单词表[[#This Row],[学中]]&lt;&gt;"",单词表[[#This Row],[学词]]&lt;&gt;""),MAX(单词表[[#This Row],[学英]:[学词]]),"")</f>
        <v>42715.602395833332</v>
      </c>
      <c r="M2559" s="2" t="str">
        <f>IF(AND(单词表[[#This Row],[考英]]&lt;&gt;"",单词表[[#This Row],[考中]]&lt;&gt;""),MAX(单词表[[#This Row],[考英]:[考中]]),"")</f>
        <v/>
      </c>
      <c r="N2559" s="79"/>
    </row>
    <row r="2560" spans="1:14" hidden="1" x14ac:dyDescent="0.15">
      <c r="A2560">
        <v>2560</v>
      </c>
      <c r="B2560" t="s">
        <v>35</v>
      </c>
      <c r="C2560" t="s">
        <v>18</v>
      </c>
      <c r="D2560" s="72" t="s">
        <v>4342</v>
      </c>
      <c r="E2560" t="s">
        <v>36</v>
      </c>
      <c r="F2560" t="s">
        <v>4343</v>
      </c>
      <c r="G2560" s="92">
        <v>42715.602418981478</v>
      </c>
      <c r="H2560" s="92">
        <v>42715.602418981478</v>
      </c>
      <c r="I2560" s="92">
        <v>42715.602418981478</v>
      </c>
      <c r="J2560" s="92"/>
      <c r="K2560" s="92">
        <v>42715.602708333332</v>
      </c>
      <c r="L2560" s="92">
        <f>IF(AND(单词表[[#This Row],[学英]]&lt;&gt;"",单词表[[#This Row],[学中]]&lt;&gt;"",单词表[[#This Row],[学词]]&lt;&gt;""),MAX(单词表[[#This Row],[学英]:[学词]]),"")</f>
        <v>42715.602418981478</v>
      </c>
      <c r="M2560" s="2" t="str">
        <f>IF(AND(单词表[[#This Row],[考英]]&lt;&gt;"",单词表[[#This Row],[考中]]&lt;&gt;""),MAX(单词表[[#This Row],[考英]:[考中]]),"")</f>
        <v/>
      </c>
      <c r="N2560" s="79"/>
    </row>
    <row r="2561" spans="1:14" hidden="1" x14ac:dyDescent="0.15">
      <c r="A2561">
        <v>2561</v>
      </c>
      <c r="B2561" t="s">
        <v>35</v>
      </c>
      <c r="C2561" t="s">
        <v>18</v>
      </c>
      <c r="D2561" s="72" t="s">
        <v>2168</v>
      </c>
      <c r="E2561" t="s">
        <v>36</v>
      </c>
      <c r="F2561" t="s">
        <v>4344</v>
      </c>
      <c r="G2561" s="92">
        <v>42718.8203125</v>
      </c>
      <c r="H2561" s="92">
        <v>42718.8203125</v>
      </c>
      <c r="I2561" s="92">
        <v>42718.8203125</v>
      </c>
      <c r="J2561" s="92"/>
      <c r="K2561" s="92">
        <v>42718.827986111108</v>
      </c>
      <c r="L2561" s="92">
        <f>IF(AND(单词表[[#This Row],[学英]]&lt;&gt;"",单词表[[#This Row],[学中]]&lt;&gt;"",单词表[[#This Row],[学词]]&lt;&gt;""),MAX(单词表[[#This Row],[学英]:[学词]]),"")</f>
        <v>42718.8203125</v>
      </c>
      <c r="M2561" s="2" t="str">
        <f>IF(AND(单词表[[#This Row],[考英]]&lt;&gt;"",单词表[[#This Row],[考中]]&lt;&gt;""),MAX(单词表[[#This Row],[考英]:[考中]]),"")</f>
        <v/>
      </c>
      <c r="N2561" s="79"/>
    </row>
    <row r="2562" spans="1:14" hidden="1" x14ac:dyDescent="0.15">
      <c r="A2562">
        <v>2562</v>
      </c>
      <c r="B2562" t="s">
        <v>35</v>
      </c>
      <c r="C2562" t="s">
        <v>18</v>
      </c>
      <c r="D2562" s="72" t="s">
        <v>4345</v>
      </c>
      <c r="E2562" t="s">
        <v>36</v>
      </c>
      <c r="F2562" t="s">
        <v>4346</v>
      </c>
      <c r="G2562" s="92">
        <v>42718.820370370369</v>
      </c>
      <c r="H2562" s="92">
        <v>42718.820370370369</v>
      </c>
      <c r="I2562" s="92">
        <v>42718.820370370369</v>
      </c>
      <c r="J2562" s="92"/>
      <c r="K2562" s="92">
        <v>42718.828020833331</v>
      </c>
      <c r="L2562" s="92">
        <f>IF(AND(单词表[[#This Row],[学英]]&lt;&gt;"",单词表[[#This Row],[学中]]&lt;&gt;"",单词表[[#This Row],[学词]]&lt;&gt;""),MAX(单词表[[#This Row],[学英]:[学词]]),"")</f>
        <v>42718.820370370369</v>
      </c>
      <c r="M2562" s="2" t="str">
        <f>IF(AND(单词表[[#This Row],[考英]]&lt;&gt;"",单词表[[#This Row],[考中]]&lt;&gt;""),MAX(单词表[[#This Row],[考英]:[考中]]),"")</f>
        <v/>
      </c>
      <c r="N2562" s="79"/>
    </row>
    <row r="2563" spans="1:14" hidden="1" x14ac:dyDescent="0.15">
      <c r="A2563">
        <v>2563</v>
      </c>
      <c r="B2563" t="s">
        <v>35</v>
      </c>
      <c r="C2563" t="s">
        <v>18</v>
      </c>
      <c r="D2563" s="72" t="s">
        <v>4347</v>
      </c>
      <c r="E2563" t="s">
        <v>36</v>
      </c>
      <c r="F2563" t="s">
        <v>4348</v>
      </c>
      <c r="G2563" s="92">
        <v>42718.820381944446</v>
      </c>
      <c r="H2563" s="92">
        <v>42718.831145833334</v>
      </c>
      <c r="I2563" s="92">
        <v>42718.831145833334</v>
      </c>
      <c r="J2563" s="92"/>
      <c r="K2563" s="92">
        <v>42718.831435185188</v>
      </c>
      <c r="L2563" s="92">
        <f>IF(AND(单词表[[#This Row],[学英]]&lt;&gt;"",单词表[[#This Row],[学中]]&lt;&gt;"",单词表[[#This Row],[学词]]&lt;&gt;""),MAX(单词表[[#This Row],[学英]:[学词]]),"")</f>
        <v>42718.831145833334</v>
      </c>
      <c r="M2563" s="2" t="str">
        <f>IF(AND(单词表[[#This Row],[考英]]&lt;&gt;"",单词表[[#This Row],[考中]]&lt;&gt;""),MAX(单词表[[#This Row],[考英]:[考中]]),"")</f>
        <v/>
      </c>
      <c r="N2563" s="79"/>
    </row>
    <row r="2564" spans="1:14" hidden="1" x14ac:dyDescent="0.15">
      <c r="A2564">
        <v>2564</v>
      </c>
      <c r="B2564" t="s">
        <v>35</v>
      </c>
      <c r="C2564" t="s">
        <v>18</v>
      </c>
      <c r="D2564" s="72" t="s">
        <v>4349</v>
      </c>
      <c r="E2564" t="s">
        <v>36</v>
      </c>
      <c r="F2564" t="s">
        <v>4350</v>
      </c>
      <c r="G2564" s="92">
        <v>42718.820486111108</v>
      </c>
      <c r="H2564" s="92">
        <v>42718.820486111108</v>
      </c>
      <c r="I2564" s="92">
        <v>42718.820486111108</v>
      </c>
      <c r="J2564" s="92"/>
      <c r="K2564" s="92">
        <v>42718.828136574077</v>
      </c>
      <c r="L2564" s="92">
        <f>IF(AND(单词表[[#This Row],[学英]]&lt;&gt;"",单词表[[#This Row],[学中]]&lt;&gt;"",单词表[[#This Row],[学词]]&lt;&gt;""),MAX(单词表[[#This Row],[学英]:[学词]]),"")</f>
        <v>42718.820486111108</v>
      </c>
      <c r="M2564" s="2" t="str">
        <f>IF(AND(单词表[[#This Row],[考英]]&lt;&gt;"",单词表[[#This Row],[考中]]&lt;&gt;""),MAX(单词表[[#This Row],[考英]:[考中]]),"")</f>
        <v/>
      </c>
      <c r="N2564" s="79"/>
    </row>
    <row r="2565" spans="1:14" hidden="1" x14ac:dyDescent="0.15">
      <c r="A2565">
        <v>2565</v>
      </c>
      <c r="B2565" t="s">
        <v>35</v>
      </c>
      <c r="C2565" t="s">
        <v>18</v>
      </c>
      <c r="D2565" s="72" t="s">
        <v>1460</v>
      </c>
      <c r="E2565" t="s">
        <v>36</v>
      </c>
      <c r="F2565" t="s">
        <v>4351</v>
      </c>
      <c r="G2565" s="92">
        <v>42718.820532407408</v>
      </c>
      <c r="H2565" s="92">
        <v>42718.820532407408</v>
      </c>
      <c r="I2565" s="92">
        <v>42718.820532407408</v>
      </c>
      <c r="J2565" s="92"/>
      <c r="K2565" s="92">
        <v>42718.8281712963</v>
      </c>
      <c r="L2565" s="92">
        <f>IF(AND(单词表[[#This Row],[学英]]&lt;&gt;"",单词表[[#This Row],[学中]]&lt;&gt;"",单词表[[#This Row],[学词]]&lt;&gt;""),MAX(单词表[[#This Row],[学英]:[学词]]),"")</f>
        <v>42718.820532407408</v>
      </c>
      <c r="M2565" s="2" t="str">
        <f>IF(AND(单词表[[#This Row],[考英]]&lt;&gt;"",单词表[[#This Row],[考中]]&lt;&gt;""),MAX(单词表[[#This Row],[考英]:[考中]]),"")</f>
        <v/>
      </c>
      <c r="N2565" s="79"/>
    </row>
    <row r="2566" spans="1:14" hidden="1" x14ac:dyDescent="0.15">
      <c r="A2566">
        <v>2566</v>
      </c>
      <c r="B2566" t="s">
        <v>35</v>
      </c>
      <c r="C2566" t="s">
        <v>18</v>
      </c>
      <c r="D2566" s="72" t="s">
        <v>4352</v>
      </c>
      <c r="E2566" t="s">
        <v>73</v>
      </c>
      <c r="F2566" t="s">
        <v>4353</v>
      </c>
      <c r="G2566" s="92">
        <v>42718.820613425924</v>
      </c>
      <c r="H2566" s="92">
        <v>42718.820613425924</v>
      </c>
      <c r="I2566" s="92">
        <v>42718.820613425924</v>
      </c>
      <c r="J2566" s="92"/>
      <c r="K2566" s="92">
        <v>42718.828229166669</v>
      </c>
      <c r="L2566" s="92">
        <f>IF(AND(单词表[[#This Row],[学英]]&lt;&gt;"",单词表[[#This Row],[学中]]&lt;&gt;"",单词表[[#This Row],[学词]]&lt;&gt;""),MAX(单词表[[#This Row],[学英]:[学词]]),"")</f>
        <v>42718.820613425924</v>
      </c>
      <c r="M2566" s="2" t="str">
        <f>IF(AND(单词表[[#This Row],[考英]]&lt;&gt;"",单词表[[#This Row],[考中]]&lt;&gt;""),MAX(单词表[[#This Row],[考英]:[考中]]),"")</f>
        <v/>
      </c>
      <c r="N2566" s="79"/>
    </row>
    <row r="2567" spans="1:14" hidden="1" x14ac:dyDescent="0.15">
      <c r="A2567">
        <v>2567</v>
      </c>
      <c r="B2567" t="s">
        <v>35</v>
      </c>
      <c r="C2567" t="s">
        <v>18</v>
      </c>
      <c r="D2567" s="72" t="s">
        <v>1546</v>
      </c>
      <c r="E2567" t="s">
        <v>36</v>
      </c>
      <c r="F2567" t="s">
        <v>4354</v>
      </c>
      <c r="G2567" s="92">
        <v>42718.820636574077</v>
      </c>
      <c r="H2567" s="92">
        <v>42718.820636574077</v>
      </c>
      <c r="I2567" s="92">
        <v>42718.820636574077</v>
      </c>
      <c r="J2567" s="92"/>
      <c r="K2567" s="92">
        <v>42718.828263888892</v>
      </c>
      <c r="L2567" s="92">
        <f>IF(AND(单词表[[#This Row],[学英]]&lt;&gt;"",单词表[[#This Row],[学中]]&lt;&gt;"",单词表[[#This Row],[学词]]&lt;&gt;""),MAX(单词表[[#This Row],[学英]:[学词]]),"")</f>
        <v>42718.820636574077</v>
      </c>
      <c r="M2567" s="2" t="str">
        <f>IF(AND(单词表[[#This Row],[考英]]&lt;&gt;"",单词表[[#This Row],[考中]]&lt;&gt;""),MAX(单词表[[#This Row],[考英]:[考中]]),"")</f>
        <v/>
      </c>
      <c r="N2567" s="79"/>
    </row>
    <row r="2568" spans="1:14" hidden="1" x14ac:dyDescent="0.15">
      <c r="A2568">
        <v>2568</v>
      </c>
      <c r="B2568" t="s">
        <v>35</v>
      </c>
      <c r="C2568" t="s">
        <v>18</v>
      </c>
      <c r="D2568" s="72" t="s">
        <v>260</v>
      </c>
      <c r="E2568" t="s">
        <v>36</v>
      </c>
      <c r="F2568" t="s">
        <v>261</v>
      </c>
      <c r="G2568" s="92">
        <v>42718.820659722223</v>
      </c>
      <c r="H2568" s="92">
        <v>42718.831226851849</v>
      </c>
      <c r="I2568" s="92">
        <v>42718.831226851849</v>
      </c>
      <c r="J2568" s="92"/>
      <c r="K2568" s="92">
        <v>42718.831458333334</v>
      </c>
      <c r="L2568" s="92">
        <f>IF(AND(单词表[[#This Row],[学英]]&lt;&gt;"",单词表[[#This Row],[学中]]&lt;&gt;"",单词表[[#This Row],[学词]]&lt;&gt;""),MAX(单词表[[#This Row],[学英]:[学词]]),"")</f>
        <v>42718.831226851849</v>
      </c>
      <c r="M2568" s="2" t="str">
        <f>IF(AND(单词表[[#This Row],[考英]]&lt;&gt;"",单词表[[#This Row],[考中]]&lt;&gt;""),MAX(单词表[[#This Row],[考英]:[考中]]),"")</f>
        <v/>
      </c>
      <c r="N2568" s="79"/>
    </row>
    <row r="2569" spans="1:14" hidden="1" x14ac:dyDescent="0.15">
      <c r="A2569">
        <v>2569</v>
      </c>
      <c r="B2569" t="s">
        <v>35</v>
      </c>
      <c r="C2569" t="s">
        <v>18</v>
      </c>
      <c r="D2569" s="72" t="s">
        <v>4355</v>
      </c>
      <c r="E2569" t="s">
        <v>36</v>
      </c>
      <c r="F2569" t="s">
        <v>4356</v>
      </c>
      <c r="G2569" s="92">
        <v>42718.82068287037</v>
      </c>
      <c r="H2569" s="92">
        <v>42718.831331018519</v>
      </c>
      <c r="I2569" s="92">
        <v>42718.831331018519</v>
      </c>
      <c r="J2569" s="92"/>
      <c r="K2569" s="92">
        <v>42718.831493055557</v>
      </c>
      <c r="L2569" s="92">
        <f>IF(AND(单词表[[#This Row],[学英]]&lt;&gt;"",单词表[[#This Row],[学中]]&lt;&gt;"",单词表[[#This Row],[学词]]&lt;&gt;""),MAX(单词表[[#This Row],[学英]:[学词]]),"")</f>
        <v>42718.831331018519</v>
      </c>
      <c r="M2569" s="2" t="str">
        <f>IF(AND(单词表[[#This Row],[考英]]&lt;&gt;"",单词表[[#This Row],[考中]]&lt;&gt;""),MAX(单词表[[#This Row],[考英]:[考中]]),"")</f>
        <v/>
      </c>
      <c r="N2569" s="79"/>
    </row>
    <row r="2570" spans="1:14" hidden="1" x14ac:dyDescent="0.15">
      <c r="A2570">
        <v>2570</v>
      </c>
      <c r="B2570" t="s">
        <v>35</v>
      </c>
      <c r="C2570" t="s">
        <v>18</v>
      </c>
      <c r="D2570" s="72" t="s">
        <v>2541</v>
      </c>
      <c r="E2570" t="s">
        <v>36</v>
      </c>
      <c r="F2570" t="s">
        <v>2542</v>
      </c>
      <c r="G2570" s="92">
        <v>42718.820706018516</v>
      </c>
      <c r="H2570" s="92">
        <v>42718.820706018516</v>
      </c>
      <c r="I2570" s="92">
        <v>42718.820706018516</v>
      </c>
      <c r="J2570" s="92"/>
      <c r="K2570" s="92">
        <v>42718.83152777778</v>
      </c>
      <c r="L2570" s="92">
        <f>IF(AND(单词表[[#This Row],[学英]]&lt;&gt;"",单词表[[#This Row],[学中]]&lt;&gt;"",单词表[[#This Row],[学词]]&lt;&gt;""),MAX(单词表[[#This Row],[学英]:[学词]]),"")</f>
        <v>42718.820706018516</v>
      </c>
      <c r="M2570" s="2" t="str">
        <f>IF(AND(单词表[[#This Row],[考英]]&lt;&gt;"",单词表[[#This Row],[考中]]&lt;&gt;""),MAX(单词表[[#This Row],[考英]:[考中]]),"")</f>
        <v/>
      </c>
      <c r="N2570" s="79"/>
    </row>
    <row r="2571" spans="1:14" hidden="1" x14ac:dyDescent="0.15">
      <c r="A2571">
        <v>2571</v>
      </c>
      <c r="B2571" t="s">
        <v>35</v>
      </c>
      <c r="C2571" t="s">
        <v>18</v>
      </c>
      <c r="D2571" s="72" t="s">
        <v>4357</v>
      </c>
      <c r="E2571" t="s">
        <v>73</v>
      </c>
      <c r="F2571" t="s">
        <v>4358</v>
      </c>
      <c r="G2571" s="92">
        <v>42718.820729166669</v>
      </c>
      <c r="H2571" s="92">
        <v>42718.831828703704</v>
      </c>
      <c r="I2571" s="92">
        <v>42718.831828703704</v>
      </c>
      <c r="J2571" s="92"/>
      <c r="K2571" s="92">
        <v>42718.832141203704</v>
      </c>
      <c r="L2571" s="92">
        <f>IF(AND(单词表[[#This Row],[学英]]&lt;&gt;"",单词表[[#This Row],[学中]]&lt;&gt;"",单词表[[#This Row],[学词]]&lt;&gt;""),MAX(单词表[[#This Row],[学英]:[学词]]),"")</f>
        <v>42718.831828703704</v>
      </c>
      <c r="M2571" s="2" t="str">
        <f>IF(AND(单词表[[#This Row],[考英]]&lt;&gt;"",单词表[[#This Row],[考中]]&lt;&gt;""),MAX(单词表[[#This Row],[考英]:[考中]]),"")</f>
        <v/>
      </c>
      <c r="N2571" s="79"/>
    </row>
    <row r="2572" spans="1:14" hidden="1" x14ac:dyDescent="0.15">
      <c r="A2572">
        <v>2572</v>
      </c>
      <c r="B2572" t="s">
        <v>35</v>
      </c>
      <c r="C2572" t="s">
        <v>18</v>
      </c>
      <c r="D2572" s="72" t="s">
        <v>4359</v>
      </c>
      <c r="E2572" t="s">
        <v>36</v>
      </c>
      <c r="F2572" t="s">
        <v>4360</v>
      </c>
      <c r="G2572" s="92">
        <v>42718.820752314816</v>
      </c>
      <c r="H2572" s="92">
        <v>42718.820752314816</v>
      </c>
      <c r="I2572" s="92">
        <v>42718.820752314816</v>
      </c>
      <c r="J2572" s="92"/>
      <c r="K2572" s="92">
        <v>42718.831574074073</v>
      </c>
      <c r="L2572" s="92">
        <f>IF(AND(单词表[[#This Row],[学英]]&lt;&gt;"",单词表[[#This Row],[学中]]&lt;&gt;"",单词表[[#This Row],[学词]]&lt;&gt;""),MAX(单词表[[#This Row],[学英]:[学词]]),"")</f>
        <v>42718.820752314816</v>
      </c>
      <c r="M2572" s="2" t="str">
        <f>IF(AND(单词表[[#This Row],[考英]]&lt;&gt;"",单词表[[#This Row],[考中]]&lt;&gt;""),MAX(单词表[[#This Row],[考英]:[考中]]),"")</f>
        <v/>
      </c>
      <c r="N2572" s="79"/>
    </row>
    <row r="2573" spans="1:14" hidden="1" x14ac:dyDescent="0.15">
      <c r="A2573">
        <v>2573</v>
      </c>
      <c r="B2573" t="s">
        <v>35</v>
      </c>
      <c r="C2573" t="s">
        <v>18</v>
      </c>
      <c r="D2573" s="72" t="s">
        <v>4361</v>
      </c>
      <c r="E2573" t="s">
        <v>36</v>
      </c>
      <c r="F2573" t="s">
        <v>4362</v>
      </c>
      <c r="G2573" s="92">
        <v>42718.820775462962</v>
      </c>
      <c r="H2573" s="92">
        <v>42718.831863425927</v>
      </c>
      <c r="I2573" s="92">
        <v>42718.831863425927</v>
      </c>
      <c r="J2573" s="92"/>
      <c r="K2573" s="92">
        <v>42718.832280092596</v>
      </c>
      <c r="L2573" s="92">
        <f>IF(AND(单词表[[#This Row],[学英]]&lt;&gt;"",单词表[[#This Row],[学中]]&lt;&gt;"",单词表[[#This Row],[学词]]&lt;&gt;""),MAX(单词表[[#This Row],[学英]:[学词]]),"")</f>
        <v>42718.831863425927</v>
      </c>
      <c r="M2573" s="2" t="str">
        <f>IF(AND(单词表[[#This Row],[考英]]&lt;&gt;"",单词表[[#This Row],[考中]]&lt;&gt;""),MAX(单词表[[#This Row],[考英]:[考中]]),"")</f>
        <v/>
      </c>
      <c r="N2573" s="79"/>
    </row>
    <row r="2574" spans="1:14" hidden="1" x14ac:dyDescent="0.15">
      <c r="A2574">
        <v>2574</v>
      </c>
      <c r="B2574" t="s">
        <v>35</v>
      </c>
      <c r="C2574" t="s">
        <v>18</v>
      </c>
      <c r="D2574" s="72" t="s">
        <v>4363</v>
      </c>
      <c r="E2574" t="s">
        <v>73</v>
      </c>
      <c r="F2574" t="s">
        <v>4364</v>
      </c>
      <c r="G2574" s="92">
        <v>42718.820810185185</v>
      </c>
      <c r="H2574" s="92">
        <v>42718.831956018519</v>
      </c>
      <c r="I2574" s="92">
        <v>42718.831956018519</v>
      </c>
      <c r="J2574" s="92"/>
      <c r="K2574" s="92">
        <v>42718.832314814812</v>
      </c>
      <c r="L2574" s="92">
        <f>IF(AND(单词表[[#This Row],[学英]]&lt;&gt;"",单词表[[#This Row],[学中]]&lt;&gt;"",单词表[[#This Row],[学词]]&lt;&gt;""),MAX(单词表[[#This Row],[学英]:[学词]]),"")</f>
        <v>42718.831956018519</v>
      </c>
      <c r="M2574" s="2" t="str">
        <f>IF(AND(单词表[[#This Row],[考英]]&lt;&gt;"",单词表[[#This Row],[考中]]&lt;&gt;""),MAX(单词表[[#This Row],[考英]:[考中]]),"")</f>
        <v/>
      </c>
      <c r="N2574" s="79"/>
    </row>
    <row r="2575" spans="1:14" hidden="1" x14ac:dyDescent="0.15">
      <c r="A2575">
        <v>2575</v>
      </c>
      <c r="B2575" t="s">
        <v>35</v>
      </c>
      <c r="C2575" t="s">
        <v>18</v>
      </c>
      <c r="D2575" s="72" t="s">
        <v>590</v>
      </c>
      <c r="E2575" t="s">
        <v>73</v>
      </c>
      <c r="F2575" t="s">
        <v>5577</v>
      </c>
      <c r="G2575" s="92">
        <v>42718.820833333331</v>
      </c>
      <c r="H2575" s="92">
        <v>42718.832002314812</v>
      </c>
      <c r="I2575" s="92">
        <v>42718.832002314812</v>
      </c>
      <c r="J2575" s="92"/>
      <c r="K2575" s="92">
        <v>42718.832349537035</v>
      </c>
      <c r="L2575" s="92">
        <f>IF(AND(单词表[[#This Row],[学英]]&lt;&gt;"",单词表[[#This Row],[学中]]&lt;&gt;"",单词表[[#This Row],[学词]]&lt;&gt;""),MAX(单词表[[#This Row],[学英]:[学词]]),"")</f>
        <v>42718.832002314812</v>
      </c>
      <c r="M2575" s="2" t="str">
        <f>IF(AND(单词表[[#This Row],[考英]]&lt;&gt;"",单词表[[#This Row],[考中]]&lt;&gt;""),MAX(单词表[[#This Row],[考英]:[考中]]),"")</f>
        <v/>
      </c>
      <c r="N2575" s="79"/>
    </row>
    <row r="2576" spans="1:14" hidden="1" x14ac:dyDescent="0.15">
      <c r="A2576">
        <v>2576</v>
      </c>
      <c r="B2576" t="s">
        <v>35</v>
      </c>
      <c r="C2576" t="s">
        <v>18</v>
      </c>
      <c r="D2576" s="72" t="s">
        <v>4365</v>
      </c>
      <c r="E2576" t="s">
        <v>73</v>
      </c>
      <c r="F2576" t="s">
        <v>4366</v>
      </c>
      <c r="G2576" s="92">
        <v>42719.865127314813</v>
      </c>
      <c r="H2576" s="92">
        <v>42719.865127314813</v>
      </c>
      <c r="I2576" s="92">
        <v>42719.865127314813</v>
      </c>
      <c r="J2576" s="92"/>
      <c r="K2576" s="92">
        <v>42719.865520833337</v>
      </c>
      <c r="L2576" s="92">
        <f>IF(AND(单词表[[#This Row],[学英]]&lt;&gt;"",单词表[[#This Row],[学中]]&lt;&gt;"",单词表[[#This Row],[学词]]&lt;&gt;""),MAX(单词表[[#This Row],[学英]:[学词]]),"")</f>
        <v>42719.865127314813</v>
      </c>
      <c r="M2576" s="2" t="str">
        <f>IF(AND(单词表[[#This Row],[考英]]&lt;&gt;"",单词表[[#This Row],[考中]]&lt;&gt;""),MAX(单词表[[#This Row],[考英]:[考中]]),"")</f>
        <v/>
      </c>
      <c r="N2576" s="79"/>
    </row>
    <row r="2577" spans="1:14" hidden="1" x14ac:dyDescent="0.15">
      <c r="A2577">
        <v>2577</v>
      </c>
      <c r="B2577" t="s">
        <v>35</v>
      </c>
      <c r="C2577" t="s">
        <v>18</v>
      </c>
      <c r="D2577" s="72" t="s">
        <v>1980</v>
      </c>
      <c r="E2577" t="s">
        <v>73</v>
      </c>
      <c r="F2577" t="s">
        <v>1981</v>
      </c>
      <c r="G2577" s="92">
        <v>42719.86513888889</v>
      </c>
      <c r="H2577" s="92">
        <v>42719.86513888889</v>
      </c>
      <c r="I2577" s="92">
        <v>42719.86513888889</v>
      </c>
      <c r="J2577" s="92"/>
      <c r="K2577" s="92">
        <v>42719.865555555552</v>
      </c>
      <c r="L2577" s="92">
        <f>IF(AND(单词表[[#This Row],[学英]]&lt;&gt;"",单词表[[#This Row],[学中]]&lt;&gt;"",单词表[[#This Row],[学词]]&lt;&gt;""),MAX(单词表[[#This Row],[学英]:[学词]]),"")</f>
        <v>42719.86513888889</v>
      </c>
      <c r="M2577" s="2" t="str">
        <f>IF(AND(单词表[[#This Row],[考英]]&lt;&gt;"",单词表[[#This Row],[考中]]&lt;&gt;""),MAX(单词表[[#This Row],[考英]:[考中]]),"")</f>
        <v/>
      </c>
      <c r="N2577" s="79"/>
    </row>
    <row r="2578" spans="1:14" hidden="1" x14ac:dyDescent="0.15">
      <c r="A2578">
        <v>2578</v>
      </c>
      <c r="B2578" t="s">
        <v>35</v>
      </c>
      <c r="C2578" t="s">
        <v>18</v>
      </c>
      <c r="D2578" s="72" t="s">
        <v>1911</v>
      </c>
      <c r="E2578" t="s">
        <v>73</v>
      </c>
      <c r="F2578" t="s">
        <v>4367</v>
      </c>
      <c r="G2578" s="92">
        <v>42719.865162037036</v>
      </c>
      <c r="H2578" s="92">
        <v>42719.865162037036</v>
      </c>
      <c r="I2578" s="92">
        <v>42719.865162037036</v>
      </c>
      <c r="J2578" s="92"/>
      <c r="K2578" s="92">
        <v>42719.865590277775</v>
      </c>
      <c r="L2578" s="92">
        <f>IF(AND(单词表[[#This Row],[学英]]&lt;&gt;"",单词表[[#This Row],[学中]]&lt;&gt;"",单词表[[#This Row],[学词]]&lt;&gt;""),MAX(单词表[[#This Row],[学英]:[学词]]),"")</f>
        <v>42719.865162037036</v>
      </c>
      <c r="M2578" s="2" t="str">
        <f>IF(AND(单词表[[#This Row],[考英]]&lt;&gt;"",单词表[[#This Row],[考中]]&lt;&gt;""),MAX(单词表[[#This Row],[考英]:[考中]]),"")</f>
        <v/>
      </c>
      <c r="N2578" s="79"/>
    </row>
    <row r="2579" spans="1:14" hidden="1" x14ac:dyDescent="0.15">
      <c r="A2579">
        <v>2579</v>
      </c>
      <c r="B2579" t="s">
        <v>35</v>
      </c>
      <c r="C2579" t="s">
        <v>18</v>
      </c>
      <c r="D2579" s="72" t="s">
        <v>4368</v>
      </c>
      <c r="E2579" t="s">
        <v>36</v>
      </c>
      <c r="F2579" t="s">
        <v>4369</v>
      </c>
      <c r="G2579" s="92">
        <v>42719.865231481483</v>
      </c>
      <c r="H2579" s="92">
        <v>42719.865231481483</v>
      </c>
      <c r="I2579" s="92">
        <v>42719.865231481483</v>
      </c>
      <c r="J2579" s="92"/>
      <c r="K2579" s="92">
        <v>42719.865624999999</v>
      </c>
      <c r="L2579" s="92">
        <f>IF(AND(单词表[[#This Row],[学英]]&lt;&gt;"",单词表[[#This Row],[学中]]&lt;&gt;"",单词表[[#This Row],[学词]]&lt;&gt;""),MAX(单词表[[#This Row],[学英]:[学词]]),"")</f>
        <v>42719.865231481483</v>
      </c>
      <c r="M2579" s="2" t="str">
        <f>IF(AND(单词表[[#This Row],[考英]]&lt;&gt;"",单词表[[#This Row],[考中]]&lt;&gt;""),MAX(单词表[[#This Row],[考英]:[考中]]),"")</f>
        <v/>
      </c>
      <c r="N2579" s="79"/>
    </row>
    <row r="2580" spans="1:14" hidden="1" x14ac:dyDescent="0.15">
      <c r="A2580">
        <v>2580</v>
      </c>
      <c r="B2580" t="s">
        <v>35</v>
      </c>
      <c r="C2580" t="s">
        <v>18</v>
      </c>
      <c r="D2580" s="72" t="s">
        <v>250</v>
      </c>
      <c r="E2580" t="s">
        <v>36</v>
      </c>
      <c r="F2580" t="s">
        <v>5578</v>
      </c>
      <c r="G2580" s="92">
        <v>42719.865289351852</v>
      </c>
      <c r="H2580" s="92">
        <v>42719.865289351852</v>
      </c>
      <c r="I2580" s="92">
        <v>42719.865289351852</v>
      </c>
      <c r="J2580" s="92"/>
      <c r="K2580" s="92">
        <v>42719.865682870368</v>
      </c>
      <c r="L2580" s="92">
        <f>IF(AND(单词表[[#This Row],[学英]]&lt;&gt;"",单词表[[#This Row],[学中]]&lt;&gt;"",单词表[[#This Row],[学词]]&lt;&gt;""),MAX(单词表[[#This Row],[学英]:[学词]]),"")</f>
        <v>42719.865289351852</v>
      </c>
      <c r="M2580" s="2" t="str">
        <f>IF(AND(单词表[[#This Row],[考英]]&lt;&gt;"",单词表[[#This Row],[考中]]&lt;&gt;""),MAX(单词表[[#This Row],[考英]:[考中]]),"")</f>
        <v/>
      </c>
      <c r="N2580" s="79"/>
    </row>
    <row r="2581" spans="1:14" hidden="1" x14ac:dyDescent="0.15">
      <c r="A2581">
        <v>2581</v>
      </c>
      <c r="B2581" t="s">
        <v>35</v>
      </c>
      <c r="C2581" t="s">
        <v>18</v>
      </c>
      <c r="D2581" s="72" t="s">
        <v>2441</v>
      </c>
      <c r="E2581" t="s">
        <v>36</v>
      </c>
      <c r="F2581" t="s">
        <v>4370</v>
      </c>
      <c r="G2581" s="92">
        <v>42719.865335648145</v>
      </c>
      <c r="H2581" s="92">
        <v>42719.865335648145</v>
      </c>
      <c r="I2581" s="92">
        <v>42719.865335648145</v>
      </c>
      <c r="J2581" s="92"/>
      <c r="K2581" s="92">
        <v>42719.865706018521</v>
      </c>
      <c r="L2581" s="92">
        <f>IF(AND(单词表[[#This Row],[学英]]&lt;&gt;"",单词表[[#This Row],[学中]]&lt;&gt;"",单词表[[#This Row],[学词]]&lt;&gt;""),MAX(单词表[[#This Row],[学英]:[学词]]),"")</f>
        <v>42719.865335648145</v>
      </c>
      <c r="M2581" s="2" t="str">
        <f>IF(AND(单词表[[#This Row],[考英]]&lt;&gt;"",单词表[[#This Row],[考中]]&lt;&gt;""),MAX(单词表[[#This Row],[考英]:[考中]]),"")</f>
        <v/>
      </c>
      <c r="N2581" s="79"/>
    </row>
    <row r="2582" spans="1:14" hidden="1" x14ac:dyDescent="0.15">
      <c r="A2582">
        <v>2582</v>
      </c>
      <c r="B2582" t="s">
        <v>35</v>
      </c>
      <c r="C2582" t="s">
        <v>18</v>
      </c>
      <c r="D2582" s="72" t="s">
        <v>1641</v>
      </c>
      <c r="E2582" t="s">
        <v>36</v>
      </c>
      <c r="F2582" t="s">
        <v>4371</v>
      </c>
      <c r="G2582" s="92">
        <v>42719.865381944444</v>
      </c>
      <c r="H2582" s="92">
        <v>42719.865381944444</v>
      </c>
      <c r="I2582" s="92">
        <v>42719.865381944444</v>
      </c>
      <c r="J2582" s="92"/>
      <c r="K2582" s="92">
        <v>42719.865752314814</v>
      </c>
      <c r="L2582" s="92">
        <f>IF(AND(单词表[[#This Row],[学英]]&lt;&gt;"",单词表[[#This Row],[学中]]&lt;&gt;"",单词表[[#This Row],[学词]]&lt;&gt;""),MAX(单词表[[#This Row],[学英]:[学词]]),"")</f>
        <v>42719.865381944444</v>
      </c>
      <c r="M2582" s="2" t="str">
        <f>IF(AND(单词表[[#This Row],[考英]]&lt;&gt;"",单词表[[#This Row],[考中]]&lt;&gt;""),MAX(单词表[[#This Row],[考英]:[考中]]),"")</f>
        <v/>
      </c>
      <c r="N2582" s="79"/>
    </row>
    <row r="2583" spans="1:14" hidden="1" x14ac:dyDescent="0.15">
      <c r="A2583">
        <v>2583</v>
      </c>
      <c r="B2583" t="s">
        <v>35</v>
      </c>
      <c r="C2583" t="s">
        <v>18</v>
      </c>
      <c r="D2583" s="72" t="s">
        <v>4372</v>
      </c>
      <c r="E2583" t="s">
        <v>73</v>
      </c>
      <c r="F2583" t="s">
        <v>4373</v>
      </c>
      <c r="G2583" s="92">
        <v>42719.865393518521</v>
      </c>
      <c r="H2583" s="92">
        <v>42719.865393518521</v>
      </c>
      <c r="I2583" s="92">
        <v>42719.865393518521</v>
      </c>
      <c r="J2583" s="92"/>
      <c r="K2583" s="92">
        <v>42719.865787037037</v>
      </c>
      <c r="L2583" s="92">
        <f>IF(AND(单词表[[#This Row],[学英]]&lt;&gt;"",单词表[[#This Row],[学中]]&lt;&gt;"",单词表[[#This Row],[学词]]&lt;&gt;""),MAX(单词表[[#This Row],[学英]:[学词]]),"")</f>
        <v>42719.865393518521</v>
      </c>
      <c r="M2583" s="2" t="str">
        <f>IF(AND(单词表[[#This Row],[考英]]&lt;&gt;"",单词表[[#This Row],[考中]]&lt;&gt;""),MAX(单词表[[#This Row],[考英]:[考中]]),"")</f>
        <v/>
      </c>
      <c r="N2583" s="79"/>
    </row>
    <row r="2584" spans="1:14" hidden="1" x14ac:dyDescent="0.15">
      <c r="A2584">
        <v>2584</v>
      </c>
      <c r="B2584" t="s">
        <v>35</v>
      </c>
      <c r="C2584" t="s">
        <v>18</v>
      </c>
      <c r="D2584" s="72" t="s">
        <v>2482</v>
      </c>
      <c r="E2584" t="s">
        <v>73</v>
      </c>
      <c r="F2584" t="s">
        <v>4374</v>
      </c>
      <c r="G2584" s="92">
        <v>42719.865416666667</v>
      </c>
      <c r="H2584" s="92">
        <v>42719.865416666667</v>
      </c>
      <c r="I2584" s="92">
        <v>42719.865416666667</v>
      </c>
      <c r="J2584" s="92"/>
      <c r="K2584" s="92">
        <v>42719.86582175926</v>
      </c>
      <c r="L2584" s="92">
        <f>IF(AND(单词表[[#This Row],[学英]]&lt;&gt;"",单词表[[#This Row],[学中]]&lt;&gt;"",单词表[[#This Row],[学词]]&lt;&gt;""),MAX(单词表[[#This Row],[学英]:[学词]]),"")</f>
        <v>42719.865416666667</v>
      </c>
      <c r="M2584" s="2" t="str">
        <f>IF(AND(单词表[[#This Row],[考英]]&lt;&gt;"",单词表[[#This Row],[考中]]&lt;&gt;""),MAX(单词表[[#This Row],[考英]:[考中]]),"")</f>
        <v/>
      </c>
      <c r="N2584" s="79"/>
    </row>
    <row r="2585" spans="1:14" hidden="1" x14ac:dyDescent="0.15">
      <c r="A2585">
        <v>2585</v>
      </c>
      <c r="B2585" t="s">
        <v>35</v>
      </c>
      <c r="C2585" t="s">
        <v>18</v>
      </c>
      <c r="D2585" s="72" t="s">
        <v>3497</v>
      </c>
      <c r="E2585" t="s">
        <v>36</v>
      </c>
      <c r="F2585" t="s">
        <v>3498</v>
      </c>
      <c r="G2585" s="92">
        <v>42719.865439814814</v>
      </c>
      <c r="H2585" s="92">
        <v>42719.865439814814</v>
      </c>
      <c r="I2585" s="92">
        <v>42719.865439814814</v>
      </c>
      <c r="J2585" s="92"/>
      <c r="K2585" s="92">
        <v>42719.865844907406</v>
      </c>
      <c r="L2585" s="92">
        <f>IF(AND(单词表[[#This Row],[学英]]&lt;&gt;"",单词表[[#This Row],[学中]]&lt;&gt;"",单词表[[#This Row],[学词]]&lt;&gt;""),MAX(单词表[[#This Row],[学英]:[学词]]),"")</f>
        <v>42719.865439814814</v>
      </c>
      <c r="M2585" s="2" t="str">
        <f>IF(AND(单词表[[#This Row],[考英]]&lt;&gt;"",单词表[[#This Row],[考中]]&lt;&gt;""),MAX(单词表[[#This Row],[考英]:[考中]]),"")</f>
        <v/>
      </c>
      <c r="N2585" s="79"/>
    </row>
    <row r="2586" spans="1:14" hidden="1" x14ac:dyDescent="0.15">
      <c r="A2586">
        <v>2586</v>
      </c>
      <c r="B2586" t="s">
        <v>35</v>
      </c>
      <c r="C2586" t="s">
        <v>19</v>
      </c>
      <c r="D2586" s="72" t="s">
        <v>4375</v>
      </c>
      <c r="E2586" t="s">
        <v>61</v>
      </c>
      <c r="F2586" t="s">
        <v>223</v>
      </c>
      <c r="G2586" s="92">
        <v>42723.809675925928</v>
      </c>
      <c r="H2586" s="92">
        <v>42723.816759259258</v>
      </c>
      <c r="I2586" s="92">
        <v>42723.816759259258</v>
      </c>
      <c r="J2586" s="92"/>
      <c r="K2586" s="92">
        <v>42723.818668981483</v>
      </c>
      <c r="L2586" s="92">
        <f>IF(AND(单词表[[#This Row],[学英]]&lt;&gt;"",单词表[[#This Row],[学中]]&lt;&gt;"",单词表[[#This Row],[学词]]&lt;&gt;""),MAX(单词表[[#This Row],[学英]:[学词]]),"")</f>
        <v>42723.816759259258</v>
      </c>
      <c r="M2586" s="2" t="str">
        <f>IF(AND(单词表[[#This Row],[考英]]&lt;&gt;"",单词表[[#This Row],[考中]]&lt;&gt;""),MAX(单词表[[#This Row],[考英]:[考中]]),"")</f>
        <v/>
      </c>
      <c r="N2586" s="79"/>
    </row>
    <row r="2587" spans="1:14" hidden="1" x14ac:dyDescent="0.15">
      <c r="A2587">
        <v>2587</v>
      </c>
      <c r="B2587" t="s">
        <v>35</v>
      </c>
      <c r="C2587" t="s">
        <v>19</v>
      </c>
      <c r="D2587" s="72" t="s">
        <v>1009</v>
      </c>
      <c r="E2587" t="s">
        <v>61</v>
      </c>
      <c r="F2587" t="s">
        <v>5579</v>
      </c>
      <c r="G2587" s="92">
        <v>42723.809699074074</v>
      </c>
      <c r="H2587" s="92">
        <v>42723.809699074074</v>
      </c>
      <c r="I2587" s="92">
        <v>42723.809699074074</v>
      </c>
      <c r="J2587" s="92"/>
      <c r="K2587" s="92">
        <v>42723.810648148145</v>
      </c>
      <c r="L2587" s="92">
        <f>IF(AND(单词表[[#This Row],[学英]]&lt;&gt;"",单词表[[#This Row],[学中]]&lt;&gt;"",单词表[[#This Row],[学词]]&lt;&gt;""),MAX(单词表[[#This Row],[学英]:[学词]]),"")</f>
        <v>42723.809699074074</v>
      </c>
      <c r="M2587" s="2" t="str">
        <f>IF(AND(单词表[[#This Row],[考英]]&lt;&gt;"",单词表[[#This Row],[考中]]&lt;&gt;""),MAX(单词表[[#This Row],[考英]:[考中]]),"")</f>
        <v/>
      </c>
      <c r="N2587" s="79"/>
    </row>
    <row r="2588" spans="1:14" hidden="1" x14ac:dyDescent="0.15">
      <c r="A2588">
        <v>2588</v>
      </c>
      <c r="B2588" t="s">
        <v>35</v>
      </c>
      <c r="C2588" t="s">
        <v>19</v>
      </c>
      <c r="D2588" s="72" t="s">
        <v>4376</v>
      </c>
      <c r="E2588" t="s">
        <v>36</v>
      </c>
      <c r="F2588" t="s">
        <v>4377</v>
      </c>
      <c r="G2588" s="92">
        <v>42723.80972222222</v>
      </c>
      <c r="H2588" s="92">
        <v>42723.80972222222</v>
      </c>
      <c r="I2588" s="92">
        <v>42723.80972222222</v>
      </c>
      <c r="J2588" s="92"/>
      <c r="K2588" s="92">
        <v>42723.810671296298</v>
      </c>
      <c r="L2588" s="92">
        <f>IF(AND(单词表[[#This Row],[学英]]&lt;&gt;"",单词表[[#This Row],[学中]]&lt;&gt;"",单词表[[#This Row],[学词]]&lt;&gt;""),MAX(单词表[[#This Row],[学英]:[学词]]),"")</f>
        <v>42723.80972222222</v>
      </c>
      <c r="M2588" s="2" t="str">
        <f>IF(AND(单词表[[#This Row],[考英]]&lt;&gt;"",单词表[[#This Row],[考中]]&lt;&gt;""),MAX(单词表[[#This Row],[考英]:[考中]]),"")</f>
        <v/>
      </c>
      <c r="N2588" s="79"/>
    </row>
    <row r="2589" spans="1:14" hidden="1" x14ac:dyDescent="0.15">
      <c r="A2589">
        <v>2589</v>
      </c>
      <c r="B2589" t="s">
        <v>35</v>
      </c>
      <c r="C2589" t="s">
        <v>19</v>
      </c>
      <c r="D2589" s="72" t="s">
        <v>4378</v>
      </c>
      <c r="E2589" t="s">
        <v>36</v>
      </c>
      <c r="F2589" t="s">
        <v>4379</v>
      </c>
      <c r="G2589" s="92">
        <v>42723.809756944444</v>
      </c>
      <c r="H2589" s="92">
        <v>42723.809756944444</v>
      </c>
      <c r="I2589" s="92">
        <v>42723.809756944444</v>
      </c>
      <c r="J2589" s="92"/>
      <c r="K2589" s="92">
        <v>42723.810717592591</v>
      </c>
      <c r="L2589" s="92">
        <f>IF(AND(单词表[[#This Row],[学英]]&lt;&gt;"",单词表[[#This Row],[学中]]&lt;&gt;"",单词表[[#This Row],[学词]]&lt;&gt;""),MAX(单词表[[#This Row],[学英]:[学词]]),"")</f>
        <v>42723.809756944444</v>
      </c>
      <c r="M2589" s="2" t="str">
        <f>IF(AND(单词表[[#This Row],[考英]]&lt;&gt;"",单词表[[#This Row],[考中]]&lt;&gt;""),MAX(单词表[[#This Row],[考英]:[考中]]),"")</f>
        <v/>
      </c>
      <c r="N2589" s="79"/>
    </row>
    <row r="2590" spans="1:14" hidden="1" x14ac:dyDescent="0.15">
      <c r="A2590">
        <v>2590</v>
      </c>
      <c r="B2590" t="s">
        <v>35</v>
      </c>
      <c r="C2590" t="s">
        <v>19</v>
      </c>
      <c r="D2590" s="72" t="s">
        <v>1660</v>
      </c>
      <c r="E2590" t="s">
        <v>36</v>
      </c>
      <c r="F2590" t="s">
        <v>4380</v>
      </c>
      <c r="G2590" s="92">
        <v>42723.80978009259</v>
      </c>
      <c r="H2590" s="92">
        <v>42723.80978009259</v>
      </c>
      <c r="I2590" s="92">
        <v>42723.80978009259</v>
      </c>
      <c r="J2590" s="92"/>
      <c r="K2590" s="92">
        <v>42723.810740740744</v>
      </c>
      <c r="L2590" s="92">
        <f>IF(AND(单词表[[#This Row],[学英]]&lt;&gt;"",单词表[[#This Row],[学中]]&lt;&gt;"",单词表[[#This Row],[学词]]&lt;&gt;""),MAX(单词表[[#This Row],[学英]:[学词]]),"")</f>
        <v>42723.80978009259</v>
      </c>
      <c r="M2590" s="2" t="str">
        <f>IF(AND(单词表[[#This Row],[考英]]&lt;&gt;"",单词表[[#This Row],[考中]]&lt;&gt;""),MAX(单词表[[#This Row],[考英]:[考中]]),"")</f>
        <v/>
      </c>
      <c r="N2590" s="79"/>
    </row>
    <row r="2591" spans="1:14" hidden="1" x14ac:dyDescent="0.15">
      <c r="A2591">
        <v>2591</v>
      </c>
      <c r="B2591" t="s">
        <v>35</v>
      </c>
      <c r="C2591" t="s">
        <v>19</v>
      </c>
      <c r="D2591" s="72" t="s">
        <v>3133</v>
      </c>
      <c r="E2591" t="s">
        <v>36</v>
      </c>
      <c r="F2591" t="s">
        <v>4381</v>
      </c>
      <c r="G2591" s="92">
        <v>42723.809803240743</v>
      </c>
      <c r="H2591" s="92">
        <v>42723.816782407404</v>
      </c>
      <c r="I2591" s="92">
        <v>42723.816782407404</v>
      </c>
      <c r="J2591" s="92"/>
      <c r="K2591" s="92">
        <v>42723.818715277775</v>
      </c>
      <c r="L2591" s="92">
        <f>IF(AND(单词表[[#This Row],[学英]]&lt;&gt;"",单词表[[#This Row],[学中]]&lt;&gt;"",单词表[[#This Row],[学词]]&lt;&gt;""),MAX(单词表[[#This Row],[学英]:[学词]]),"")</f>
        <v>42723.816782407404</v>
      </c>
      <c r="M2591" s="2" t="str">
        <f>IF(AND(单词表[[#This Row],[考英]]&lt;&gt;"",单词表[[#This Row],[考中]]&lt;&gt;""),MAX(单词表[[#This Row],[考英]:[考中]]),"")</f>
        <v/>
      </c>
      <c r="N2591" s="79"/>
    </row>
    <row r="2592" spans="1:14" hidden="1" x14ac:dyDescent="0.15">
      <c r="A2592">
        <v>2592</v>
      </c>
      <c r="B2592" t="s">
        <v>35</v>
      </c>
      <c r="C2592" t="s">
        <v>19</v>
      </c>
      <c r="D2592" s="72" t="s">
        <v>4382</v>
      </c>
      <c r="E2592" t="s">
        <v>702</v>
      </c>
      <c r="F2592" t="s">
        <v>3134</v>
      </c>
      <c r="G2592" s="92">
        <v>42723.80982638889</v>
      </c>
      <c r="H2592" s="92">
        <v>42723.816817129627</v>
      </c>
      <c r="I2592" s="92">
        <v>42723.816817129627</v>
      </c>
      <c r="J2592" s="92"/>
      <c r="K2592" s="92">
        <v>42723.818761574075</v>
      </c>
      <c r="L2592" s="92">
        <f>IF(AND(单词表[[#This Row],[学英]]&lt;&gt;"",单词表[[#This Row],[学中]]&lt;&gt;"",单词表[[#This Row],[学词]]&lt;&gt;""),MAX(单词表[[#This Row],[学英]:[学词]]),"")</f>
        <v>42723.816817129627</v>
      </c>
      <c r="M2592" s="2" t="str">
        <f>IF(AND(单词表[[#This Row],[考英]]&lt;&gt;"",单词表[[#This Row],[考中]]&lt;&gt;""),MAX(单词表[[#This Row],[考英]:[考中]]),"")</f>
        <v/>
      </c>
      <c r="N2592" s="79"/>
    </row>
    <row r="2593" spans="1:14" hidden="1" x14ac:dyDescent="0.15">
      <c r="A2593">
        <v>2593</v>
      </c>
      <c r="B2593" t="s">
        <v>35</v>
      </c>
      <c r="C2593" t="s">
        <v>19</v>
      </c>
      <c r="D2593" s="72" t="s">
        <v>1716</v>
      </c>
      <c r="E2593" t="s">
        <v>61</v>
      </c>
      <c r="F2593" t="s">
        <v>4383</v>
      </c>
      <c r="G2593" s="92">
        <v>42723.809849537036</v>
      </c>
      <c r="H2593" s="92">
        <v>42723.816840277781</v>
      </c>
      <c r="I2593" s="92">
        <v>42723.816840277781</v>
      </c>
      <c r="J2593" s="92"/>
      <c r="K2593" s="92">
        <v>42723.818784722222</v>
      </c>
      <c r="L2593" s="92">
        <f>IF(AND(单词表[[#This Row],[学英]]&lt;&gt;"",单词表[[#This Row],[学中]]&lt;&gt;"",单词表[[#This Row],[学词]]&lt;&gt;""),MAX(单词表[[#This Row],[学英]:[学词]]),"")</f>
        <v>42723.816840277781</v>
      </c>
      <c r="M2593" s="2" t="str">
        <f>IF(AND(单词表[[#This Row],[考英]]&lt;&gt;"",单词表[[#This Row],[考中]]&lt;&gt;""),MAX(单词表[[#This Row],[考英]:[考中]]),"")</f>
        <v/>
      </c>
      <c r="N2593" s="79"/>
    </row>
    <row r="2594" spans="1:14" hidden="1" x14ac:dyDescent="0.15">
      <c r="A2594">
        <v>2594</v>
      </c>
      <c r="B2594" t="s">
        <v>35</v>
      </c>
      <c r="C2594" t="s">
        <v>19</v>
      </c>
      <c r="D2594" s="72" t="s">
        <v>4384</v>
      </c>
      <c r="E2594" t="s">
        <v>36</v>
      </c>
      <c r="F2594" t="s">
        <v>4385</v>
      </c>
      <c r="G2594" s="92">
        <v>42723.821342592593</v>
      </c>
      <c r="H2594" s="92">
        <v>42723.841469907406</v>
      </c>
      <c r="I2594" s="92">
        <v>42723.841469907406</v>
      </c>
      <c r="J2594" s="92"/>
      <c r="K2594" s="92">
        <v>42723.841909722221</v>
      </c>
      <c r="L2594" s="92">
        <f>IF(AND(单词表[[#This Row],[学英]]&lt;&gt;"",单词表[[#This Row],[学中]]&lt;&gt;"",单词表[[#This Row],[学词]]&lt;&gt;""),MAX(单词表[[#This Row],[学英]:[学词]]),"")</f>
        <v>42723.841469907406</v>
      </c>
      <c r="M2594" s="2" t="str">
        <f>IF(AND(单词表[[#This Row],[考英]]&lt;&gt;"",单词表[[#This Row],[考中]]&lt;&gt;""),MAX(单词表[[#This Row],[考英]:[考中]]),"")</f>
        <v/>
      </c>
      <c r="N2594" s="79"/>
    </row>
    <row r="2595" spans="1:14" hidden="1" x14ac:dyDescent="0.15">
      <c r="A2595">
        <v>2595</v>
      </c>
      <c r="B2595" t="s">
        <v>35</v>
      </c>
      <c r="C2595" t="s">
        <v>19</v>
      </c>
      <c r="D2595" s="72" t="s">
        <v>4386</v>
      </c>
      <c r="E2595" t="s">
        <v>736</v>
      </c>
      <c r="F2595" t="s">
        <v>4387</v>
      </c>
      <c r="G2595" s="92">
        <v>42723.821377314816</v>
      </c>
      <c r="H2595" s="92">
        <v>42723.821377314816</v>
      </c>
      <c r="I2595" s="92">
        <v>42723.821377314816</v>
      </c>
      <c r="J2595" s="92"/>
      <c r="K2595" s="92">
        <v>42723.826631944445</v>
      </c>
      <c r="L2595" s="92">
        <f>IF(AND(单词表[[#This Row],[学英]]&lt;&gt;"",单词表[[#This Row],[学中]]&lt;&gt;"",单词表[[#This Row],[学词]]&lt;&gt;""),MAX(单词表[[#This Row],[学英]:[学词]]),"")</f>
        <v>42723.821377314816</v>
      </c>
      <c r="M2595" s="2" t="str">
        <f>IF(AND(单词表[[#This Row],[考英]]&lt;&gt;"",单词表[[#This Row],[考中]]&lt;&gt;""),MAX(单词表[[#This Row],[考英]:[考中]]),"")</f>
        <v/>
      </c>
      <c r="N2595" s="79"/>
    </row>
    <row r="2596" spans="1:14" hidden="1" x14ac:dyDescent="0.15">
      <c r="A2596">
        <v>2596</v>
      </c>
      <c r="B2596" t="s">
        <v>35</v>
      </c>
      <c r="C2596" t="s">
        <v>19</v>
      </c>
      <c r="D2596" s="72" t="s">
        <v>4388</v>
      </c>
      <c r="E2596" t="s">
        <v>36</v>
      </c>
      <c r="F2596" t="s">
        <v>4389</v>
      </c>
      <c r="G2596" s="92">
        <v>42723.821388888886</v>
      </c>
      <c r="H2596" s="92">
        <v>42723.841539351852</v>
      </c>
      <c r="I2596" s="92">
        <v>42723.841539351852</v>
      </c>
      <c r="J2596" s="92"/>
      <c r="K2596" s="92">
        <v>42723.841944444444</v>
      </c>
      <c r="L2596" s="92">
        <f>IF(AND(单词表[[#This Row],[学英]]&lt;&gt;"",单词表[[#This Row],[学中]]&lt;&gt;"",单词表[[#This Row],[学词]]&lt;&gt;""),MAX(单词表[[#This Row],[学英]:[学词]]),"")</f>
        <v>42723.841539351852</v>
      </c>
      <c r="M2596" s="2" t="str">
        <f>IF(AND(单词表[[#This Row],[考英]]&lt;&gt;"",单词表[[#This Row],[考中]]&lt;&gt;""),MAX(单词表[[#This Row],[考英]:[考中]]),"")</f>
        <v/>
      </c>
      <c r="N2596" s="79"/>
    </row>
    <row r="2597" spans="1:14" hidden="1" x14ac:dyDescent="0.15">
      <c r="A2597">
        <v>2597</v>
      </c>
      <c r="B2597" t="s">
        <v>35</v>
      </c>
      <c r="C2597" t="s">
        <v>19</v>
      </c>
      <c r="D2597" s="72" t="s">
        <v>4390</v>
      </c>
      <c r="E2597" t="s">
        <v>36</v>
      </c>
      <c r="F2597" t="s">
        <v>4391</v>
      </c>
      <c r="G2597" s="92">
        <v>42723.821412037039</v>
      </c>
      <c r="H2597" s="92">
        <v>42723.821412037039</v>
      </c>
      <c r="I2597" s="92">
        <v>42723.821412037039</v>
      </c>
      <c r="J2597" s="92"/>
      <c r="K2597" s="92">
        <v>42723.82671296296</v>
      </c>
      <c r="L2597" s="92">
        <f>IF(AND(单词表[[#This Row],[学英]]&lt;&gt;"",单词表[[#This Row],[学中]]&lt;&gt;"",单词表[[#This Row],[学词]]&lt;&gt;""),MAX(单词表[[#This Row],[学英]:[学词]]),"")</f>
        <v>42723.821412037039</v>
      </c>
      <c r="M2597" s="2" t="str">
        <f>IF(AND(单词表[[#This Row],[考英]]&lt;&gt;"",单词表[[#This Row],[考中]]&lt;&gt;""),MAX(单词表[[#This Row],[考英]:[考中]]),"")</f>
        <v/>
      </c>
      <c r="N2597" s="79"/>
    </row>
    <row r="2598" spans="1:14" hidden="1" x14ac:dyDescent="0.15">
      <c r="A2598">
        <v>2598</v>
      </c>
      <c r="B2598" t="s">
        <v>35</v>
      </c>
      <c r="C2598" t="s">
        <v>19</v>
      </c>
      <c r="D2598" s="72" t="s">
        <v>4392</v>
      </c>
      <c r="E2598" t="s">
        <v>36</v>
      </c>
      <c r="F2598" t="s">
        <v>4393</v>
      </c>
      <c r="G2598" s="92">
        <v>42723.841666666667</v>
      </c>
      <c r="H2598" s="92">
        <v>42723.842314814814</v>
      </c>
      <c r="I2598" s="92">
        <v>42723.842314814814</v>
      </c>
      <c r="J2598" s="92"/>
      <c r="K2598" s="92">
        <v>42723.842592592591</v>
      </c>
      <c r="L2598" s="92">
        <f>IF(AND(单词表[[#This Row],[学英]]&lt;&gt;"",单词表[[#This Row],[学中]]&lt;&gt;"",单词表[[#This Row],[学词]]&lt;&gt;""),MAX(单词表[[#This Row],[学英]:[学词]]),"")</f>
        <v>42723.842314814814</v>
      </c>
      <c r="M2598" s="2" t="str">
        <f>IF(AND(单词表[[#This Row],[考英]]&lt;&gt;"",单词表[[#This Row],[考中]]&lt;&gt;""),MAX(单词表[[#This Row],[考英]:[考中]]),"")</f>
        <v/>
      </c>
      <c r="N2598" s="79"/>
    </row>
    <row r="2599" spans="1:14" hidden="1" x14ac:dyDescent="0.15">
      <c r="A2599">
        <v>2599</v>
      </c>
      <c r="B2599" t="s">
        <v>35</v>
      </c>
      <c r="C2599" t="s">
        <v>19</v>
      </c>
      <c r="D2599" s="72" t="s">
        <v>4394</v>
      </c>
      <c r="E2599" t="s">
        <v>36</v>
      </c>
      <c r="F2599" t="s">
        <v>4395</v>
      </c>
      <c r="G2599" s="92">
        <v>42723.821458333332</v>
      </c>
      <c r="H2599" s="92">
        <v>42723.841585648152</v>
      </c>
      <c r="I2599" s="92">
        <v>42723.841585648152</v>
      </c>
      <c r="J2599" s="92"/>
      <c r="K2599" s="92">
        <v>42723.842083333337</v>
      </c>
      <c r="L2599" s="92">
        <f>IF(AND(单词表[[#This Row],[学英]]&lt;&gt;"",单词表[[#This Row],[学中]]&lt;&gt;"",单词表[[#This Row],[学词]]&lt;&gt;""),MAX(单词表[[#This Row],[学英]:[学词]]),"")</f>
        <v>42723.841585648152</v>
      </c>
      <c r="M2599" s="2" t="str">
        <f>IF(AND(单词表[[#This Row],[考英]]&lt;&gt;"",单词表[[#This Row],[考中]]&lt;&gt;""),MAX(单词表[[#This Row],[考英]:[考中]]),"")</f>
        <v/>
      </c>
      <c r="N2599" s="79"/>
    </row>
    <row r="2600" spans="1:14" hidden="1" x14ac:dyDescent="0.15">
      <c r="A2600">
        <v>2600</v>
      </c>
      <c r="B2600" t="s">
        <v>35</v>
      </c>
      <c r="C2600" t="s">
        <v>19</v>
      </c>
      <c r="D2600" s="72" t="s">
        <v>4204</v>
      </c>
      <c r="E2600" t="s">
        <v>36</v>
      </c>
      <c r="F2600" t="s">
        <v>4205</v>
      </c>
      <c r="G2600" s="92">
        <v>42723.821481481478</v>
      </c>
      <c r="H2600" s="92">
        <v>42723.821481481478</v>
      </c>
      <c r="I2600" s="92">
        <v>42723.821481481478</v>
      </c>
      <c r="J2600" s="92"/>
      <c r="K2600" s="92">
        <v>42723.82712962963</v>
      </c>
      <c r="L2600" s="92">
        <f>IF(AND(单词表[[#This Row],[学英]]&lt;&gt;"",单词表[[#This Row],[学中]]&lt;&gt;"",单词表[[#This Row],[学词]]&lt;&gt;""),MAX(单词表[[#This Row],[学英]:[学词]]),"")</f>
        <v>42723.821481481478</v>
      </c>
      <c r="M2600" s="2" t="str">
        <f>IF(AND(单词表[[#This Row],[考英]]&lt;&gt;"",单词表[[#This Row],[考中]]&lt;&gt;""),MAX(单词表[[#This Row],[考英]:[考中]]),"")</f>
        <v/>
      </c>
      <c r="N2600" s="79"/>
    </row>
    <row r="2601" spans="1:14" hidden="1" x14ac:dyDescent="0.15">
      <c r="A2601">
        <v>2601</v>
      </c>
      <c r="B2601" t="s">
        <v>35</v>
      </c>
      <c r="C2601" t="s">
        <v>19</v>
      </c>
      <c r="D2601" s="72" t="s">
        <v>3205</v>
      </c>
      <c r="E2601" t="s">
        <v>36</v>
      </c>
      <c r="F2601" t="s">
        <v>4396</v>
      </c>
      <c r="G2601" s="92">
        <v>42723.821493055555</v>
      </c>
      <c r="H2601" s="92">
        <v>42723.821493055555</v>
      </c>
      <c r="I2601" s="92">
        <v>42723.821493055555</v>
      </c>
      <c r="J2601" s="92"/>
      <c r="K2601" s="92">
        <v>42723.827164351853</v>
      </c>
      <c r="L2601" s="92">
        <f>IF(AND(单词表[[#This Row],[学英]]&lt;&gt;"",单词表[[#This Row],[学中]]&lt;&gt;"",单词表[[#This Row],[学词]]&lt;&gt;""),MAX(单词表[[#This Row],[学英]:[学词]]),"")</f>
        <v>42723.821493055555</v>
      </c>
      <c r="M2601" s="2" t="str">
        <f>IF(AND(单词表[[#This Row],[考英]]&lt;&gt;"",单词表[[#This Row],[考中]]&lt;&gt;""),MAX(单词表[[#This Row],[考英]:[考中]]),"")</f>
        <v/>
      </c>
      <c r="N2601" s="79"/>
    </row>
    <row r="2602" spans="1:14" hidden="1" x14ac:dyDescent="0.15">
      <c r="A2602">
        <v>2602</v>
      </c>
      <c r="B2602" t="s">
        <v>35</v>
      </c>
      <c r="C2602" t="s">
        <v>19</v>
      </c>
      <c r="D2602" s="72" t="s">
        <v>312</v>
      </c>
      <c r="E2602" t="s">
        <v>61</v>
      </c>
      <c r="F2602" t="s">
        <v>4397</v>
      </c>
      <c r="G2602" s="92">
        <v>42723.821516203701</v>
      </c>
      <c r="H2602" s="92">
        <v>42723.821516203701</v>
      </c>
      <c r="I2602" s="92">
        <v>42723.821516203701</v>
      </c>
      <c r="J2602" s="92"/>
      <c r="K2602" s="92">
        <v>42723.833356481482</v>
      </c>
      <c r="L2602" s="92">
        <f>IF(AND(单词表[[#This Row],[学英]]&lt;&gt;"",单词表[[#This Row],[学中]]&lt;&gt;"",单词表[[#This Row],[学词]]&lt;&gt;""),MAX(单词表[[#This Row],[学英]:[学词]]),"")</f>
        <v>42723.821516203701</v>
      </c>
      <c r="M2602" s="2" t="str">
        <f>IF(AND(单词表[[#This Row],[考英]]&lt;&gt;"",单词表[[#This Row],[考中]]&lt;&gt;""),MAX(单词表[[#This Row],[考英]:[考中]]),"")</f>
        <v/>
      </c>
      <c r="N2602" s="79"/>
    </row>
    <row r="2603" spans="1:14" hidden="1" x14ac:dyDescent="0.15">
      <c r="A2603">
        <v>2603</v>
      </c>
      <c r="B2603" t="s">
        <v>35</v>
      </c>
      <c r="C2603" t="s">
        <v>19</v>
      </c>
      <c r="D2603" s="72" t="s">
        <v>4398</v>
      </c>
      <c r="E2603" t="s">
        <v>61</v>
      </c>
      <c r="F2603" t="s">
        <v>4399</v>
      </c>
      <c r="G2603" s="92">
        <v>42723.841817129629</v>
      </c>
      <c r="H2603" s="92">
        <v>42723.842881944445</v>
      </c>
      <c r="I2603" s="92">
        <v>42723.842881944445</v>
      </c>
      <c r="J2603" s="92"/>
      <c r="K2603" s="92">
        <v>42723.842951388891</v>
      </c>
      <c r="L2603" s="92">
        <f>IF(AND(单词表[[#This Row],[学英]]&lt;&gt;"",单词表[[#This Row],[学中]]&lt;&gt;"",单词表[[#This Row],[学词]]&lt;&gt;""),MAX(单词表[[#This Row],[学英]:[学词]]),"")</f>
        <v>42723.842881944445</v>
      </c>
      <c r="M2603" s="2" t="str">
        <f>IF(AND(单词表[[#This Row],[考英]]&lt;&gt;"",单词表[[#This Row],[考中]]&lt;&gt;""),MAX(单词表[[#This Row],[考英]:[考中]]),"")</f>
        <v/>
      </c>
      <c r="N2603" s="79"/>
    </row>
    <row r="2604" spans="1:14" hidden="1" x14ac:dyDescent="0.15">
      <c r="A2604">
        <v>2604</v>
      </c>
      <c r="B2604" t="s">
        <v>35</v>
      </c>
      <c r="C2604" t="s">
        <v>19</v>
      </c>
      <c r="D2604" s="72" t="s">
        <v>2203</v>
      </c>
      <c r="E2604" t="s">
        <v>73</v>
      </c>
      <c r="F2604" t="s">
        <v>4400</v>
      </c>
      <c r="G2604" s="92">
        <v>42723.821562500001</v>
      </c>
      <c r="H2604" s="92">
        <v>42723.842453703706</v>
      </c>
      <c r="I2604" s="92">
        <v>42723.842453703706</v>
      </c>
      <c r="J2604" s="92"/>
      <c r="K2604" s="92">
        <v>42723.842731481483</v>
      </c>
      <c r="L2604" s="92">
        <f>IF(AND(单词表[[#This Row],[学英]]&lt;&gt;"",单词表[[#This Row],[学中]]&lt;&gt;"",单词表[[#This Row],[学词]]&lt;&gt;""),MAX(单词表[[#This Row],[学英]:[学词]]),"")</f>
        <v>42723.842453703706</v>
      </c>
      <c r="M2604" s="2" t="str">
        <f>IF(AND(单词表[[#This Row],[考英]]&lt;&gt;"",单词表[[#This Row],[考中]]&lt;&gt;""),MAX(单词表[[#This Row],[考英]:[考中]]),"")</f>
        <v/>
      </c>
      <c r="N2604" s="79"/>
    </row>
    <row r="2605" spans="1:14" hidden="1" x14ac:dyDescent="0.15">
      <c r="A2605">
        <v>2605</v>
      </c>
      <c r="B2605" t="s">
        <v>35</v>
      </c>
      <c r="C2605" t="s">
        <v>19</v>
      </c>
      <c r="D2605" s="72" t="s">
        <v>4401</v>
      </c>
      <c r="E2605" t="s">
        <v>36</v>
      </c>
      <c r="F2605" t="s">
        <v>4402</v>
      </c>
      <c r="G2605" s="92">
        <v>42723.821597222224</v>
      </c>
      <c r="H2605" s="92">
        <v>42723.821597222224</v>
      </c>
      <c r="I2605" s="92">
        <v>42723.821597222224</v>
      </c>
      <c r="J2605" s="92"/>
      <c r="K2605" s="92">
        <v>42723.833564814813</v>
      </c>
      <c r="L2605" s="92">
        <f>IF(AND(单词表[[#This Row],[学英]]&lt;&gt;"",单词表[[#This Row],[学中]]&lt;&gt;"",单词表[[#This Row],[学词]]&lt;&gt;""),MAX(单词表[[#This Row],[学英]:[学词]]),"")</f>
        <v>42723.821597222224</v>
      </c>
      <c r="M2605" s="2" t="str">
        <f>IF(AND(单词表[[#This Row],[考英]]&lt;&gt;"",单词表[[#This Row],[考中]]&lt;&gt;""),MAX(单词表[[#This Row],[考英]:[考中]]),"")</f>
        <v/>
      </c>
      <c r="N2605" s="79"/>
    </row>
    <row r="2606" spans="1:14" hidden="1" x14ac:dyDescent="0.15">
      <c r="A2606">
        <v>2606</v>
      </c>
      <c r="B2606" t="s">
        <v>35</v>
      </c>
      <c r="C2606" t="s">
        <v>19</v>
      </c>
      <c r="D2606" s="72" t="s">
        <v>2744</v>
      </c>
      <c r="E2606" t="s">
        <v>36</v>
      </c>
      <c r="F2606" t="s">
        <v>2745</v>
      </c>
      <c r="G2606" s="92">
        <v>42723.821631944447</v>
      </c>
      <c r="H2606" s="92">
        <v>42723.821631944447</v>
      </c>
      <c r="I2606" s="92">
        <v>42723.821631944447</v>
      </c>
      <c r="J2606" s="92"/>
      <c r="K2606" s="92">
        <v>42723.833587962959</v>
      </c>
      <c r="L2606" s="92">
        <f>IF(AND(单词表[[#This Row],[学英]]&lt;&gt;"",单词表[[#This Row],[学中]]&lt;&gt;"",单词表[[#This Row],[学词]]&lt;&gt;""),MAX(单词表[[#This Row],[学英]:[学词]]),"")</f>
        <v>42723.821631944447</v>
      </c>
      <c r="M2606" s="2" t="str">
        <f>IF(AND(单词表[[#This Row],[考英]]&lt;&gt;"",单词表[[#This Row],[考中]]&lt;&gt;""),MAX(单词表[[#This Row],[考英]:[考中]]),"")</f>
        <v/>
      </c>
      <c r="N2606" s="79"/>
    </row>
    <row r="2607" spans="1:14" hidden="1" x14ac:dyDescent="0.15">
      <c r="A2607">
        <v>2607</v>
      </c>
      <c r="B2607" t="s">
        <v>35</v>
      </c>
      <c r="C2607" t="s">
        <v>19</v>
      </c>
      <c r="D2607" s="72" t="s">
        <v>4403</v>
      </c>
      <c r="E2607" t="s">
        <v>73</v>
      </c>
      <c r="F2607" t="s">
        <v>4404</v>
      </c>
      <c r="G2607" s="92">
        <v>42723.821655092594</v>
      </c>
      <c r="H2607" s="92">
        <v>42723.821655092594</v>
      </c>
      <c r="I2607" s="92">
        <v>42723.821655092594</v>
      </c>
      <c r="J2607" s="92"/>
      <c r="K2607" s="92">
        <v>42723.833738425928</v>
      </c>
      <c r="L2607" s="92">
        <f>IF(AND(单词表[[#This Row],[学英]]&lt;&gt;"",单词表[[#This Row],[学中]]&lt;&gt;"",单词表[[#This Row],[学词]]&lt;&gt;""),MAX(单词表[[#This Row],[学英]:[学词]]),"")</f>
        <v>42723.821655092594</v>
      </c>
      <c r="M2607" s="2" t="str">
        <f>IF(AND(单词表[[#This Row],[考英]]&lt;&gt;"",单词表[[#This Row],[考中]]&lt;&gt;""),MAX(单词表[[#This Row],[考英]:[考中]]),"")</f>
        <v/>
      </c>
      <c r="N2607" s="79"/>
    </row>
    <row r="2608" spans="1:14" hidden="1" x14ac:dyDescent="0.15">
      <c r="A2608">
        <v>2608</v>
      </c>
      <c r="B2608" t="s">
        <v>35</v>
      </c>
      <c r="C2608" t="s">
        <v>19</v>
      </c>
      <c r="D2608" s="72" t="s">
        <v>4405</v>
      </c>
      <c r="E2608" t="s">
        <v>36</v>
      </c>
      <c r="F2608" t="s">
        <v>4406</v>
      </c>
      <c r="G2608" s="92">
        <v>42723.82167824074</v>
      </c>
      <c r="H2608" s="92">
        <v>42723.82167824074</v>
      </c>
      <c r="I2608" s="92">
        <v>42723.82167824074</v>
      </c>
      <c r="J2608" s="92"/>
      <c r="K2608" s="92">
        <v>42723.833773148152</v>
      </c>
      <c r="L2608" s="92">
        <f>IF(AND(单词表[[#This Row],[学英]]&lt;&gt;"",单词表[[#This Row],[学中]]&lt;&gt;"",单词表[[#This Row],[学词]]&lt;&gt;""),MAX(单词表[[#This Row],[学英]:[学词]]),"")</f>
        <v>42723.82167824074</v>
      </c>
      <c r="M2608" s="2" t="str">
        <f>IF(AND(单词表[[#This Row],[考英]]&lt;&gt;"",单词表[[#This Row],[考中]]&lt;&gt;""),MAX(单词表[[#This Row],[考英]:[考中]]),"")</f>
        <v/>
      </c>
      <c r="N2608" s="79"/>
    </row>
    <row r="2609" spans="1:14" hidden="1" x14ac:dyDescent="0.15">
      <c r="A2609">
        <v>2609</v>
      </c>
      <c r="B2609" t="s">
        <v>35</v>
      </c>
      <c r="C2609" t="s">
        <v>19</v>
      </c>
      <c r="D2609" s="72" t="s">
        <v>650</v>
      </c>
      <c r="E2609" t="s">
        <v>36</v>
      </c>
      <c r="F2609" t="s">
        <v>4407</v>
      </c>
      <c r="G2609" s="92">
        <v>42725.44394675926</v>
      </c>
      <c r="H2609" s="92">
        <v>42725.44908564815</v>
      </c>
      <c r="I2609" s="92">
        <v>42725.44908564815</v>
      </c>
      <c r="J2609" s="92"/>
      <c r="K2609" s="92">
        <v>42725.451516203706</v>
      </c>
      <c r="L2609" s="92">
        <f>IF(AND(单词表[[#This Row],[学英]]&lt;&gt;"",单词表[[#This Row],[学中]]&lt;&gt;"",单词表[[#This Row],[学词]]&lt;&gt;""),MAX(单词表[[#This Row],[学英]:[学词]]),"")</f>
        <v>42725.44908564815</v>
      </c>
      <c r="M2609" s="2" t="str">
        <f>IF(AND(单词表[[#This Row],[考英]]&lt;&gt;"",单词表[[#This Row],[考中]]&lt;&gt;""),MAX(单词表[[#This Row],[考英]:[考中]]),"")</f>
        <v/>
      </c>
      <c r="N2609" s="79"/>
    </row>
    <row r="2610" spans="1:14" hidden="1" x14ac:dyDescent="0.15">
      <c r="A2610">
        <v>2610</v>
      </c>
      <c r="B2610" t="s">
        <v>35</v>
      </c>
      <c r="C2610" t="s">
        <v>19</v>
      </c>
      <c r="D2610" s="72" t="s">
        <v>4408</v>
      </c>
      <c r="E2610" t="s">
        <v>736</v>
      </c>
      <c r="F2610" t="s">
        <v>5580</v>
      </c>
      <c r="G2610" s="92">
        <v>42725.443969907406</v>
      </c>
      <c r="H2610" s="92">
        <v>42725.443969907406</v>
      </c>
      <c r="I2610" s="92">
        <v>42725.443969907406</v>
      </c>
      <c r="J2610" s="92"/>
      <c r="K2610" s="92">
        <v>42725.451550925929</v>
      </c>
      <c r="L2610" s="92">
        <f>IF(AND(单词表[[#This Row],[学英]]&lt;&gt;"",单词表[[#This Row],[学中]]&lt;&gt;"",单词表[[#This Row],[学词]]&lt;&gt;""),MAX(单词表[[#This Row],[学英]:[学词]]),"")</f>
        <v>42725.443969907406</v>
      </c>
      <c r="M2610" s="2" t="str">
        <f>IF(AND(单词表[[#This Row],[考英]]&lt;&gt;"",单词表[[#This Row],[考中]]&lt;&gt;""),MAX(单词表[[#This Row],[考英]:[考中]]),"")</f>
        <v/>
      </c>
      <c r="N2610" s="79"/>
    </row>
    <row r="2611" spans="1:14" hidden="1" x14ac:dyDescent="0.15">
      <c r="A2611">
        <v>2611</v>
      </c>
      <c r="B2611" t="s">
        <v>35</v>
      </c>
      <c r="C2611" t="s">
        <v>19</v>
      </c>
      <c r="D2611" s="72" t="s">
        <v>4409</v>
      </c>
      <c r="E2611" t="s">
        <v>702</v>
      </c>
      <c r="F2611" t="s">
        <v>4410</v>
      </c>
      <c r="G2611" s="92">
        <v>42725.443993055553</v>
      </c>
      <c r="H2611" s="92">
        <v>42725.443993055553</v>
      </c>
      <c r="I2611" s="92">
        <v>42725.443993055553</v>
      </c>
      <c r="J2611" s="92"/>
      <c r="K2611" s="92">
        <v>42725.451585648145</v>
      </c>
      <c r="L2611" s="92">
        <f>IF(AND(单词表[[#This Row],[学英]]&lt;&gt;"",单词表[[#This Row],[学中]]&lt;&gt;"",单词表[[#This Row],[学词]]&lt;&gt;""),MAX(单词表[[#This Row],[学英]:[学词]]),"")</f>
        <v>42725.443993055553</v>
      </c>
      <c r="M2611" s="2" t="str">
        <f>IF(AND(单词表[[#This Row],[考英]]&lt;&gt;"",单词表[[#This Row],[考中]]&lt;&gt;""),MAX(单词表[[#This Row],[考英]:[考中]]),"")</f>
        <v/>
      </c>
      <c r="N2611" s="79"/>
    </row>
    <row r="2612" spans="1:14" hidden="1" x14ac:dyDescent="0.15">
      <c r="A2612">
        <v>2612</v>
      </c>
      <c r="B2612" t="s">
        <v>35</v>
      </c>
      <c r="C2612" t="s">
        <v>19</v>
      </c>
      <c r="D2612" s="72" t="s">
        <v>4411</v>
      </c>
      <c r="E2612" t="s">
        <v>36</v>
      </c>
      <c r="F2612" t="s">
        <v>4412</v>
      </c>
      <c r="G2612" s="92">
        <v>42725.444004629629</v>
      </c>
      <c r="H2612" s="92">
        <v>42725.449259259258</v>
      </c>
      <c r="I2612" s="92">
        <v>42725.449259259258</v>
      </c>
      <c r="J2612" s="92"/>
      <c r="K2612" s="92">
        <v>42725.451643518521</v>
      </c>
      <c r="L2612" s="92">
        <f>IF(AND(单词表[[#This Row],[学英]]&lt;&gt;"",单词表[[#This Row],[学中]]&lt;&gt;"",单词表[[#This Row],[学词]]&lt;&gt;""),MAX(单词表[[#This Row],[学英]:[学词]]),"")</f>
        <v>42725.449259259258</v>
      </c>
      <c r="M2612" s="2" t="str">
        <f>IF(AND(单词表[[#This Row],[考英]]&lt;&gt;"",单词表[[#This Row],[考中]]&lt;&gt;""),MAX(单词表[[#This Row],[考英]:[考中]]),"")</f>
        <v/>
      </c>
      <c r="N2612" s="79"/>
    </row>
    <row r="2613" spans="1:14" hidden="1" x14ac:dyDescent="0.15">
      <c r="A2613">
        <v>2613</v>
      </c>
      <c r="B2613" t="s">
        <v>35</v>
      </c>
      <c r="C2613" t="s">
        <v>19</v>
      </c>
      <c r="D2613" s="72" t="s">
        <v>4413</v>
      </c>
      <c r="E2613" t="s">
        <v>36</v>
      </c>
      <c r="F2613" t="s">
        <v>4414</v>
      </c>
      <c r="G2613" s="92">
        <v>42725.444074074076</v>
      </c>
      <c r="H2613" s="92">
        <v>42725.444074074076</v>
      </c>
      <c r="I2613" s="92">
        <v>42725.444074074076</v>
      </c>
      <c r="J2613" s="92"/>
      <c r="K2613" s="92">
        <v>42725.451666666668</v>
      </c>
      <c r="L2613" s="92">
        <f>IF(AND(单词表[[#This Row],[学英]]&lt;&gt;"",单词表[[#This Row],[学中]]&lt;&gt;"",单词表[[#This Row],[学词]]&lt;&gt;""),MAX(单词表[[#This Row],[学英]:[学词]]),"")</f>
        <v>42725.444074074076</v>
      </c>
      <c r="M2613" s="2" t="str">
        <f>IF(AND(单词表[[#This Row],[考英]]&lt;&gt;"",单词表[[#This Row],[考中]]&lt;&gt;""),MAX(单词表[[#This Row],[考英]:[考中]]),"")</f>
        <v/>
      </c>
      <c r="N2613" s="79"/>
    </row>
    <row r="2614" spans="1:14" hidden="1" x14ac:dyDescent="0.15">
      <c r="A2614">
        <v>2614</v>
      </c>
      <c r="B2614" t="s">
        <v>35</v>
      </c>
      <c r="C2614" t="s">
        <v>19</v>
      </c>
      <c r="D2614" s="72" t="s">
        <v>4415</v>
      </c>
      <c r="E2614" t="s">
        <v>36</v>
      </c>
      <c r="F2614" t="s">
        <v>4416</v>
      </c>
      <c r="G2614" s="92">
        <v>42725.444097222222</v>
      </c>
      <c r="H2614" s="92">
        <v>42725.451122685183</v>
      </c>
      <c r="I2614" s="92">
        <v>42725.45113425926</v>
      </c>
      <c r="J2614" s="92"/>
      <c r="K2614" s="92">
        <v>42725.451701388891</v>
      </c>
      <c r="L2614" s="92">
        <f>IF(AND(单词表[[#This Row],[学英]]&lt;&gt;"",单词表[[#This Row],[学中]]&lt;&gt;"",单词表[[#This Row],[学词]]&lt;&gt;""),MAX(单词表[[#This Row],[学英]:[学词]]),"")</f>
        <v>42725.45113425926</v>
      </c>
      <c r="M2614" s="2" t="str">
        <f>IF(AND(单词表[[#This Row],[考英]]&lt;&gt;"",单词表[[#This Row],[考中]]&lt;&gt;""),MAX(单词表[[#This Row],[考英]:[考中]]),"")</f>
        <v/>
      </c>
      <c r="N2614" s="79"/>
    </row>
    <row r="2615" spans="1:14" hidden="1" x14ac:dyDescent="0.15">
      <c r="A2615">
        <v>2615</v>
      </c>
      <c r="B2615" t="s">
        <v>35</v>
      </c>
      <c r="C2615" t="s">
        <v>19</v>
      </c>
      <c r="D2615" s="72" t="s">
        <v>605</v>
      </c>
      <c r="E2615" t="s">
        <v>36</v>
      </c>
      <c r="F2615" t="s">
        <v>4417</v>
      </c>
      <c r="G2615" s="92">
        <v>42725.444143518522</v>
      </c>
      <c r="H2615" s="92">
        <v>42725.451157407406</v>
      </c>
      <c r="I2615" s="92">
        <v>42725.451157407406</v>
      </c>
      <c r="J2615" s="92"/>
      <c r="K2615" s="92">
        <v>42725.451747685183</v>
      </c>
      <c r="L2615" s="92">
        <f>IF(AND(单词表[[#This Row],[学英]]&lt;&gt;"",单词表[[#This Row],[学中]]&lt;&gt;"",单词表[[#This Row],[学词]]&lt;&gt;""),MAX(单词表[[#This Row],[学英]:[学词]]),"")</f>
        <v>42725.451157407406</v>
      </c>
      <c r="M2615" s="2" t="str">
        <f>IF(AND(单词表[[#This Row],[考英]]&lt;&gt;"",单词表[[#This Row],[考中]]&lt;&gt;""),MAX(单词表[[#This Row],[考英]:[考中]]),"")</f>
        <v/>
      </c>
      <c r="N2615" s="79"/>
    </row>
    <row r="2616" spans="1:14" hidden="1" x14ac:dyDescent="0.15">
      <c r="A2616">
        <v>2616</v>
      </c>
      <c r="B2616" t="s">
        <v>35</v>
      </c>
      <c r="C2616" t="s">
        <v>19</v>
      </c>
      <c r="D2616" s="72" t="s">
        <v>4418</v>
      </c>
      <c r="E2616" t="s">
        <v>36</v>
      </c>
      <c r="F2616" t="s">
        <v>4419</v>
      </c>
      <c r="G2616" s="92">
        <v>42725.444178240738</v>
      </c>
      <c r="H2616" s="92">
        <v>42725.449652777781</v>
      </c>
      <c r="I2616" s="92">
        <v>42725.449652777781</v>
      </c>
      <c r="J2616" s="92"/>
      <c r="K2616" s="92">
        <v>42725.451770833337</v>
      </c>
      <c r="L2616" s="92">
        <f>IF(AND(单词表[[#This Row],[学英]]&lt;&gt;"",单词表[[#This Row],[学中]]&lt;&gt;"",单词表[[#This Row],[学词]]&lt;&gt;""),MAX(单词表[[#This Row],[学英]:[学词]]),"")</f>
        <v>42725.449652777781</v>
      </c>
      <c r="M2616" s="2" t="str">
        <f>IF(AND(单词表[[#This Row],[考英]]&lt;&gt;"",单词表[[#This Row],[考中]]&lt;&gt;""),MAX(单词表[[#This Row],[考英]:[考中]]),"")</f>
        <v/>
      </c>
      <c r="N2616" s="79"/>
    </row>
    <row r="2617" spans="1:14" hidden="1" x14ac:dyDescent="0.15">
      <c r="A2617">
        <v>2617</v>
      </c>
      <c r="B2617" t="s">
        <v>35</v>
      </c>
      <c r="C2617" t="s">
        <v>19</v>
      </c>
      <c r="D2617" s="72" t="s">
        <v>4420</v>
      </c>
      <c r="E2617" t="s">
        <v>73</v>
      </c>
      <c r="F2617" t="s">
        <v>4421</v>
      </c>
      <c r="G2617" s="92">
        <v>42725.444224537037</v>
      </c>
      <c r="H2617" s="92">
        <v>42725.452164351853</v>
      </c>
      <c r="I2617" s="92">
        <v>42725.452164351853</v>
      </c>
      <c r="J2617" s="92"/>
      <c r="K2617" s="92">
        <v>42725.452268518522</v>
      </c>
      <c r="L2617" s="92">
        <f>IF(AND(单词表[[#This Row],[学英]]&lt;&gt;"",单词表[[#This Row],[学中]]&lt;&gt;"",单词表[[#This Row],[学词]]&lt;&gt;""),MAX(单词表[[#This Row],[学英]:[学词]]),"")</f>
        <v>42725.452164351853</v>
      </c>
      <c r="M2617" s="2" t="str">
        <f>IF(AND(单词表[[#This Row],[考英]]&lt;&gt;"",单词表[[#This Row],[考中]]&lt;&gt;""),MAX(单词表[[#This Row],[考英]:[考中]]),"")</f>
        <v/>
      </c>
      <c r="N2617" s="79"/>
    </row>
    <row r="2618" spans="1:14" hidden="1" x14ac:dyDescent="0.15">
      <c r="A2618">
        <v>2618</v>
      </c>
      <c r="B2618" t="s">
        <v>35</v>
      </c>
      <c r="C2618" t="s">
        <v>19</v>
      </c>
      <c r="D2618" s="72" t="s">
        <v>4422</v>
      </c>
      <c r="E2618" t="s">
        <v>736</v>
      </c>
      <c r="F2618" t="s">
        <v>223</v>
      </c>
      <c r="G2618" s="92">
        <v>42725.444247685184</v>
      </c>
      <c r="H2618" s="92">
        <v>42725.444247685184</v>
      </c>
      <c r="I2618" s="92">
        <v>42725.444247685184</v>
      </c>
      <c r="J2618" s="92"/>
      <c r="K2618" s="92">
        <v>42725.451956018522</v>
      </c>
      <c r="L2618" s="92">
        <f>IF(AND(单词表[[#This Row],[学英]]&lt;&gt;"",单词表[[#This Row],[学中]]&lt;&gt;"",单词表[[#This Row],[学词]]&lt;&gt;""),MAX(单词表[[#This Row],[学英]:[学词]]),"")</f>
        <v>42725.444247685184</v>
      </c>
      <c r="M2618" s="2" t="str">
        <f>IF(AND(单词表[[#This Row],[考英]]&lt;&gt;"",单词表[[#This Row],[考中]]&lt;&gt;""),MAX(单词表[[#This Row],[考英]:[考中]]),"")</f>
        <v/>
      </c>
      <c r="N2618" s="79"/>
    </row>
    <row r="2619" spans="1:14" hidden="1" x14ac:dyDescent="0.15">
      <c r="A2619">
        <v>2619</v>
      </c>
      <c r="B2619" t="s">
        <v>35</v>
      </c>
      <c r="C2619" t="s">
        <v>19</v>
      </c>
      <c r="D2619" s="72" t="s">
        <v>1992</v>
      </c>
      <c r="E2619" t="s">
        <v>36</v>
      </c>
      <c r="F2619" t="s">
        <v>5581</v>
      </c>
      <c r="G2619" s="92">
        <v>42725.452696759261</v>
      </c>
      <c r="H2619" s="92">
        <v>42725.452696759261</v>
      </c>
      <c r="I2619" s="92">
        <v>42725.452696759261</v>
      </c>
      <c r="J2619" s="92"/>
      <c r="K2619" s="92">
        <v>42725.463726851849</v>
      </c>
      <c r="L2619" s="92">
        <f>IF(AND(单词表[[#This Row],[学英]]&lt;&gt;"",单词表[[#This Row],[学中]]&lt;&gt;"",单词表[[#This Row],[学词]]&lt;&gt;""),MAX(单词表[[#This Row],[学英]:[学词]]),"")</f>
        <v>42725.452696759261</v>
      </c>
      <c r="M2619" s="2" t="str">
        <f>IF(AND(单词表[[#This Row],[考英]]&lt;&gt;"",单词表[[#This Row],[考中]]&lt;&gt;""),MAX(单词表[[#This Row],[考英]:[考中]]),"")</f>
        <v/>
      </c>
      <c r="N2619" s="79"/>
    </row>
    <row r="2620" spans="1:14" hidden="1" x14ac:dyDescent="0.15">
      <c r="A2620">
        <v>2620</v>
      </c>
      <c r="B2620" t="s">
        <v>35</v>
      </c>
      <c r="C2620" t="s">
        <v>19</v>
      </c>
      <c r="D2620" s="72" t="s">
        <v>4423</v>
      </c>
      <c r="E2620" t="s">
        <v>36</v>
      </c>
      <c r="F2620" t="s">
        <v>4424</v>
      </c>
      <c r="G2620" s="92">
        <v>42725.454317129632</v>
      </c>
      <c r="H2620" s="92">
        <v>42725.459479166668</v>
      </c>
      <c r="I2620" s="92">
        <v>42725.459479166668</v>
      </c>
      <c r="J2620" s="92"/>
      <c r="K2620" s="92">
        <v>42725.463761574072</v>
      </c>
      <c r="L2620" s="92">
        <f>IF(AND(单词表[[#This Row],[学英]]&lt;&gt;"",单词表[[#This Row],[学中]]&lt;&gt;"",单词表[[#This Row],[学词]]&lt;&gt;""),MAX(单词表[[#This Row],[学英]:[学词]]),"")</f>
        <v>42725.459479166668</v>
      </c>
      <c r="M2620" s="2" t="str">
        <f>IF(AND(单词表[[#This Row],[考英]]&lt;&gt;"",单词表[[#This Row],[考中]]&lt;&gt;""),MAX(单词表[[#This Row],[考英]:[考中]]),"")</f>
        <v/>
      </c>
      <c r="N2620" s="79"/>
    </row>
    <row r="2621" spans="1:14" hidden="1" x14ac:dyDescent="0.15">
      <c r="A2621">
        <v>2621</v>
      </c>
      <c r="B2621" t="s">
        <v>35</v>
      </c>
      <c r="C2621" t="s">
        <v>19</v>
      </c>
      <c r="D2621" s="72" t="s">
        <v>4425</v>
      </c>
      <c r="E2621" t="s">
        <v>702</v>
      </c>
      <c r="F2621" t="s">
        <v>5582</v>
      </c>
      <c r="G2621" s="92">
        <v>42725.454432870371</v>
      </c>
      <c r="H2621" s="92">
        <v>42725.454432870371</v>
      </c>
      <c r="I2621" s="92">
        <v>42725.454432870371</v>
      </c>
      <c r="J2621" s="92"/>
      <c r="K2621" s="92">
        <v>42725.463796296295</v>
      </c>
      <c r="L2621" s="92">
        <f>IF(AND(单词表[[#This Row],[学英]]&lt;&gt;"",单词表[[#This Row],[学中]]&lt;&gt;"",单词表[[#This Row],[学词]]&lt;&gt;""),MAX(单词表[[#This Row],[学英]:[学词]]),"")</f>
        <v>42725.454432870371</v>
      </c>
      <c r="M2621" s="2" t="str">
        <f>IF(AND(单词表[[#This Row],[考英]]&lt;&gt;"",单词表[[#This Row],[考中]]&lt;&gt;""),MAX(单词表[[#This Row],[考英]:[考中]]),"")</f>
        <v/>
      </c>
      <c r="N2621" s="79"/>
    </row>
    <row r="2622" spans="1:14" hidden="1" x14ac:dyDescent="0.15">
      <c r="A2622">
        <v>2622</v>
      </c>
      <c r="B2622" t="s">
        <v>35</v>
      </c>
      <c r="C2622" t="s">
        <v>19</v>
      </c>
      <c r="D2622" s="72" t="s">
        <v>4426</v>
      </c>
      <c r="E2622" t="s">
        <v>36</v>
      </c>
      <c r="F2622" t="s">
        <v>4427</v>
      </c>
      <c r="G2622" s="92">
        <v>42725.454780092594</v>
      </c>
      <c r="H2622" s="92">
        <v>42725.454780092594</v>
      </c>
      <c r="I2622" s="92">
        <v>42725.454780092594</v>
      </c>
      <c r="J2622" s="92"/>
      <c r="K2622" s="92">
        <v>42725.463842592595</v>
      </c>
      <c r="L2622" s="92">
        <f>IF(AND(单词表[[#This Row],[学英]]&lt;&gt;"",单词表[[#This Row],[学中]]&lt;&gt;"",单词表[[#This Row],[学词]]&lt;&gt;""),MAX(单词表[[#This Row],[学英]:[学词]]),"")</f>
        <v>42725.454780092594</v>
      </c>
      <c r="M2622" s="2" t="str">
        <f>IF(AND(单词表[[#This Row],[考英]]&lt;&gt;"",单词表[[#This Row],[考中]]&lt;&gt;""),MAX(单词表[[#This Row],[考英]:[考中]]),"")</f>
        <v/>
      </c>
      <c r="N2622" s="79"/>
    </row>
    <row r="2623" spans="1:14" hidden="1" x14ac:dyDescent="0.15">
      <c r="A2623">
        <v>2623</v>
      </c>
      <c r="B2623" t="s">
        <v>35</v>
      </c>
      <c r="C2623" t="s">
        <v>19</v>
      </c>
      <c r="D2623" s="72" t="s">
        <v>4428</v>
      </c>
      <c r="E2623" t="s">
        <v>61</v>
      </c>
      <c r="F2623" t="s">
        <v>4429</v>
      </c>
      <c r="G2623" s="92">
        <v>42725.45484953704</v>
      </c>
      <c r="H2623" s="92">
        <v>42725.459548611114</v>
      </c>
      <c r="I2623" s="92">
        <v>42725.459548611114</v>
      </c>
      <c r="J2623" s="92"/>
      <c r="K2623" s="92">
        <v>42725.463993055557</v>
      </c>
      <c r="L2623" s="92">
        <f>IF(AND(单词表[[#This Row],[学英]]&lt;&gt;"",单词表[[#This Row],[学中]]&lt;&gt;"",单词表[[#This Row],[学词]]&lt;&gt;""),MAX(单词表[[#This Row],[学英]:[学词]]),"")</f>
        <v>42725.459548611114</v>
      </c>
      <c r="M2623" s="2" t="str">
        <f>IF(AND(单词表[[#This Row],[考英]]&lt;&gt;"",单词表[[#This Row],[考中]]&lt;&gt;""),MAX(单词表[[#This Row],[考英]:[考中]]),"")</f>
        <v/>
      </c>
      <c r="N2623" s="79"/>
    </row>
    <row r="2624" spans="1:14" hidden="1" x14ac:dyDescent="0.15">
      <c r="A2624">
        <v>2624</v>
      </c>
      <c r="B2624" t="s">
        <v>35</v>
      </c>
      <c r="C2624" t="s">
        <v>19</v>
      </c>
      <c r="D2624" s="72" t="s">
        <v>2067</v>
      </c>
      <c r="E2624" t="s">
        <v>36</v>
      </c>
      <c r="F2624" t="s">
        <v>2068</v>
      </c>
      <c r="G2624" s="92">
        <v>42725.454907407409</v>
      </c>
      <c r="H2624" s="92">
        <v>42725.454907407409</v>
      </c>
      <c r="I2624" s="92">
        <v>42725.454907407409</v>
      </c>
      <c r="J2624" s="92"/>
      <c r="K2624" s="92">
        <v>42725.464039351849</v>
      </c>
      <c r="L2624" s="92">
        <f>IF(AND(单词表[[#This Row],[学英]]&lt;&gt;"",单词表[[#This Row],[学中]]&lt;&gt;"",单词表[[#This Row],[学词]]&lt;&gt;""),MAX(单词表[[#This Row],[学英]:[学词]]),"")</f>
        <v>42725.454907407409</v>
      </c>
      <c r="M2624" s="2" t="str">
        <f>IF(AND(单词表[[#This Row],[考英]]&lt;&gt;"",单词表[[#This Row],[考中]]&lt;&gt;""),MAX(单词表[[#This Row],[考英]:[考中]]),"")</f>
        <v/>
      </c>
      <c r="N2624" s="79"/>
    </row>
    <row r="2625" spans="1:14" hidden="1" x14ac:dyDescent="0.15">
      <c r="A2625">
        <v>2625</v>
      </c>
      <c r="B2625" t="s">
        <v>35</v>
      </c>
      <c r="C2625" t="s">
        <v>19</v>
      </c>
      <c r="D2625" s="72" t="s">
        <v>571</v>
      </c>
      <c r="E2625" t="s">
        <v>61</v>
      </c>
      <c r="F2625" t="s">
        <v>5583</v>
      </c>
      <c r="G2625" s="92">
        <v>42725.455428240741</v>
      </c>
      <c r="H2625" s="92">
        <v>42725.463634259257</v>
      </c>
      <c r="I2625" s="92">
        <v>42725.463634259257</v>
      </c>
      <c r="J2625" s="92"/>
      <c r="K2625" s="92">
        <v>42725.464143518519</v>
      </c>
      <c r="L2625" s="92">
        <f>IF(AND(单词表[[#This Row],[学英]]&lt;&gt;"",单词表[[#This Row],[学中]]&lt;&gt;"",单词表[[#This Row],[学词]]&lt;&gt;""),MAX(单词表[[#This Row],[学英]:[学词]]),"")</f>
        <v>42725.463634259257</v>
      </c>
      <c r="M2625" s="2" t="str">
        <f>IF(AND(单词表[[#This Row],[考英]]&lt;&gt;"",单词表[[#This Row],[考中]]&lt;&gt;""),MAX(单词表[[#This Row],[考英]:[考中]]),"")</f>
        <v/>
      </c>
      <c r="N2625" s="79"/>
    </row>
    <row r="2626" spans="1:14" hidden="1" x14ac:dyDescent="0.15">
      <c r="A2626">
        <v>2626</v>
      </c>
      <c r="B2626" t="s">
        <v>35</v>
      </c>
      <c r="C2626" t="s">
        <v>19</v>
      </c>
      <c r="D2626" s="72" t="s">
        <v>4430</v>
      </c>
      <c r="E2626" t="s">
        <v>73</v>
      </c>
      <c r="F2626" t="s">
        <v>4431</v>
      </c>
      <c r="G2626" s="92">
        <v>42725.45553240741</v>
      </c>
      <c r="H2626" s="92">
        <v>42725.464490740742</v>
      </c>
      <c r="I2626" s="92">
        <v>42725.464490740742</v>
      </c>
      <c r="J2626" s="92"/>
      <c r="K2626" s="92">
        <v>42725.464606481481</v>
      </c>
      <c r="L2626" s="92">
        <f>IF(AND(单词表[[#This Row],[学英]]&lt;&gt;"",单词表[[#This Row],[学中]]&lt;&gt;"",单词表[[#This Row],[学词]]&lt;&gt;""),MAX(单词表[[#This Row],[学英]:[学词]]),"")</f>
        <v>42725.464490740742</v>
      </c>
      <c r="M2626" s="2" t="str">
        <f>IF(AND(单词表[[#This Row],[考英]]&lt;&gt;"",单词表[[#This Row],[考中]]&lt;&gt;""),MAX(单词表[[#This Row],[考英]:[考中]]),"")</f>
        <v/>
      </c>
      <c r="N2626" s="79"/>
    </row>
    <row r="2627" spans="1:14" hidden="1" x14ac:dyDescent="0.15">
      <c r="A2627">
        <v>2627</v>
      </c>
      <c r="B2627" t="s">
        <v>35</v>
      </c>
      <c r="C2627" t="s">
        <v>19</v>
      </c>
      <c r="D2627" s="72" t="s">
        <v>4432</v>
      </c>
      <c r="E2627" t="s">
        <v>157</v>
      </c>
      <c r="F2627" t="s">
        <v>4433</v>
      </c>
      <c r="G2627" s="92">
        <v>42725.455567129633</v>
      </c>
      <c r="H2627" s="92">
        <v>42725.455567129633</v>
      </c>
      <c r="I2627" s="92">
        <v>42725.455567129633</v>
      </c>
      <c r="J2627" s="92"/>
      <c r="K2627" s="92">
        <v>42725.464641203704</v>
      </c>
      <c r="L2627" s="92">
        <f>IF(AND(单词表[[#This Row],[学英]]&lt;&gt;"",单词表[[#This Row],[学中]]&lt;&gt;"",单词表[[#This Row],[学词]]&lt;&gt;""),MAX(单词表[[#This Row],[学英]:[学词]]),"")</f>
        <v>42725.455567129633</v>
      </c>
      <c r="M2627" s="2" t="str">
        <f>IF(AND(单词表[[#This Row],[考英]]&lt;&gt;"",单词表[[#This Row],[考中]]&lt;&gt;""),MAX(单词表[[#This Row],[考英]:[考中]]),"")</f>
        <v/>
      </c>
      <c r="N2627" s="79"/>
    </row>
    <row r="2628" spans="1:14" hidden="1" x14ac:dyDescent="0.15">
      <c r="A2628">
        <v>2628</v>
      </c>
      <c r="B2628" t="s">
        <v>35</v>
      </c>
      <c r="C2628" t="s">
        <v>19</v>
      </c>
      <c r="D2628" s="72" t="s">
        <v>4434</v>
      </c>
      <c r="E2628" t="s">
        <v>157</v>
      </c>
      <c r="F2628" t="s">
        <v>4435</v>
      </c>
      <c r="G2628" s="92">
        <v>42725.455590277779</v>
      </c>
      <c r="H2628" s="92">
        <v>42725.464502314811</v>
      </c>
      <c r="I2628" s="92">
        <v>42725.464502314811</v>
      </c>
      <c r="J2628" s="92"/>
      <c r="K2628" s="92">
        <v>42725.464687500003</v>
      </c>
      <c r="L2628" s="92">
        <f>IF(AND(单词表[[#This Row],[学英]]&lt;&gt;"",单词表[[#This Row],[学中]]&lt;&gt;"",单词表[[#This Row],[学词]]&lt;&gt;""),MAX(单词表[[#This Row],[学英]:[学词]]),"")</f>
        <v>42725.464502314811</v>
      </c>
      <c r="M2628" s="2" t="str">
        <f>IF(AND(单词表[[#This Row],[考英]]&lt;&gt;"",单词表[[#This Row],[考中]]&lt;&gt;""),MAX(单词表[[#This Row],[考英]:[考中]]),"")</f>
        <v/>
      </c>
      <c r="N2628" s="79"/>
    </row>
    <row r="2629" spans="1:14" hidden="1" x14ac:dyDescent="0.15">
      <c r="A2629">
        <v>2629</v>
      </c>
      <c r="B2629" t="s">
        <v>35</v>
      </c>
      <c r="C2629" t="s">
        <v>19</v>
      </c>
      <c r="D2629" s="72" t="s">
        <v>4436</v>
      </c>
      <c r="E2629" t="s">
        <v>157</v>
      </c>
      <c r="F2629" t="s">
        <v>4437</v>
      </c>
      <c r="G2629" s="92">
        <v>42726.835266203707</v>
      </c>
      <c r="H2629" s="92">
        <v>42726.835266203707</v>
      </c>
      <c r="I2629" s="92">
        <v>42726.835266203707</v>
      </c>
      <c r="J2629" s="92"/>
      <c r="K2629" s="92">
        <v>42726.843472222223</v>
      </c>
      <c r="L2629" s="92">
        <f>IF(AND(单词表[[#This Row],[学英]]&lt;&gt;"",单词表[[#This Row],[学中]]&lt;&gt;"",单词表[[#This Row],[学词]]&lt;&gt;""),MAX(单词表[[#This Row],[学英]:[学词]]),"")</f>
        <v>42726.835266203707</v>
      </c>
      <c r="M2629" s="2" t="str">
        <f>IF(AND(单词表[[#This Row],[考英]]&lt;&gt;"",单词表[[#This Row],[考中]]&lt;&gt;""),MAX(单词表[[#This Row],[考英]:[考中]]),"")</f>
        <v/>
      </c>
      <c r="N2629" s="79"/>
    </row>
    <row r="2630" spans="1:14" hidden="1" x14ac:dyDescent="0.15">
      <c r="A2630">
        <v>2630</v>
      </c>
      <c r="B2630" t="s">
        <v>35</v>
      </c>
      <c r="C2630" t="s">
        <v>19</v>
      </c>
      <c r="D2630" s="72" t="s">
        <v>982</v>
      </c>
      <c r="E2630" t="s">
        <v>73</v>
      </c>
      <c r="F2630" t="s">
        <v>983</v>
      </c>
      <c r="G2630" s="92">
        <v>42726.835289351853</v>
      </c>
      <c r="H2630" s="92">
        <v>42726.844166666669</v>
      </c>
      <c r="I2630" s="92">
        <v>42726.844166666669</v>
      </c>
      <c r="J2630" s="92"/>
      <c r="K2630" s="92">
        <v>42728.582569444443</v>
      </c>
      <c r="L2630" s="92">
        <f>IF(AND(单词表[[#This Row],[学英]]&lt;&gt;"",单词表[[#This Row],[学中]]&lt;&gt;"",单词表[[#This Row],[学词]]&lt;&gt;""),MAX(单词表[[#This Row],[学英]:[学词]]),"")</f>
        <v>42726.844166666669</v>
      </c>
      <c r="M2630" s="2" t="str">
        <f>IF(AND(单词表[[#This Row],[考英]]&lt;&gt;"",单词表[[#This Row],[考中]]&lt;&gt;""),MAX(单词表[[#This Row],[考英]:[考中]]),"")</f>
        <v/>
      </c>
      <c r="N2630" s="79"/>
    </row>
    <row r="2631" spans="1:14" hidden="1" x14ac:dyDescent="0.15">
      <c r="A2631">
        <v>2631</v>
      </c>
      <c r="B2631" t="s">
        <v>35</v>
      </c>
      <c r="C2631" t="s">
        <v>19</v>
      </c>
      <c r="D2631" s="72" t="s">
        <v>4438</v>
      </c>
      <c r="E2631" t="s">
        <v>73</v>
      </c>
      <c r="F2631" t="s">
        <v>4439</v>
      </c>
      <c r="G2631" s="92">
        <v>42726.835312499999</v>
      </c>
      <c r="H2631" s="92">
        <v>42726.840115740742</v>
      </c>
      <c r="I2631" s="92">
        <v>42726.840115740742</v>
      </c>
      <c r="J2631" s="92"/>
      <c r="K2631" s="92">
        <v>42726.843634259261</v>
      </c>
      <c r="L2631" s="92">
        <f>IF(AND(单词表[[#This Row],[学英]]&lt;&gt;"",单词表[[#This Row],[学中]]&lt;&gt;"",单词表[[#This Row],[学词]]&lt;&gt;""),MAX(单词表[[#This Row],[学英]:[学词]]),"")</f>
        <v>42726.840115740742</v>
      </c>
      <c r="M2631" s="2" t="str">
        <f>IF(AND(单词表[[#This Row],[考英]]&lt;&gt;"",单词表[[#This Row],[考中]]&lt;&gt;""),MAX(单词表[[#This Row],[考英]:[考中]]),"")</f>
        <v/>
      </c>
      <c r="N2631" s="79"/>
    </row>
    <row r="2632" spans="1:14" hidden="1" x14ac:dyDescent="0.15">
      <c r="A2632">
        <v>2632</v>
      </c>
      <c r="B2632" t="s">
        <v>35</v>
      </c>
      <c r="C2632" t="s">
        <v>19</v>
      </c>
      <c r="D2632" s="72" t="s">
        <v>4440</v>
      </c>
      <c r="E2632" t="s">
        <v>73</v>
      </c>
      <c r="F2632" t="s">
        <v>4441</v>
      </c>
      <c r="G2632" s="92">
        <v>42726.835370370369</v>
      </c>
      <c r="H2632" s="92">
        <v>42728.581574074073</v>
      </c>
      <c r="I2632" s="92">
        <v>42728.581574074073</v>
      </c>
      <c r="J2632" s="92"/>
      <c r="K2632" s="92">
        <v>42728.582604166666</v>
      </c>
      <c r="L2632" s="92">
        <f>IF(AND(单词表[[#This Row],[学英]]&lt;&gt;"",单词表[[#This Row],[学中]]&lt;&gt;"",单词表[[#This Row],[学词]]&lt;&gt;""),MAX(单词表[[#This Row],[学英]:[学词]]),"")</f>
        <v>42728.581574074073</v>
      </c>
      <c r="M2632" s="2" t="str">
        <f>IF(AND(单词表[[#This Row],[考英]]&lt;&gt;"",单词表[[#This Row],[考中]]&lt;&gt;""),MAX(单词表[[#This Row],[考英]:[考中]]),"")</f>
        <v/>
      </c>
      <c r="N2632" s="79"/>
    </row>
    <row r="2633" spans="1:14" hidden="1" x14ac:dyDescent="0.15">
      <c r="A2633">
        <v>2633</v>
      </c>
      <c r="B2633" t="s">
        <v>35</v>
      </c>
      <c r="C2633" t="s">
        <v>19</v>
      </c>
      <c r="D2633" s="72" t="s">
        <v>3865</v>
      </c>
      <c r="E2633" t="s">
        <v>36</v>
      </c>
      <c r="F2633" t="s">
        <v>4442</v>
      </c>
      <c r="G2633" s="92">
        <v>42726.835393518515</v>
      </c>
      <c r="H2633" s="92">
        <v>42726.840937499997</v>
      </c>
      <c r="I2633" s="92">
        <v>42726.840937499997</v>
      </c>
      <c r="J2633" s="92"/>
      <c r="K2633" s="92">
        <v>42726.843877314815</v>
      </c>
      <c r="L2633" s="92">
        <f>IF(AND(单词表[[#This Row],[学英]]&lt;&gt;"",单词表[[#This Row],[学中]]&lt;&gt;"",单词表[[#This Row],[学词]]&lt;&gt;""),MAX(单词表[[#This Row],[学英]:[学词]]),"")</f>
        <v>42726.840937499997</v>
      </c>
      <c r="M2633" s="2" t="str">
        <f>IF(AND(单词表[[#This Row],[考英]]&lt;&gt;"",单词表[[#This Row],[考中]]&lt;&gt;""),MAX(单词表[[#This Row],[考英]:[考中]]),"")</f>
        <v/>
      </c>
      <c r="N2633" s="79"/>
    </row>
    <row r="2634" spans="1:14" hidden="1" x14ac:dyDescent="0.15">
      <c r="A2634">
        <v>2634</v>
      </c>
      <c r="B2634" t="s">
        <v>35</v>
      </c>
      <c r="C2634" t="s">
        <v>19</v>
      </c>
      <c r="D2634" s="72" t="s">
        <v>1292</v>
      </c>
      <c r="E2634" t="s">
        <v>61</v>
      </c>
      <c r="F2634" t="s">
        <v>1293</v>
      </c>
      <c r="G2634" s="92">
        <v>42726.835416666669</v>
      </c>
      <c r="H2634" s="92">
        <v>42726.835416666669</v>
      </c>
      <c r="I2634" s="92">
        <v>42726.835416666669</v>
      </c>
      <c r="J2634" s="92"/>
      <c r="K2634" s="92">
        <v>42726.843912037039</v>
      </c>
      <c r="L2634" s="92">
        <f>IF(AND(单词表[[#This Row],[学英]]&lt;&gt;"",单词表[[#This Row],[学中]]&lt;&gt;"",单词表[[#This Row],[学词]]&lt;&gt;""),MAX(单词表[[#This Row],[学英]:[学词]]),"")</f>
        <v>42726.835416666669</v>
      </c>
      <c r="M2634" s="2" t="str">
        <f>IF(AND(单词表[[#This Row],[考英]]&lt;&gt;"",单词表[[#This Row],[考中]]&lt;&gt;""),MAX(单词表[[#This Row],[考英]:[考中]]),"")</f>
        <v/>
      </c>
      <c r="N2634" s="79"/>
    </row>
    <row r="2635" spans="1:14" hidden="1" x14ac:dyDescent="0.15">
      <c r="A2635">
        <v>2635</v>
      </c>
      <c r="B2635" t="s">
        <v>35</v>
      </c>
      <c r="C2635" t="s">
        <v>19</v>
      </c>
      <c r="D2635" s="72" t="s">
        <v>4443</v>
      </c>
      <c r="E2635" t="s">
        <v>36</v>
      </c>
      <c r="F2635" t="s">
        <v>4444</v>
      </c>
      <c r="G2635" s="92">
        <v>42726.835497685184</v>
      </c>
      <c r="H2635" s="92">
        <v>42726.841006944444</v>
      </c>
      <c r="I2635" s="92">
        <v>42726.841006944444</v>
      </c>
      <c r="J2635" s="92"/>
      <c r="K2635" s="92">
        <v>42726.843935185185</v>
      </c>
      <c r="L2635" s="92">
        <f>IF(AND(单词表[[#This Row],[学英]]&lt;&gt;"",单词表[[#This Row],[学中]]&lt;&gt;"",单词表[[#This Row],[学词]]&lt;&gt;""),MAX(单词表[[#This Row],[学英]:[学词]]),"")</f>
        <v>42726.841006944444</v>
      </c>
      <c r="M2635" s="2" t="str">
        <f>IF(AND(单词表[[#This Row],[考英]]&lt;&gt;"",单词表[[#This Row],[考中]]&lt;&gt;""),MAX(单词表[[#This Row],[考英]:[考中]]),"")</f>
        <v/>
      </c>
      <c r="N2635" s="79"/>
    </row>
    <row r="2636" spans="1:14" hidden="1" x14ac:dyDescent="0.15">
      <c r="A2636">
        <v>2636</v>
      </c>
      <c r="B2636" t="s">
        <v>35</v>
      </c>
      <c r="C2636" t="s">
        <v>19</v>
      </c>
      <c r="D2636" s="72" t="s">
        <v>4445</v>
      </c>
      <c r="E2636" t="s">
        <v>36</v>
      </c>
      <c r="F2636" t="s">
        <v>4446</v>
      </c>
      <c r="G2636" s="92">
        <v>42726.83697916667</v>
      </c>
      <c r="H2636" s="92">
        <v>42726.842013888891</v>
      </c>
      <c r="I2636" s="92">
        <v>42726.842013888891</v>
      </c>
      <c r="J2636" s="92"/>
      <c r="K2636" s="92">
        <v>42726.843969907408</v>
      </c>
      <c r="L2636" s="92">
        <f>IF(AND(单词表[[#This Row],[学英]]&lt;&gt;"",单词表[[#This Row],[学中]]&lt;&gt;"",单词表[[#This Row],[学词]]&lt;&gt;""),MAX(单词表[[#This Row],[学英]:[学词]]),"")</f>
        <v>42726.842013888891</v>
      </c>
      <c r="M2636" s="2" t="str">
        <f>IF(AND(单词表[[#This Row],[考英]]&lt;&gt;"",单词表[[#This Row],[考中]]&lt;&gt;""),MAX(单词表[[#This Row],[考英]:[考中]]),"")</f>
        <v/>
      </c>
      <c r="N2636" s="79"/>
    </row>
    <row r="2637" spans="1:14" hidden="1" x14ac:dyDescent="0.15">
      <c r="A2637">
        <v>2637</v>
      </c>
      <c r="B2637" t="s">
        <v>35</v>
      </c>
      <c r="C2637" t="s">
        <v>19</v>
      </c>
      <c r="D2637" s="72" t="s">
        <v>4447</v>
      </c>
      <c r="E2637" t="s">
        <v>36</v>
      </c>
      <c r="F2637" t="s">
        <v>4448</v>
      </c>
      <c r="G2637" s="92">
        <v>42726.837002314816</v>
      </c>
      <c r="H2637" s="92">
        <v>42726.842152777775</v>
      </c>
      <c r="I2637" s="92">
        <v>42726.842152777775</v>
      </c>
      <c r="J2637" s="92"/>
      <c r="K2637" s="92">
        <v>42726.8440162037</v>
      </c>
      <c r="L2637" s="92">
        <f>IF(AND(单词表[[#This Row],[学英]]&lt;&gt;"",单词表[[#This Row],[学中]]&lt;&gt;"",单词表[[#This Row],[学词]]&lt;&gt;""),MAX(单词表[[#This Row],[学英]:[学词]]),"")</f>
        <v>42726.842152777775</v>
      </c>
      <c r="M2637" s="2" t="str">
        <f>IF(AND(单词表[[#This Row],[考英]]&lt;&gt;"",单词表[[#This Row],[考中]]&lt;&gt;""),MAX(单词表[[#This Row],[考英]:[考中]]),"")</f>
        <v/>
      </c>
      <c r="N2637" s="79"/>
    </row>
    <row r="2638" spans="1:14" hidden="1" x14ac:dyDescent="0.15">
      <c r="A2638">
        <v>2638</v>
      </c>
      <c r="B2638" t="s">
        <v>35</v>
      </c>
      <c r="C2638" t="s">
        <v>19</v>
      </c>
      <c r="D2638" s="72" t="s">
        <v>4449</v>
      </c>
      <c r="E2638" t="s">
        <v>61</v>
      </c>
      <c r="F2638" t="s">
        <v>4450</v>
      </c>
      <c r="G2638" s="92">
        <v>42726.837025462963</v>
      </c>
      <c r="H2638" s="92">
        <v>42728.579837962963</v>
      </c>
      <c r="I2638" s="92">
        <v>42728.579837962963</v>
      </c>
      <c r="J2638" s="92"/>
      <c r="K2638" s="92">
        <v>42728.582650462966</v>
      </c>
      <c r="L2638" s="92">
        <f>IF(AND(单词表[[#This Row],[学英]]&lt;&gt;"",单词表[[#This Row],[学中]]&lt;&gt;"",单词表[[#This Row],[学词]]&lt;&gt;""),MAX(单词表[[#This Row],[学英]:[学词]]),"")</f>
        <v>42728.579837962963</v>
      </c>
      <c r="M2638" s="2" t="str">
        <f>IF(AND(单词表[[#This Row],[考英]]&lt;&gt;"",单词表[[#This Row],[考中]]&lt;&gt;""),MAX(单词表[[#This Row],[考英]:[考中]]),"")</f>
        <v/>
      </c>
      <c r="N2638" s="79"/>
    </row>
    <row r="2639" spans="1:14" hidden="1" x14ac:dyDescent="0.15">
      <c r="A2639">
        <v>2639</v>
      </c>
      <c r="B2639" t="s">
        <v>35</v>
      </c>
      <c r="C2639" t="s">
        <v>19</v>
      </c>
      <c r="D2639" s="72" t="s">
        <v>4451</v>
      </c>
      <c r="E2639" t="s">
        <v>61</v>
      </c>
      <c r="F2639" t="s">
        <v>4452</v>
      </c>
      <c r="G2639" s="92">
        <v>42728.579861111109</v>
      </c>
      <c r="H2639" s="92">
        <v>42728.579861111109</v>
      </c>
      <c r="I2639" s="92">
        <v>42728.579861111109</v>
      </c>
      <c r="J2639" s="92"/>
      <c r="K2639" s="92">
        <v>42728.582685185182</v>
      </c>
      <c r="L2639" s="92">
        <f>IF(AND(单词表[[#This Row],[学英]]&lt;&gt;"",单词表[[#This Row],[学中]]&lt;&gt;"",单词表[[#This Row],[学词]]&lt;&gt;""),MAX(单词表[[#This Row],[学英]:[学词]]),"")</f>
        <v>42728.579861111109</v>
      </c>
      <c r="M2639" s="2" t="str">
        <f>IF(AND(单词表[[#This Row],[考英]]&lt;&gt;"",单词表[[#This Row],[考中]]&lt;&gt;""),MAX(单词表[[#This Row],[考英]:[考中]]),"")</f>
        <v/>
      </c>
      <c r="N2639" s="79"/>
    </row>
    <row r="2640" spans="1:14" hidden="1" x14ac:dyDescent="0.15">
      <c r="A2640">
        <v>2640</v>
      </c>
      <c r="B2640" t="s">
        <v>35</v>
      </c>
      <c r="C2640" t="s">
        <v>19</v>
      </c>
      <c r="D2640" s="72" t="s">
        <v>4453</v>
      </c>
      <c r="E2640" t="s">
        <v>36</v>
      </c>
      <c r="F2640" t="s">
        <v>5584</v>
      </c>
      <c r="G2640" s="92">
        <v>42728.579895833333</v>
      </c>
      <c r="H2640" s="92">
        <v>42728.584363425929</v>
      </c>
      <c r="I2640" s="92">
        <v>42728.584363425929</v>
      </c>
      <c r="J2640" s="92"/>
      <c r="K2640" s="92">
        <v>42728.584629629629</v>
      </c>
      <c r="L2640" s="92">
        <f>IF(AND(单词表[[#This Row],[学英]]&lt;&gt;"",单词表[[#This Row],[学中]]&lt;&gt;"",单词表[[#This Row],[学词]]&lt;&gt;""),MAX(单词表[[#This Row],[学英]:[学词]]),"")</f>
        <v>42728.584363425929</v>
      </c>
      <c r="M2640" s="2" t="str">
        <f>IF(AND(单词表[[#This Row],[考英]]&lt;&gt;"",单词表[[#This Row],[考中]]&lt;&gt;""),MAX(单词表[[#This Row],[考英]:[考中]]),"")</f>
        <v/>
      </c>
      <c r="N2640" s="79"/>
    </row>
    <row r="2641" spans="1:14" hidden="1" x14ac:dyDescent="0.15">
      <c r="A2641">
        <v>2641</v>
      </c>
      <c r="B2641" t="s">
        <v>35</v>
      </c>
      <c r="C2641" t="s">
        <v>19</v>
      </c>
      <c r="D2641" s="72" t="s">
        <v>4454</v>
      </c>
      <c r="E2641" t="s">
        <v>73</v>
      </c>
      <c r="F2641" t="s">
        <v>4455</v>
      </c>
      <c r="G2641" s="92">
        <v>42728.579918981479</v>
      </c>
      <c r="H2641" s="92">
        <v>42728.584502314814</v>
      </c>
      <c r="I2641" s="92">
        <v>42728.584502314814</v>
      </c>
      <c r="J2641" s="92"/>
      <c r="K2641" s="92">
        <v>42728.584664351853</v>
      </c>
      <c r="L2641" s="92">
        <f>IF(AND(单词表[[#This Row],[学英]]&lt;&gt;"",单词表[[#This Row],[学中]]&lt;&gt;"",单词表[[#This Row],[学词]]&lt;&gt;""),MAX(单词表[[#This Row],[学英]:[学词]]),"")</f>
        <v>42728.584502314814</v>
      </c>
      <c r="M2641" s="2" t="str">
        <f>IF(AND(单词表[[#This Row],[考英]]&lt;&gt;"",单词表[[#This Row],[考中]]&lt;&gt;""),MAX(单词表[[#This Row],[考英]:[考中]]),"")</f>
        <v/>
      </c>
      <c r="N2641" s="79"/>
    </row>
    <row r="2642" spans="1:14" hidden="1" x14ac:dyDescent="0.15">
      <c r="A2642">
        <v>2642</v>
      </c>
      <c r="B2642" t="s">
        <v>35</v>
      </c>
      <c r="C2642" t="s">
        <v>19</v>
      </c>
      <c r="D2642" s="72" t="s">
        <v>3749</v>
      </c>
      <c r="E2642" t="s">
        <v>73</v>
      </c>
      <c r="F2642" t="s">
        <v>3751</v>
      </c>
      <c r="G2642" s="92">
        <v>42728.579942129632</v>
      </c>
      <c r="H2642" s="92">
        <v>42728.579942129632</v>
      </c>
      <c r="I2642" s="92">
        <v>42728.579942129632</v>
      </c>
      <c r="J2642" s="92"/>
      <c r="K2642" s="92">
        <v>42728.58284722222</v>
      </c>
      <c r="L2642" s="92">
        <f>IF(AND(单词表[[#This Row],[学英]]&lt;&gt;"",单词表[[#This Row],[学中]]&lt;&gt;"",单词表[[#This Row],[学词]]&lt;&gt;""),MAX(单词表[[#This Row],[学英]:[学词]]),"")</f>
        <v>42728.579942129632</v>
      </c>
      <c r="M2642" s="2" t="str">
        <f>IF(AND(单词表[[#This Row],[考英]]&lt;&gt;"",单词表[[#This Row],[考中]]&lt;&gt;""),MAX(单词表[[#This Row],[考英]:[考中]]),"")</f>
        <v/>
      </c>
      <c r="N2642" s="79"/>
    </row>
    <row r="2643" spans="1:14" hidden="1" x14ac:dyDescent="0.15">
      <c r="A2643">
        <v>2643</v>
      </c>
      <c r="B2643" t="s">
        <v>35</v>
      </c>
      <c r="C2643" t="s">
        <v>19</v>
      </c>
      <c r="D2643" s="72" t="s">
        <v>2209</v>
      </c>
      <c r="E2643" t="s">
        <v>36</v>
      </c>
      <c r="F2643" t="s">
        <v>4456</v>
      </c>
      <c r="G2643" s="92">
        <v>42728.579988425925</v>
      </c>
      <c r="H2643" s="92">
        <v>42728.581828703704</v>
      </c>
      <c r="I2643" s="92">
        <v>42728.581828703704</v>
      </c>
      <c r="J2643" s="92"/>
      <c r="K2643" s="92">
        <v>42728.582881944443</v>
      </c>
      <c r="L2643" s="92">
        <f>IF(AND(单词表[[#This Row],[学英]]&lt;&gt;"",单词表[[#This Row],[学中]]&lt;&gt;"",单词表[[#This Row],[学词]]&lt;&gt;""),MAX(单词表[[#This Row],[学英]:[学词]]),"")</f>
        <v>42728.581828703704</v>
      </c>
      <c r="M2643" s="2" t="str">
        <f>IF(AND(单词表[[#This Row],[考英]]&lt;&gt;"",单词表[[#This Row],[考中]]&lt;&gt;""),MAX(单词表[[#This Row],[考英]:[考中]]),"")</f>
        <v/>
      </c>
      <c r="N2643" s="79"/>
    </row>
    <row r="2644" spans="1:14" hidden="1" x14ac:dyDescent="0.15">
      <c r="A2644">
        <v>2644</v>
      </c>
      <c r="B2644" t="s">
        <v>35</v>
      </c>
      <c r="C2644" t="s">
        <v>19</v>
      </c>
      <c r="D2644" s="72" t="s">
        <v>4457</v>
      </c>
      <c r="E2644" t="s">
        <v>36</v>
      </c>
      <c r="F2644" t="s">
        <v>104</v>
      </c>
      <c r="G2644" s="92">
        <v>42728.580034722225</v>
      </c>
      <c r="H2644" s="92">
        <v>42728.582430555558</v>
      </c>
      <c r="I2644" s="92">
        <v>42728.582430555558</v>
      </c>
      <c r="J2644" s="92"/>
      <c r="K2644" s="92">
        <v>42728.582928240743</v>
      </c>
      <c r="L2644" s="92">
        <f>IF(AND(单词表[[#This Row],[学英]]&lt;&gt;"",单词表[[#This Row],[学中]]&lt;&gt;"",单词表[[#This Row],[学词]]&lt;&gt;""),MAX(单词表[[#This Row],[学英]:[学词]]),"")</f>
        <v>42728.582430555558</v>
      </c>
      <c r="M2644" s="2" t="str">
        <f>IF(AND(单词表[[#This Row],[考英]]&lt;&gt;"",单词表[[#This Row],[考中]]&lt;&gt;""),MAX(单词表[[#This Row],[考英]:[考中]]),"")</f>
        <v/>
      </c>
      <c r="N2644" s="79"/>
    </row>
    <row r="2645" spans="1:14" hidden="1" x14ac:dyDescent="0.15">
      <c r="A2645">
        <v>2645</v>
      </c>
      <c r="B2645" t="s">
        <v>35</v>
      </c>
      <c r="C2645" t="s">
        <v>19</v>
      </c>
      <c r="D2645" s="72" t="s">
        <v>500</v>
      </c>
      <c r="E2645" t="s">
        <v>61</v>
      </c>
      <c r="F2645" t="s">
        <v>4458</v>
      </c>
      <c r="G2645" s="92">
        <v>42728.580069444448</v>
      </c>
      <c r="H2645" s="92">
        <v>42728.580069444448</v>
      </c>
      <c r="I2645" s="92">
        <v>42728.580069444448</v>
      </c>
      <c r="J2645" s="92"/>
      <c r="K2645" s="92">
        <v>42728.582951388889</v>
      </c>
      <c r="L2645" s="92">
        <f>IF(AND(单词表[[#This Row],[学英]]&lt;&gt;"",单词表[[#This Row],[学中]]&lt;&gt;"",单词表[[#This Row],[学词]]&lt;&gt;""),MAX(单词表[[#This Row],[学英]:[学词]]),"")</f>
        <v>42728.580069444448</v>
      </c>
      <c r="M2645" s="2" t="str">
        <f>IF(AND(单词表[[#This Row],[考英]]&lt;&gt;"",单词表[[#This Row],[考中]]&lt;&gt;""),MAX(单词表[[#This Row],[考英]:[考中]]),"")</f>
        <v/>
      </c>
      <c r="N2645" s="79"/>
    </row>
    <row r="2646" spans="1:14" hidden="1" x14ac:dyDescent="0.15">
      <c r="A2646">
        <v>2646</v>
      </c>
      <c r="B2646" t="s">
        <v>35</v>
      </c>
      <c r="C2646" t="s">
        <v>19</v>
      </c>
      <c r="D2646" s="72" t="s">
        <v>182</v>
      </c>
      <c r="E2646" t="s">
        <v>61</v>
      </c>
      <c r="F2646" t="s">
        <v>4459</v>
      </c>
      <c r="G2646" s="92">
        <v>42728.580104166664</v>
      </c>
      <c r="H2646" s="92">
        <v>42728.582488425927</v>
      </c>
      <c r="I2646" s="92">
        <v>42728.582488425927</v>
      </c>
      <c r="J2646" s="92"/>
      <c r="K2646" s="92">
        <v>42728.582986111112</v>
      </c>
      <c r="L2646" s="92">
        <f>IF(AND(单词表[[#This Row],[学英]]&lt;&gt;"",单词表[[#This Row],[学中]]&lt;&gt;"",单词表[[#This Row],[学词]]&lt;&gt;""),MAX(单词表[[#This Row],[学英]:[学词]]),"")</f>
        <v>42728.582488425927</v>
      </c>
      <c r="M2646" s="2" t="str">
        <f>IF(AND(单词表[[#This Row],[考英]]&lt;&gt;"",单词表[[#This Row],[考中]]&lt;&gt;""),MAX(单词表[[#This Row],[考英]:[考中]]),"")</f>
        <v/>
      </c>
      <c r="N2646" s="79"/>
    </row>
    <row r="2647" spans="1:14" hidden="1" x14ac:dyDescent="0.15">
      <c r="A2647">
        <v>2647</v>
      </c>
      <c r="B2647" t="s">
        <v>35</v>
      </c>
      <c r="C2647" t="s">
        <v>19</v>
      </c>
      <c r="D2647" s="72" t="s">
        <v>648</v>
      </c>
      <c r="E2647" t="s">
        <v>157</v>
      </c>
      <c r="F2647" t="s">
        <v>649</v>
      </c>
      <c r="G2647" s="92">
        <v>42728.580127314817</v>
      </c>
      <c r="H2647" s="92">
        <v>42728.580127314817</v>
      </c>
      <c r="I2647" s="92">
        <v>42728.580127314817</v>
      </c>
      <c r="J2647" s="92"/>
      <c r="K2647" s="92">
        <v>42728.583020833335</v>
      </c>
      <c r="L2647" s="92">
        <f>IF(AND(单词表[[#This Row],[学英]]&lt;&gt;"",单词表[[#This Row],[学中]]&lt;&gt;"",单词表[[#This Row],[学词]]&lt;&gt;""),MAX(单词表[[#This Row],[学英]:[学词]]),"")</f>
        <v>42728.580127314817</v>
      </c>
      <c r="M2647" s="2" t="str">
        <f>IF(AND(单词表[[#This Row],[考英]]&lt;&gt;"",单词表[[#This Row],[考中]]&lt;&gt;""),MAX(单词表[[#This Row],[考英]:[考中]]),"")</f>
        <v/>
      </c>
      <c r="N2647" s="79"/>
    </row>
    <row r="2648" spans="1:14" hidden="1" x14ac:dyDescent="0.15">
      <c r="A2648">
        <v>2648</v>
      </c>
      <c r="B2648" t="s">
        <v>35</v>
      </c>
      <c r="C2648" t="s">
        <v>19</v>
      </c>
      <c r="D2648" s="72" t="s">
        <v>2925</v>
      </c>
      <c r="E2648" t="s">
        <v>61</v>
      </c>
      <c r="F2648" t="s">
        <v>4460</v>
      </c>
      <c r="G2648" s="92">
        <v>42728.580150462964</v>
      </c>
      <c r="H2648" s="92">
        <v>42728.580150462964</v>
      </c>
      <c r="I2648" s="92">
        <v>42728.580150462964</v>
      </c>
      <c r="J2648" s="92"/>
      <c r="K2648" s="92">
        <v>42728.583101851851</v>
      </c>
      <c r="L2648" s="92">
        <f>IF(AND(单词表[[#This Row],[学英]]&lt;&gt;"",单词表[[#This Row],[学中]]&lt;&gt;"",单词表[[#This Row],[学词]]&lt;&gt;""),MAX(单词表[[#This Row],[学英]:[学词]]),"")</f>
        <v>42728.580150462964</v>
      </c>
      <c r="M2648" s="2" t="str">
        <f>IF(AND(单词表[[#This Row],[考英]]&lt;&gt;"",单词表[[#This Row],[考中]]&lt;&gt;""),MAX(单词表[[#This Row],[考英]:[考中]]),"")</f>
        <v/>
      </c>
      <c r="N2648" s="79"/>
    </row>
    <row r="2649" spans="1:14" hidden="1" x14ac:dyDescent="0.15">
      <c r="A2649">
        <v>2649</v>
      </c>
      <c r="B2649" t="s">
        <v>35</v>
      </c>
      <c r="C2649" t="s">
        <v>20</v>
      </c>
      <c r="D2649" s="72" t="s">
        <v>4461</v>
      </c>
      <c r="E2649" t="s">
        <v>736</v>
      </c>
      <c r="F2649" t="s">
        <v>4462</v>
      </c>
      <c r="G2649" s="92">
        <v>42728.586516203701</v>
      </c>
      <c r="H2649" s="92">
        <v>42728.586516203701</v>
      </c>
      <c r="I2649" s="92">
        <v>42728.586516203701</v>
      </c>
      <c r="J2649" s="92"/>
      <c r="K2649" s="92">
        <v>42728.586770833332</v>
      </c>
      <c r="L2649" s="92">
        <f>IF(AND(单词表[[#This Row],[学英]]&lt;&gt;"",单词表[[#This Row],[学中]]&lt;&gt;"",单词表[[#This Row],[学词]]&lt;&gt;""),MAX(单词表[[#This Row],[学英]:[学词]]),"")</f>
        <v>42728.586516203701</v>
      </c>
      <c r="M2649" s="2" t="str">
        <f>IF(AND(单词表[[#This Row],[考英]]&lt;&gt;"",单词表[[#This Row],[考中]]&lt;&gt;""),MAX(单词表[[#This Row],[考英]:[考中]]),"")</f>
        <v/>
      </c>
      <c r="N2649" s="79"/>
    </row>
    <row r="2650" spans="1:14" hidden="1" x14ac:dyDescent="0.15">
      <c r="A2650">
        <v>2650</v>
      </c>
      <c r="B2650" t="s">
        <v>35</v>
      </c>
      <c r="C2650" t="s">
        <v>20</v>
      </c>
      <c r="D2650" s="72" t="s">
        <v>4463</v>
      </c>
      <c r="E2650" t="s">
        <v>36</v>
      </c>
      <c r="F2650" t="s">
        <v>4464</v>
      </c>
      <c r="G2650" s="92">
        <v>42728.586469907408</v>
      </c>
      <c r="H2650" s="92">
        <v>42728.586469907408</v>
      </c>
      <c r="I2650" s="92">
        <v>42728.586469907408</v>
      </c>
      <c r="J2650" s="92"/>
      <c r="K2650" s="92">
        <v>42728.586805555555</v>
      </c>
      <c r="L2650" s="92">
        <f>IF(AND(单词表[[#This Row],[学英]]&lt;&gt;"",单词表[[#This Row],[学中]]&lt;&gt;"",单词表[[#This Row],[学词]]&lt;&gt;""),MAX(单词表[[#This Row],[学英]:[学词]]),"")</f>
        <v>42728.586469907408</v>
      </c>
      <c r="M2650" s="2" t="str">
        <f>IF(AND(单词表[[#This Row],[考英]]&lt;&gt;"",单词表[[#This Row],[考中]]&lt;&gt;""),MAX(单词表[[#This Row],[考英]:[考中]]),"")</f>
        <v/>
      </c>
      <c r="N2650" s="79"/>
    </row>
    <row r="2651" spans="1:14" hidden="1" x14ac:dyDescent="0.15">
      <c r="A2651">
        <v>2651</v>
      </c>
      <c r="B2651" t="s">
        <v>35</v>
      </c>
      <c r="C2651" t="s">
        <v>20</v>
      </c>
      <c r="D2651" s="72" t="s">
        <v>2161</v>
      </c>
      <c r="E2651" t="s">
        <v>157</v>
      </c>
      <c r="F2651" t="s">
        <v>4465</v>
      </c>
      <c r="G2651" s="92">
        <v>42728.586412037039</v>
      </c>
      <c r="H2651" s="92">
        <v>42728.586412037039</v>
      </c>
      <c r="I2651" s="92">
        <v>42728.586412037039</v>
      </c>
      <c r="J2651" s="92"/>
      <c r="K2651" s="92">
        <v>42728.586840277778</v>
      </c>
      <c r="L2651" s="92">
        <f>IF(AND(单词表[[#This Row],[学英]]&lt;&gt;"",单词表[[#This Row],[学中]]&lt;&gt;"",单词表[[#This Row],[学词]]&lt;&gt;""),MAX(单词表[[#This Row],[学英]:[学词]]),"")</f>
        <v>42728.586412037039</v>
      </c>
      <c r="M2651" s="2" t="str">
        <f>IF(AND(单词表[[#This Row],[考英]]&lt;&gt;"",单词表[[#This Row],[考中]]&lt;&gt;""),MAX(单词表[[#This Row],[考英]:[考中]]),"")</f>
        <v/>
      </c>
      <c r="N2651" s="79"/>
    </row>
    <row r="2652" spans="1:14" hidden="1" x14ac:dyDescent="0.15">
      <c r="A2652">
        <v>2652</v>
      </c>
      <c r="B2652" t="s">
        <v>35</v>
      </c>
      <c r="C2652" t="s">
        <v>20</v>
      </c>
      <c r="D2652" s="72" t="s">
        <v>4466</v>
      </c>
      <c r="E2652" t="s">
        <v>36</v>
      </c>
      <c r="F2652" t="s">
        <v>1078</v>
      </c>
      <c r="G2652" s="92">
        <v>42728.586342592593</v>
      </c>
      <c r="H2652" s="92">
        <v>42728.586342592593</v>
      </c>
      <c r="I2652" s="92">
        <v>42728.586342592593</v>
      </c>
      <c r="J2652" s="92"/>
      <c r="K2652" s="92">
        <v>42728.586875000001</v>
      </c>
      <c r="L2652" s="92">
        <f>IF(AND(单词表[[#This Row],[学英]]&lt;&gt;"",单词表[[#This Row],[学中]]&lt;&gt;"",单词表[[#This Row],[学词]]&lt;&gt;""),MAX(单词表[[#This Row],[学英]:[学词]]),"")</f>
        <v>42728.586342592593</v>
      </c>
      <c r="M2652" s="2" t="str">
        <f>IF(AND(单词表[[#This Row],[考英]]&lt;&gt;"",单词表[[#This Row],[考中]]&lt;&gt;""),MAX(单词表[[#This Row],[考英]:[考中]]),"")</f>
        <v/>
      </c>
      <c r="N2652" s="79"/>
    </row>
    <row r="2653" spans="1:14" hidden="1" x14ac:dyDescent="0.15">
      <c r="A2653">
        <v>2653</v>
      </c>
      <c r="B2653" t="s">
        <v>35</v>
      </c>
      <c r="C2653" t="s">
        <v>20</v>
      </c>
      <c r="D2653" s="72" t="s">
        <v>4467</v>
      </c>
      <c r="E2653" t="s">
        <v>73</v>
      </c>
      <c r="F2653" t="s">
        <v>4468</v>
      </c>
      <c r="G2653" s="92">
        <v>42728.585393518515</v>
      </c>
      <c r="H2653" s="92">
        <v>42728.585393518515</v>
      </c>
      <c r="I2653" s="92">
        <v>42728.585393518515</v>
      </c>
      <c r="J2653" s="92"/>
      <c r="K2653" s="92">
        <v>42728.586909722224</v>
      </c>
      <c r="L2653" s="92">
        <f>IF(AND(单词表[[#This Row],[学英]]&lt;&gt;"",单词表[[#This Row],[学中]]&lt;&gt;"",单词表[[#This Row],[学词]]&lt;&gt;""),MAX(单词表[[#This Row],[学英]:[学词]]),"")</f>
        <v>42728.585393518515</v>
      </c>
      <c r="M2653" s="2" t="str">
        <f>IF(AND(单词表[[#This Row],[考英]]&lt;&gt;"",单词表[[#This Row],[考中]]&lt;&gt;""),MAX(单词表[[#This Row],[考英]:[考中]]),"")</f>
        <v/>
      </c>
      <c r="N2653" s="79"/>
    </row>
    <row r="2654" spans="1:14" hidden="1" x14ac:dyDescent="0.15">
      <c r="A2654">
        <v>2654</v>
      </c>
      <c r="B2654" t="s">
        <v>35</v>
      </c>
      <c r="C2654" t="s">
        <v>20</v>
      </c>
      <c r="D2654" s="72" t="s">
        <v>4469</v>
      </c>
      <c r="E2654" t="s">
        <v>36</v>
      </c>
      <c r="F2654" t="s">
        <v>4470</v>
      </c>
      <c r="G2654" s="92">
        <v>42728.585335648146</v>
      </c>
      <c r="H2654" s="92">
        <v>42728.585335648146</v>
      </c>
      <c r="I2654" s="92">
        <v>42728.585335648146</v>
      </c>
      <c r="J2654" s="92"/>
      <c r="K2654" s="92">
        <v>42728.587025462963</v>
      </c>
      <c r="L2654" s="92">
        <f>IF(AND(单词表[[#This Row],[学英]]&lt;&gt;"",单词表[[#This Row],[学中]]&lt;&gt;"",单词表[[#This Row],[学词]]&lt;&gt;""),MAX(单词表[[#This Row],[学英]:[学词]]),"")</f>
        <v>42728.585335648146</v>
      </c>
      <c r="M2654" s="2" t="str">
        <f>IF(AND(单词表[[#This Row],[考英]]&lt;&gt;"",单词表[[#This Row],[考中]]&lt;&gt;""),MAX(单词表[[#This Row],[考英]:[考中]]),"")</f>
        <v/>
      </c>
      <c r="N2654" s="79"/>
    </row>
    <row r="2655" spans="1:14" hidden="1" x14ac:dyDescent="0.15">
      <c r="A2655">
        <v>2655</v>
      </c>
      <c r="B2655" t="s">
        <v>35</v>
      </c>
      <c r="C2655" t="s">
        <v>20</v>
      </c>
      <c r="D2655" s="72" t="s">
        <v>4471</v>
      </c>
      <c r="E2655" t="s">
        <v>36</v>
      </c>
      <c r="F2655" t="s">
        <v>4472</v>
      </c>
      <c r="G2655" s="92">
        <v>42728.585277777776</v>
      </c>
      <c r="H2655" s="92">
        <v>42728.585277777776</v>
      </c>
      <c r="I2655" s="92">
        <v>42728.585277777776</v>
      </c>
      <c r="J2655" s="92"/>
      <c r="K2655" s="92">
        <v>42728.587060185186</v>
      </c>
      <c r="L2655" s="92">
        <f>IF(AND(单词表[[#This Row],[学英]]&lt;&gt;"",单词表[[#This Row],[学中]]&lt;&gt;"",单词表[[#This Row],[学词]]&lt;&gt;""),MAX(单词表[[#This Row],[学英]:[学词]]),"")</f>
        <v>42728.585277777776</v>
      </c>
      <c r="M2655" s="2" t="str">
        <f>IF(AND(单词表[[#This Row],[考英]]&lt;&gt;"",单词表[[#This Row],[考中]]&lt;&gt;""),MAX(单词表[[#This Row],[考英]:[考中]]),"")</f>
        <v/>
      </c>
      <c r="N2655" s="79"/>
    </row>
    <row r="2656" spans="1:14" hidden="1" x14ac:dyDescent="0.15">
      <c r="A2656">
        <v>2656</v>
      </c>
      <c r="B2656" t="s">
        <v>35</v>
      </c>
      <c r="C2656" t="s">
        <v>20</v>
      </c>
      <c r="D2656" s="72" t="s">
        <v>4473</v>
      </c>
      <c r="E2656" t="s">
        <v>736</v>
      </c>
      <c r="F2656" t="s">
        <v>4474</v>
      </c>
      <c r="G2656" s="92">
        <v>42728.585231481484</v>
      </c>
      <c r="H2656" s="92">
        <v>42728.585231481484</v>
      </c>
      <c r="I2656" s="92">
        <v>42728.585231481484</v>
      </c>
      <c r="J2656" s="92"/>
      <c r="K2656" s="92">
        <v>42728.587083333332</v>
      </c>
      <c r="L2656" s="92">
        <f>IF(AND(单词表[[#This Row],[学英]]&lt;&gt;"",单词表[[#This Row],[学中]]&lt;&gt;"",单词表[[#This Row],[学词]]&lt;&gt;""),MAX(单词表[[#This Row],[学英]:[学词]]),"")</f>
        <v>42728.585231481484</v>
      </c>
      <c r="M2656" s="2" t="str">
        <f>IF(AND(单词表[[#This Row],[考英]]&lt;&gt;"",单词表[[#This Row],[考中]]&lt;&gt;""),MAX(单词表[[#This Row],[考英]:[考中]]),"")</f>
        <v/>
      </c>
      <c r="N2656" s="79"/>
    </row>
    <row r="2657" spans="1:14" hidden="1" x14ac:dyDescent="0.15">
      <c r="A2657">
        <v>2657</v>
      </c>
      <c r="B2657" t="s">
        <v>35</v>
      </c>
      <c r="C2657" t="s">
        <v>20</v>
      </c>
      <c r="D2657" s="72" t="s">
        <v>4475</v>
      </c>
      <c r="E2657" t="s">
        <v>61</v>
      </c>
      <c r="F2657" t="s">
        <v>4476</v>
      </c>
      <c r="G2657" s="92">
        <v>42728.585185185184</v>
      </c>
      <c r="H2657" s="92">
        <v>42728.585185185184</v>
      </c>
      <c r="I2657" s="92">
        <v>42728.585185185184</v>
      </c>
      <c r="J2657" s="92"/>
      <c r="K2657" s="92">
        <v>42728.587118055555</v>
      </c>
      <c r="L2657" s="92">
        <f>IF(AND(单词表[[#This Row],[学英]]&lt;&gt;"",单词表[[#This Row],[学中]]&lt;&gt;"",单词表[[#This Row],[学词]]&lt;&gt;""),MAX(单词表[[#This Row],[学英]:[学词]]),"")</f>
        <v>42728.585185185184</v>
      </c>
      <c r="M2657" s="2" t="str">
        <f>IF(AND(单词表[[#This Row],[考英]]&lt;&gt;"",单词表[[#This Row],[考中]]&lt;&gt;""),MAX(单词表[[#This Row],[考英]:[考中]]),"")</f>
        <v/>
      </c>
      <c r="N2657" s="79"/>
    </row>
    <row r="2658" spans="1:14" hidden="1" x14ac:dyDescent="0.15">
      <c r="A2658">
        <v>2658</v>
      </c>
      <c r="B2658" t="s">
        <v>35</v>
      </c>
      <c r="C2658" t="s">
        <v>20</v>
      </c>
      <c r="D2658" s="72" t="s">
        <v>4477</v>
      </c>
      <c r="E2658" t="s">
        <v>73</v>
      </c>
      <c r="F2658" t="s">
        <v>5585</v>
      </c>
      <c r="G2658" s="92">
        <v>42728.590127314812</v>
      </c>
      <c r="H2658" s="92">
        <v>42728.590127314812</v>
      </c>
      <c r="I2658" s="92">
        <v>42728.590127314812</v>
      </c>
      <c r="J2658" s="92"/>
      <c r="K2658" s="92">
        <v>42728.590405092589</v>
      </c>
      <c r="L2658" s="92">
        <f>IF(AND(单词表[[#This Row],[学英]]&lt;&gt;"",单词表[[#This Row],[学中]]&lt;&gt;"",单词表[[#This Row],[学词]]&lt;&gt;""),MAX(单词表[[#This Row],[学英]:[学词]]),"")</f>
        <v>42728.590127314812</v>
      </c>
      <c r="M2658" s="2" t="str">
        <f>IF(AND(单词表[[#This Row],[考英]]&lt;&gt;"",单词表[[#This Row],[考中]]&lt;&gt;""),MAX(单词表[[#This Row],[考英]:[考中]]),"")</f>
        <v/>
      </c>
      <c r="N2658" s="79"/>
    </row>
    <row r="2659" spans="1:14" hidden="1" x14ac:dyDescent="0.15">
      <c r="A2659">
        <v>2659</v>
      </c>
      <c r="B2659" t="s">
        <v>35</v>
      </c>
      <c r="C2659" t="s">
        <v>20</v>
      </c>
      <c r="D2659" s="72" t="s">
        <v>4478</v>
      </c>
      <c r="E2659" t="s">
        <v>61</v>
      </c>
      <c r="F2659" t="s">
        <v>2355</v>
      </c>
      <c r="G2659" s="92">
        <v>42728.590150462966</v>
      </c>
      <c r="H2659" s="92">
        <v>42728.590150462966</v>
      </c>
      <c r="I2659" s="92">
        <v>42728.590150462966</v>
      </c>
      <c r="J2659" s="92"/>
      <c r="K2659" s="92">
        <v>42728.590451388889</v>
      </c>
      <c r="L2659" s="92">
        <f>IF(AND(单词表[[#This Row],[学英]]&lt;&gt;"",单词表[[#This Row],[学中]]&lt;&gt;"",单词表[[#This Row],[学词]]&lt;&gt;""),MAX(单词表[[#This Row],[学英]:[学词]]),"")</f>
        <v>42728.590150462966</v>
      </c>
      <c r="M2659" s="2" t="str">
        <f>IF(AND(单词表[[#This Row],[考英]]&lt;&gt;"",单词表[[#This Row],[考中]]&lt;&gt;""),MAX(单词表[[#This Row],[考英]:[考中]]),"")</f>
        <v/>
      </c>
      <c r="N2659" s="79"/>
    </row>
    <row r="2660" spans="1:14" hidden="1" x14ac:dyDescent="0.15">
      <c r="A2660">
        <v>2660</v>
      </c>
      <c r="B2660" t="s">
        <v>35</v>
      </c>
      <c r="C2660" t="s">
        <v>20</v>
      </c>
      <c r="D2660" s="72" t="s">
        <v>732</v>
      </c>
      <c r="E2660" t="s">
        <v>157</v>
      </c>
      <c r="F2660" t="s">
        <v>4479</v>
      </c>
      <c r="G2660" s="92">
        <v>42728.590173611112</v>
      </c>
      <c r="H2660" s="92">
        <v>42728.590173611112</v>
      </c>
      <c r="I2660" s="92">
        <v>42728.590173611112</v>
      </c>
      <c r="J2660" s="92"/>
      <c r="K2660" s="92">
        <v>42728.590486111112</v>
      </c>
      <c r="L2660" s="92">
        <f>IF(AND(单词表[[#This Row],[学英]]&lt;&gt;"",单词表[[#This Row],[学中]]&lt;&gt;"",单词表[[#This Row],[学词]]&lt;&gt;""),MAX(单词表[[#This Row],[学英]:[学词]]),"")</f>
        <v>42728.590173611112</v>
      </c>
      <c r="M2660" s="2" t="str">
        <f>IF(AND(单词表[[#This Row],[考英]]&lt;&gt;"",单词表[[#This Row],[考中]]&lt;&gt;""),MAX(单词表[[#This Row],[考英]:[考中]]),"")</f>
        <v/>
      </c>
      <c r="N2660" s="79"/>
    </row>
    <row r="2661" spans="1:14" hidden="1" x14ac:dyDescent="0.15">
      <c r="A2661">
        <v>2661</v>
      </c>
      <c r="B2661" t="s">
        <v>35</v>
      </c>
      <c r="C2661" t="s">
        <v>20</v>
      </c>
      <c r="D2661" s="72" t="s">
        <v>4480</v>
      </c>
      <c r="E2661" t="s">
        <v>736</v>
      </c>
      <c r="F2661" t="s">
        <v>4481</v>
      </c>
      <c r="G2661" s="92">
        <v>42728.590185185189</v>
      </c>
      <c r="H2661" s="92">
        <v>42728.590185185189</v>
      </c>
      <c r="I2661" s="92">
        <v>42728.590185185189</v>
      </c>
      <c r="J2661" s="92"/>
      <c r="K2661" s="92">
        <v>42728.590543981481</v>
      </c>
      <c r="L2661" s="92">
        <f>IF(AND(单词表[[#This Row],[学英]]&lt;&gt;"",单词表[[#This Row],[学中]]&lt;&gt;"",单词表[[#This Row],[学词]]&lt;&gt;""),MAX(单词表[[#This Row],[学英]:[学词]]),"")</f>
        <v>42728.590185185189</v>
      </c>
      <c r="M2661" s="2" t="str">
        <f>IF(AND(单词表[[#This Row],[考英]]&lt;&gt;"",单词表[[#This Row],[考中]]&lt;&gt;""),MAX(单词表[[#This Row],[考英]:[考中]]),"")</f>
        <v/>
      </c>
      <c r="N2661" s="79"/>
    </row>
    <row r="2662" spans="1:14" hidden="1" x14ac:dyDescent="0.15">
      <c r="A2662">
        <v>2662</v>
      </c>
      <c r="B2662" t="s">
        <v>35</v>
      </c>
      <c r="C2662" t="s">
        <v>20</v>
      </c>
      <c r="D2662" s="72" t="s">
        <v>4482</v>
      </c>
      <c r="E2662" t="s">
        <v>736</v>
      </c>
      <c r="F2662" t="s">
        <v>4483</v>
      </c>
      <c r="G2662" s="92">
        <v>42728.590208333335</v>
      </c>
      <c r="H2662" s="92">
        <v>42728.591296296298</v>
      </c>
      <c r="I2662" s="92">
        <v>42728.591296296298</v>
      </c>
      <c r="J2662" s="92"/>
      <c r="K2662" s="92">
        <v>42728.59138888889</v>
      </c>
      <c r="L2662" s="92">
        <f>IF(AND(单词表[[#This Row],[学英]]&lt;&gt;"",单词表[[#This Row],[学中]]&lt;&gt;"",单词表[[#This Row],[学词]]&lt;&gt;""),MAX(单词表[[#This Row],[学英]:[学词]]),"")</f>
        <v>42728.591296296298</v>
      </c>
      <c r="M2662" s="2" t="str">
        <f>IF(AND(单词表[[#This Row],[考英]]&lt;&gt;"",单词表[[#This Row],[考中]]&lt;&gt;""),MAX(单词表[[#This Row],[考英]:[考中]]),"")</f>
        <v/>
      </c>
      <c r="N2662" s="79"/>
    </row>
    <row r="2663" spans="1:14" hidden="1" x14ac:dyDescent="0.15">
      <c r="A2663">
        <v>2663</v>
      </c>
      <c r="B2663" t="s">
        <v>35</v>
      </c>
      <c r="C2663" t="s">
        <v>20</v>
      </c>
      <c r="D2663" s="72" t="s">
        <v>4484</v>
      </c>
      <c r="E2663" t="s">
        <v>73</v>
      </c>
      <c r="F2663" t="s">
        <v>4485</v>
      </c>
      <c r="G2663" s="92">
        <v>42728.590231481481</v>
      </c>
      <c r="H2663" s="92">
        <v>42728.590231481481</v>
      </c>
      <c r="I2663" s="92">
        <v>42728.590231481481</v>
      </c>
      <c r="J2663" s="92"/>
      <c r="K2663" s="92">
        <v>42728.590752314813</v>
      </c>
      <c r="L2663" s="92">
        <f>IF(AND(单词表[[#This Row],[学英]]&lt;&gt;"",单词表[[#This Row],[学中]]&lt;&gt;"",单词表[[#This Row],[学词]]&lt;&gt;""),MAX(单词表[[#This Row],[学英]:[学词]]),"")</f>
        <v>42728.590231481481</v>
      </c>
      <c r="M2663" s="2" t="str">
        <f>IF(AND(单词表[[#This Row],[考英]]&lt;&gt;"",单词表[[#This Row],[考中]]&lt;&gt;""),MAX(单词表[[#This Row],[考英]:[考中]]),"")</f>
        <v/>
      </c>
      <c r="N2663" s="79"/>
    </row>
    <row r="2664" spans="1:14" hidden="1" x14ac:dyDescent="0.15">
      <c r="A2664">
        <v>2664</v>
      </c>
      <c r="B2664" t="s">
        <v>35</v>
      </c>
      <c r="C2664" t="s">
        <v>20</v>
      </c>
      <c r="D2664" s="72" t="s">
        <v>4486</v>
      </c>
      <c r="E2664" t="s">
        <v>1021</v>
      </c>
      <c r="F2664" t="s">
        <v>4487</v>
      </c>
      <c r="G2664" s="92">
        <v>42728.590254629627</v>
      </c>
      <c r="H2664" s="92">
        <v>42728.590254629627</v>
      </c>
      <c r="I2664" s="92">
        <v>42728.590254629627</v>
      </c>
      <c r="J2664" s="92"/>
      <c r="K2664" s="92">
        <v>42728.590868055559</v>
      </c>
      <c r="L2664" s="92">
        <f>IF(AND(单词表[[#This Row],[学英]]&lt;&gt;"",单词表[[#This Row],[学中]]&lt;&gt;"",单词表[[#This Row],[学词]]&lt;&gt;""),MAX(单词表[[#This Row],[学英]:[学词]]),"")</f>
        <v>42728.590254629627</v>
      </c>
      <c r="M2664" s="2" t="str">
        <f>IF(AND(单词表[[#This Row],[考英]]&lt;&gt;"",单词表[[#This Row],[考中]]&lt;&gt;""),MAX(单词表[[#This Row],[考英]:[考中]]),"")</f>
        <v/>
      </c>
      <c r="N2664" s="79"/>
    </row>
    <row r="2665" spans="1:14" hidden="1" x14ac:dyDescent="0.15">
      <c r="A2665">
        <v>2665</v>
      </c>
      <c r="B2665" t="s">
        <v>35</v>
      </c>
      <c r="C2665" t="s">
        <v>20</v>
      </c>
      <c r="D2665" s="72" t="s">
        <v>4488</v>
      </c>
      <c r="E2665" t="s">
        <v>736</v>
      </c>
      <c r="F2665" t="s">
        <v>4489</v>
      </c>
      <c r="G2665" s="92">
        <v>42728.590277777781</v>
      </c>
      <c r="H2665" s="92">
        <v>42728.590277777781</v>
      </c>
      <c r="I2665" s="92">
        <v>42728.590277777781</v>
      </c>
      <c r="J2665" s="92"/>
      <c r="K2665" s="92">
        <v>42728.591041666667</v>
      </c>
      <c r="L2665" s="92">
        <f>IF(AND(单词表[[#This Row],[学英]]&lt;&gt;"",单词表[[#This Row],[学中]]&lt;&gt;"",单词表[[#This Row],[学词]]&lt;&gt;""),MAX(单词表[[#This Row],[学英]:[学词]]),"")</f>
        <v>42728.590277777781</v>
      </c>
      <c r="M2665" s="2" t="str">
        <f>IF(AND(单词表[[#This Row],[考英]]&lt;&gt;"",单词表[[#This Row],[考中]]&lt;&gt;""),MAX(单词表[[#This Row],[考英]:[考中]]),"")</f>
        <v/>
      </c>
      <c r="N2665" s="79"/>
    </row>
    <row r="2666" spans="1:14" hidden="1" x14ac:dyDescent="0.15">
      <c r="A2666">
        <v>2666</v>
      </c>
      <c r="B2666" t="s">
        <v>35</v>
      </c>
      <c r="C2666" t="s">
        <v>20</v>
      </c>
      <c r="D2666" s="72" t="s">
        <v>4490</v>
      </c>
      <c r="E2666" t="s">
        <v>157</v>
      </c>
      <c r="F2666" t="s">
        <v>649</v>
      </c>
      <c r="G2666" s="92">
        <v>42728.590300925927</v>
      </c>
      <c r="H2666" s="92">
        <v>42728.590300925927</v>
      </c>
      <c r="I2666" s="92">
        <v>42728.590300925927</v>
      </c>
      <c r="J2666" s="92"/>
      <c r="K2666" s="92">
        <v>42728.59107638889</v>
      </c>
      <c r="L2666" s="92">
        <f>IF(AND(单词表[[#This Row],[学英]]&lt;&gt;"",单词表[[#This Row],[学中]]&lt;&gt;"",单词表[[#This Row],[学词]]&lt;&gt;""),MAX(单词表[[#This Row],[学英]:[学词]]),"")</f>
        <v>42728.590300925927</v>
      </c>
      <c r="M2666" s="2" t="str">
        <f>IF(AND(单词表[[#This Row],[考英]]&lt;&gt;"",单词表[[#This Row],[考中]]&lt;&gt;""),MAX(单词表[[#This Row],[考英]:[考中]]),"")</f>
        <v/>
      </c>
      <c r="N2666" s="79"/>
    </row>
    <row r="2667" spans="1:14" hidden="1" x14ac:dyDescent="0.15">
      <c r="A2667">
        <v>2667</v>
      </c>
      <c r="B2667" t="s">
        <v>35</v>
      </c>
      <c r="C2667" t="s">
        <v>20</v>
      </c>
      <c r="D2667" s="72" t="s">
        <v>4491</v>
      </c>
      <c r="E2667" t="s">
        <v>61</v>
      </c>
      <c r="F2667" t="s">
        <v>4492</v>
      </c>
      <c r="G2667" s="92">
        <v>42728.590324074074</v>
      </c>
      <c r="H2667" s="92">
        <v>42728.590324074074</v>
      </c>
      <c r="I2667" s="92">
        <v>42728.590324074074</v>
      </c>
      <c r="J2667" s="92"/>
      <c r="K2667" s="92">
        <v>42728.591122685182</v>
      </c>
      <c r="L2667" s="92">
        <f>IF(AND(单词表[[#This Row],[学英]]&lt;&gt;"",单词表[[#This Row],[学中]]&lt;&gt;"",单词表[[#This Row],[学词]]&lt;&gt;""),MAX(单词表[[#This Row],[学英]:[学词]]),"")</f>
        <v>42728.590324074074</v>
      </c>
      <c r="M2667" s="2" t="str">
        <f>IF(AND(单词表[[#This Row],[考英]]&lt;&gt;"",单词表[[#This Row],[考中]]&lt;&gt;""),MAX(单词表[[#This Row],[考英]:[考中]]),"")</f>
        <v/>
      </c>
      <c r="N2667" s="79"/>
    </row>
    <row r="2668" spans="1:14" hidden="1" x14ac:dyDescent="0.15">
      <c r="A2668">
        <v>2668</v>
      </c>
      <c r="B2668" t="s">
        <v>35</v>
      </c>
      <c r="C2668" t="s">
        <v>20</v>
      </c>
      <c r="D2668" s="72" t="s">
        <v>3022</v>
      </c>
      <c r="E2668" t="s">
        <v>702</v>
      </c>
      <c r="F2668" t="s">
        <v>3023</v>
      </c>
      <c r="G2668" s="92">
        <v>42729.818923611114</v>
      </c>
      <c r="H2668" s="92">
        <v>42729.818923611114</v>
      </c>
      <c r="I2668" s="92">
        <v>42729.818923611114</v>
      </c>
      <c r="J2668" s="92"/>
      <c r="K2668" s="92">
        <v>42729.820625</v>
      </c>
      <c r="L2668" s="92">
        <f>IF(AND(单词表[[#This Row],[学英]]&lt;&gt;"",单词表[[#This Row],[学中]]&lt;&gt;"",单词表[[#This Row],[学词]]&lt;&gt;""),MAX(单词表[[#This Row],[学英]:[学词]]),"")</f>
        <v>42729.818923611114</v>
      </c>
      <c r="M2668" s="2" t="str">
        <f>IF(AND(单词表[[#This Row],[考英]]&lt;&gt;"",单词表[[#This Row],[考中]]&lt;&gt;""),MAX(单词表[[#This Row],[考英]:[考中]]),"")</f>
        <v/>
      </c>
      <c r="N2668" s="79"/>
    </row>
    <row r="2669" spans="1:14" hidden="1" x14ac:dyDescent="0.15">
      <c r="A2669">
        <v>2669</v>
      </c>
      <c r="B2669" t="s">
        <v>35</v>
      </c>
      <c r="C2669" t="s">
        <v>20</v>
      </c>
      <c r="D2669" s="72" t="s">
        <v>4493</v>
      </c>
      <c r="E2669" t="s">
        <v>61</v>
      </c>
      <c r="F2669" t="s">
        <v>3640</v>
      </c>
      <c r="G2669" s="92">
        <v>42729.818958333337</v>
      </c>
      <c r="H2669" s="92">
        <v>42729.818958333337</v>
      </c>
      <c r="I2669" s="92">
        <v>42729.818958333337</v>
      </c>
      <c r="J2669" s="92"/>
      <c r="K2669" s="92">
        <v>42729.820659722223</v>
      </c>
      <c r="L2669" s="92">
        <f>IF(AND(单词表[[#This Row],[学英]]&lt;&gt;"",单词表[[#This Row],[学中]]&lt;&gt;"",单词表[[#This Row],[学词]]&lt;&gt;""),MAX(单词表[[#This Row],[学英]:[学词]]),"")</f>
        <v>42729.818958333337</v>
      </c>
      <c r="M2669" s="2" t="str">
        <f>IF(AND(单词表[[#This Row],[考英]]&lt;&gt;"",单词表[[#This Row],[考中]]&lt;&gt;""),MAX(单词表[[#This Row],[考英]:[考中]]),"")</f>
        <v/>
      </c>
      <c r="N2669" s="79"/>
    </row>
    <row r="2670" spans="1:14" hidden="1" x14ac:dyDescent="0.15">
      <c r="A2670">
        <v>2670</v>
      </c>
      <c r="B2670" t="s">
        <v>35</v>
      </c>
      <c r="C2670" t="s">
        <v>20</v>
      </c>
      <c r="D2670" s="72" t="s">
        <v>3105</v>
      </c>
      <c r="E2670" t="s">
        <v>736</v>
      </c>
      <c r="F2670" t="s">
        <v>4494</v>
      </c>
      <c r="G2670" s="92">
        <v>42729.818993055553</v>
      </c>
      <c r="H2670" s="92">
        <v>42729.818993055553</v>
      </c>
      <c r="I2670" s="92">
        <v>42729.818993055553</v>
      </c>
      <c r="J2670" s="92"/>
      <c r="K2670" s="92">
        <v>42729.820694444446</v>
      </c>
      <c r="L2670" s="92">
        <f>IF(AND(单词表[[#This Row],[学英]]&lt;&gt;"",单词表[[#This Row],[学中]]&lt;&gt;"",单词表[[#This Row],[学词]]&lt;&gt;""),MAX(单词表[[#This Row],[学英]:[学词]]),"")</f>
        <v>42729.818993055553</v>
      </c>
      <c r="M2670" s="2" t="str">
        <f>IF(AND(单词表[[#This Row],[考英]]&lt;&gt;"",单词表[[#This Row],[考中]]&lt;&gt;""),MAX(单词表[[#This Row],[考英]:[考中]]),"")</f>
        <v/>
      </c>
      <c r="N2670" s="79"/>
    </row>
    <row r="2671" spans="1:14" hidden="1" x14ac:dyDescent="0.15">
      <c r="A2671">
        <v>2671</v>
      </c>
      <c r="B2671" t="s">
        <v>35</v>
      </c>
      <c r="C2671" t="s">
        <v>20</v>
      </c>
      <c r="D2671" s="72" t="s">
        <v>4495</v>
      </c>
      <c r="E2671" t="s">
        <v>73</v>
      </c>
      <c r="F2671" t="s">
        <v>4496</v>
      </c>
      <c r="G2671" s="92">
        <v>42729.819131944445</v>
      </c>
      <c r="H2671" s="92">
        <v>42729.819131944445</v>
      </c>
      <c r="I2671" s="92">
        <v>42729.819131944445</v>
      </c>
      <c r="J2671" s="92"/>
      <c r="K2671" s="92">
        <v>42729.820729166669</v>
      </c>
      <c r="L2671" s="92">
        <f>IF(AND(单词表[[#This Row],[学英]]&lt;&gt;"",单词表[[#This Row],[学中]]&lt;&gt;"",单词表[[#This Row],[学词]]&lt;&gt;""),MAX(单词表[[#This Row],[学英]:[学词]]),"")</f>
        <v>42729.819131944445</v>
      </c>
      <c r="M2671" s="2" t="str">
        <f>IF(AND(单词表[[#This Row],[考英]]&lt;&gt;"",单词表[[#This Row],[考中]]&lt;&gt;""),MAX(单词表[[#This Row],[考英]:[考中]]),"")</f>
        <v/>
      </c>
      <c r="N2671" s="79"/>
    </row>
    <row r="2672" spans="1:14" hidden="1" x14ac:dyDescent="0.15">
      <c r="A2672">
        <v>2672</v>
      </c>
      <c r="B2672" t="s">
        <v>35</v>
      </c>
      <c r="C2672" t="s">
        <v>20</v>
      </c>
      <c r="D2672" s="72" t="s">
        <v>4497</v>
      </c>
      <c r="E2672" t="s">
        <v>736</v>
      </c>
      <c r="F2672" t="s">
        <v>5586</v>
      </c>
      <c r="G2672" s="92">
        <v>42729.819282407407</v>
      </c>
      <c r="H2672" s="92">
        <v>42729.821331018517</v>
      </c>
      <c r="I2672" s="92">
        <v>42729.821331018517</v>
      </c>
      <c r="J2672" s="92"/>
      <c r="K2672" s="92">
        <v>42729.823738425926</v>
      </c>
      <c r="L2672" s="92">
        <f>IF(AND(单词表[[#This Row],[学英]]&lt;&gt;"",单词表[[#This Row],[学中]]&lt;&gt;"",单词表[[#This Row],[学词]]&lt;&gt;""),MAX(单词表[[#This Row],[学英]:[学词]]),"")</f>
        <v>42729.821331018517</v>
      </c>
      <c r="M2672" s="2" t="str">
        <f>IF(AND(单词表[[#This Row],[考英]]&lt;&gt;"",单词表[[#This Row],[考中]]&lt;&gt;""),MAX(单词表[[#This Row],[考英]:[考中]]),"")</f>
        <v/>
      </c>
      <c r="N2672" s="79"/>
    </row>
    <row r="2673" spans="1:14" hidden="1" x14ac:dyDescent="0.15">
      <c r="A2673">
        <v>2673</v>
      </c>
      <c r="B2673" t="s">
        <v>35</v>
      </c>
      <c r="C2673" t="s">
        <v>20</v>
      </c>
      <c r="D2673" s="72" t="s">
        <v>4498</v>
      </c>
      <c r="E2673" t="s">
        <v>36</v>
      </c>
      <c r="F2673" t="s">
        <v>4499</v>
      </c>
      <c r="G2673" s="92">
        <v>42729.819328703707</v>
      </c>
      <c r="H2673" s="92">
        <v>42729.819328703707</v>
      </c>
      <c r="I2673" s="92">
        <v>42729.819328703707</v>
      </c>
      <c r="J2673" s="92"/>
      <c r="K2673" s="92">
        <v>42729.820914351854</v>
      </c>
      <c r="L2673" s="92">
        <f>IF(AND(单词表[[#This Row],[学英]]&lt;&gt;"",单词表[[#This Row],[学中]]&lt;&gt;"",单词表[[#This Row],[学词]]&lt;&gt;""),MAX(单词表[[#This Row],[学英]:[学词]]),"")</f>
        <v>42729.819328703707</v>
      </c>
      <c r="M2673" s="2" t="str">
        <f>IF(AND(单词表[[#This Row],[考英]]&lt;&gt;"",单词表[[#This Row],[考中]]&lt;&gt;""),MAX(单词表[[#This Row],[考英]:[考中]]),"")</f>
        <v/>
      </c>
      <c r="N2673" s="79"/>
    </row>
    <row r="2674" spans="1:14" hidden="1" x14ac:dyDescent="0.15">
      <c r="A2674">
        <v>2674</v>
      </c>
      <c r="B2674" t="s">
        <v>35</v>
      </c>
      <c r="C2674" t="s">
        <v>20</v>
      </c>
      <c r="D2674" s="72" t="s">
        <v>4500</v>
      </c>
      <c r="E2674" t="s">
        <v>36</v>
      </c>
      <c r="F2674" t="s">
        <v>4501</v>
      </c>
      <c r="G2674" s="92">
        <v>42729.819363425922</v>
      </c>
      <c r="H2674" s="92">
        <v>42729.819363425922</v>
      </c>
      <c r="I2674" s="92">
        <v>42729.819363425922</v>
      </c>
      <c r="J2674" s="92"/>
      <c r="K2674" s="92">
        <v>42729.820937500001</v>
      </c>
      <c r="L2674" s="92">
        <f>IF(AND(单词表[[#This Row],[学英]]&lt;&gt;"",单词表[[#This Row],[学中]]&lt;&gt;"",单词表[[#This Row],[学词]]&lt;&gt;""),MAX(单词表[[#This Row],[学英]:[学词]]),"")</f>
        <v>42729.819363425922</v>
      </c>
      <c r="M2674" s="2" t="str">
        <f>IF(AND(单词表[[#This Row],[考英]]&lt;&gt;"",单词表[[#This Row],[考中]]&lt;&gt;""),MAX(单词表[[#This Row],[考英]:[考中]]),"")</f>
        <v/>
      </c>
      <c r="N2674" s="79"/>
    </row>
    <row r="2675" spans="1:14" hidden="1" x14ac:dyDescent="0.15">
      <c r="A2675">
        <v>2675</v>
      </c>
      <c r="B2675" t="s">
        <v>35</v>
      </c>
      <c r="C2675" t="s">
        <v>20</v>
      </c>
      <c r="D2675" s="72" t="s">
        <v>1280</v>
      </c>
      <c r="E2675" t="s">
        <v>73</v>
      </c>
      <c r="F2675" t="s">
        <v>4502</v>
      </c>
      <c r="G2675" s="92">
        <v>42729.820405092592</v>
      </c>
      <c r="H2675" s="92">
        <v>42729.820405092592</v>
      </c>
      <c r="I2675" s="92">
        <v>42729.820405092592</v>
      </c>
      <c r="J2675" s="92"/>
      <c r="K2675" s="92">
        <v>42729.820972222224</v>
      </c>
      <c r="L2675" s="92">
        <f>IF(AND(单词表[[#This Row],[学英]]&lt;&gt;"",单词表[[#This Row],[学中]]&lt;&gt;"",单词表[[#This Row],[学词]]&lt;&gt;""),MAX(单词表[[#This Row],[学英]:[学词]]),"")</f>
        <v>42729.820405092592</v>
      </c>
      <c r="M2675" s="2" t="str">
        <f>IF(AND(单词表[[#This Row],[考英]]&lt;&gt;"",单词表[[#This Row],[考中]]&lt;&gt;""),MAX(单词表[[#This Row],[考英]:[考中]]),"")</f>
        <v/>
      </c>
      <c r="N2675" s="79"/>
    </row>
    <row r="2676" spans="1:14" hidden="1" x14ac:dyDescent="0.15">
      <c r="A2676">
        <v>2676</v>
      </c>
      <c r="B2676" t="s">
        <v>35</v>
      </c>
      <c r="C2676" t="s">
        <v>20</v>
      </c>
      <c r="D2676" s="72" t="s">
        <v>4503</v>
      </c>
      <c r="E2676" t="s">
        <v>61</v>
      </c>
      <c r="F2676" t="s">
        <v>4504</v>
      </c>
      <c r="G2676" s="92">
        <v>42729.820462962962</v>
      </c>
      <c r="H2676" s="92">
        <v>42729.820462962962</v>
      </c>
      <c r="I2676" s="92">
        <v>42729.820462962962</v>
      </c>
      <c r="J2676" s="92"/>
      <c r="K2676" s="92">
        <v>42729.82104166667</v>
      </c>
      <c r="L2676" s="92">
        <f>IF(AND(单词表[[#This Row],[学英]]&lt;&gt;"",单词表[[#This Row],[学中]]&lt;&gt;"",单词表[[#This Row],[学词]]&lt;&gt;""),MAX(单词表[[#This Row],[学英]:[学词]]),"")</f>
        <v>42729.820462962962</v>
      </c>
      <c r="M2676" s="2" t="str">
        <f>IF(AND(单词表[[#This Row],[考英]]&lt;&gt;"",单词表[[#This Row],[考中]]&lt;&gt;""),MAX(单词表[[#This Row],[考英]:[考中]]),"")</f>
        <v/>
      </c>
      <c r="N2676" s="79"/>
    </row>
    <row r="2677" spans="1:14" hidden="1" x14ac:dyDescent="0.15">
      <c r="A2677">
        <v>2677</v>
      </c>
      <c r="B2677" t="s">
        <v>35</v>
      </c>
      <c r="C2677" t="s">
        <v>20</v>
      </c>
      <c r="D2677" s="72" t="s">
        <v>4505</v>
      </c>
      <c r="E2677" t="s">
        <v>36</v>
      </c>
      <c r="F2677" t="s">
        <v>5587</v>
      </c>
      <c r="G2677" s="92">
        <v>42729.820532407408</v>
      </c>
      <c r="H2677" s="92">
        <v>42729.820532407408</v>
      </c>
      <c r="I2677" s="92">
        <v>42729.820532407408</v>
      </c>
      <c r="J2677" s="92"/>
      <c r="K2677" s="92">
        <v>42729.821145833332</v>
      </c>
      <c r="L2677" s="92">
        <f>IF(AND(单词表[[#This Row],[学英]]&lt;&gt;"",单词表[[#This Row],[学中]]&lt;&gt;"",单词表[[#This Row],[学词]]&lt;&gt;""),MAX(单词表[[#This Row],[学英]:[学词]]),"")</f>
        <v>42729.820532407408</v>
      </c>
      <c r="M2677" s="2" t="str">
        <f>IF(AND(单词表[[#This Row],[考英]]&lt;&gt;"",单词表[[#This Row],[考中]]&lt;&gt;""),MAX(单词表[[#This Row],[考英]:[考中]]),"")</f>
        <v/>
      </c>
      <c r="N2677" s="79"/>
    </row>
    <row r="2678" spans="1:14" hidden="1" x14ac:dyDescent="0.15">
      <c r="A2678">
        <v>2678</v>
      </c>
      <c r="B2678" t="s">
        <v>35</v>
      </c>
      <c r="C2678" t="s">
        <v>20</v>
      </c>
      <c r="D2678" s="72" t="s">
        <v>465</v>
      </c>
      <c r="E2678" t="s">
        <v>36</v>
      </c>
      <c r="F2678" t="s">
        <v>466</v>
      </c>
      <c r="G2678" s="92">
        <v>42729.823865740742</v>
      </c>
      <c r="H2678" s="92">
        <v>42729.823865740742</v>
      </c>
      <c r="I2678" s="92">
        <v>42729.823865740742</v>
      </c>
      <c r="J2678" s="92"/>
      <c r="K2678" s="92">
        <v>42729.825844907406</v>
      </c>
      <c r="L2678" s="92">
        <f>IF(AND(单词表[[#This Row],[学英]]&lt;&gt;"",单词表[[#This Row],[学中]]&lt;&gt;"",单词表[[#This Row],[学词]]&lt;&gt;""),MAX(单词表[[#This Row],[学英]:[学词]]),"")</f>
        <v>42729.823865740742</v>
      </c>
      <c r="M2678" s="2" t="str">
        <f>IF(AND(单词表[[#This Row],[考英]]&lt;&gt;"",单词表[[#This Row],[考中]]&lt;&gt;""),MAX(单词表[[#This Row],[考英]:[考中]]),"")</f>
        <v/>
      </c>
      <c r="N2678" s="79"/>
    </row>
    <row r="2679" spans="1:14" hidden="1" x14ac:dyDescent="0.15">
      <c r="A2679">
        <v>2679</v>
      </c>
      <c r="B2679" t="s">
        <v>35</v>
      </c>
      <c r="C2679" t="s">
        <v>20</v>
      </c>
      <c r="D2679" s="72" t="s">
        <v>4506</v>
      </c>
      <c r="E2679" t="s">
        <v>157</v>
      </c>
      <c r="F2679" t="s">
        <v>4507</v>
      </c>
      <c r="G2679" s="92">
        <v>42729.823946759258</v>
      </c>
      <c r="H2679" s="92">
        <v>42729.823946759258</v>
      </c>
      <c r="I2679" s="92">
        <v>42729.823946759258</v>
      </c>
      <c r="J2679" s="92"/>
      <c r="K2679" s="92">
        <v>42729.825891203705</v>
      </c>
      <c r="L2679" s="92">
        <f>IF(AND(单词表[[#This Row],[学英]]&lt;&gt;"",单词表[[#This Row],[学中]]&lt;&gt;"",单词表[[#This Row],[学词]]&lt;&gt;""),MAX(单词表[[#This Row],[学英]:[学词]]),"")</f>
        <v>42729.823946759258</v>
      </c>
      <c r="M2679" s="2" t="str">
        <f>IF(AND(单词表[[#This Row],[考英]]&lt;&gt;"",单词表[[#This Row],[考中]]&lt;&gt;""),MAX(单词表[[#This Row],[考英]:[考中]]),"")</f>
        <v/>
      </c>
      <c r="N2679" s="79"/>
    </row>
    <row r="2680" spans="1:14" hidden="1" x14ac:dyDescent="0.15">
      <c r="A2680">
        <v>2680</v>
      </c>
      <c r="B2680" t="s">
        <v>35</v>
      </c>
      <c r="C2680" t="s">
        <v>20</v>
      </c>
      <c r="D2680" s="72" t="s">
        <v>4508</v>
      </c>
      <c r="E2680" t="s">
        <v>36</v>
      </c>
      <c r="F2680" t="s">
        <v>3669</v>
      </c>
      <c r="G2680" s="92">
        <v>42729.823969907404</v>
      </c>
      <c r="H2680" s="92">
        <v>42729.823969907404</v>
      </c>
      <c r="I2680" s="92">
        <v>42729.823969907404</v>
      </c>
      <c r="J2680" s="92"/>
      <c r="K2680" s="92">
        <v>42729.825925925928</v>
      </c>
      <c r="L2680" s="92">
        <f>IF(AND(单词表[[#This Row],[学英]]&lt;&gt;"",单词表[[#This Row],[学中]]&lt;&gt;"",单词表[[#This Row],[学词]]&lt;&gt;""),MAX(单词表[[#This Row],[学英]:[学词]]),"")</f>
        <v>42729.823969907404</v>
      </c>
      <c r="M2680" s="2" t="str">
        <f>IF(AND(单词表[[#This Row],[考英]]&lt;&gt;"",单词表[[#This Row],[考中]]&lt;&gt;""),MAX(单词表[[#This Row],[考英]:[考中]]),"")</f>
        <v/>
      </c>
      <c r="N2680" s="79"/>
    </row>
    <row r="2681" spans="1:14" hidden="1" x14ac:dyDescent="0.15">
      <c r="A2681">
        <v>2681</v>
      </c>
      <c r="B2681" t="s">
        <v>35</v>
      </c>
      <c r="C2681" t="s">
        <v>20</v>
      </c>
      <c r="D2681" s="72" t="s">
        <v>4509</v>
      </c>
      <c r="E2681" t="s">
        <v>36</v>
      </c>
      <c r="F2681" t="s">
        <v>5588</v>
      </c>
      <c r="G2681" s="92">
        <v>42729.824328703704</v>
      </c>
      <c r="H2681" s="92">
        <v>42729.824328703704</v>
      </c>
      <c r="I2681" s="92">
        <v>42729.824328703704</v>
      </c>
      <c r="J2681" s="92"/>
      <c r="K2681" s="92">
        <v>42729.82608796296</v>
      </c>
      <c r="L2681" s="92">
        <f>IF(AND(单词表[[#This Row],[学英]]&lt;&gt;"",单词表[[#This Row],[学中]]&lt;&gt;"",单词表[[#This Row],[学词]]&lt;&gt;""),MAX(单词表[[#This Row],[学英]:[学词]]),"")</f>
        <v>42729.824328703704</v>
      </c>
      <c r="M2681" s="2" t="str">
        <f>IF(AND(单词表[[#This Row],[考英]]&lt;&gt;"",单词表[[#This Row],[考中]]&lt;&gt;""),MAX(单词表[[#This Row],[考英]:[考中]]),"")</f>
        <v/>
      </c>
      <c r="N2681" s="79"/>
    </row>
    <row r="2682" spans="1:14" hidden="1" x14ac:dyDescent="0.15">
      <c r="A2682">
        <v>2682</v>
      </c>
      <c r="B2682" t="s">
        <v>35</v>
      </c>
      <c r="C2682" t="s">
        <v>20</v>
      </c>
      <c r="D2682" s="72" t="s">
        <v>4510</v>
      </c>
      <c r="E2682" t="s">
        <v>736</v>
      </c>
      <c r="F2682" t="s">
        <v>4511</v>
      </c>
      <c r="G2682" s="92">
        <v>42729.824374999997</v>
      </c>
      <c r="H2682" s="92">
        <v>42729.824374999997</v>
      </c>
      <c r="I2682" s="92">
        <v>42729.824374999997</v>
      </c>
      <c r="J2682" s="92"/>
      <c r="K2682" s="92">
        <v>42729.826122685183</v>
      </c>
      <c r="L2682" s="92">
        <f>IF(AND(单词表[[#This Row],[学英]]&lt;&gt;"",单词表[[#This Row],[学中]]&lt;&gt;"",单词表[[#This Row],[学词]]&lt;&gt;""),MAX(单词表[[#This Row],[学英]:[学词]]),"")</f>
        <v>42729.824374999997</v>
      </c>
      <c r="M2682" s="2" t="str">
        <f>IF(AND(单词表[[#This Row],[考英]]&lt;&gt;"",单词表[[#This Row],[考中]]&lt;&gt;""),MAX(单词表[[#This Row],[考英]:[考中]]),"")</f>
        <v/>
      </c>
      <c r="N2682" s="79"/>
    </row>
    <row r="2683" spans="1:14" hidden="1" x14ac:dyDescent="0.15">
      <c r="A2683">
        <v>2683</v>
      </c>
      <c r="B2683" t="s">
        <v>35</v>
      </c>
      <c r="C2683" t="s">
        <v>20</v>
      </c>
      <c r="D2683" s="72" t="s">
        <v>4512</v>
      </c>
      <c r="E2683" t="s">
        <v>61</v>
      </c>
      <c r="F2683" t="s">
        <v>4513</v>
      </c>
      <c r="G2683" s="92">
        <v>42729.82440972222</v>
      </c>
      <c r="H2683" s="92">
        <v>42729.82440972222</v>
      </c>
      <c r="I2683" s="92">
        <v>42729.82440972222</v>
      </c>
      <c r="J2683" s="92"/>
      <c r="K2683" s="92">
        <v>42729.826168981483</v>
      </c>
      <c r="L2683" s="92">
        <f>IF(AND(单词表[[#This Row],[学英]]&lt;&gt;"",单词表[[#This Row],[学中]]&lt;&gt;"",单词表[[#This Row],[学词]]&lt;&gt;""),MAX(单词表[[#This Row],[学英]:[学词]]),"")</f>
        <v>42729.82440972222</v>
      </c>
      <c r="M2683" s="2" t="str">
        <f>IF(AND(单词表[[#This Row],[考英]]&lt;&gt;"",单词表[[#This Row],[考中]]&lt;&gt;""),MAX(单词表[[#This Row],[考英]:[考中]]),"")</f>
        <v/>
      </c>
      <c r="N2683" s="79"/>
    </row>
    <row r="2684" spans="1:14" hidden="1" x14ac:dyDescent="0.15">
      <c r="A2684">
        <v>2684</v>
      </c>
      <c r="B2684" t="s">
        <v>35</v>
      </c>
      <c r="C2684" t="s">
        <v>20</v>
      </c>
      <c r="D2684" s="72" t="s">
        <v>4514</v>
      </c>
      <c r="E2684" t="s">
        <v>73</v>
      </c>
      <c r="F2684" t="s">
        <v>4515</v>
      </c>
      <c r="G2684" s="92">
        <v>42729.824444444443</v>
      </c>
      <c r="H2684" s="92">
        <v>42729.824444444443</v>
      </c>
      <c r="I2684" s="92">
        <v>42729.824444444443</v>
      </c>
      <c r="J2684" s="92"/>
      <c r="K2684" s="92">
        <v>42729.826215277775</v>
      </c>
      <c r="L2684" s="92">
        <f>IF(AND(单词表[[#This Row],[学英]]&lt;&gt;"",单词表[[#This Row],[学中]]&lt;&gt;"",单词表[[#This Row],[学词]]&lt;&gt;""),MAX(单词表[[#This Row],[学英]:[学词]]),"")</f>
        <v>42729.824444444443</v>
      </c>
      <c r="M2684" s="2" t="str">
        <f>IF(AND(单词表[[#This Row],[考英]]&lt;&gt;"",单词表[[#This Row],[考中]]&lt;&gt;""),MAX(单词表[[#This Row],[考英]:[考中]]),"")</f>
        <v/>
      </c>
      <c r="N2684" s="79"/>
    </row>
    <row r="2685" spans="1:14" hidden="1" x14ac:dyDescent="0.15">
      <c r="A2685">
        <v>2685</v>
      </c>
      <c r="B2685" t="s">
        <v>35</v>
      </c>
      <c r="C2685" t="s">
        <v>20</v>
      </c>
      <c r="D2685" s="72" t="s">
        <v>4413</v>
      </c>
      <c r="E2685" t="s">
        <v>36</v>
      </c>
      <c r="F2685" t="s">
        <v>4516</v>
      </c>
      <c r="G2685" s="92">
        <v>42729.824525462966</v>
      </c>
      <c r="H2685" s="92">
        <v>42729.824525462966</v>
      </c>
      <c r="I2685" s="92">
        <v>42729.824525462966</v>
      </c>
      <c r="J2685" s="92"/>
      <c r="K2685" s="92">
        <v>42729.826423611114</v>
      </c>
      <c r="L2685" s="92">
        <f>IF(AND(单词表[[#This Row],[学英]]&lt;&gt;"",单词表[[#This Row],[学中]]&lt;&gt;"",单词表[[#This Row],[学词]]&lt;&gt;""),MAX(单词表[[#This Row],[学英]:[学词]]),"")</f>
        <v>42729.824525462966</v>
      </c>
      <c r="M2685" s="2" t="str">
        <f>IF(AND(单词表[[#This Row],[考英]]&lt;&gt;"",单词表[[#This Row],[考中]]&lt;&gt;""),MAX(单词表[[#This Row],[考英]:[考中]]),"")</f>
        <v/>
      </c>
      <c r="N2685" s="79"/>
    </row>
    <row r="2686" spans="1:14" hidden="1" x14ac:dyDescent="0.15">
      <c r="A2686">
        <v>2686</v>
      </c>
      <c r="B2686" t="s">
        <v>35</v>
      </c>
      <c r="C2686" t="s">
        <v>20</v>
      </c>
      <c r="D2686" s="72" t="s">
        <v>4517</v>
      </c>
      <c r="E2686" t="s">
        <v>73</v>
      </c>
      <c r="F2686" t="s">
        <v>4518</v>
      </c>
      <c r="G2686" s="92">
        <v>42729.824548611112</v>
      </c>
      <c r="H2686" s="92">
        <v>42729.824548611112</v>
      </c>
      <c r="I2686" s="92">
        <v>42729.824548611112</v>
      </c>
      <c r="J2686" s="92"/>
      <c r="K2686" s="92">
        <v>42729.826550925929</v>
      </c>
      <c r="L2686" s="92">
        <f>IF(AND(单词表[[#This Row],[学英]]&lt;&gt;"",单词表[[#This Row],[学中]]&lt;&gt;"",单词表[[#This Row],[学词]]&lt;&gt;""),MAX(单词表[[#This Row],[学英]:[学词]]),"")</f>
        <v>42729.824548611112</v>
      </c>
      <c r="M2686" s="2" t="str">
        <f>IF(AND(单词表[[#This Row],[考英]]&lt;&gt;"",单词表[[#This Row],[考中]]&lt;&gt;""),MAX(单词表[[#This Row],[考英]:[考中]]),"")</f>
        <v/>
      </c>
      <c r="N2686" s="79"/>
    </row>
    <row r="2687" spans="1:14" hidden="1" x14ac:dyDescent="0.15">
      <c r="A2687">
        <v>2687</v>
      </c>
      <c r="B2687" t="s">
        <v>35</v>
      </c>
      <c r="C2687" t="s">
        <v>20</v>
      </c>
      <c r="D2687" s="72" t="s">
        <v>724</v>
      </c>
      <c r="E2687" t="s">
        <v>73</v>
      </c>
      <c r="F2687" t="s">
        <v>4519</v>
      </c>
      <c r="G2687" s="92">
        <v>42729.824583333335</v>
      </c>
      <c r="H2687" s="92">
        <v>42729.824583333335</v>
      </c>
      <c r="I2687" s="92">
        <v>42729.824583333335</v>
      </c>
      <c r="J2687" s="92"/>
      <c r="K2687" s="92">
        <v>42729.826597222222</v>
      </c>
      <c r="L2687" s="92">
        <f>IF(AND(单词表[[#This Row],[学英]]&lt;&gt;"",单词表[[#This Row],[学中]]&lt;&gt;"",单词表[[#This Row],[学词]]&lt;&gt;""),MAX(单词表[[#This Row],[学英]:[学词]]),"")</f>
        <v>42729.824583333335</v>
      </c>
      <c r="M2687" s="2" t="str">
        <f>IF(AND(单词表[[#This Row],[考英]]&lt;&gt;"",单词表[[#This Row],[考中]]&lt;&gt;""),MAX(单词表[[#This Row],[考英]:[考中]]),"")</f>
        <v/>
      </c>
      <c r="N2687" s="79"/>
    </row>
    <row r="2688" spans="1:14" hidden="1" x14ac:dyDescent="0.15">
      <c r="A2688">
        <v>2688</v>
      </c>
      <c r="B2688" t="s">
        <v>35</v>
      </c>
      <c r="C2688" t="s">
        <v>20</v>
      </c>
      <c r="D2688" s="72" t="s">
        <v>773</v>
      </c>
      <c r="E2688" t="s">
        <v>61</v>
      </c>
      <c r="F2688" t="s">
        <v>5589</v>
      </c>
      <c r="G2688" s="92">
        <v>42731.676840277774</v>
      </c>
      <c r="H2688" s="92">
        <v>42731.676840277774</v>
      </c>
      <c r="I2688" s="92">
        <v>42731.676840277774</v>
      </c>
      <c r="J2688" s="92"/>
      <c r="K2688" s="92">
        <v>42731.698067129626</v>
      </c>
      <c r="L2688" s="92">
        <f>IF(AND(单词表[[#This Row],[学英]]&lt;&gt;"",单词表[[#This Row],[学中]]&lt;&gt;"",单词表[[#This Row],[学词]]&lt;&gt;""),MAX(单词表[[#This Row],[学英]:[学词]]),"")</f>
        <v>42731.676840277774</v>
      </c>
      <c r="M2688" s="2" t="str">
        <f>IF(AND(单词表[[#This Row],[考英]]&lt;&gt;"",单词表[[#This Row],[考中]]&lt;&gt;""),MAX(单词表[[#This Row],[考英]:[考中]]),"")</f>
        <v/>
      </c>
      <c r="N2688" s="79"/>
    </row>
    <row r="2689" spans="1:14" hidden="1" x14ac:dyDescent="0.15">
      <c r="A2689">
        <v>2689</v>
      </c>
      <c r="B2689" t="s">
        <v>35</v>
      </c>
      <c r="C2689" t="s">
        <v>20</v>
      </c>
      <c r="D2689" s="72" t="s">
        <v>3772</v>
      </c>
      <c r="E2689" t="s">
        <v>61</v>
      </c>
      <c r="F2689" t="s">
        <v>4520</v>
      </c>
      <c r="G2689" s="92">
        <v>42731.676898148151</v>
      </c>
      <c r="H2689" s="92">
        <v>42731.676898148151</v>
      </c>
      <c r="I2689" s="92">
        <v>42731.676898148151</v>
      </c>
      <c r="J2689" s="92"/>
      <c r="K2689" s="92">
        <v>42731.698148148149</v>
      </c>
      <c r="L2689" s="92">
        <f>IF(AND(单词表[[#This Row],[学英]]&lt;&gt;"",单词表[[#This Row],[学中]]&lt;&gt;"",单词表[[#This Row],[学词]]&lt;&gt;""),MAX(单词表[[#This Row],[学英]:[学词]]),"")</f>
        <v>42731.676898148151</v>
      </c>
      <c r="M2689" s="2" t="str">
        <f>IF(AND(单词表[[#This Row],[考英]]&lt;&gt;"",单词表[[#This Row],[考中]]&lt;&gt;""),MAX(单词表[[#This Row],[考英]:[考中]]),"")</f>
        <v/>
      </c>
      <c r="N2689" s="79"/>
    </row>
    <row r="2690" spans="1:14" hidden="1" x14ac:dyDescent="0.15">
      <c r="A2690">
        <v>2690</v>
      </c>
      <c r="B2690" t="s">
        <v>35</v>
      </c>
      <c r="C2690" t="s">
        <v>20</v>
      </c>
      <c r="D2690" s="72" t="s">
        <v>4521</v>
      </c>
      <c r="E2690" t="s">
        <v>36</v>
      </c>
      <c r="F2690" t="s">
        <v>4522</v>
      </c>
      <c r="G2690" s="92">
        <v>42731.67695601852</v>
      </c>
      <c r="H2690" s="92">
        <v>42731.67695601852</v>
      </c>
      <c r="I2690" s="92">
        <v>42731.67695601852</v>
      </c>
      <c r="J2690" s="92"/>
      <c r="K2690" s="92">
        <v>42731.698379629626</v>
      </c>
      <c r="L2690" s="92">
        <f>IF(AND(单词表[[#This Row],[学英]]&lt;&gt;"",单词表[[#This Row],[学中]]&lt;&gt;"",单词表[[#This Row],[学词]]&lt;&gt;""),MAX(单词表[[#This Row],[学英]:[学词]]),"")</f>
        <v>42731.67695601852</v>
      </c>
      <c r="M2690" s="2" t="str">
        <f>IF(AND(单词表[[#This Row],[考英]]&lt;&gt;"",单词表[[#This Row],[考中]]&lt;&gt;""),MAX(单词表[[#This Row],[考英]:[考中]]),"")</f>
        <v/>
      </c>
      <c r="N2690" s="79"/>
    </row>
    <row r="2691" spans="1:14" hidden="1" x14ac:dyDescent="0.15">
      <c r="A2691">
        <v>2691</v>
      </c>
      <c r="B2691" t="s">
        <v>35</v>
      </c>
      <c r="C2691" t="s">
        <v>20</v>
      </c>
      <c r="D2691" s="72" t="s">
        <v>4523</v>
      </c>
      <c r="E2691" t="s">
        <v>36</v>
      </c>
      <c r="F2691" t="s">
        <v>4524</v>
      </c>
      <c r="G2691" s="92">
        <v>42731.677106481482</v>
      </c>
      <c r="H2691" s="92">
        <v>42731.719965277778</v>
      </c>
      <c r="I2691" s="92">
        <v>42731.719965277778</v>
      </c>
      <c r="J2691" s="92"/>
      <c r="K2691" s="92">
        <v>42731.72016203704</v>
      </c>
      <c r="L2691" s="92">
        <f>IF(AND(单词表[[#This Row],[学英]]&lt;&gt;"",单词表[[#This Row],[学中]]&lt;&gt;"",单词表[[#This Row],[学词]]&lt;&gt;""),MAX(单词表[[#This Row],[学英]:[学词]]),"")</f>
        <v>42731.719965277778</v>
      </c>
      <c r="M2691" s="2" t="str">
        <f>IF(AND(单词表[[#This Row],[考英]]&lt;&gt;"",单词表[[#This Row],[考中]]&lt;&gt;""),MAX(单词表[[#This Row],[考英]:[考中]]),"")</f>
        <v/>
      </c>
      <c r="N2691" s="79"/>
    </row>
    <row r="2692" spans="1:14" hidden="1" x14ac:dyDescent="0.15">
      <c r="A2692">
        <v>2692</v>
      </c>
      <c r="B2692" t="s">
        <v>35</v>
      </c>
      <c r="C2692" t="s">
        <v>20</v>
      </c>
      <c r="D2692" s="72" t="s">
        <v>236</v>
      </c>
      <c r="E2692" t="s">
        <v>36</v>
      </c>
      <c r="F2692" t="s">
        <v>4525</v>
      </c>
      <c r="G2692" s="92">
        <v>42731.677164351851</v>
      </c>
      <c r="H2692" s="92">
        <v>42731.677164351851</v>
      </c>
      <c r="I2692" s="92">
        <v>42731.677164351851</v>
      </c>
      <c r="J2692" s="92"/>
      <c r="K2692" s="92">
        <v>42731.698472222219</v>
      </c>
      <c r="L2692" s="92">
        <f>IF(AND(单词表[[#This Row],[学英]]&lt;&gt;"",单词表[[#This Row],[学中]]&lt;&gt;"",单词表[[#This Row],[学词]]&lt;&gt;""),MAX(单词表[[#This Row],[学英]:[学词]]),"")</f>
        <v>42731.677164351851</v>
      </c>
      <c r="M2692" s="2" t="str">
        <f>IF(AND(单词表[[#This Row],[考英]]&lt;&gt;"",单词表[[#This Row],[考中]]&lt;&gt;""),MAX(单词表[[#This Row],[考英]:[考中]]),"")</f>
        <v/>
      </c>
      <c r="N2692" s="79"/>
    </row>
    <row r="2693" spans="1:14" hidden="1" x14ac:dyDescent="0.15">
      <c r="A2693">
        <v>2693</v>
      </c>
      <c r="B2693" t="s">
        <v>35</v>
      </c>
      <c r="C2693" t="s">
        <v>20</v>
      </c>
      <c r="D2693" s="72" t="s">
        <v>4526</v>
      </c>
      <c r="E2693" t="s">
        <v>36</v>
      </c>
      <c r="F2693" t="s">
        <v>5590</v>
      </c>
      <c r="G2693" s="92">
        <v>42731.678229166668</v>
      </c>
      <c r="H2693" s="92">
        <v>42731.720034722224</v>
      </c>
      <c r="I2693" s="92">
        <v>42731.720034722224</v>
      </c>
      <c r="J2693" s="92"/>
      <c r="K2693" s="92">
        <v>42731.720185185186</v>
      </c>
      <c r="L2693" s="92">
        <f>IF(AND(单词表[[#This Row],[学英]]&lt;&gt;"",单词表[[#This Row],[学中]]&lt;&gt;"",单词表[[#This Row],[学词]]&lt;&gt;""),MAX(单词表[[#This Row],[学英]:[学词]]),"")</f>
        <v>42731.720034722224</v>
      </c>
      <c r="M2693" s="2" t="str">
        <f>IF(AND(单词表[[#This Row],[考英]]&lt;&gt;"",单词表[[#This Row],[考中]]&lt;&gt;""),MAX(单词表[[#This Row],[考英]:[考中]]),"")</f>
        <v/>
      </c>
      <c r="N2693" s="79"/>
    </row>
    <row r="2694" spans="1:14" hidden="1" x14ac:dyDescent="0.15">
      <c r="A2694">
        <v>2694</v>
      </c>
      <c r="B2694" t="s">
        <v>35</v>
      </c>
      <c r="C2694" t="s">
        <v>20</v>
      </c>
      <c r="D2694" s="72" t="s">
        <v>4527</v>
      </c>
      <c r="E2694" t="s">
        <v>36</v>
      </c>
      <c r="F2694" t="s">
        <v>5591</v>
      </c>
      <c r="G2694" s="92">
        <v>42731.678298611114</v>
      </c>
      <c r="H2694" s="92">
        <v>42731.678298611114</v>
      </c>
      <c r="I2694" s="92">
        <v>42731.678298611114</v>
      </c>
      <c r="J2694" s="92"/>
      <c r="K2694" s="92">
        <v>42731.698576388888</v>
      </c>
      <c r="L2694" s="92">
        <f>IF(AND(单词表[[#This Row],[学英]]&lt;&gt;"",单词表[[#This Row],[学中]]&lt;&gt;"",单词表[[#This Row],[学词]]&lt;&gt;""),MAX(单词表[[#This Row],[学英]:[学词]]),"")</f>
        <v>42731.678298611114</v>
      </c>
      <c r="M2694" s="2" t="str">
        <f>IF(AND(单词表[[#This Row],[考英]]&lt;&gt;"",单词表[[#This Row],[考中]]&lt;&gt;""),MAX(单词表[[#This Row],[考英]:[考中]]),"")</f>
        <v/>
      </c>
      <c r="N2694" s="79"/>
    </row>
    <row r="2695" spans="1:14" hidden="1" x14ac:dyDescent="0.15">
      <c r="A2695">
        <v>2695</v>
      </c>
      <c r="B2695" t="s">
        <v>35</v>
      </c>
      <c r="C2695" t="s">
        <v>20</v>
      </c>
      <c r="D2695" s="72" t="s">
        <v>4528</v>
      </c>
      <c r="E2695" t="s">
        <v>73</v>
      </c>
      <c r="F2695" t="s">
        <v>4529</v>
      </c>
      <c r="G2695" s="92">
        <v>42731.678379629629</v>
      </c>
      <c r="H2695" s="92">
        <v>42731.678379629629</v>
      </c>
      <c r="I2695" s="92">
        <v>42731.678379629629</v>
      </c>
      <c r="J2695" s="92"/>
      <c r="K2695" s="92">
        <v>42731.698634259257</v>
      </c>
      <c r="L2695" s="92">
        <f>IF(AND(单词表[[#This Row],[学英]]&lt;&gt;"",单词表[[#This Row],[学中]]&lt;&gt;"",单词表[[#This Row],[学词]]&lt;&gt;""),MAX(单词表[[#This Row],[学英]:[学词]]),"")</f>
        <v>42731.678379629629</v>
      </c>
      <c r="M2695" s="2" t="str">
        <f>IF(AND(单词表[[#This Row],[考英]]&lt;&gt;"",单词表[[#This Row],[考中]]&lt;&gt;""),MAX(单词表[[#This Row],[考英]:[考中]]),"")</f>
        <v/>
      </c>
      <c r="N2695" s="79"/>
    </row>
    <row r="2696" spans="1:14" hidden="1" x14ac:dyDescent="0.15">
      <c r="A2696">
        <v>2696</v>
      </c>
      <c r="B2696" t="s">
        <v>35</v>
      </c>
      <c r="C2696" t="s">
        <v>20</v>
      </c>
      <c r="D2696" s="72" t="s">
        <v>4530</v>
      </c>
      <c r="E2696" t="s">
        <v>702</v>
      </c>
      <c r="F2696" t="s">
        <v>4531</v>
      </c>
      <c r="G2696" s="92">
        <v>42731.697766203702</v>
      </c>
      <c r="H2696" s="92">
        <v>42731.697766203702</v>
      </c>
      <c r="I2696" s="92">
        <v>42731.697766203702</v>
      </c>
      <c r="J2696" s="92"/>
      <c r="K2696" s="92">
        <v>42731.69866898148</v>
      </c>
      <c r="L2696" s="92">
        <f>IF(AND(单词表[[#This Row],[学英]]&lt;&gt;"",单词表[[#This Row],[学中]]&lt;&gt;"",单词表[[#This Row],[学词]]&lt;&gt;""),MAX(单词表[[#This Row],[学英]:[学词]]),"")</f>
        <v>42731.697766203702</v>
      </c>
      <c r="M2696" s="2" t="str">
        <f>IF(AND(单词表[[#This Row],[考英]]&lt;&gt;"",单词表[[#This Row],[考中]]&lt;&gt;""),MAX(单词表[[#This Row],[考英]:[考中]]),"")</f>
        <v/>
      </c>
      <c r="N2696" s="79"/>
    </row>
    <row r="2697" spans="1:14" hidden="1" x14ac:dyDescent="0.15">
      <c r="A2697">
        <v>2697</v>
      </c>
      <c r="B2697" t="s">
        <v>35</v>
      </c>
      <c r="C2697" t="s">
        <v>20</v>
      </c>
      <c r="D2697" s="72" t="s">
        <v>4532</v>
      </c>
      <c r="E2697" t="s">
        <v>702</v>
      </c>
      <c r="F2697" t="s">
        <v>4533</v>
      </c>
      <c r="G2697" s="92">
        <v>42731.697905092595</v>
      </c>
      <c r="H2697" s="92">
        <v>42731.697905092595</v>
      </c>
      <c r="I2697" s="92">
        <v>42731.697905092595</v>
      </c>
      <c r="J2697" s="92"/>
      <c r="K2697" s="92">
        <v>42731.69871527778</v>
      </c>
      <c r="L2697" s="92">
        <f>IF(AND(单词表[[#This Row],[学英]]&lt;&gt;"",单词表[[#This Row],[学中]]&lt;&gt;"",单词表[[#This Row],[学词]]&lt;&gt;""),MAX(单词表[[#This Row],[学英]:[学词]]),"")</f>
        <v>42731.697905092595</v>
      </c>
      <c r="M2697" s="2" t="str">
        <f>IF(AND(单词表[[#This Row],[考英]]&lt;&gt;"",单词表[[#This Row],[考中]]&lt;&gt;""),MAX(单词表[[#This Row],[考英]:[考中]]),"")</f>
        <v/>
      </c>
      <c r="N2697" s="79"/>
    </row>
    <row r="2698" spans="1:14" hidden="1" x14ac:dyDescent="0.15">
      <c r="A2698">
        <v>2698</v>
      </c>
      <c r="B2698" t="s">
        <v>35</v>
      </c>
      <c r="C2698" t="s">
        <v>21</v>
      </c>
      <c r="D2698" s="72" t="s">
        <v>3152</v>
      </c>
      <c r="E2698" t="s">
        <v>36</v>
      </c>
      <c r="F2698" t="s">
        <v>3153</v>
      </c>
      <c r="G2698" s="92">
        <v>42732.779803240737</v>
      </c>
      <c r="H2698" s="92">
        <v>42732.779803240737</v>
      </c>
      <c r="I2698" s="92">
        <v>42732.779803240737</v>
      </c>
      <c r="J2698" s="92"/>
      <c r="K2698" s="92">
        <v>42732.823773148149</v>
      </c>
      <c r="L2698" s="92">
        <f>IF(AND(单词表[[#This Row],[学英]]&lt;&gt;"",单词表[[#This Row],[学中]]&lt;&gt;"",单词表[[#This Row],[学词]]&lt;&gt;""),MAX(单词表[[#This Row],[学英]:[学词]]),"")</f>
        <v>42732.779803240737</v>
      </c>
      <c r="M2698" s="2" t="str">
        <f>IF(AND(单词表[[#This Row],[考英]]&lt;&gt;"",单词表[[#This Row],[考中]]&lt;&gt;""),MAX(单词表[[#This Row],[考英]:[考中]]),"")</f>
        <v/>
      </c>
      <c r="N2698" s="79"/>
    </row>
    <row r="2699" spans="1:14" hidden="1" x14ac:dyDescent="0.15">
      <c r="A2699">
        <v>2699</v>
      </c>
      <c r="B2699" t="s">
        <v>35</v>
      </c>
      <c r="C2699" t="s">
        <v>21</v>
      </c>
      <c r="D2699" s="72" t="s">
        <v>4534</v>
      </c>
      <c r="E2699" t="s">
        <v>36</v>
      </c>
      <c r="F2699" t="s">
        <v>3130</v>
      </c>
      <c r="G2699" s="92">
        <v>42732.780150462961</v>
      </c>
      <c r="H2699" s="92">
        <v>42732.827326388891</v>
      </c>
      <c r="I2699" s="92">
        <v>42732.827326388891</v>
      </c>
      <c r="J2699" s="92"/>
      <c r="K2699" s="92">
        <v>42732.827430555553</v>
      </c>
      <c r="L2699" s="92">
        <f>IF(AND(单词表[[#This Row],[学英]]&lt;&gt;"",单词表[[#This Row],[学中]]&lt;&gt;"",单词表[[#This Row],[学词]]&lt;&gt;""),MAX(单词表[[#This Row],[学英]:[学词]]),"")</f>
        <v>42732.827326388891</v>
      </c>
      <c r="M2699" s="2" t="str">
        <f>IF(AND(单词表[[#This Row],[考英]]&lt;&gt;"",单词表[[#This Row],[考中]]&lt;&gt;""),MAX(单词表[[#This Row],[考英]:[考中]]),"")</f>
        <v/>
      </c>
      <c r="N2699" s="79"/>
    </row>
    <row r="2700" spans="1:14" hidden="1" x14ac:dyDescent="0.15">
      <c r="A2700">
        <v>2700</v>
      </c>
      <c r="B2700" t="s">
        <v>35</v>
      </c>
      <c r="C2700" t="s">
        <v>21</v>
      </c>
      <c r="D2700" s="72" t="s">
        <v>4535</v>
      </c>
      <c r="E2700" t="s">
        <v>61</v>
      </c>
      <c r="F2700" t="s">
        <v>5592</v>
      </c>
      <c r="G2700" s="92">
        <v>42732.780173611114</v>
      </c>
      <c r="H2700" s="92">
        <v>42732.825937499998</v>
      </c>
      <c r="I2700" s="92">
        <v>42732.825937499998</v>
      </c>
      <c r="J2700" s="92"/>
      <c r="K2700" s="92">
        <v>42732.826192129629</v>
      </c>
      <c r="L2700" s="92">
        <f>IF(AND(单词表[[#This Row],[学英]]&lt;&gt;"",单词表[[#This Row],[学中]]&lt;&gt;"",单词表[[#This Row],[学词]]&lt;&gt;""),MAX(单词表[[#This Row],[学英]:[学词]]),"")</f>
        <v>42732.825937499998</v>
      </c>
      <c r="M2700" s="2" t="str">
        <f>IF(AND(单词表[[#This Row],[考英]]&lt;&gt;"",单词表[[#This Row],[考中]]&lt;&gt;""),MAX(单词表[[#This Row],[考英]:[考中]]),"")</f>
        <v/>
      </c>
      <c r="N2700" s="79"/>
    </row>
    <row r="2701" spans="1:14" hidden="1" x14ac:dyDescent="0.15">
      <c r="A2701">
        <v>2701</v>
      </c>
      <c r="B2701" t="s">
        <v>35</v>
      </c>
      <c r="C2701" t="s">
        <v>21</v>
      </c>
      <c r="D2701" s="72" t="s">
        <v>4536</v>
      </c>
      <c r="E2701" t="s">
        <v>73</v>
      </c>
      <c r="F2701" t="s">
        <v>4537</v>
      </c>
      <c r="G2701" s="92">
        <v>42732.780266203707</v>
      </c>
      <c r="H2701" s="92">
        <v>42732.780266203707</v>
      </c>
      <c r="I2701" s="92">
        <v>42732.780266203707</v>
      </c>
      <c r="J2701" s="92"/>
      <c r="K2701" s="92">
        <v>42732.823969907404</v>
      </c>
      <c r="L2701" s="92">
        <f>IF(AND(单词表[[#This Row],[学英]]&lt;&gt;"",单词表[[#This Row],[学中]]&lt;&gt;"",单词表[[#This Row],[学词]]&lt;&gt;""),MAX(单词表[[#This Row],[学英]:[学词]]),"")</f>
        <v>42732.780266203707</v>
      </c>
      <c r="M2701" s="2" t="str">
        <f>IF(AND(单词表[[#This Row],[考英]]&lt;&gt;"",单词表[[#This Row],[考中]]&lt;&gt;""),MAX(单词表[[#This Row],[考英]:[考中]]),"")</f>
        <v/>
      </c>
      <c r="N2701" s="79"/>
    </row>
    <row r="2702" spans="1:14" hidden="1" x14ac:dyDescent="0.15">
      <c r="A2702">
        <v>2702</v>
      </c>
      <c r="B2702" t="s">
        <v>35</v>
      </c>
      <c r="C2702" t="s">
        <v>21</v>
      </c>
      <c r="D2702" s="72" t="s">
        <v>4538</v>
      </c>
      <c r="E2702" t="s">
        <v>73</v>
      </c>
      <c r="F2702" t="s">
        <v>4539</v>
      </c>
      <c r="G2702" s="92">
        <v>42732.780497685184</v>
      </c>
      <c r="H2702" s="92">
        <v>42732.780497685184</v>
      </c>
      <c r="I2702" s="92">
        <v>42732.780497685184</v>
      </c>
      <c r="J2702" s="92"/>
      <c r="K2702" s="92">
        <v>42732.824004629627</v>
      </c>
      <c r="L2702" s="92">
        <f>IF(AND(单词表[[#This Row],[学英]]&lt;&gt;"",单词表[[#This Row],[学中]]&lt;&gt;"",单词表[[#This Row],[学词]]&lt;&gt;""),MAX(单词表[[#This Row],[学英]:[学词]]),"")</f>
        <v>42732.780497685184</v>
      </c>
      <c r="M2702" s="2" t="str">
        <f>IF(AND(单词表[[#This Row],[考英]]&lt;&gt;"",单词表[[#This Row],[考中]]&lt;&gt;""),MAX(单词表[[#This Row],[考英]:[考中]]),"")</f>
        <v/>
      </c>
      <c r="N2702" s="79"/>
    </row>
    <row r="2703" spans="1:14" hidden="1" x14ac:dyDescent="0.15">
      <c r="A2703">
        <v>2703</v>
      </c>
      <c r="B2703" t="s">
        <v>35</v>
      </c>
      <c r="C2703" t="s">
        <v>21</v>
      </c>
      <c r="D2703" s="72" t="s">
        <v>4540</v>
      </c>
      <c r="E2703" t="s">
        <v>36</v>
      </c>
      <c r="F2703" t="s">
        <v>4541</v>
      </c>
      <c r="G2703" s="92">
        <v>42732.780555555553</v>
      </c>
      <c r="H2703" s="92">
        <v>42732.780555555553</v>
      </c>
      <c r="I2703" s="92">
        <v>42732.780555555553</v>
      </c>
      <c r="J2703" s="92"/>
      <c r="K2703" s="92">
        <v>42732.82408564815</v>
      </c>
      <c r="L2703" s="92">
        <f>IF(AND(单词表[[#This Row],[学英]]&lt;&gt;"",单词表[[#This Row],[学中]]&lt;&gt;"",单词表[[#This Row],[学词]]&lt;&gt;""),MAX(单词表[[#This Row],[学英]:[学词]]),"")</f>
        <v>42732.780555555553</v>
      </c>
      <c r="M2703" s="2" t="str">
        <f>IF(AND(单词表[[#This Row],[考英]]&lt;&gt;"",单词表[[#This Row],[考中]]&lt;&gt;""),MAX(单词表[[#This Row],[考英]:[考中]]),"")</f>
        <v/>
      </c>
      <c r="N2703" s="79"/>
    </row>
    <row r="2704" spans="1:14" hidden="1" x14ac:dyDescent="0.15">
      <c r="A2704">
        <v>2704</v>
      </c>
      <c r="B2704" t="s">
        <v>35</v>
      </c>
      <c r="C2704" t="s">
        <v>21</v>
      </c>
      <c r="D2704" s="72" t="s">
        <v>4542</v>
      </c>
      <c r="E2704" t="s">
        <v>61</v>
      </c>
      <c r="F2704" t="s">
        <v>239</v>
      </c>
      <c r="G2704" s="92">
        <v>42732.780578703707</v>
      </c>
      <c r="H2704" s="92">
        <v>42732.780578703707</v>
      </c>
      <c r="I2704" s="92">
        <v>42732.780578703707</v>
      </c>
      <c r="J2704" s="92"/>
      <c r="K2704" s="92">
        <v>42732.824166666665</v>
      </c>
      <c r="L2704" s="92">
        <f>IF(AND(单词表[[#This Row],[学英]]&lt;&gt;"",单词表[[#This Row],[学中]]&lt;&gt;"",单词表[[#This Row],[学词]]&lt;&gt;""),MAX(单词表[[#This Row],[学英]:[学词]]),"")</f>
        <v>42732.780578703707</v>
      </c>
      <c r="M2704" s="2" t="str">
        <f>IF(AND(单词表[[#This Row],[考英]]&lt;&gt;"",单词表[[#This Row],[考中]]&lt;&gt;""),MAX(单词表[[#This Row],[考英]:[考中]]),"")</f>
        <v/>
      </c>
      <c r="N2704" s="79"/>
    </row>
    <row r="2705" spans="1:14" hidden="1" x14ac:dyDescent="0.15">
      <c r="A2705">
        <v>2705</v>
      </c>
      <c r="B2705" t="s">
        <v>35</v>
      </c>
      <c r="C2705" t="s">
        <v>21</v>
      </c>
      <c r="D2705" s="72" t="s">
        <v>4543</v>
      </c>
      <c r="E2705" t="s">
        <v>702</v>
      </c>
      <c r="F2705" t="s">
        <v>4544</v>
      </c>
      <c r="G2705" s="92">
        <v>42732.780601851853</v>
      </c>
      <c r="H2705" s="92">
        <v>42732.780601851853</v>
      </c>
      <c r="I2705" s="92">
        <v>42732.780601851853</v>
      </c>
      <c r="J2705" s="92"/>
      <c r="K2705" s="92">
        <v>42732.824212962965</v>
      </c>
      <c r="L2705" s="92">
        <f>IF(AND(单词表[[#This Row],[学英]]&lt;&gt;"",单词表[[#This Row],[学中]]&lt;&gt;"",单词表[[#This Row],[学词]]&lt;&gt;""),MAX(单词表[[#This Row],[学英]:[学词]]),"")</f>
        <v>42732.780601851853</v>
      </c>
      <c r="M2705" s="2" t="str">
        <f>IF(AND(单词表[[#This Row],[考英]]&lt;&gt;"",单词表[[#This Row],[考中]]&lt;&gt;""),MAX(单词表[[#This Row],[考英]:[考中]]),"")</f>
        <v/>
      </c>
      <c r="N2705" s="79"/>
    </row>
    <row r="2706" spans="1:14" hidden="1" x14ac:dyDescent="0.15">
      <c r="A2706">
        <v>2706</v>
      </c>
      <c r="B2706" t="s">
        <v>35</v>
      </c>
      <c r="C2706" t="s">
        <v>21</v>
      </c>
      <c r="D2706" s="72" t="s">
        <v>4545</v>
      </c>
      <c r="E2706" t="s">
        <v>73</v>
      </c>
      <c r="F2706" t="s">
        <v>4546</v>
      </c>
      <c r="G2706" s="92">
        <v>42732.780648148146</v>
      </c>
      <c r="H2706" s="92">
        <v>42732.780648148146</v>
      </c>
      <c r="I2706" s="92">
        <v>42732.780648148146</v>
      </c>
      <c r="J2706" s="92"/>
      <c r="K2706" s="92">
        <v>42732.824270833335</v>
      </c>
      <c r="L2706" s="92">
        <f>IF(AND(单词表[[#This Row],[学英]]&lt;&gt;"",单词表[[#This Row],[学中]]&lt;&gt;"",单词表[[#This Row],[学词]]&lt;&gt;""),MAX(单词表[[#This Row],[学英]:[学词]]),"")</f>
        <v>42732.780648148146</v>
      </c>
      <c r="M2706" s="2" t="str">
        <f>IF(AND(单词表[[#This Row],[考英]]&lt;&gt;"",单词表[[#This Row],[考中]]&lt;&gt;""),MAX(单词表[[#This Row],[考英]:[考中]]),"")</f>
        <v/>
      </c>
      <c r="N2706" s="79"/>
    </row>
    <row r="2707" spans="1:14" hidden="1" x14ac:dyDescent="0.15">
      <c r="A2707">
        <v>2707</v>
      </c>
      <c r="B2707" t="s">
        <v>35</v>
      </c>
      <c r="C2707" t="s">
        <v>21</v>
      </c>
      <c r="D2707" s="72" t="s">
        <v>980</v>
      </c>
      <c r="E2707" t="s">
        <v>73</v>
      </c>
      <c r="F2707" t="s">
        <v>981</v>
      </c>
      <c r="G2707" s="92">
        <v>42732.780671296299</v>
      </c>
      <c r="H2707" s="92">
        <v>42732.780671296299</v>
      </c>
      <c r="I2707" s="92">
        <v>42732.780671296299</v>
      </c>
      <c r="J2707" s="92"/>
      <c r="K2707" s="92">
        <v>42732.824374999997</v>
      </c>
      <c r="L2707" s="92">
        <f>IF(AND(单词表[[#This Row],[学英]]&lt;&gt;"",单词表[[#This Row],[学中]]&lt;&gt;"",单词表[[#This Row],[学词]]&lt;&gt;""),MAX(单词表[[#This Row],[学英]:[学词]]),"")</f>
        <v>42732.780671296299</v>
      </c>
      <c r="M2707" s="2" t="str">
        <f>IF(AND(单词表[[#This Row],[考英]]&lt;&gt;"",单词表[[#This Row],[考中]]&lt;&gt;""),MAX(单词表[[#This Row],[考英]:[考中]]),"")</f>
        <v/>
      </c>
      <c r="N2707" s="79"/>
    </row>
    <row r="2708" spans="1:14" hidden="1" x14ac:dyDescent="0.15">
      <c r="A2708">
        <v>2708</v>
      </c>
      <c r="B2708" t="s">
        <v>35</v>
      </c>
      <c r="C2708" t="s">
        <v>21</v>
      </c>
      <c r="D2708" s="72" t="s">
        <v>4547</v>
      </c>
      <c r="E2708" t="s">
        <v>36</v>
      </c>
      <c r="F2708" t="s">
        <v>4548</v>
      </c>
      <c r="G2708" s="92">
        <v>42732.780694444446</v>
      </c>
      <c r="H2708" s="92">
        <v>42732.825960648152</v>
      </c>
      <c r="I2708" s="92">
        <v>42732.825960648152</v>
      </c>
      <c r="J2708" s="92"/>
      <c r="K2708" s="92">
        <v>42732.826226851852</v>
      </c>
      <c r="L2708" s="92">
        <f>IF(AND(单词表[[#This Row],[学英]]&lt;&gt;"",单词表[[#This Row],[学中]]&lt;&gt;"",单词表[[#This Row],[学词]]&lt;&gt;""),MAX(单词表[[#This Row],[学英]:[学词]]),"")</f>
        <v>42732.825960648152</v>
      </c>
      <c r="M2708" s="2" t="str">
        <f>IF(AND(单词表[[#This Row],[考英]]&lt;&gt;"",单词表[[#This Row],[考中]]&lt;&gt;""),MAX(单词表[[#This Row],[考英]:[考中]]),"")</f>
        <v/>
      </c>
      <c r="N2708" s="79"/>
    </row>
    <row r="2709" spans="1:14" hidden="1" x14ac:dyDescent="0.15">
      <c r="A2709">
        <v>2709</v>
      </c>
      <c r="B2709" t="s">
        <v>35</v>
      </c>
      <c r="C2709" t="s">
        <v>21</v>
      </c>
      <c r="D2709" s="72" t="s">
        <v>4549</v>
      </c>
      <c r="E2709" t="s">
        <v>157</v>
      </c>
      <c r="F2709" t="s">
        <v>4550</v>
      </c>
      <c r="G2709" s="92">
        <v>42732.780729166669</v>
      </c>
      <c r="H2709" s="92">
        <v>42732.825972222221</v>
      </c>
      <c r="I2709" s="92">
        <v>42732.825983796298</v>
      </c>
      <c r="J2709" s="92"/>
      <c r="K2709" s="92">
        <v>42732.826342592591</v>
      </c>
      <c r="L2709" s="92">
        <f>IF(AND(单词表[[#This Row],[学英]]&lt;&gt;"",单词表[[#This Row],[学中]]&lt;&gt;"",单词表[[#This Row],[学词]]&lt;&gt;""),MAX(单词表[[#This Row],[学英]:[学词]]),"")</f>
        <v>42732.825983796298</v>
      </c>
      <c r="M2709" s="2" t="str">
        <f>IF(AND(单词表[[#This Row],[考英]]&lt;&gt;"",单词表[[#This Row],[考中]]&lt;&gt;""),MAX(单词表[[#This Row],[考英]:[考中]]),"")</f>
        <v/>
      </c>
      <c r="N2709" s="79"/>
    </row>
    <row r="2710" spans="1:14" hidden="1" x14ac:dyDescent="0.15">
      <c r="A2710">
        <v>2710</v>
      </c>
      <c r="B2710" t="s">
        <v>35</v>
      </c>
      <c r="C2710" t="s">
        <v>21</v>
      </c>
      <c r="D2710" s="72" t="s">
        <v>4551</v>
      </c>
      <c r="E2710" t="s">
        <v>73</v>
      </c>
      <c r="F2710" t="s">
        <v>4552</v>
      </c>
      <c r="G2710" s="92">
        <v>42733.863969907405</v>
      </c>
      <c r="H2710" s="92">
        <v>42733.86513888889</v>
      </c>
      <c r="I2710" s="92">
        <v>42733.86513888889</v>
      </c>
      <c r="J2710" s="92"/>
      <c r="K2710" s="92">
        <v>42733.86928240741</v>
      </c>
      <c r="L2710" s="92">
        <f>IF(AND(单词表[[#This Row],[学英]]&lt;&gt;"",单词表[[#This Row],[学中]]&lt;&gt;"",单词表[[#This Row],[学词]]&lt;&gt;""),MAX(单词表[[#This Row],[学英]:[学词]]),"")</f>
        <v>42733.86513888889</v>
      </c>
      <c r="M2710" s="2" t="str">
        <f>IF(AND(单词表[[#This Row],[考英]]&lt;&gt;"",单词表[[#This Row],[考中]]&lt;&gt;""),MAX(单词表[[#This Row],[考英]:[考中]]),"")</f>
        <v/>
      </c>
      <c r="N2710" s="79"/>
    </row>
    <row r="2711" spans="1:14" hidden="1" x14ac:dyDescent="0.15">
      <c r="A2711">
        <v>2711</v>
      </c>
      <c r="B2711" t="s">
        <v>35</v>
      </c>
      <c r="C2711" t="s">
        <v>21</v>
      </c>
      <c r="D2711" s="72" t="s">
        <v>638</v>
      </c>
      <c r="E2711" t="s">
        <v>73</v>
      </c>
      <c r="F2711" t="s">
        <v>4553</v>
      </c>
      <c r="G2711" s="92">
        <v>42733.863981481481</v>
      </c>
      <c r="H2711" s="92">
        <v>42733.863981481481</v>
      </c>
      <c r="I2711" s="92">
        <v>42733.863981481481</v>
      </c>
      <c r="J2711" s="92"/>
      <c r="K2711" s="92">
        <v>42733.869328703702</v>
      </c>
      <c r="L2711" s="92">
        <f>IF(AND(单词表[[#This Row],[学英]]&lt;&gt;"",单词表[[#This Row],[学中]]&lt;&gt;"",单词表[[#This Row],[学词]]&lt;&gt;""),MAX(单词表[[#This Row],[学英]:[学词]]),"")</f>
        <v>42733.863981481481</v>
      </c>
      <c r="M2711" s="2" t="str">
        <f>IF(AND(单词表[[#This Row],[考英]]&lt;&gt;"",单词表[[#This Row],[考中]]&lt;&gt;""),MAX(单词表[[#This Row],[考英]:[考中]]),"")</f>
        <v/>
      </c>
      <c r="N2711" s="79"/>
    </row>
    <row r="2712" spans="1:14" hidden="1" x14ac:dyDescent="0.15">
      <c r="A2712">
        <v>2712</v>
      </c>
      <c r="B2712" t="s">
        <v>35</v>
      </c>
      <c r="C2712" t="s">
        <v>21</v>
      </c>
      <c r="D2712" s="72" t="s">
        <v>4554</v>
      </c>
      <c r="E2712" t="s">
        <v>61</v>
      </c>
      <c r="F2712" t="s">
        <v>785</v>
      </c>
      <c r="G2712" s="92">
        <v>42733.864004629628</v>
      </c>
      <c r="H2712" s="92">
        <v>42733.86519675926</v>
      </c>
      <c r="I2712" s="92">
        <v>42733.86519675926</v>
      </c>
      <c r="J2712" s="92"/>
      <c r="K2712" s="92">
        <v>42733.869444444441</v>
      </c>
      <c r="L2712" s="92">
        <f>IF(AND(单词表[[#This Row],[学英]]&lt;&gt;"",单词表[[#This Row],[学中]]&lt;&gt;"",单词表[[#This Row],[学词]]&lt;&gt;""),MAX(单词表[[#This Row],[学英]:[学词]]),"")</f>
        <v>42733.86519675926</v>
      </c>
      <c r="M2712" s="2" t="str">
        <f>IF(AND(单词表[[#This Row],[考英]]&lt;&gt;"",单词表[[#This Row],[考中]]&lt;&gt;""),MAX(单词表[[#This Row],[考英]:[考中]]),"")</f>
        <v/>
      </c>
      <c r="N2712" s="79"/>
    </row>
    <row r="2713" spans="1:14" hidden="1" x14ac:dyDescent="0.15">
      <c r="A2713">
        <v>2713</v>
      </c>
      <c r="B2713" t="s">
        <v>35</v>
      </c>
      <c r="C2713" t="s">
        <v>21</v>
      </c>
      <c r="D2713" s="72" t="s">
        <v>4555</v>
      </c>
      <c r="E2713" t="s">
        <v>702</v>
      </c>
      <c r="F2713" t="s">
        <v>4556</v>
      </c>
      <c r="G2713" s="92">
        <v>42733.864027777781</v>
      </c>
      <c r="H2713" s="92">
        <v>42733.865243055552</v>
      </c>
      <c r="I2713" s="92">
        <v>42733.865254629629</v>
      </c>
      <c r="J2713" s="92"/>
      <c r="K2713" s="92">
        <v>42733.869479166664</v>
      </c>
      <c r="L2713" s="92">
        <f>IF(AND(单词表[[#This Row],[学英]]&lt;&gt;"",单词表[[#This Row],[学中]]&lt;&gt;"",单词表[[#This Row],[学词]]&lt;&gt;""),MAX(单词表[[#This Row],[学英]:[学词]]),"")</f>
        <v>42733.865254629629</v>
      </c>
      <c r="M2713" s="2" t="str">
        <f>IF(AND(单词表[[#This Row],[考英]]&lt;&gt;"",单词表[[#This Row],[考中]]&lt;&gt;""),MAX(单词表[[#This Row],[考英]:[考中]]),"")</f>
        <v/>
      </c>
      <c r="N2713" s="79"/>
    </row>
    <row r="2714" spans="1:14" hidden="1" x14ac:dyDescent="0.15">
      <c r="A2714">
        <v>2714</v>
      </c>
      <c r="B2714" t="s">
        <v>35</v>
      </c>
      <c r="C2714" t="s">
        <v>21</v>
      </c>
      <c r="D2714" s="72" t="s">
        <v>4557</v>
      </c>
      <c r="E2714" t="s">
        <v>61</v>
      </c>
      <c r="F2714" t="s">
        <v>4558</v>
      </c>
      <c r="G2714" s="92">
        <v>42733.864039351851</v>
      </c>
      <c r="H2714" s="92">
        <v>42733.865277777775</v>
      </c>
      <c r="I2714" s="92">
        <v>42733.865277777775</v>
      </c>
      <c r="J2714" s="92"/>
      <c r="K2714" s="92">
        <v>42733.869513888887</v>
      </c>
      <c r="L2714" s="92">
        <f>IF(AND(单词表[[#This Row],[学英]]&lt;&gt;"",单词表[[#This Row],[学中]]&lt;&gt;"",单词表[[#This Row],[学词]]&lt;&gt;""),MAX(单词表[[#This Row],[学英]:[学词]]),"")</f>
        <v>42733.865277777775</v>
      </c>
      <c r="M2714" s="2" t="str">
        <f>IF(AND(单词表[[#This Row],[考英]]&lt;&gt;"",单词表[[#This Row],[考中]]&lt;&gt;""),MAX(单词表[[#This Row],[考英]:[考中]]),"")</f>
        <v/>
      </c>
      <c r="N2714" s="79"/>
    </row>
    <row r="2715" spans="1:14" hidden="1" x14ac:dyDescent="0.15">
      <c r="A2715">
        <v>2715</v>
      </c>
      <c r="B2715" t="s">
        <v>35</v>
      </c>
      <c r="C2715" t="s">
        <v>21</v>
      </c>
      <c r="D2715" s="72" t="s">
        <v>175</v>
      </c>
      <c r="E2715" t="s">
        <v>36</v>
      </c>
      <c r="F2715" t="s">
        <v>4559</v>
      </c>
      <c r="G2715" s="92">
        <v>42733.864062499997</v>
      </c>
      <c r="H2715" s="92">
        <v>42733.864062499997</v>
      </c>
      <c r="I2715" s="92">
        <v>42733.864062499997</v>
      </c>
      <c r="J2715" s="92"/>
      <c r="K2715" s="92">
        <v>42733.86954861111</v>
      </c>
      <c r="L2715" s="92">
        <f>IF(AND(单词表[[#This Row],[学英]]&lt;&gt;"",单词表[[#This Row],[学中]]&lt;&gt;"",单词表[[#This Row],[学词]]&lt;&gt;""),MAX(单词表[[#This Row],[学英]:[学词]]),"")</f>
        <v>42733.864062499997</v>
      </c>
      <c r="M2715" s="2" t="str">
        <f>IF(AND(单词表[[#This Row],[考英]]&lt;&gt;"",单词表[[#This Row],[考中]]&lt;&gt;""),MAX(单词表[[#This Row],[考英]:[考中]]),"")</f>
        <v/>
      </c>
      <c r="N2715" s="79"/>
    </row>
    <row r="2716" spans="1:14" hidden="1" x14ac:dyDescent="0.15">
      <c r="A2716">
        <v>2716</v>
      </c>
      <c r="B2716" t="s">
        <v>35</v>
      </c>
      <c r="C2716" t="s">
        <v>21</v>
      </c>
      <c r="D2716" s="72" t="s">
        <v>4560</v>
      </c>
      <c r="E2716" t="s">
        <v>702</v>
      </c>
      <c r="F2716" t="s">
        <v>4561</v>
      </c>
      <c r="G2716" s="92">
        <v>42733.864074074074</v>
      </c>
      <c r="H2716" s="92">
        <v>42733.864074074074</v>
      </c>
      <c r="I2716" s="92">
        <v>42733.864074074074</v>
      </c>
      <c r="J2716" s="92"/>
      <c r="K2716" s="92">
        <v>42733.869571759256</v>
      </c>
      <c r="L2716" s="92">
        <f>IF(AND(单词表[[#This Row],[学英]]&lt;&gt;"",单词表[[#This Row],[学中]]&lt;&gt;"",单词表[[#This Row],[学词]]&lt;&gt;""),MAX(单词表[[#This Row],[学英]:[学词]]),"")</f>
        <v>42733.864074074074</v>
      </c>
      <c r="M2716" s="2" t="str">
        <f>IF(AND(单词表[[#This Row],[考英]]&lt;&gt;"",单词表[[#This Row],[考中]]&lt;&gt;""),MAX(单词表[[#This Row],[考英]:[考中]]),"")</f>
        <v/>
      </c>
      <c r="N2716" s="79"/>
    </row>
    <row r="2717" spans="1:14" hidden="1" x14ac:dyDescent="0.15">
      <c r="A2717">
        <v>2717</v>
      </c>
      <c r="B2717" t="s">
        <v>35</v>
      </c>
      <c r="C2717" t="s">
        <v>21</v>
      </c>
      <c r="D2717" s="72" t="s">
        <v>4562</v>
      </c>
      <c r="E2717" t="s">
        <v>61</v>
      </c>
      <c r="F2717" t="s">
        <v>4563</v>
      </c>
      <c r="G2717" s="92">
        <v>42733.86409722222</v>
      </c>
      <c r="H2717" s="92">
        <v>42733.86409722222</v>
      </c>
      <c r="I2717" s="92">
        <v>42733.86409722222</v>
      </c>
      <c r="J2717" s="92"/>
      <c r="K2717" s="92">
        <v>42733.869606481479</v>
      </c>
      <c r="L2717" s="92">
        <f>IF(AND(单词表[[#This Row],[学英]]&lt;&gt;"",单词表[[#This Row],[学中]]&lt;&gt;"",单词表[[#This Row],[学词]]&lt;&gt;""),MAX(单词表[[#This Row],[学英]:[学词]]),"")</f>
        <v>42733.86409722222</v>
      </c>
      <c r="M2717" s="2" t="str">
        <f>IF(AND(单词表[[#This Row],[考英]]&lt;&gt;"",单词表[[#This Row],[考中]]&lt;&gt;""),MAX(单词表[[#This Row],[考英]:[考中]]),"")</f>
        <v/>
      </c>
      <c r="N2717" s="79"/>
    </row>
    <row r="2718" spans="1:14" hidden="1" x14ac:dyDescent="0.15">
      <c r="A2718">
        <v>2718</v>
      </c>
      <c r="B2718" t="s">
        <v>35</v>
      </c>
      <c r="C2718" t="s">
        <v>21</v>
      </c>
      <c r="D2718" s="72" t="s">
        <v>4564</v>
      </c>
      <c r="E2718" t="s">
        <v>36</v>
      </c>
      <c r="F2718" t="s">
        <v>4565</v>
      </c>
      <c r="G2718" s="92">
        <v>42733.864120370374</v>
      </c>
      <c r="H2718" s="92">
        <v>42733.864120370374</v>
      </c>
      <c r="I2718" s="92">
        <v>42733.864120370374</v>
      </c>
      <c r="J2718" s="92"/>
      <c r="K2718" s="92">
        <v>42733.869710648149</v>
      </c>
      <c r="L2718" s="92">
        <f>IF(AND(单词表[[#This Row],[学英]]&lt;&gt;"",单词表[[#This Row],[学中]]&lt;&gt;"",单词表[[#This Row],[学词]]&lt;&gt;""),MAX(单词表[[#This Row],[学英]:[学词]]),"")</f>
        <v>42733.864120370374</v>
      </c>
      <c r="M2718" s="2" t="str">
        <f>IF(AND(单词表[[#This Row],[考英]]&lt;&gt;"",单词表[[#This Row],[考中]]&lt;&gt;""),MAX(单词表[[#This Row],[考英]:[考中]]),"")</f>
        <v/>
      </c>
      <c r="N2718" s="79"/>
    </row>
    <row r="2719" spans="1:14" hidden="1" x14ac:dyDescent="0.15">
      <c r="A2719">
        <v>2719</v>
      </c>
      <c r="B2719" t="s">
        <v>35</v>
      </c>
      <c r="C2719" t="s">
        <v>21</v>
      </c>
      <c r="D2719" s="72" t="s">
        <v>942</v>
      </c>
      <c r="E2719" t="s">
        <v>61</v>
      </c>
      <c r="F2719" t="s">
        <v>943</v>
      </c>
      <c r="G2719" s="92">
        <v>42733.86414351852</v>
      </c>
      <c r="H2719" s="92">
        <v>42733.865335648145</v>
      </c>
      <c r="I2719" s="92">
        <v>42733.865335648145</v>
      </c>
      <c r="J2719" s="92"/>
      <c r="K2719" s="92">
        <v>42733.869733796295</v>
      </c>
      <c r="L2719" s="92">
        <f>IF(AND(单词表[[#This Row],[学英]]&lt;&gt;"",单词表[[#This Row],[学中]]&lt;&gt;"",单词表[[#This Row],[学词]]&lt;&gt;""),MAX(单词表[[#This Row],[学英]:[学词]]),"")</f>
        <v>42733.865335648145</v>
      </c>
      <c r="M2719" s="2" t="str">
        <f>IF(AND(单词表[[#This Row],[考英]]&lt;&gt;"",单词表[[#This Row],[考中]]&lt;&gt;""),MAX(单词表[[#This Row],[考英]:[考中]]),"")</f>
        <v/>
      </c>
      <c r="N2719" s="79"/>
    </row>
    <row r="2720" spans="1:14" hidden="1" x14ac:dyDescent="0.15">
      <c r="A2720">
        <v>2720</v>
      </c>
      <c r="B2720" t="s">
        <v>35</v>
      </c>
      <c r="C2720" t="s">
        <v>21</v>
      </c>
      <c r="D2720" s="72" t="s">
        <v>1641</v>
      </c>
      <c r="E2720" t="s">
        <v>61</v>
      </c>
      <c r="F2720" t="s">
        <v>4566</v>
      </c>
      <c r="G2720" s="92">
        <v>42733.872615740744</v>
      </c>
      <c r="H2720" s="92">
        <v>42733.88077546296</v>
      </c>
      <c r="I2720" s="92">
        <v>42733.88077546296</v>
      </c>
      <c r="J2720" s="92"/>
      <c r="K2720" s="92">
        <v>42733.880844907406</v>
      </c>
      <c r="L2720" s="92">
        <f>IF(AND(单词表[[#This Row],[学英]]&lt;&gt;"",单词表[[#This Row],[学中]]&lt;&gt;"",单词表[[#This Row],[学词]]&lt;&gt;""),MAX(单词表[[#This Row],[学英]:[学词]]),"")</f>
        <v>42733.88077546296</v>
      </c>
      <c r="M2720" s="2" t="str">
        <f>IF(AND(单词表[[#This Row],[考英]]&lt;&gt;"",单词表[[#This Row],[考中]]&lt;&gt;""),MAX(单词表[[#This Row],[考英]:[考中]]),"")</f>
        <v/>
      </c>
      <c r="N2720" s="79"/>
    </row>
    <row r="2721" spans="1:14" hidden="1" x14ac:dyDescent="0.15">
      <c r="A2721">
        <v>2721</v>
      </c>
      <c r="B2721" t="s">
        <v>35</v>
      </c>
      <c r="C2721" t="s">
        <v>21</v>
      </c>
      <c r="D2721" s="72" t="s">
        <v>4567</v>
      </c>
      <c r="E2721" t="s">
        <v>36</v>
      </c>
      <c r="F2721" t="s">
        <v>5593</v>
      </c>
      <c r="G2721" s="92">
        <v>42733.885833333334</v>
      </c>
      <c r="H2721" s="92">
        <v>42733.885833333334</v>
      </c>
      <c r="I2721" s="92">
        <v>42733.885833333334</v>
      </c>
      <c r="J2721" s="92"/>
      <c r="K2721" s="92">
        <v>42733.892893518518</v>
      </c>
      <c r="L2721" s="92">
        <f>IF(AND(单词表[[#This Row],[学英]]&lt;&gt;"",单词表[[#This Row],[学中]]&lt;&gt;"",单词表[[#This Row],[学词]]&lt;&gt;""),MAX(单词表[[#This Row],[学英]:[学词]]),"")</f>
        <v>42733.885833333334</v>
      </c>
      <c r="M2721" s="2" t="str">
        <f>IF(AND(单词表[[#This Row],[考英]]&lt;&gt;"",单词表[[#This Row],[考中]]&lt;&gt;""),MAX(单词表[[#This Row],[考英]:[考中]]),"")</f>
        <v/>
      </c>
      <c r="N2721" s="79"/>
    </row>
    <row r="2722" spans="1:14" hidden="1" x14ac:dyDescent="0.15">
      <c r="A2722">
        <v>2722</v>
      </c>
      <c r="B2722" t="s">
        <v>35</v>
      </c>
      <c r="C2722" t="s">
        <v>21</v>
      </c>
      <c r="D2722" s="72" t="s">
        <v>4568</v>
      </c>
      <c r="E2722" t="s">
        <v>36</v>
      </c>
      <c r="F2722" t="s">
        <v>5930</v>
      </c>
      <c r="G2722" s="92">
        <v>42733.872662037036</v>
      </c>
      <c r="H2722" s="92">
        <v>42733.872662037036</v>
      </c>
      <c r="I2722" s="92">
        <v>42733.872662037036</v>
      </c>
      <c r="J2722" s="92"/>
      <c r="K2722" s="92">
        <v>42733.878252314818</v>
      </c>
      <c r="L2722" s="92">
        <f>IF(AND(单词表[[#This Row],[学英]]&lt;&gt;"",单词表[[#This Row],[学中]]&lt;&gt;"",单词表[[#This Row],[学词]]&lt;&gt;""),MAX(单词表[[#This Row],[学英]:[学词]]),"")</f>
        <v>42733.872662037036</v>
      </c>
      <c r="M2722" s="2" t="str">
        <f>IF(AND(单词表[[#This Row],[考英]]&lt;&gt;"",单词表[[#This Row],[考中]]&lt;&gt;""),MAX(单词表[[#This Row],[考英]:[考中]]),"")</f>
        <v/>
      </c>
      <c r="N2722" s="79"/>
    </row>
    <row r="2723" spans="1:14" hidden="1" x14ac:dyDescent="0.15">
      <c r="A2723">
        <v>2723</v>
      </c>
      <c r="B2723" t="s">
        <v>35</v>
      </c>
      <c r="C2723" t="s">
        <v>21</v>
      </c>
      <c r="D2723" s="72" t="s">
        <v>540</v>
      </c>
      <c r="E2723" t="s">
        <v>73</v>
      </c>
      <c r="F2723" t="s">
        <v>4569</v>
      </c>
      <c r="G2723" s="92">
        <v>42733.885937500003</v>
      </c>
      <c r="H2723" s="92">
        <v>42733.885937500003</v>
      </c>
      <c r="I2723" s="92">
        <v>42733.885937500003</v>
      </c>
      <c r="J2723" s="92"/>
      <c r="K2723" s="92">
        <v>42733.893576388888</v>
      </c>
      <c r="L2723" s="92">
        <f>IF(AND(单词表[[#This Row],[学英]]&lt;&gt;"",单词表[[#This Row],[学中]]&lt;&gt;"",单词表[[#This Row],[学词]]&lt;&gt;""),MAX(单词表[[#This Row],[学英]:[学词]]),"")</f>
        <v>42733.885937500003</v>
      </c>
      <c r="M2723" s="2" t="str">
        <f>IF(AND(单词表[[#This Row],[考英]]&lt;&gt;"",单词表[[#This Row],[考中]]&lt;&gt;""),MAX(单词表[[#This Row],[考英]:[考中]]),"")</f>
        <v/>
      </c>
      <c r="N2723" s="79"/>
    </row>
    <row r="2724" spans="1:14" hidden="1" x14ac:dyDescent="0.15">
      <c r="A2724">
        <v>2724</v>
      </c>
      <c r="B2724" t="s">
        <v>35</v>
      </c>
      <c r="C2724" t="s">
        <v>21</v>
      </c>
      <c r="D2724" s="72" t="s">
        <v>4570</v>
      </c>
      <c r="E2724" t="s">
        <v>36</v>
      </c>
      <c r="F2724" t="s">
        <v>4571</v>
      </c>
      <c r="G2724" s="92">
        <v>42733.872696759259</v>
      </c>
      <c r="H2724" s="92">
        <v>42733.872696759259</v>
      </c>
      <c r="I2724" s="92">
        <v>42733.872696759259</v>
      </c>
      <c r="J2724" s="92"/>
      <c r="K2724" s="92">
        <v>42733.87835648148</v>
      </c>
      <c r="L2724" s="92">
        <f>IF(AND(单词表[[#This Row],[学英]]&lt;&gt;"",单词表[[#This Row],[学中]]&lt;&gt;"",单词表[[#This Row],[学词]]&lt;&gt;""),MAX(单词表[[#This Row],[学英]:[学词]]),"")</f>
        <v>42733.872696759259</v>
      </c>
      <c r="M2724" s="2" t="str">
        <f>IF(AND(单词表[[#This Row],[考英]]&lt;&gt;"",单词表[[#This Row],[考中]]&lt;&gt;""),MAX(单词表[[#This Row],[考英]:[考中]]),"")</f>
        <v/>
      </c>
      <c r="N2724" s="79"/>
    </row>
    <row r="2725" spans="1:14" hidden="1" x14ac:dyDescent="0.15">
      <c r="A2725">
        <v>2725</v>
      </c>
      <c r="B2725" t="s">
        <v>35</v>
      </c>
      <c r="C2725" t="s">
        <v>21</v>
      </c>
      <c r="D2725" s="72" t="s">
        <v>4572</v>
      </c>
      <c r="E2725" t="s">
        <v>36</v>
      </c>
      <c r="F2725" t="s">
        <v>4573</v>
      </c>
      <c r="G2725" s="92">
        <v>42733.872719907406</v>
      </c>
      <c r="H2725" s="92">
        <v>42733.872719907406</v>
      </c>
      <c r="I2725" s="92">
        <v>42733.872719907406</v>
      </c>
      <c r="J2725" s="92"/>
      <c r="K2725" s="92">
        <v>42733.878391203703</v>
      </c>
      <c r="L2725" s="92">
        <f>IF(AND(单词表[[#This Row],[学英]]&lt;&gt;"",单词表[[#This Row],[学中]]&lt;&gt;"",单词表[[#This Row],[学词]]&lt;&gt;""),MAX(单词表[[#This Row],[学英]:[学词]]),"")</f>
        <v>42733.872719907406</v>
      </c>
      <c r="M2725" s="2" t="str">
        <f>IF(AND(单词表[[#This Row],[考英]]&lt;&gt;"",单词表[[#This Row],[考中]]&lt;&gt;""),MAX(单词表[[#This Row],[考英]:[考中]]),"")</f>
        <v/>
      </c>
      <c r="N2725" s="79"/>
    </row>
    <row r="2726" spans="1:14" hidden="1" x14ac:dyDescent="0.15">
      <c r="A2726">
        <v>2726</v>
      </c>
      <c r="B2726" t="s">
        <v>35</v>
      </c>
      <c r="C2726" t="s">
        <v>21</v>
      </c>
      <c r="D2726" s="72" t="s">
        <v>4574</v>
      </c>
      <c r="E2726" t="s">
        <v>157</v>
      </c>
      <c r="F2726" t="s">
        <v>4575</v>
      </c>
      <c r="G2726" s="92">
        <v>42733.872754629629</v>
      </c>
      <c r="H2726" s="92">
        <v>42733.872754629629</v>
      </c>
      <c r="I2726" s="92">
        <v>42733.872754629629</v>
      </c>
      <c r="J2726" s="92"/>
      <c r="K2726" s="92">
        <v>42733.878449074073</v>
      </c>
      <c r="L2726" s="92">
        <f>IF(AND(单词表[[#This Row],[学英]]&lt;&gt;"",单词表[[#This Row],[学中]]&lt;&gt;"",单词表[[#This Row],[学词]]&lt;&gt;""),MAX(单词表[[#This Row],[学英]:[学词]]),"")</f>
        <v>42733.872754629629</v>
      </c>
      <c r="M2726" s="2" t="str">
        <f>IF(AND(单词表[[#This Row],[考英]]&lt;&gt;"",单词表[[#This Row],[考中]]&lt;&gt;""),MAX(单词表[[#This Row],[考英]:[考中]]),"")</f>
        <v/>
      </c>
      <c r="N2726" s="79"/>
    </row>
    <row r="2727" spans="1:14" hidden="1" x14ac:dyDescent="0.15">
      <c r="A2727">
        <v>2727</v>
      </c>
      <c r="B2727" t="s">
        <v>35</v>
      </c>
      <c r="C2727" t="s">
        <v>21</v>
      </c>
      <c r="D2727" s="72" t="s">
        <v>4576</v>
      </c>
      <c r="E2727" t="s">
        <v>702</v>
      </c>
      <c r="F2727" t="s">
        <v>4577</v>
      </c>
      <c r="G2727" s="92">
        <v>42733.872777777775</v>
      </c>
      <c r="H2727" s="92">
        <v>42733.872777777775</v>
      </c>
      <c r="I2727" s="92">
        <v>42733.872777777775</v>
      </c>
      <c r="J2727" s="92"/>
      <c r="K2727" s="92">
        <v>42733.878495370373</v>
      </c>
      <c r="L2727" s="92">
        <f>IF(AND(单词表[[#This Row],[学英]]&lt;&gt;"",单词表[[#This Row],[学中]]&lt;&gt;"",单词表[[#This Row],[学词]]&lt;&gt;""),MAX(单词表[[#This Row],[学英]:[学词]]),"")</f>
        <v>42733.872777777775</v>
      </c>
      <c r="M2727" s="2" t="str">
        <f>IF(AND(单词表[[#This Row],[考英]]&lt;&gt;"",单词表[[#This Row],[考中]]&lt;&gt;""),MAX(单词表[[#This Row],[考英]:[考中]]),"")</f>
        <v/>
      </c>
      <c r="N2727" s="79"/>
    </row>
    <row r="2728" spans="1:14" hidden="1" x14ac:dyDescent="0.15">
      <c r="A2728">
        <v>2728</v>
      </c>
      <c r="B2728" t="s">
        <v>35</v>
      </c>
      <c r="C2728" t="s">
        <v>21</v>
      </c>
      <c r="D2728" s="72" t="s">
        <v>229</v>
      </c>
      <c r="E2728" t="s">
        <v>36</v>
      </c>
      <c r="F2728" t="s">
        <v>230</v>
      </c>
      <c r="G2728" s="92">
        <v>42733.892002314817</v>
      </c>
      <c r="H2728" s="92">
        <v>42733.892002314817</v>
      </c>
      <c r="I2728" s="92">
        <v>42733.892002314817</v>
      </c>
      <c r="J2728" s="92"/>
      <c r="K2728" s="92">
        <v>42733.893622685187</v>
      </c>
      <c r="L2728" s="92">
        <f>IF(AND(单词表[[#This Row],[学英]]&lt;&gt;"",单词表[[#This Row],[学中]]&lt;&gt;"",单词表[[#This Row],[学词]]&lt;&gt;""),MAX(单词表[[#This Row],[学英]:[学词]]),"")</f>
        <v>42733.892002314817</v>
      </c>
      <c r="M2728" s="2" t="str">
        <f>IF(AND(单词表[[#This Row],[考英]]&lt;&gt;"",单词表[[#This Row],[考中]]&lt;&gt;""),MAX(单词表[[#This Row],[考英]:[考中]]),"")</f>
        <v/>
      </c>
      <c r="N2728" s="79"/>
    </row>
    <row r="2729" spans="1:14" hidden="1" x14ac:dyDescent="0.15">
      <c r="A2729">
        <v>2729</v>
      </c>
      <c r="B2729" t="s">
        <v>35</v>
      </c>
      <c r="C2729" t="s">
        <v>21</v>
      </c>
      <c r="D2729" s="72" t="s">
        <v>4578</v>
      </c>
      <c r="E2729" t="s">
        <v>36</v>
      </c>
      <c r="F2729" t="s">
        <v>4579</v>
      </c>
      <c r="G2729" s="92">
        <v>42733.892048611109</v>
      </c>
      <c r="H2729" s="92">
        <v>42733.892048611109</v>
      </c>
      <c r="I2729" s="92">
        <v>42733.892048611109</v>
      </c>
      <c r="J2729" s="92"/>
      <c r="K2729" s="92">
        <v>42733.893657407411</v>
      </c>
      <c r="L2729" s="92">
        <f>IF(AND(单词表[[#This Row],[学英]]&lt;&gt;"",单词表[[#This Row],[学中]]&lt;&gt;"",单词表[[#This Row],[学词]]&lt;&gt;""),MAX(单词表[[#This Row],[学英]:[学词]]),"")</f>
        <v>42733.892048611109</v>
      </c>
      <c r="M2729" s="2" t="str">
        <f>IF(AND(单词表[[#This Row],[考英]]&lt;&gt;"",单词表[[#This Row],[考中]]&lt;&gt;""),MAX(单词表[[#This Row],[考英]:[考中]]),"")</f>
        <v/>
      </c>
      <c r="N2729" s="79"/>
    </row>
    <row r="2730" spans="1:14" hidden="1" x14ac:dyDescent="0.15">
      <c r="A2730">
        <v>2730</v>
      </c>
      <c r="B2730" t="s">
        <v>35</v>
      </c>
      <c r="C2730" t="s">
        <v>21</v>
      </c>
      <c r="D2730" s="72" t="s">
        <v>4580</v>
      </c>
      <c r="E2730" t="s">
        <v>36</v>
      </c>
      <c r="F2730" t="s">
        <v>4581</v>
      </c>
      <c r="G2730" s="92">
        <v>42733.892071759263</v>
      </c>
      <c r="H2730" s="92">
        <v>42733.892071759263</v>
      </c>
      <c r="I2730" s="92">
        <v>42733.892071759263</v>
      </c>
      <c r="J2730" s="92"/>
      <c r="K2730" s="92">
        <v>42733.893692129626</v>
      </c>
      <c r="L2730" s="92">
        <f>IF(AND(单词表[[#This Row],[学英]]&lt;&gt;"",单词表[[#This Row],[学中]]&lt;&gt;"",单词表[[#This Row],[学词]]&lt;&gt;""),MAX(单词表[[#This Row],[学英]:[学词]]),"")</f>
        <v>42733.892071759263</v>
      </c>
      <c r="M2730" s="2" t="str">
        <f>IF(AND(单词表[[#This Row],[考英]]&lt;&gt;"",单词表[[#This Row],[考中]]&lt;&gt;""),MAX(单词表[[#This Row],[考英]:[考中]]),"")</f>
        <v/>
      </c>
      <c r="N2730" s="79"/>
    </row>
    <row r="2731" spans="1:14" hidden="1" x14ac:dyDescent="0.15">
      <c r="A2731">
        <v>2731</v>
      </c>
      <c r="B2731" t="s">
        <v>35</v>
      </c>
      <c r="C2731" t="s">
        <v>21</v>
      </c>
      <c r="D2731" s="72" t="s">
        <v>4582</v>
      </c>
      <c r="E2731" t="s">
        <v>61</v>
      </c>
      <c r="F2731" t="s">
        <v>4583</v>
      </c>
      <c r="G2731" s="92">
        <v>42733.892118055555</v>
      </c>
      <c r="H2731" s="92">
        <v>42733.894456018519</v>
      </c>
      <c r="I2731" s="92">
        <v>42733.894456018519</v>
      </c>
      <c r="J2731" s="92"/>
      <c r="K2731" s="92">
        <v>42733.897662037038</v>
      </c>
      <c r="L2731" s="92">
        <f>IF(AND(单词表[[#This Row],[学英]]&lt;&gt;"",单词表[[#This Row],[学中]]&lt;&gt;"",单词表[[#This Row],[学词]]&lt;&gt;""),MAX(单词表[[#This Row],[学英]:[学词]]),"")</f>
        <v>42733.894456018519</v>
      </c>
      <c r="M2731" s="2" t="str">
        <f>IF(AND(单词表[[#This Row],[考英]]&lt;&gt;"",单词表[[#This Row],[考中]]&lt;&gt;""),MAX(单词表[[#This Row],[考英]:[考中]]),"")</f>
        <v/>
      </c>
      <c r="N2731" s="79"/>
    </row>
    <row r="2732" spans="1:14" hidden="1" x14ac:dyDescent="0.15">
      <c r="A2732">
        <v>2732</v>
      </c>
      <c r="B2732" t="s">
        <v>35</v>
      </c>
      <c r="C2732" t="s">
        <v>21</v>
      </c>
      <c r="D2732" s="72" t="s">
        <v>4584</v>
      </c>
      <c r="E2732" t="s">
        <v>736</v>
      </c>
      <c r="F2732" t="s">
        <v>5594</v>
      </c>
      <c r="G2732" s="92">
        <v>42733.892199074071</v>
      </c>
      <c r="H2732" s="92">
        <v>42733.892199074071</v>
      </c>
      <c r="I2732" s="92">
        <v>42733.892199074071</v>
      </c>
      <c r="J2732" s="92"/>
      <c r="K2732" s="92">
        <v>42733.893831018519</v>
      </c>
      <c r="L2732" s="92">
        <f>IF(AND(单词表[[#This Row],[学英]]&lt;&gt;"",单词表[[#This Row],[学中]]&lt;&gt;"",单词表[[#This Row],[学词]]&lt;&gt;""),MAX(单词表[[#This Row],[学英]:[学词]]),"")</f>
        <v>42733.892199074071</v>
      </c>
      <c r="M2732" s="2" t="str">
        <f>IF(AND(单词表[[#This Row],[考英]]&lt;&gt;"",单词表[[#This Row],[考中]]&lt;&gt;""),MAX(单词表[[#This Row],[考英]:[考中]]),"")</f>
        <v/>
      </c>
      <c r="N2732" s="79"/>
    </row>
    <row r="2733" spans="1:14" hidden="1" x14ac:dyDescent="0.15">
      <c r="A2733">
        <v>2733</v>
      </c>
      <c r="B2733" t="s">
        <v>35</v>
      </c>
      <c r="C2733" t="s">
        <v>21</v>
      </c>
      <c r="D2733" s="72" t="s">
        <v>2874</v>
      </c>
      <c r="E2733" t="s">
        <v>36</v>
      </c>
      <c r="F2733" t="s">
        <v>2402</v>
      </c>
      <c r="G2733" s="92">
        <v>42733.877337962964</v>
      </c>
      <c r="H2733" s="92">
        <v>42733.877337962964</v>
      </c>
      <c r="I2733" s="92">
        <v>42733.877337962964</v>
      </c>
      <c r="J2733" s="92"/>
      <c r="K2733" s="92">
        <v>42733.878842592596</v>
      </c>
      <c r="L2733" s="92">
        <f>IF(AND(单词表[[#This Row],[学英]]&lt;&gt;"",单词表[[#This Row],[学中]]&lt;&gt;"",单词表[[#This Row],[学词]]&lt;&gt;""),MAX(单词表[[#This Row],[学英]:[学词]]),"")</f>
        <v>42733.877337962964</v>
      </c>
      <c r="M2733" s="2" t="str">
        <f>IF(AND(单词表[[#This Row],[考英]]&lt;&gt;"",单词表[[#This Row],[考中]]&lt;&gt;""),MAX(单词表[[#This Row],[考英]:[考中]]),"")</f>
        <v/>
      </c>
      <c r="N2733" s="79"/>
    </row>
    <row r="2734" spans="1:14" hidden="1" x14ac:dyDescent="0.15">
      <c r="A2734">
        <v>2734</v>
      </c>
      <c r="B2734" t="s">
        <v>35</v>
      </c>
      <c r="C2734" t="s">
        <v>21</v>
      </c>
      <c r="D2734" s="72" t="s">
        <v>4585</v>
      </c>
      <c r="E2734" t="s">
        <v>36</v>
      </c>
      <c r="F2734" t="s">
        <v>5858</v>
      </c>
      <c r="G2734" s="92">
        <v>42733.892604166664</v>
      </c>
      <c r="H2734" s="92">
        <v>42733.892604166664</v>
      </c>
      <c r="I2734" s="92">
        <v>42733.892604166664</v>
      </c>
      <c r="J2734" s="92"/>
      <c r="K2734" s="92">
        <v>42733.893946759257</v>
      </c>
      <c r="L2734" s="92">
        <f>IF(AND(单词表[[#This Row],[学英]]&lt;&gt;"",单词表[[#This Row],[学中]]&lt;&gt;"",单词表[[#This Row],[学词]]&lt;&gt;""),MAX(单词表[[#This Row],[学英]:[学词]]),"")</f>
        <v>42733.892604166664</v>
      </c>
      <c r="M2734" s="2" t="str">
        <f>IF(AND(单词表[[#This Row],[考英]]&lt;&gt;"",单词表[[#This Row],[考中]]&lt;&gt;""),MAX(单词表[[#This Row],[考英]:[考中]]),"")</f>
        <v/>
      </c>
      <c r="N2734" s="79"/>
    </row>
    <row r="2735" spans="1:14" hidden="1" x14ac:dyDescent="0.15">
      <c r="A2735">
        <v>2735</v>
      </c>
      <c r="B2735" t="s">
        <v>35</v>
      </c>
      <c r="C2735" t="s">
        <v>21</v>
      </c>
      <c r="D2735" s="72" t="s">
        <v>4586</v>
      </c>
      <c r="E2735" t="s">
        <v>1019</v>
      </c>
      <c r="F2735" t="s">
        <v>4587</v>
      </c>
      <c r="G2735" s="92">
        <v>42733.89267361111</v>
      </c>
      <c r="H2735" s="92">
        <v>42733.89267361111</v>
      </c>
      <c r="I2735" s="92">
        <v>42733.89267361111</v>
      </c>
      <c r="J2735" s="92"/>
      <c r="K2735" s="92">
        <v>42733.894074074073</v>
      </c>
      <c r="L2735" s="92">
        <f>IF(AND(单词表[[#This Row],[学英]]&lt;&gt;"",单词表[[#This Row],[学中]]&lt;&gt;"",单词表[[#This Row],[学词]]&lt;&gt;""),MAX(单词表[[#This Row],[学英]:[学词]]),"")</f>
        <v>42733.89267361111</v>
      </c>
      <c r="M2735" s="2" t="str">
        <f>IF(AND(单词表[[#This Row],[考英]]&lt;&gt;"",单词表[[#This Row],[考中]]&lt;&gt;""),MAX(单词表[[#This Row],[考英]:[考中]]),"")</f>
        <v/>
      </c>
      <c r="N2735" s="79"/>
    </row>
    <row r="2736" spans="1:14" hidden="1" x14ac:dyDescent="0.15">
      <c r="A2736">
        <v>2736</v>
      </c>
      <c r="B2736" t="s">
        <v>35</v>
      </c>
      <c r="C2736" t="s">
        <v>21</v>
      </c>
      <c r="D2736" s="72" t="s">
        <v>4588</v>
      </c>
      <c r="E2736" t="s">
        <v>73</v>
      </c>
      <c r="F2736" t="s">
        <v>4589</v>
      </c>
      <c r="G2736" s="92">
        <v>42733.877418981479</v>
      </c>
      <c r="H2736" s="92">
        <v>42733.877418981479</v>
      </c>
      <c r="I2736" s="92">
        <v>42733.877418981479</v>
      </c>
      <c r="J2736" s="92"/>
      <c r="K2736" s="92">
        <v>42733.879074074073</v>
      </c>
      <c r="L2736" s="92">
        <f>IF(AND(单词表[[#This Row],[学英]]&lt;&gt;"",单词表[[#This Row],[学中]]&lt;&gt;"",单词表[[#This Row],[学词]]&lt;&gt;""),MAX(单词表[[#This Row],[学英]:[学词]]),"")</f>
        <v>42733.877418981479</v>
      </c>
      <c r="M2736" s="2" t="str">
        <f>IF(AND(单词表[[#This Row],[考英]]&lt;&gt;"",单词表[[#This Row],[考中]]&lt;&gt;""),MAX(单词表[[#This Row],[考英]:[考中]]),"")</f>
        <v/>
      </c>
      <c r="N2736" s="79"/>
    </row>
    <row r="2737" spans="1:14" hidden="1" x14ac:dyDescent="0.15">
      <c r="A2737">
        <v>2737</v>
      </c>
      <c r="B2737" t="s">
        <v>35</v>
      </c>
      <c r="C2737" t="s">
        <v>21</v>
      </c>
      <c r="D2737" s="72" t="s">
        <v>1708</v>
      </c>
      <c r="E2737" t="s">
        <v>73</v>
      </c>
      <c r="F2737" t="s">
        <v>1709</v>
      </c>
      <c r="G2737" s="92">
        <v>42733.877442129633</v>
      </c>
      <c r="H2737" s="92">
        <v>42733.877442129633</v>
      </c>
      <c r="I2737" s="92">
        <v>42733.877442129633</v>
      </c>
      <c r="J2737" s="92"/>
      <c r="K2737" s="92">
        <v>42733.879131944443</v>
      </c>
      <c r="L2737" s="92">
        <f>IF(AND(单词表[[#This Row],[学英]]&lt;&gt;"",单词表[[#This Row],[学中]]&lt;&gt;"",单词表[[#This Row],[学词]]&lt;&gt;""),MAX(单词表[[#This Row],[学英]:[学词]]),"")</f>
        <v>42733.877442129633</v>
      </c>
      <c r="M2737" s="2" t="str">
        <f>IF(AND(单词表[[#This Row],[考英]]&lt;&gt;"",单词表[[#This Row],[考中]]&lt;&gt;""),MAX(单词表[[#This Row],[考英]:[考中]]),"")</f>
        <v/>
      </c>
      <c r="N2737" s="79"/>
    </row>
    <row r="2738" spans="1:14" hidden="1" x14ac:dyDescent="0.15">
      <c r="A2738">
        <v>2738</v>
      </c>
      <c r="B2738" t="s">
        <v>35</v>
      </c>
      <c r="C2738" t="s">
        <v>21</v>
      </c>
      <c r="D2738" s="72" t="s">
        <v>4590</v>
      </c>
      <c r="E2738" t="s">
        <v>36</v>
      </c>
      <c r="F2738" t="s">
        <v>4591</v>
      </c>
      <c r="G2738" s="92">
        <v>42733.892743055556</v>
      </c>
      <c r="H2738" s="92">
        <v>42733.892743055556</v>
      </c>
      <c r="I2738" s="92">
        <v>42733.892743055556</v>
      </c>
      <c r="J2738" s="92"/>
      <c r="K2738" s="92">
        <v>42733.894166666665</v>
      </c>
      <c r="L2738" s="92">
        <f>IF(AND(单词表[[#This Row],[学英]]&lt;&gt;"",单词表[[#This Row],[学中]]&lt;&gt;"",单词表[[#This Row],[学词]]&lt;&gt;""),MAX(单词表[[#This Row],[学英]:[学词]]),"")</f>
        <v>42733.892743055556</v>
      </c>
      <c r="M2738" s="2" t="str">
        <f>IF(AND(单词表[[#This Row],[考英]]&lt;&gt;"",单词表[[#This Row],[考中]]&lt;&gt;""),MAX(单词表[[#This Row],[考英]:[考中]]),"")</f>
        <v/>
      </c>
      <c r="N2738" s="79"/>
    </row>
    <row r="2739" spans="1:14" hidden="1" x14ac:dyDescent="0.15">
      <c r="A2739">
        <v>2739</v>
      </c>
      <c r="B2739" t="s">
        <v>35</v>
      </c>
      <c r="C2739" t="s">
        <v>21</v>
      </c>
      <c r="D2739" s="72" t="s">
        <v>4592</v>
      </c>
      <c r="E2739" t="s">
        <v>157</v>
      </c>
      <c r="F2739" t="s">
        <v>4593</v>
      </c>
      <c r="G2739" s="92">
        <v>42733.877500000002</v>
      </c>
      <c r="H2739" s="92">
        <v>42733.877500000002</v>
      </c>
      <c r="I2739" s="92">
        <v>42733.877500000002</v>
      </c>
      <c r="J2739" s="92"/>
      <c r="K2739" s="92">
        <v>42733.879282407404</v>
      </c>
      <c r="L2739" s="92">
        <f>IF(AND(单词表[[#This Row],[学英]]&lt;&gt;"",单词表[[#This Row],[学中]]&lt;&gt;"",单词表[[#This Row],[学词]]&lt;&gt;""),MAX(单词表[[#This Row],[学英]:[学词]]),"")</f>
        <v>42733.877500000002</v>
      </c>
      <c r="M2739" s="2" t="str">
        <f>IF(AND(单词表[[#This Row],[考英]]&lt;&gt;"",单词表[[#This Row],[考中]]&lt;&gt;""),MAX(单词表[[#This Row],[考英]:[考中]]),"")</f>
        <v/>
      </c>
      <c r="N2739" s="79"/>
    </row>
    <row r="2740" spans="1:14" hidden="1" x14ac:dyDescent="0.15">
      <c r="A2740">
        <v>2740</v>
      </c>
      <c r="B2740" t="s">
        <v>35</v>
      </c>
      <c r="C2740" t="s">
        <v>21</v>
      </c>
      <c r="D2740" s="72" t="s">
        <v>4594</v>
      </c>
      <c r="E2740" t="s">
        <v>36</v>
      </c>
      <c r="F2740" t="s">
        <v>4595</v>
      </c>
      <c r="G2740" s="92">
        <v>42733.895092592589</v>
      </c>
      <c r="H2740" s="92">
        <v>42733.895092592589</v>
      </c>
      <c r="I2740" s="92">
        <v>42733.895092592589</v>
      </c>
      <c r="J2740" s="92"/>
      <c r="K2740" s="92">
        <v>42733.897696759261</v>
      </c>
      <c r="L2740" s="92">
        <f>IF(AND(单词表[[#This Row],[学英]]&lt;&gt;"",单词表[[#This Row],[学中]]&lt;&gt;"",单词表[[#This Row],[学词]]&lt;&gt;""),MAX(单词表[[#This Row],[学英]:[学词]]),"")</f>
        <v>42733.895092592589</v>
      </c>
      <c r="M2740" s="2" t="str">
        <f>IF(AND(单词表[[#This Row],[考英]]&lt;&gt;"",单词表[[#This Row],[考中]]&lt;&gt;""),MAX(单词表[[#This Row],[考英]:[考中]]),"")</f>
        <v/>
      </c>
      <c r="N2740" s="79"/>
    </row>
    <row r="2741" spans="1:14" hidden="1" x14ac:dyDescent="0.15">
      <c r="A2741">
        <v>2741</v>
      </c>
      <c r="B2741" t="s">
        <v>35</v>
      </c>
      <c r="C2741" t="s">
        <v>21</v>
      </c>
      <c r="D2741" s="72" t="s">
        <v>4596</v>
      </c>
      <c r="E2741" t="s">
        <v>157</v>
      </c>
      <c r="F2741" t="s">
        <v>4597</v>
      </c>
      <c r="G2741" s="92">
        <v>42733.895648148151</v>
      </c>
      <c r="H2741" s="92">
        <v>42733.895648148151</v>
      </c>
      <c r="I2741" s="92">
        <v>42733.895648148151</v>
      </c>
      <c r="J2741" s="92"/>
      <c r="K2741" s="92">
        <v>42733.897731481484</v>
      </c>
      <c r="L2741" s="92">
        <f>IF(AND(单词表[[#This Row],[学英]]&lt;&gt;"",单词表[[#This Row],[学中]]&lt;&gt;"",单词表[[#This Row],[学词]]&lt;&gt;""),MAX(单词表[[#This Row],[学英]:[学词]]),"")</f>
        <v>42733.895648148151</v>
      </c>
      <c r="M2741" s="2" t="str">
        <f>IF(AND(单词表[[#This Row],[考英]]&lt;&gt;"",单词表[[#This Row],[考中]]&lt;&gt;""),MAX(单词表[[#This Row],[考英]:[考中]]),"")</f>
        <v/>
      </c>
      <c r="N2741" s="79"/>
    </row>
    <row r="2742" spans="1:14" hidden="1" x14ac:dyDescent="0.15">
      <c r="A2742">
        <v>2742</v>
      </c>
      <c r="B2742" t="s">
        <v>35</v>
      </c>
      <c r="C2742" t="s">
        <v>21</v>
      </c>
      <c r="D2742" s="72" t="s">
        <v>4598</v>
      </c>
      <c r="E2742" t="s">
        <v>702</v>
      </c>
      <c r="F2742" t="s">
        <v>4599</v>
      </c>
      <c r="G2742" s="92">
        <v>42733.896006944444</v>
      </c>
      <c r="H2742" s="92">
        <v>42733.898182870369</v>
      </c>
      <c r="I2742" s="92">
        <v>42733.898182870369</v>
      </c>
      <c r="J2742" s="92"/>
      <c r="K2742" s="92">
        <v>42733.898252314815</v>
      </c>
      <c r="L2742" s="92">
        <f>IF(AND(单词表[[#This Row],[学英]]&lt;&gt;"",单词表[[#This Row],[学中]]&lt;&gt;"",单词表[[#This Row],[学词]]&lt;&gt;""),MAX(单词表[[#This Row],[学英]:[学词]]),"")</f>
        <v>42733.898182870369</v>
      </c>
      <c r="M2742" s="2" t="str">
        <f>IF(AND(单词表[[#This Row],[考英]]&lt;&gt;"",单词表[[#This Row],[考中]]&lt;&gt;""),MAX(单词表[[#This Row],[考英]:[考中]]),"")</f>
        <v/>
      </c>
      <c r="N2742" s="79"/>
    </row>
    <row r="2743" spans="1:14" hidden="1" x14ac:dyDescent="0.15">
      <c r="A2743">
        <v>2743</v>
      </c>
      <c r="B2743" t="s">
        <v>35</v>
      </c>
      <c r="C2743" t="s">
        <v>21</v>
      </c>
      <c r="D2743" s="72" t="s">
        <v>4600</v>
      </c>
      <c r="E2743" t="s">
        <v>73</v>
      </c>
      <c r="F2743" t="s">
        <v>4601</v>
      </c>
      <c r="G2743" s="92">
        <v>42733.896319444444</v>
      </c>
      <c r="H2743" s="92">
        <v>42733.896319444444</v>
      </c>
      <c r="I2743" s="92">
        <v>42733.896319444444</v>
      </c>
      <c r="J2743" s="92"/>
      <c r="K2743" s="92">
        <v>42733.897777777776</v>
      </c>
      <c r="L2743" s="92">
        <f>IF(AND(单词表[[#This Row],[学英]]&lt;&gt;"",单词表[[#This Row],[学中]]&lt;&gt;"",单词表[[#This Row],[学词]]&lt;&gt;""),MAX(单词表[[#This Row],[学英]:[学词]]),"")</f>
        <v>42733.896319444444</v>
      </c>
      <c r="M2743" s="2" t="str">
        <f>IF(AND(单词表[[#This Row],[考英]]&lt;&gt;"",单词表[[#This Row],[考中]]&lt;&gt;""),MAX(单词表[[#This Row],[考英]:[考中]]),"")</f>
        <v/>
      </c>
      <c r="N2743" s="79"/>
    </row>
    <row r="2744" spans="1:14" hidden="1" x14ac:dyDescent="0.15">
      <c r="A2744">
        <v>2744</v>
      </c>
      <c r="B2744" t="s">
        <v>35</v>
      </c>
      <c r="C2744" t="s">
        <v>21</v>
      </c>
      <c r="D2744" s="72" t="s">
        <v>1518</v>
      </c>
      <c r="E2744" t="s">
        <v>36</v>
      </c>
      <c r="F2744" t="s">
        <v>4602</v>
      </c>
      <c r="G2744" s="92">
        <v>42733.89638888889</v>
      </c>
      <c r="H2744" s="92">
        <v>42733.89638888889</v>
      </c>
      <c r="I2744" s="92">
        <v>42733.89638888889</v>
      </c>
      <c r="J2744" s="92"/>
      <c r="K2744" s="92">
        <v>42733.897812499999</v>
      </c>
      <c r="L2744" s="92">
        <f>IF(AND(单词表[[#This Row],[学英]]&lt;&gt;"",单词表[[#This Row],[学中]]&lt;&gt;"",单词表[[#This Row],[学词]]&lt;&gt;""),MAX(单词表[[#This Row],[学英]:[学词]]),"")</f>
        <v>42733.89638888889</v>
      </c>
      <c r="M2744" s="2" t="str">
        <f>IF(AND(单词表[[#This Row],[考英]]&lt;&gt;"",单词表[[#This Row],[考中]]&lt;&gt;""),MAX(单词表[[#This Row],[考英]:[考中]]),"")</f>
        <v/>
      </c>
      <c r="N2744" s="79"/>
    </row>
    <row r="2745" spans="1:14" hidden="1" x14ac:dyDescent="0.15">
      <c r="A2745">
        <v>2745</v>
      </c>
      <c r="B2745" t="s">
        <v>35</v>
      </c>
      <c r="C2745" t="s">
        <v>21</v>
      </c>
      <c r="D2745" s="72" t="s">
        <v>4603</v>
      </c>
      <c r="E2745" t="s">
        <v>73</v>
      </c>
      <c r="F2745" t="s">
        <v>4604</v>
      </c>
      <c r="G2745" s="92">
        <v>42733.89644675926</v>
      </c>
      <c r="H2745" s="92">
        <v>42733.89644675926</v>
      </c>
      <c r="I2745" s="92">
        <v>42733.89644675926</v>
      </c>
      <c r="J2745" s="92"/>
      <c r="K2745" s="92">
        <v>42733.897847222222</v>
      </c>
      <c r="L2745" s="92">
        <f>IF(AND(单词表[[#This Row],[学英]]&lt;&gt;"",单词表[[#This Row],[学中]]&lt;&gt;"",单词表[[#This Row],[学词]]&lt;&gt;""),MAX(单词表[[#This Row],[学英]:[学词]]),"")</f>
        <v>42733.89644675926</v>
      </c>
      <c r="M2745" s="2" t="str">
        <f>IF(AND(单词表[[#This Row],[考英]]&lt;&gt;"",单词表[[#This Row],[考中]]&lt;&gt;""),MAX(单词表[[#This Row],[考英]:[考中]]),"")</f>
        <v/>
      </c>
      <c r="N2745" s="79"/>
    </row>
    <row r="2746" spans="1:14" hidden="1" x14ac:dyDescent="0.15">
      <c r="A2746">
        <v>2746</v>
      </c>
      <c r="B2746" t="s">
        <v>35</v>
      </c>
      <c r="C2746" t="s">
        <v>21</v>
      </c>
      <c r="D2746" s="72" t="s">
        <v>4605</v>
      </c>
      <c r="E2746" t="s">
        <v>36</v>
      </c>
      <c r="F2746" t="s">
        <v>4606</v>
      </c>
      <c r="G2746" s="92">
        <v>42733.896817129629</v>
      </c>
      <c r="H2746" s="92">
        <v>42733.896817129629</v>
      </c>
      <c r="I2746" s="92">
        <v>42733.896817129629</v>
      </c>
      <c r="J2746" s="92"/>
      <c r="K2746" s="92">
        <v>42733.897881944446</v>
      </c>
      <c r="L2746" s="92">
        <f>IF(AND(单词表[[#This Row],[学英]]&lt;&gt;"",单词表[[#This Row],[学中]]&lt;&gt;"",单词表[[#This Row],[学词]]&lt;&gt;""),MAX(单词表[[#This Row],[学英]:[学词]]),"")</f>
        <v>42733.896817129629</v>
      </c>
      <c r="M2746" s="2" t="str">
        <f>IF(AND(单词表[[#This Row],[考英]]&lt;&gt;"",单词表[[#This Row],[考中]]&lt;&gt;""),MAX(单词表[[#This Row],[考英]:[考中]]),"")</f>
        <v/>
      </c>
      <c r="N2746" s="79"/>
    </row>
    <row r="2747" spans="1:14" hidden="1" x14ac:dyDescent="0.15">
      <c r="A2747">
        <v>2747</v>
      </c>
      <c r="B2747" t="s">
        <v>35</v>
      </c>
      <c r="C2747" t="s">
        <v>21</v>
      </c>
      <c r="D2747" s="72" t="s">
        <v>4607</v>
      </c>
      <c r="E2747" t="s">
        <v>36</v>
      </c>
      <c r="F2747" t="s">
        <v>4608</v>
      </c>
      <c r="G2747" s="92">
        <v>42733.896967592591</v>
      </c>
      <c r="H2747" s="92">
        <v>42733.896967592591</v>
      </c>
      <c r="I2747" s="92">
        <v>42733.896967592591</v>
      </c>
      <c r="J2747" s="92"/>
      <c r="K2747" s="92">
        <v>42733.897939814815</v>
      </c>
      <c r="L2747" s="92">
        <f>IF(AND(单词表[[#This Row],[学英]]&lt;&gt;"",单词表[[#This Row],[学中]]&lt;&gt;"",单词表[[#This Row],[学词]]&lt;&gt;""),MAX(单词表[[#This Row],[学英]:[学词]]),"")</f>
        <v>42733.896967592591</v>
      </c>
      <c r="M2747" s="2" t="str">
        <f>IF(AND(单词表[[#This Row],[考英]]&lt;&gt;"",单词表[[#This Row],[考中]]&lt;&gt;""),MAX(单词表[[#This Row],[考英]:[考中]]),"")</f>
        <v/>
      </c>
      <c r="N2747" s="79"/>
    </row>
    <row r="2748" spans="1:14" hidden="1" x14ac:dyDescent="0.15">
      <c r="A2748">
        <v>2748</v>
      </c>
      <c r="B2748" t="s">
        <v>35</v>
      </c>
      <c r="C2748" t="s">
        <v>21</v>
      </c>
      <c r="D2748" s="72" t="s">
        <v>4609</v>
      </c>
      <c r="E2748" t="s">
        <v>36</v>
      </c>
      <c r="F2748" t="s">
        <v>4610</v>
      </c>
      <c r="G2748" s="92">
        <v>42733.897013888891</v>
      </c>
      <c r="H2748" s="92">
        <v>42733.897013888891</v>
      </c>
      <c r="I2748" s="92">
        <v>42733.897013888891</v>
      </c>
      <c r="J2748" s="92"/>
      <c r="K2748" s="92">
        <v>42733.897986111115</v>
      </c>
      <c r="L2748" s="92">
        <f>IF(AND(单词表[[#This Row],[学英]]&lt;&gt;"",单词表[[#This Row],[学中]]&lt;&gt;"",单词表[[#This Row],[学词]]&lt;&gt;""),MAX(单词表[[#This Row],[学英]:[学词]]),"")</f>
        <v>42733.897013888891</v>
      </c>
      <c r="M2748" s="2" t="str">
        <f>IF(AND(单词表[[#This Row],[考英]]&lt;&gt;"",单词表[[#This Row],[考中]]&lt;&gt;""),MAX(单词表[[#This Row],[考英]:[考中]]),"")</f>
        <v/>
      </c>
      <c r="N2748" s="79"/>
    </row>
    <row r="2749" spans="1:14" hidden="1" x14ac:dyDescent="0.15">
      <c r="A2749">
        <v>2749</v>
      </c>
      <c r="B2749" t="s">
        <v>35</v>
      </c>
      <c r="C2749" t="s">
        <v>21</v>
      </c>
      <c r="D2749" s="72" t="s">
        <v>4611</v>
      </c>
      <c r="E2749" t="s">
        <v>36</v>
      </c>
      <c r="F2749" t="s">
        <v>4612</v>
      </c>
      <c r="G2749" s="92">
        <v>42733.897094907406</v>
      </c>
      <c r="H2749" s="92">
        <v>42733.897094907406</v>
      </c>
      <c r="I2749" s="92">
        <v>42733.897094907406</v>
      </c>
      <c r="J2749" s="92"/>
      <c r="K2749" s="92">
        <v>42733.898020833331</v>
      </c>
      <c r="L2749" s="92">
        <f>IF(AND(单词表[[#This Row],[学英]]&lt;&gt;"",单词表[[#This Row],[学中]]&lt;&gt;"",单词表[[#This Row],[学词]]&lt;&gt;""),MAX(单词表[[#This Row],[学英]:[学词]]),"")</f>
        <v>42733.897094907406</v>
      </c>
      <c r="M2749" s="2" t="str">
        <f>IF(AND(单词表[[#This Row],[考英]]&lt;&gt;"",单词表[[#This Row],[考中]]&lt;&gt;""),MAX(单词表[[#This Row],[考英]:[考中]]),"")</f>
        <v/>
      </c>
      <c r="N2749" s="79"/>
    </row>
    <row r="2750" spans="1:14" hidden="1" x14ac:dyDescent="0.15">
      <c r="A2750">
        <v>2750</v>
      </c>
      <c r="B2750" t="s">
        <v>35</v>
      </c>
      <c r="C2750" t="s">
        <v>21</v>
      </c>
      <c r="D2750" s="72" t="s">
        <v>4613</v>
      </c>
      <c r="E2750" t="s">
        <v>36</v>
      </c>
      <c r="F2750" t="s">
        <v>4614</v>
      </c>
      <c r="G2750" s="92">
        <v>42736.688773148147</v>
      </c>
      <c r="H2750" s="92">
        <v>42736.688773148147</v>
      </c>
      <c r="I2750" s="92">
        <v>42736.688773148147</v>
      </c>
      <c r="J2750" s="92"/>
      <c r="K2750" s="92">
        <v>42736.689351851855</v>
      </c>
      <c r="L2750" s="92">
        <f>IF(AND(单词表[[#This Row],[学英]]&lt;&gt;"",单词表[[#This Row],[学中]]&lt;&gt;"",单词表[[#This Row],[学词]]&lt;&gt;""),MAX(单词表[[#This Row],[学英]:[学词]]),"")</f>
        <v>42736.688773148147</v>
      </c>
      <c r="M2750" s="2" t="str">
        <f>IF(AND(单词表[[#This Row],[考英]]&lt;&gt;"",单词表[[#This Row],[考中]]&lt;&gt;""),MAX(单词表[[#This Row],[考英]:[考中]]),"")</f>
        <v/>
      </c>
      <c r="N2750" s="79"/>
    </row>
    <row r="2751" spans="1:14" hidden="1" x14ac:dyDescent="0.15">
      <c r="A2751">
        <v>2751</v>
      </c>
      <c r="B2751" t="s">
        <v>35</v>
      </c>
      <c r="C2751" t="s">
        <v>21</v>
      </c>
      <c r="D2751" s="72" t="s">
        <v>4615</v>
      </c>
      <c r="E2751" t="s">
        <v>61</v>
      </c>
      <c r="F2751" t="s">
        <v>4616</v>
      </c>
      <c r="G2751" s="92">
        <v>42736.688981481479</v>
      </c>
      <c r="H2751" s="92">
        <v>42736.693530092591</v>
      </c>
      <c r="I2751" s="92">
        <v>42736.693530092591</v>
      </c>
      <c r="J2751" s="92"/>
      <c r="K2751" s="92">
        <v>42736.694837962961</v>
      </c>
      <c r="L2751" s="92">
        <f>IF(AND(单词表[[#This Row],[学英]]&lt;&gt;"",单词表[[#This Row],[学中]]&lt;&gt;"",单词表[[#This Row],[学词]]&lt;&gt;""),MAX(单词表[[#This Row],[学英]:[学词]]),"")</f>
        <v>42736.693530092591</v>
      </c>
      <c r="M2751" s="2" t="str">
        <f>IF(AND(单词表[[#This Row],[考英]]&lt;&gt;"",单词表[[#This Row],[考中]]&lt;&gt;""),MAX(单词表[[#This Row],[考英]:[考中]]),"")</f>
        <v/>
      </c>
      <c r="N2751" s="79"/>
    </row>
    <row r="2752" spans="1:14" hidden="1" x14ac:dyDescent="0.15">
      <c r="A2752">
        <v>2752</v>
      </c>
      <c r="B2752" t="s">
        <v>35</v>
      </c>
      <c r="C2752" t="s">
        <v>21</v>
      </c>
      <c r="D2752" s="72" t="s">
        <v>2742</v>
      </c>
      <c r="E2752" t="s">
        <v>73</v>
      </c>
      <c r="F2752" t="s">
        <v>4617</v>
      </c>
      <c r="G2752" s="92">
        <v>42736.689027777778</v>
      </c>
      <c r="H2752" s="92">
        <v>42736.689027777778</v>
      </c>
      <c r="I2752" s="92">
        <v>42736.689027777778</v>
      </c>
      <c r="J2752" s="92"/>
      <c r="K2752" s="92">
        <v>42736.689444444448</v>
      </c>
      <c r="L2752" s="92">
        <f>IF(AND(单词表[[#This Row],[学英]]&lt;&gt;"",单词表[[#This Row],[学中]]&lt;&gt;"",单词表[[#This Row],[学词]]&lt;&gt;""),MAX(单词表[[#This Row],[学英]:[学词]]),"")</f>
        <v>42736.689027777778</v>
      </c>
      <c r="M2752" s="2" t="str">
        <f>IF(AND(单词表[[#This Row],[考英]]&lt;&gt;"",单词表[[#This Row],[考中]]&lt;&gt;""),MAX(单词表[[#This Row],[考英]:[考中]]),"")</f>
        <v/>
      </c>
      <c r="N2752" s="79"/>
    </row>
    <row r="2753" spans="1:14" hidden="1" x14ac:dyDescent="0.15">
      <c r="A2753">
        <v>2753</v>
      </c>
      <c r="B2753" t="s">
        <v>35</v>
      </c>
      <c r="C2753" t="s">
        <v>21</v>
      </c>
      <c r="D2753" s="72" t="s">
        <v>4618</v>
      </c>
      <c r="E2753" t="s">
        <v>1019</v>
      </c>
      <c r="F2753" t="s">
        <v>4619</v>
      </c>
      <c r="G2753" s="92">
        <v>42736.689062500001</v>
      </c>
      <c r="H2753" s="92">
        <v>42736.693599537037</v>
      </c>
      <c r="I2753" s="92">
        <v>42736.693599537037</v>
      </c>
      <c r="J2753" s="92"/>
      <c r="K2753" s="92">
        <v>42736.694884259261</v>
      </c>
      <c r="L2753" s="92">
        <f>IF(AND(单词表[[#This Row],[学英]]&lt;&gt;"",单词表[[#This Row],[学中]]&lt;&gt;"",单词表[[#This Row],[学词]]&lt;&gt;""),MAX(单词表[[#This Row],[学英]:[学词]]),"")</f>
        <v>42736.693599537037</v>
      </c>
      <c r="M2753" s="2" t="str">
        <f>IF(AND(单词表[[#This Row],[考英]]&lt;&gt;"",单词表[[#This Row],[考中]]&lt;&gt;""),MAX(单词表[[#This Row],[考英]:[考中]]),"")</f>
        <v/>
      </c>
      <c r="N2753" s="79"/>
    </row>
    <row r="2754" spans="1:14" hidden="1" x14ac:dyDescent="0.15">
      <c r="A2754">
        <v>2754</v>
      </c>
      <c r="B2754" t="s">
        <v>35</v>
      </c>
      <c r="C2754" t="s">
        <v>21</v>
      </c>
      <c r="D2754" s="72" t="s">
        <v>524</v>
      </c>
      <c r="E2754" t="s">
        <v>1016</v>
      </c>
      <c r="F2754" t="s">
        <v>4620</v>
      </c>
      <c r="G2754" s="92">
        <v>42736.689131944448</v>
      </c>
      <c r="H2754" s="92">
        <v>42736.693657407406</v>
      </c>
      <c r="I2754" s="92">
        <v>42736.693657407406</v>
      </c>
      <c r="J2754" s="92"/>
      <c r="K2754" s="92">
        <v>42736.694930555554</v>
      </c>
      <c r="L2754" s="92">
        <f>IF(AND(单词表[[#This Row],[学英]]&lt;&gt;"",单词表[[#This Row],[学中]]&lt;&gt;"",单词表[[#This Row],[学词]]&lt;&gt;""),MAX(单词表[[#This Row],[学英]:[学词]]),"")</f>
        <v>42736.693657407406</v>
      </c>
      <c r="M2754" s="2" t="str">
        <f>IF(AND(单词表[[#This Row],[考英]]&lt;&gt;"",单词表[[#This Row],[考中]]&lt;&gt;""),MAX(单词表[[#This Row],[考英]:[考中]]),"")</f>
        <v/>
      </c>
      <c r="N2754" s="79"/>
    </row>
    <row r="2755" spans="1:14" hidden="1" x14ac:dyDescent="0.15">
      <c r="A2755">
        <v>2755</v>
      </c>
      <c r="B2755" t="s">
        <v>35</v>
      </c>
      <c r="C2755" t="s">
        <v>21</v>
      </c>
      <c r="D2755" s="72" t="s">
        <v>4621</v>
      </c>
      <c r="E2755" t="s">
        <v>73</v>
      </c>
      <c r="F2755" t="s">
        <v>4622</v>
      </c>
      <c r="G2755" s="92">
        <v>42736.68917824074</v>
      </c>
      <c r="H2755" s="92">
        <v>42736.693692129629</v>
      </c>
      <c r="I2755" s="92">
        <v>42736.693692129629</v>
      </c>
      <c r="J2755" s="92"/>
      <c r="K2755" s="92">
        <v>42736.694988425923</v>
      </c>
      <c r="L2755" s="92">
        <f>IF(AND(单词表[[#This Row],[学英]]&lt;&gt;"",单词表[[#This Row],[学中]]&lt;&gt;"",单词表[[#This Row],[学词]]&lt;&gt;""),MAX(单词表[[#This Row],[学英]:[学词]]),"")</f>
        <v>42736.693692129629</v>
      </c>
      <c r="M2755" s="2" t="str">
        <f>IF(AND(单词表[[#This Row],[考英]]&lt;&gt;"",单词表[[#This Row],[考中]]&lt;&gt;""),MAX(单词表[[#This Row],[考英]:[考中]]),"")</f>
        <v/>
      </c>
      <c r="N2755" s="79"/>
    </row>
    <row r="2756" spans="1:14" hidden="1" x14ac:dyDescent="0.15">
      <c r="A2756">
        <v>2756</v>
      </c>
      <c r="B2756" t="s">
        <v>35</v>
      </c>
      <c r="C2756" t="s">
        <v>21</v>
      </c>
      <c r="D2756" s="72" t="s">
        <v>812</v>
      </c>
      <c r="E2756" t="s">
        <v>36</v>
      </c>
      <c r="F2756" t="s">
        <v>813</v>
      </c>
      <c r="G2756" s="92">
        <v>42736.689201388886</v>
      </c>
      <c r="H2756" s="92">
        <v>42736.689201388886</v>
      </c>
      <c r="I2756" s="92">
        <v>42736.689201388886</v>
      </c>
      <c r="J2756" s="92"/>
      <c r="K2756" s="92">
        <v>42736.691655092596</v>
      </c>
      <c r="L2756" s="92">
        <f>IF(AND(单词表[[#This Row],[学英]]&lt;&gt;"",单词表[[#This Row],[学中]]&lt;&gt;"",单词表[[#This Row],[学词]]&lt;&gt;""),MAX(单词表[[#This Row],[学英]:[学词]]),"")</f>
        <v>42736.689201388886</v>
      </c>
      <c r="M2756" s="2" t="str">
        <f>IF(AND(单词表[[#This Row],[考英]]&lt;&gt;"",单词表[[#This Row],[考中]]&lt;&gt;""),MAX(单词表[[#This Row],[考英]:[考中]]),"")</f>
        <v/>
      </c>
      <c r="N2756" s="79"/>
    </row>
    <row r="2757" spans="1:14" hidden="1" x14ac:dyDescent="0.15">
      <c r="A2757">
        <v>2757</v>
      </c>
      <c r="B2757" t="s">
        <v>35</v>
      </c>
      <c r="C2757" t="s">
        <v>21</v>
      </c>
      <c r="D2757" s="72" t="s">
        <v>4623</v>
      </c>
      <c r="E2757" t="s">
        <v>61</v>
      </c>
      <c r="F2757" t="s">
        <v>4624</v>
      </c>
      <c r="G2757" s="92">
        <v>42736.68922453704</v>
      </c>
      <c r="H2757" s="92">
        <v>42736.693784722222</v>
      </c>
      <c r="I2757" s="92">
        <v>42736.693784722222</v>
      </c>
      <c r="J2757" s="92"/>
      <c r="K2757" s="92">
        <v>42736.695115740738</v>
      </c>
      <c r="L2757" s="92">
        <f>IF(AND(单词表[[#This Row],[学英]]&lt;&gt;"",单词表[[#This Row],[学中]]&lt;&gt;"",单词表[[#This Row],[学词]]&lt;&gt;""),MAX(单词表[[#This Row],[学英]:[学词]]),"")</f>
        <v>42736.693784722222</v>
      </c>
      <c r="M2757" s="2" t="str">
        <f>IF(AND(单词表[[#This Row],[考英]]&lt;&gt;"",单词表[[#This Row],[考中]]&lt;&gt;""),MAX(单词表[[#This Row],[考英]:[考中]]),"")</f>
        <v/>
      </c>
      <c r="N2757" s="79"/>
    </row>
    <row r="2758" spans="1:14" hidden="1" x14ac:dyDescent="0.15">
      <c r="A2758">
        <v>2758</v>
      </c>
      <c r="B2758" t="s">
        <v>35</v>
      </c>
      <c r="C2758" t="s">
        <v>21</v>
      </c>
      <c r="D2758" s="72" t="s">
        <v>4625</v>
      </c>
      <c r="E2758" t="s">
        <v>61</v>
      </c>
      <c r="F2758" t="s">
        <v>4626</v>
      </c>
      <c r="G2758" s="92">
        <v>42736.689236111109</v>
      </c>
      <c r="H2758" s="92">
        <v>42736.693842592591</v>
      </c>
      <c r="I2758" s="92">
        <v>42736.693842592591</v>
      </c>
      <c r="J2758" s="92"/>
      <c r="K2758" s="92">
        <v>42736.69667824074</v>
      </c>
      <c r="L2758" s="92">
        <f>IF(AND(单词表[[#This Row],[学英]]&lt;&gt;"",单词表[[#This Row],[学中]]&lt;&gt;"",单词表[[#This Row],[学词]]&lt;&gt;""),MAX(单词表[[#This Row],[学英]:[学词]]),"")</f>
        <v>42736.693842592591</v>
      </c>
      <c r="M2758" s="2" t="str">
        <f>IF(AND(单词表[[#This Row],[考英]]&lt;&gt;"",单词表[[#This Row],[考中]]&lt;&gt;""),MAX(单词表[[#This Row],[考英]:[考中]]),"")</f>
        <v/>
      </c>
      <c r="N2758" s="79"/>
    </row>
    <row r="2759" spans="1:14" hidden="1" x14ac:dyDescent="0.15">
      <c r="A2759">
        <v>2759</v>
      </c>
      <c r="B2759" t="s">
        <v>35</v>
      </c>
      <c r="C2759" t="s">
        <v>21</v>
      </c>
      <c r="D2759" s="72" t="s">
        <v>841</v>
      </c>
      <c r="E2759" t="s">
        <v>61</v>
      </c>
      <c r="F2759" t="s">
        <v>4627</v>
      </c>
      <c r="G2759" s="92">
        <v>42736.689270833333</v>
      </c>
      <c r="H2759" s="92">
        <v>42736.694733796299</v>
      </c>
      <c r="I2759" s="92">
        <v>42736.694733796299</v>
      </c>
      <c r="J2759" s="92"/>
      <c r="K2759" s="92">
        <v>42736.696736111109</v>
      </c>
      <c r="L2759" s="92">
        <f>IF(AND(单词表[[#This Row],[学英]]&lt;&gt;"",单词表[[#This Row],[学中]]&lt;&gt;"",单词表[[#This Row],[学词]]&lt;&gt;""),MAX(单词表[[#This Row],[学英]:[学词]]),"")</f>
        <v>42736.694733796299</v>
      </c>
      <c r="M2759" s="2" t="str">
        <f>IF(AND(单词表[[#This Row],[考英]]&lt;&gt;"",单词表[[#This Row],[考中]]&lt;&gt;""),MAX(单词表[[#This Row],[考英]:[考中]]),"")</f>
        <v/>
      </c>
      <c r="N2759" s="79"/>
    </row>
    <row r="2760" spans="1:14" hidden="1" x14ac:dyDescent="0.15">
      <c r="A2760">
        <v>2760</v>
      </c>
      <c r="B2760" t="s">
        <v>35</v>
      </c>
      <c r="C2760" t="s">
        <v>22</v>
      </c>
      <c r="D2760" s="72" t="s">
        <v>4141</v>
      </c>
      <c r="E2760" t="s">
        <v>36</v>
      </c>
      <c r="F2760" t="s">
        <v>4628</v>
      </c>
      <c r="G2760" s="92">
        <v>42736.697615740741</v>
      </c>
      <c r="H2760" s="92">
        <v>42736.697615740741</v>
      </c>
      <c r="I2760" s="92">
        <v>42736.697615740741</v>
      </c>
      <c r="J2760" s="92"/>
      <c r="K2760" s="92">
        <v>42736.707349537035</v>
      </c>
      <c r="L2760" s="92">
        <f>IF(AND(单词表[[#This Row],[学英]]&lt;&gt;"",单词表[[#This Row],[学中]]&lt;&gt;"",单词表[[#This Row],[学词]]&lt;&gt;""),MAX(单词表[[#This Row],[学英]:[学词]]),"")</f>
        <v>42736.697615740741</v>
      </c>
      <c r="M2760" s="2" t="str">
        <f>IF(AND(单词表[[#This Row],[考英]]&lt;&gt;"",单词表[[#This Row],[考中]]&lt;&gt;""),MAX(单词表[[#This Row],[考英]:[考中]]),"")</f>
        <v/>
      </c>
      <c r="N2760" s="79"/>
    </row>
    <row r="2761" spans="1:14" hidden="1" x14ac:dyDescent="0.15">
      <c r="A2761">
        <v>2761</v>
      </c>
      <c r="B2761" t="s">
        <v>35</v>
      </c>
      <c r="C2761" t="s">
        <v>22</v>
      </c>
      <c r="D2761" s="72" t="s">
        <v>4629</v>
      </c>
      <c r="E2761" t="s">
        <v>36</v>
      </c>
      <c r="F2761" t="s">
        <v>4630</v>
      </c>
      <c r="G2761" s="92">
        <v>42736.697638888887</v>
      </c>
      <c r="H2761" s="92">
        <v>42736.697638888887</v>
      </c>
      <c r="I2761" s="92">
        <v>42736.697638888887</v>
      </c>
      <c r="J2761" s="92"/>
      <c r="K2761" s="92">
        <v>42736.707384259258</v>
      </c>
      <c r="L2761" s="92">
        <f>IF(AND(单词表[[#This Row],[学英]]&lt;&gt;"",单词表[[#This Row],[学中]]&lt;&gt;"",单词表[[#This Row],[学词]]&lt;&gt;""),MAX(单词表[[#This Row],[学英]:[学词]]),"")</f>
        <v>42736.697638888887</v>
      </c>
      <c r="M2761" s="2" t="str">
        <f>IF(AND(单词表[[#This Row],[考英]]&lt;&gt;"",单词表[[#This Row],[考中]]&lt;&gt;""),MAX(单词表[[#This Row],[考英]:[考中]]),"")</f>
        <v/>
      </c>
      <c r="N2761" s="79"/>
    </row>
    <row r="2762" spans="1:14" hidden="1" x14ac:dyDescent="0.15">
      <c r="A2762">
        <v>2762</v>
      </c>
      <c r="B2762" t="s">
        <v>35</v>
      </c>
      <c r="C2762" t="s">
        <v>22</v>
      </c>
      <c r="D2762" s="72" t="s">
        <v>4631</v>
      </c>
      <c r="E2762" t="s">
        <v>702</v>
      </c>
      <c r="F2762" t="s">
        <v>4632</v>
      </c>
      <c r="G2762" s="92">
        <v>42736.697662037041</v>
      </c>
      <c r="H2762" s="92">
        <v>42736.697662037041</v>
      </c>
      <c r="I2762" s="92">
        <v>42736.697662037041</v>
      </c>
      <c r="J2762" s="92"/>
      <c r="K2762" s="92">
        <v>42736.707418981481</v>
      </c>
      <c r="L2762" s="92">
        <f>IF(AND(单词表[[#This Row],[学英]]&lt;&gt;"",单词表[[#This Row],[学中]]&lt;&gt;"",单词表[[#This Row],[学词]]&lt;&gt;""),MAX(单词表[[#This Row],[学英]:[学词]]),"")</f>
        <v>42736.697662037041</v>
      </c>
      <c r="M2762" s="2" t="str">
        <f>IF(AND(单词表[[#This Row],[考英]]&lt;&gt;"",单词表[[#This Row],[考中]]&lt;&gt;""),MAX(单词表[[#This Row],[考英]:[考中]]),"")</f>
        <v/>
      </c>
      <c r="N2762" s="79"/>
    </row>
    <row r="2763" spans="1:14" hidden="1" x14ac:dyDescent="0.15">
      <c r="A2763">
        <v>2763</v>
      </c>
      <c r="B2763" t="s">
        <v>35</v>
      </c>
      <c r="C2763" t="s">
        <v>22</v>
      </c>
      <c r="D2763" s="72" t="s">
        <v>2690</v>
      </c>
      <c r="E2763" t="s">
        <v>1019</v>
      </c>
      <c r="F2763" t="s">
        <v>5595</v>
      </c>
      <c r="G2763" s="92">
        <v>42736.697696759256</v>
      </c>
      <c r="H2763" s="92">
        <v>42736.697696759256</v>
      </c>
      <c r="I2763" s="92">
        <v>42736.697696759256</v>
      </c>
      <c r="J2763" s="92"/>
      <c r="K2763" s="92">
        <v>42736.707546296297</v>
      </c>
      <c r="L2763" s="92">
        <f>IF(AND(单词表[[#This Row],[学英]]&lt;&gt;"",单词表[[#This Row],[学中]]&lt;&gt;"",单词表[[#This Row],[学词]]&lt;&gt;""),MAX(单词表[[#This Row],[学英]:[学词]]),"")</f>
        <v>42736.697696759256</v>
      </c>
      <c r="M2763" s="2" t="str">
        <f>IF(AND(单词表[[#This Row],[考英]]&lt;&gt;"",单词表[[#This Row],[考中]]&lt;&gt;""),MAX(单词表[[#This Row],[考英]:[考中]]),"")</f>
        <v/>
      </c>
      <c r="N2763" s="79"/>
    </row>
    <row r="2764" spans="1:14" hidden="1" x14ac:dyDescent="0.15">
      <c r="A2764">
        <v>2764</v>
      </c>
      <c r="B2764" t="s">
        <v>35</v>
      </c>
      <c r="C2764" t="s">
        <v>22</v>
      </c>
      <c r="D2764" s="72" t="s">
        <v>4633</v>
      </c>
      <c r="E2764" t="s">
        <v>36</v>
      </c>
      <c r="F2764" t="s">
        <v>4634</v>
      </c>
      <c r="G2764" s="92">
        <v>42736.697708333333</v>
      </c>
      <c r="H2764" s="92">
        <v>42736.707962962966</v>
      </c>
      <c r="I2764" s="92">
        <v>42736.707962962966</v>
      </c>
      <c r="J2764" s="92"/>
      <c r="K2764" s="92">
        <v>42736.708043981482</v>
      </c>
      <c r="L2764" s="92">
        <f>IF(AND(单词表[[#This Row],[学英]]&lt;&gt;"",单词表[[#This Row],[学中]]&lt;&gt;"",单词表[[#This Row],[学词]]&lt;&gt;""),MAX(单词表[[#This Row],[学英]:[学词]]),"")</f>
        <v>42736.707962962966</v>
      </c>
      <c r="M2764" s="2" t="str">
        <f>IF(AND(单词表[[#This Row],[考英]]&lt;&gt;"",单词表[[#This Row],[考中]]&lt;&gt;""),MAX(单词表[[#This Row],[考英]:[考中]]),"")</f>
        <v/>
      </c>
      <c r="N2764" s="79"/>
    </row>
    <row r="2765" spans="1:14" hidden="1" x14ac:dyDescent="0.15">
      <c r="A2765">
        <v>2765</v>
      </c>
      <c r="B2765" t="s">
        <v>35</v>
      </c>
      <c r="C2765" t="s">
        <v>22</v>
      </c>
      <c r="D2765" s="72" t="s">
        <v>4635</v>
      </c>
      <c r="E2765" t="s">
        <v>36</v>
      </c>
      <c r="F2765" t="s">
        <v>5596</v>
      </c>
      <c r="G2765" s="92">
        <v>42736.697731481479</v>
      </c>
      <c r="H2765" s="92">
        <v>42736.697731481479</v>
      </c>
      <c r="I2765" s="92">
        <v>42736.697731481479</v>
      </c>
      <c r="J2765" s="92"/>
      <c r="K2765" s="92">
        <v>42736.707731481481</v>
      </c>
      <c r="L2765" s="92">
        <f>IF(AND(单词表[[#This Row],[学英]]&lt;&gt;"",单词表[[#This Row],[学中]]&lt;&gt;"",单词表[[#This Row],[学词]]&lt;&gt;""),MAX(单词表[[#This Row],[学英]:[学词]]),"")</f>
        <v>42736.697731481479</v>
      </c>
      <c r="M2765" s="2" t="str">
        <f>IF(AND(单词表[[#This Row],[考英]]&lt;&gt;"",单词表[[#This Row],[考中]]&lt;&gt;""),MAX(单词表[[#This Row],[考英]:[考中]]),"")</f>
        <v/>
      </c>
      <c r="N2765" s="79"/>
    </row>
    <row r="2766" spans="1:14" hidden="1" x14ac:dyDescent="0.15">
      <c r="A2766">
        <v>2766</v>
      </c>
      <c r="B2766" t="s">
        <v>35</v>
      </c>
      <c r="C2766" t="s">
        <v>22</v>
      </c>
      <c r="D2766" s="72" t="s">
        <v>4636</v>
      </c>
      <c r="E2766" t="s">
        <v>702</v>
      </c>
      <c r="F2766" t="s">
        <v>4637</v>
      </c>
      <c r="G2766" s="92">
        <v>42736.697754629633</v>
      </c>
      <c r="H2766" s="92">
        <v>42736.697754629633</v>
      </c>
      <c r="I2766" s="92">
        <v>42736.697754629633</v>
      </c>
      <c r="J2766" s="92"/>
      <c r="K2766" s="92">
        <v>42736.707766203705</v>
      </c>
      <c r="L2766" s="92">
        <f>IF(AND(单词表[[#This Row],[学英]]&lt;&gt;"",单词表[[#This Row],[学中]]&lt;&gt;"",单词表[[#This Row],[学词]]&lt;&gt;""),MAX(单词表[[#This Row],[学英]:[学词]]),"")</f>
        <v>42736.697754629633</v>
      </c>
      <c r="M2766" s="2" t="str">
        <f>IF(AND(单词表[[#This Row],[考英]]&lt;&gt;"",单词表[[#This Row],[考中]]&lt;&gt;""),MAX(单词表[[#This Row],[考英]:[考中]]),"")</f>
        <v/>
      </c>
      <c r="N2766" s="79"/>
    </row>
    <row r="2767" spans="1:14" hidden="1" x14ac:dyDescent="0.15">
      <c r="A2767">
        <v>2767</v>
      </c>
      <c r="B2767" t="s">
        <v>35</v>
      </c>
      <c r="C2767" t="s">
        <v>22</v>
      </c>
      <c r="D2767" s="72" t="s">
        <v>4638</v>
      </c>
      <c r="E2767" t="s">
        <v>702</v>
      </c>
      <c r="F2767" t="s">
        <v>4639</v>
      </c>
      <c r="G2767" s="92">
        <v>42737.426817129628</v>
      </c>
      <c r="H2767" s="92">
        <v>42737.426817129628</v>
      </c>
      <c r="I2767" s="92">
        <v>42737.426817129628</v>
      </c>
      <c r="J2767" s="92"/>
      <c r="K2767" s="92">
        <v>42737.434791666667</v>
      </c>
      <c r="L2767" s="92">
        <f>IF(AND(单词表[[#This Row],[学英]]&lt;&gt;"",单词表[[#This Row],[学中]]&lt;&gt;"",单词表[[#This Row],[学词]]&lt;&gt;""),MAX(单词表[[#This Row],[学英]:[学词]]),"")</f>
        <v>42737.426817129628</v>
      </c>
      <c r="M2767" s="2" t="str">
        <f>IF(AND(单词表[[#This Row],[考英]]&lt;&gt;"",单词表[[#This Row],[考中]]&lt;&gt;""),MAX(单词表[[#This Row],[考英]:[考中]]),"")</f>
        <v/>
      </c>
      <c r="N2767" s="79"/>
    </row>
    <row r="2768" spans="1:14" hidden="1" x14ac:dyDescent="0.15">
      <c r="A2768">
        <v>2768</v>
      </c>
      <c r="B2768" t="s">
        <v>35</v>
      </c>
      <c r="C2768" t="s">
        <v>22</v>
      </c>
      <c r="D2768" s="72" t="s">
        <v>4640</v>
      </c>
      <c r="E2768" t="s">
        <v>36</v>
      </c>
      <c r="F2768" t="s">
        <v>4641</v>
      </c>
      <c r="G2768" s="92">
        <v>42737.426840277774</v>
      </c>
      <c r="H2768" s="92">
        <v>42737.426840277774</v>
      </c>
      <c r="I2768" s="92">
        <v>42737.426840277774</v>
      </c>
      <c r="J2768" s="92"/>
      <c r="K2768" s="92">
        <v>42737.434872685182</v>
      </c>
      <c r="L2768" s="92">
        <f>IF(AND(单词表[[#This Row],[学英]]&lt;&gt;"",单词表[[#This Row],[学中]]&lt;&gt;"",单词表[[#This Row],[学词]]&lt;&gt;""),MAX(单词表[[#This Row],[学英]:[学词]]),"")</f>
        <v>42737.426840277774</v>
      </c>
      <c r="M2768" s="2" t="str">
        <f>IF(AND(单词表[[#This Row],[考英]]&lt;&gt;"",单词表[[#This Row],[考中]]&lt;&gt;""),MAX(单词表[[#This Row],[考英]:[考中]]),"")</f>
        <v/>
      </c>
      <c r="N2768" s="79"/>
    </row>
    <row r="2769" spans="1:14" hidden="1" x14ac:dyDescent="0.15">
      <c r="A2769">
        <v>2769</v>
      </c>
      <c r="B2769" t="s">
        <v>35</v>
      </c>
      <c r="C2769" t="s">
        <v>22</v>
      </c>
      <c r="D2769" s="72" t="s">
        <v>4642</v>
      </c>
      <c r="E2769" t="s">
        <v>157</v>
      </c>
      <c r="F2769" t="s">
        <v>4643</v>
      </c>
      <c r="G2769" s="92">
        <v>42737.426898148151</v>
      </c>
      <c r="H2769" s="92">
        <v>42737.435543981483</v>
      </c>
      <c r="I2769" s="92">
        <v>42737.435543981483</v>
      </c>
      <c r="J2769" s="92"/>
      <c r="K2769" s="92">
        <v>42737.435659722221</v>
      </c>
      <c r="L2769" s="92">
        <f>IF(AND(单词表[[#This Row],[学英]]&lt;&gt;"",单词表[[#This Row],[学中]]&lt;&gt;"",单词表[[#This Row],[学词]]&lt;&gt;""),MAX(单词表[[#This Row],[学英]:[学词]]),"")</f>
        <v>42737.435543981483</v>
      </c>
      <c r="M2769" s="2" t="str">
        <f>IF(AND(单词表[[#This Row],[考英]]&lt;&gt;"",单词表[[#This Row],[考中]]&lt;&gt;""),MAX(单词表[[#This Row],[考英]:[考中]]),"")</f>
        <v/>
      </c>
      <c r="N2769" s="79"/>
    </row>
    <row r="2770" spans="1:14" hidden="1" x14ac:dyDescent="0.15">
      <c r="A2770">
        <v>2770</v>
      </c>
      <c r="B2770" t="s">
        <v>35</v>
      </c>
      <c r="C2770" t="s">
        <v>22</v>
      </c>
      <c r="D2770" s="72" t="s">
        <v>4644</v>
      </c>
      <c r="E2770" t="s">
        <v>73</v>
      </c>
      <c r="F2770" t="s">
        <v>4645</v>
      </c>
      <c r="G2770" s="92">
        <v>42737.426932870374</v>
      </c>
      <c r="H2770" s="92">
        <v>42737.426932870374</v>
      </c>
      <c r="I2770" s="92">
        <v>42737.426932870374</v>
      </c>
      <c r="J2770" s="92"/>
      <c r="K2770" s="92">
        <v>42737.435046296298</v>
      </c>
      <c r="L2770" s="92">
        <f>IF(AND(单词表[[#This Row],[学英]]&lt;&gt;"",单词表[[#This Row],[学中]]&lt;&gt;"",单词表[[#This Row],[学词]]&lt;&gt;""),MAX(单词表[[#This Row],[学英]:[学词]]),"")</f>
        <v>42737.426932870374</v>
      </c>
      <c r="M2770" s="2" t="str">
        <f>IF(AND(单词表[[#This Row],[考英]]&lt;&gt;"",单词表[[#This Row],[考中]]&lt;&gt;""),MAX(单词表[[#This Row],[考英]:[考中]]),"")</f>
        <v/>
      </c>
      <c r="N2770" s="79"/>
    </row>
    <row r="2771" spans="1:14" hidden="1" x14ac:dyDescent="0.15">
      <c r="A2771">
        <v>2771</v>
      </c>
      <c r="B2771" t="s">
        <v>35</v>
      </c>
      <c r="C2771" t="s">
        <v>22</v>
      </c>
      <c r="D2771" s="72" t="s">
        <v>4646</v>
      </c>
      <c r="E2771" t="s">
        <v>36</v>
      </c>
      <c r="F2771" t="s">
        <v>4647</v>
      </c>
      <c r="G2771" s="92">
        <v>42737.428657407407</v>
      </c>
      <c r="H2771" s="92">
        <v>42737.428657407407</v>
      </c>
      <c r="I2771" s="92">
        <v>42737.428657407407</v>
      </c>
      <c r="J2771" s="92"/>
      <c r="K2771" s="92">
        <v>42737.435069444444</v>
      </c>
      <c r="L2771" s="92">
        <f>IF(AND(单词表[[#This Row],[学英]]&lt;&gt;"",单词表[[#This Row],[学中]]&lt;&gt;"",单词表[[#This Row],[学词]]&lt;&gt;""),MAX(单词表[[#This Row],[学英]:[学词]]),"")</f>
        <v>42737.428657407407</v>
      </c>
      <c r="M2771" s="2" t="str">
        <f>IF(AND(单词表[[#This Row],[考英]]&lt;&gt;"",单词表[[#This Row],[考中]]&lt;&gt;""),MAX(单词表[[#This Row],[考英]:[考中]]),"")</f>
        <v/>
      </c>
      <c r="N2771" s="79"/>
    </row>
    <row r="2772" spans="1:14" hidden="1" x14ac:dyDescent="0.15">
      <c r="A2772">
        <v>2772</v>
      </c>
      <c r="B2772" t="s">
        <v>35</v>
      </c>
      <c r="C2772" t="s">
        <v>22</v>
      </c>
      <c r="D2772" s="72" t="s">
        <v>4648</v>
      </c>
      <c r="E2772" t="s">
        <v>36</v>
      </c>
      <c r="F2772" t="s">
        <v>4649</v>
      </c>
      <c r="G2772" s="92">
        <v>42737.42869212963</v>
      </c>
      <c r="H2772" s="92">
        <v>42737.42869212963</v>
      </c>
      <c r="I2772" s="92">
        <v>42737.42869212963</v>
      </c>
      <c r="J2772" s="92"/>
      <c r="K2772" s="92">
        <v>42737.435104166667</v>
      </c>
      <c r="L2772" s="92">
        <f>IF(AND(单词表[[#This Row],[学英]]&lt;&gt;"",单词表[[#This Row],[学中]]&lt;&gt;"",单词表[[#This Row],[学词]]&lt;&gt;""),MAX(单词表[[#This Row],[学英]:[学词]]),"")</f>
        <v>42737.42869212963</v>
      </c>
      <c r="M2772" s="2" t="str">
        <f>IF(AND(单词表[[#This Row],[考英]]&lt;&gt;"",单词表[[#This Row],[考中]]&lt;&gt;""),MAX(单词表[[#This Row],[考英]:[考中]]),"")</f>
        <v/>
      </c>
      <c r="N2772" s="79"/>
    </row>
    <row r="2773" spans="1:14" hidden="1" x14ac:dyDescent="0.15">
      <c r="A2773">
        <v>2773</v>
      </c>
      <c r="B2773" t="s">
        <v>35</v>
      </c>
      <c r="C2773" t="s">
        <v>22</v>
      </c>
      <c r="D2773" s="72" t="s">
        <v>4650</v>
      </c>
      <c r="E2773" t="s">
        <v>61</v>
      </c>
      <c r="F2773" t="s">
        <v>3791</v>
      </c>
      <c r="G2773" s="92">
        <v>42737.428831018522</v>
      </c>
      <c r="H2773" s="92">
        <v>42737.428831018522</v>
      </c>
      <c r="I2773" s="92">
        <v>42737.428831018522</v>
      </c>
      <c r="J2773" s="92"/>
      <c r="K2773" s="92">
        <v>42737.43513888889</v>
      </c>
      <c r="L2773" s="92">
        <f>IF(AND(单词表[[#This Row],[学英]]&lt;&gt;"",单词表[[#This Row],[学中]]&lt;&gt;"",单词表[[#This Row],[学词]]&lt;&gt;""),MAX(单词表[[#This Row],[学英]:[学词]]),"")</f>
        <v>42737.428831018522</v>
      </c>
      <c r="M2773" s="2" t="str">
        <f>IF(AND(单词表[[#This Row],[考英]]&lt;&gt;"",单词表[[#This Row],[考中]]&lt;&gt;""),MAX(单词表[[#This Row],[考英]:[考中]]),"")</f>
        <v/>
      </c>
      <c r="N2773" s="79"/>
    </row>
    <row r="2774" spans="1:14" hidden="1" x14ac:dyDescent="0.15">
      <c r="A2774">
        <v>2774</v>
      </c>
      <c r="B2774" t="s">
        <v>35</v>
      </c>
      <c r="C2774" t="s">
        <v>22</v>
      </c>
      <c r="D2774" s="72" t="s">
        <v>4651</v>
      </c>
      <c r="E2774" t="s">
        <v>1019</v>
      </c>
      <c r="F2774" t="s">
        <v>4652</v>
      </c>
      <c r="G2774" s="92">
        <v>42737.428865740738</v>
      </c>
      <c r="H2774" s="92">
        <v>42737.433113425926</v>
      </c>
      <c r="I2774" s="92">
        <v>42737.433113425926</v>
      </c>
      <c r="J2774" s="92"/>
      <c r="K2774" s="92">
        <v>42737.435185185182</v>
      </c>
      <c r="L2774" s="92">
        <f>IF(AND(单词表[[#This Row],[学英]]&lt;&gt;"",单词表[[#This Row],[学中]]&lt;&gt;"",单词表[[#This Row],[学词]]&lt;&gt;""),MAX(单词表[[#This Row],[学英]:[学词]]),"")</f>
        <v>42737.433113425926</v>
      </c>
      <c r="M2774" s="2" t="str">
        <f>IF(AND(单词表[[#This Row],[考英]]&lt;&gt;"",单词表[[#This Row],[考中]]&lt;&gt;""),MAX(单词表[[#This Row],[考英]:[考中]]),"")</f>
        <v/>
      </c>
      <c r="N2774" s="79"/>
    </row>
    <row r="2775" spans="1:14" hidden="1" x14ac:dyDescent="0.15">
      <c r="A2775">
        <v>2775</v>
      </c>
      <c r="B2775" t="s">
        <v>35</v>
      </c>
      <c r="C2775" t="s">
        <v>22</v>
      </c>
      <c r="D2775" s="72" t="s">
        <v>4653</v>
      </c>
      <c r="E2775" t="s">
        <v>736</v>
      </c>
      <c r="F2775" t="s">
        <v>4654</v>
      </c>
      <c r="G2775" s="92">
        <v>42737.428912037038</v>
      </c>
      <c r="H2775" s="92">
        <v>42737.428912037038</v>
      </c>
      <c r="I2775" s="92">
        <v>42737.428912037038</v>
      </c>
      <c r="J2775" s="92"/>
      <c r="K2775" s="92">
        <v>42737.435219907406</v>
      </c>
      <c r="L2775" s="92">
        <f>IF(AND(单词表[[#This Row],[学英]]&lt;&gt;"",单词表[[#This Row],[学中]]&lt;&gt;"",单词表[[#This Row],[学词]]&lt;&gt;""),MAX(单词表[[#This Row],[学英]:[学词]]),"")</f>
        <v>42737.428912037038</v>
      </c>
      <c r="M2775" s="2" t="str">
        <f>IF(AND(单词表[[#This Row],[考英]]&lt;&gt;"",单词表[[#This Row],[考中]]&lt;&gt;""),MAX(单词表[[#This Row],[考英]:[考中]]),"")</f>
        <v/>
      </c>
      <c r="N2775" s="79"/>
    </row>
    <row r="2776" spans="1:14" hidden="1" x14ac:dyDescent="0.15">
      <c r="A2776">
        <v>2776</v>
      </c>
      <c r="B2776" t="s">
        <v>35</v>
      </c>
      <c r="C2776" t="s">
        <v>22</v>
      </c>
      <c r="D2776" s="72" t="s">
        <v>2254</v>
      </c>
      <c r="E2776" t="s">
        <v>36</v>
      </c>
      <c r="F2776" t="s">
        <v>2255</v>
      </c>
      <c r="G2776" s="92">
        <v>42737.428946759261</v>
      </c>
      <c r="H2776" s="92">
        <v>42737.428946759261</v>
      </c>
      <c r="I2776" s="92">
        <v>42737.428946759261</v>
      </c>
      <c r="J2776" s="92"/>
      <c r="K2776" s="92">
        <v>42737.435254629629</v>
      </c>
      <c r="L2776" s="92">
        <f>IF(AND(单词表[[#This Row],[学英]]&lt;&gt;"",单词表[[#This Row],[学中]]&lt;&gt;"",单词表[[#This Row],[学词]]&lt;&gt;""),MAX(单词表[[#This Row],[学英]:[学词]]),"")</f>
        <v>42737.428946759261</v>
      </c>
      <c r="M2776" s="2" t="str">
        <f>IF(AND(单词表[[#This Row],[考英]]&lt;&gt;"",单词表[[#This Row],[考中]]&lt;&gt;""),MAX(单词表[[#This Row],[考英]:[考中]]),"")</f>
        <v/>
      </c>
      <c r="N2776" s="79"/>
    </row>
    <row r="2777" spans="1:14" hidden="1" x14ac:dyDescent="0.15">
      <c r="A2777">
        <v>2777</v>
      </c>
      <c r="B2777" t="s">
        <v>35</v>
      </c>
      <c r="C2777" t="s">
        <v>22</v>
      </c>
      <c r="D2777" s="72" t="s">
        <v>4655</v>
      </c>
      <c r="E2777" t="s">
        <v>157</v>
      </c>
      <c r="F2777" t="s">
        <v>4479</v>
      </c>
      <c r="G2777" s="92">
        <v>42737.435925925929</v>
      </c>
      <c r="H2777" s="92">
        <v>42737.440775462965</v>
      </c>
      <c r="I2777" s="92">
        <v>42737.440775462965</v>
      </c>
      <c r="J2777" s="92"/>
      <c r="K2777" s="92">
        <v>42737.44085648148</v>
      </c>
      <c r="L2777" s="92">
        <f>IF(AND(单词表[[#This Row],[学英]]&lt;&gt;"",单词表[[#This Row],[学中]]&lt;&gt;"",单词表[[#This Row],[学词]]&lt;&gt;""),MAX(单词表[[#This Row],[学英]:[学词]]),"")</f>
        <v>42737.440775462965</v>
      </c>
      <c r="M2777" s="2" t="str">
        <f>IF(AND(单词表[[#This Row],[考英]]&lt;&gt;"",单词表[[#This Row],[考中]]&lt;&gt;""),MAX(单词表[[#This Row],[考英]:[考中]]),"")</f>
        <v/>
      </c>
      <c r="N2777" s="79"/>
    </row>
    <row r="2778" spans="1:14" hidden="1" x14ac:dyDescent="0.15">
      <c r="A2778">
        <v>2778</v>
      </c>
      <c r="B2778" t="s">
        <v>35</v>
      </c>
      <c r="C2778" t="s">
        <v>22</v>
      </c>
      <c r="D2778" s="72" t="s">
        <v>4656</v>
      </c>
      <c r="E2778" t="s">
        <v>36</v>
      </c>
      <c r="F2778" t="s">
        <v>4657</v>
      </c>
      <c r="G2778" s="92">
        <v>42737.435960648145</v>
      </c>
      <c r="H2778" s="92">
        <v>42737.437442129631</v>
      </c>
      <c r="I2778" s="92">
        <v>42737.437442129631</v>
      </c>
      <c r="J2778" s="92"/>
      <c r="K2778" s="92">
        <v>42737.440266203703</v>
      </c>
      <c r="L2778" s="92">
        <f>IF(AND(单词表[[#This Row],[学英]]&lt;&gt;"",单词表[[#This Row],[学中]]&lt;&gt;"",单词表[[#This Row],[学词]]&lt;&gt;""),MAX(单词表[[#This Row],[学英]:[学词]]),"")</f>
        <v>42737.437442129631</v>
      </c>
      <c r="M2778" s="2" t="str">
        <f>IF(AND(单词表[[#This Row],[考英]]&lt;&gt;"",单词表[[#This Row],[考中]]&lt;&gt;""),MAX(单词表[[#This Row],[考英]:[考中]]),"")</f>
        <v/>
      </c>
      <c r="N2778" s="79"/>
    </row>
    <row r="2779" spans="1:14" hidden="1" x14ac:dyDescent="0.15">
      <c r="A2779">
        <v>2779</v>
      </c>
      <c r="B2779" t="s">
        <v>35</v>
      </c>
      <c r="C2779" t="s">
        <v>22</v>
      </c>
      <c r="D2779" s="72" t="s">
        <v>2110</v>
      </c>
      <c r="E2779" t="s">
        <v>36</v>
      </c>
      <c r="F2779" t="s">
        <v>2111</v>
      </c>
      <c r="G2779" s="92">
        <v>42737.436041666668</v>
      </c>
      <c r="H2779" s="92">
        <v>42737.437557870369</v>
      </c>
      <c r="I2779" s="92">
        <v>42737.437557870369</v>
      </c>
      <c r="J2779" s="92"/>
      <c r="K2779" s="92">
        <v>42737.440289351849</v>
      </c>
      <c r="L2779" s="92">
        <f>IF(AND(单词表[[#This Row],[学英]]&lt;&gt;"",单词表[[#This Row],[学中]]&lt;&gt;"",单词表[[#This Row],[学词]]&lt;&gt;""),MAX(单词表[[#This Row],[学英]:[学词]]),"")</f>
        <v>42737.437557870369</v>
      </c>
      <c r="M2779" s="2" t="str">
        <f>IF(AND(单词表[[#This Row],[考英]]&lt;&gt;"",单词表[[#This Row],[考中]]&lt;&gt;""),MAX(单词表[[#This Row],[考英]:[考中]]),"")</f>
        <v/>
      </c>
      <c r="N2779" s="79"/>
    </row>
    <row r="2780" spans="1:14" hidden="1" x14ac:dyDescent="0.15">
      <c r="A2780">
        <v>2780</v>
      </c>
      <c r="B2780" t="s">
        <v>35</v>
      </c>
      <c r="C2780" t="s">
        <v>22</v>
      </c>
      <c r="D2780" s="72" t="s">
        <v>4658</v>
      </c>
      <c r="E2780" t="s">
        <v>36</v>
      </c>
      <c r="F2780" t="s">
        <v>4659</v>
      </c>
      <c r="G2780" s="92">
        <v>42737.43613425926</v>
      </c>
      <c r="H2780" s="92">
        <v>42737.43613425926</v>
      </c>
      <c r="I2780" s="92">
        <v>42737.43613425926</v>
      </c>
      <c r="J2780" s="92"/>
      <c r="K2780" s="92">
        <v>42737.440324074072</v>
      </c>
      <c r="L2780" s="92">
        <f>IF(AND(单词表[[#This Row],[学英]]&lt;&gt;"",单词表[[#This Row],[学中]]&lt;&gt;"",单词表[[#This Row],[学词]]&lt;&gt;""),MAX(单词表[[#This Row],[学英]:[学词]]),"")</f>
        <v>42737.43613425926</v>
      </c>
      <c r="M2780" s="2" t="str">
        <f>IF(AND(单词表[[#This Row],[考英]]&lt;&gt;"",单词表[[#This Row],[考中]]&lt;&gt;""),MAX(单词表[[#This Row],[考英]:[考中]]),"")</f>
        <v/>
      </c>
      <c r="N2780" s="79"/>
    </row>
    <row r="2781" spans="1:14" hidden="1" x14ac:dyDescent="0.15">
      <c r="A2781">
        <v>2781</v>
      </c>
      <c r="B2781" t="s">
        <v>35</v>
      </c>
      <c r="C2781" t="s">
        <v>22</v>
      </c>
      <c r="D2781" s="72" t="s">
        <v>4660</v>
      </c>
      <c r="E2781" t="s">
        <v>157</v>
      </c>
      <c r="F2781" t="s">
        <v>4661</v>
      </c>
      <c r="G2781" s="92">
        <v>42737.436168981483</v>
      </c>
      <c r="H2781" s="92">
        <v>42737.437592592592</v>
      </c>
      <c r="I2781" s="92">
        <v>42737.437592592592</v>
      </c>
      <c r="J2781" s="92"/>
      <c r="K2781" s="92">
        <v>42737.440370370372</v>
      </c>
      <c r="L2781" s="92">
        <f>IF(AND(单词表[[#This Row],[学英]]&lt;&gt;"",单词表[[#This Row],[学中]]&lt;&gt;"",单词表[[#This Row],[学词]]&lt;&gt;""),MAX(单词表[[#This Row],[学英]:[学词]]),"")</f>
        <v>42737.437592592592</v>
      </c>
      <c r="M2781" s="2" t="str">
        <f>IF(AND(单词表[[#This Row],[考英]]&lt;&gt;"",单词表[[#This Row],[考中]]&lt;&gt;""),MAX(单词表[[#This Row],[考英]:[考中]]),"")</f>
        <v/>
      </c>
      <c r="N2781" s="79"/>
    </row>
    <row r="2782" spans="1:14" hidden="1" x14ac:dyDescent="0.15">
      <c r="A2782">
        <v>2782</v>
      </c>
      <c r="B2782" t="s">
        <v>35</v>
      </c>
      <c r="C2782" t="s">
        <v>22</v>
      </c>
      <c r="D2782" s="72" t="s">
        <v>4662</v>
      </c>
      <c r="E2782" t="s">
        <v>36</v>
      </c>
      <c r="F2782" t="s">
        <v>4663</v>
      </c>
      <c r="G2782" s="92">
        <v>42737.436215277776</v>
      </c>
      <c r="H2782" s="92">
        <v>42737.439363425925</v>
      </c>
      <c r="I2782" s="92">
        <v>42737.439363425925</v>
      </c>
      <c r="J2782" s="92"/>
      <c r="K2782" s="92">
        <v>42737.440416666665</v>
      </c>
      <c r="L2782" s="92">
        <f>IF(AND(单词表[[#This Row],[学英]]&lt;&gt;"",单词表[[#This Row],[学中]]&lt;&gt;"",单词表[[#This Row],[学词]]&lt;&gt;""),MAX(单词表[[#This Row],[学英]:[学词]]),"")</f>
        <v>42737.439363425925</v>
      </c>
      <c r="M2782" s="2" t="str">
        <f>IF(AND(单词表[[#This Row],[考英]]&lt;&gt;"",单词表[[#This Row],[考中]]&lt;&gt;""),MAX(单词表[[#This Row],[考英]:[考中]]),"")</f>
        <v/>
      </c>
      <c r="N2782" s="79"/>
    </row>
    <row r="2783" spans="1:14" hidden="1" x14ac:dyDescent="0.15">
      <c r="A2783">
        <v>2783</v>
      </c>
      <c r="B2783" t="s">
        <v>35</v>
      </c>
      <c r="C2783" t="s">
        <v>22</v>
      </c>
      <c r="D2783" s="72" t="s">
        <v>4664</v>
      </c>
      <c r="E2783" t="s">
        <v>702</v>
      </c>
      <c r="F2783" t="s">
        <v>4665</v>
      </c>
      <c r="G2783" s="92">
        <v>42737.436273148145</v>
      </c>
      <c r="H2783" s="92">
        <v>42737.436273148145</v>
      </c>
      <c r="I2783" s="92">
        <v>42737.436273148145</v>
      </c>
      <c r="J2783" s="92"/>
      <c r="K2783" s="92">
        <v>42737.440451388888</v>
      </c>
      <c r="L2783" s="92">
        <f>IF(AND(单词表[[#This Row],[学英]]&lt;&gt;"",单词表[[#This Row],[学中]]&lt;&gt;"",单词表[[#This Row],[学词]]&lt;&gt;""),MAX(单词表[[#This Row],[学英]:[学词]]),"")</f>
        <v>42737.436273148145</v>
      </c>
      <c r="M2783" s="2" t="str">
        <f>IF(AND(单词表[[#This Row],[考英]]&lt;&gt;"",单词表[[#This Row],[考中]]&lt;&gt;""),MAX(单词表[[#This Row],[考英]:[考中]]),"")</f>
        <v/>
      </c>
      <c r="N2783" s="79"/>
    </row>
    <row r="2784" spans="1:14" hidden="1" x14ac:dyDescent="0.15">
      <c r="A2784">
        <v>2784</v>
      </c>
      <c r="B2784" t="s">
        <v>35</v>
      </c>
      <c r="C2784" t="s">
        <v>22</v>
      </c>
      <c r="D2784" s="72" t="s">
        <v>4666</v>
      </c>
      <c r="E2784" t="s">
        <v>61</v>
      </c>
      <c r="F2784" t="s">
        <v>4667</v>
      </c>
      <c r="G2784" s="92">
        <v>42737.436307870368</v>
      </c>
      <c r="H2784" s="92">
        <v>42737.439780092594</v>
      </c>
      <c r="I2784" s="92">
        <v>42737.439780092594</v>
      </c>
      <c r="J2784" s="92"/>
      <c r="K2784" s="92">
        <v>42737.440486111111</v>
      </c>
      <c r="L2784" s="92">
        <f>IF(AND(单词表[[#This Row],[学英]]&lt;&gt;"",单词表[[#This Row],[学中]]&lt;&gt;"",单词表[[#This Row],[学词]]&lt;&gt;""),MAX(单词表[[#This Row],[学英]:[学词]]),"")</f>
        <v>42737.439780092594</v>
      </c>
      <c r="M2784" s="2" t="str">
        <f>IF(AND(单词表[[#This Row],[考英]]&lt;&gt;"",单词表[[#This Row],[考中]]&lt;&gt;""),MAX(单词表[[#This Row],[考英]:[考中]]),"")</f>
        <v/>
      </c>
      <c r="N2784" s="79"/>
    </row>
    <row r="2785" spans="1:14" hidden="1" x14ac:dyDescent="0.15">
      <c r="A2785">
        <v>2785</v>
      </c>
      <c r="B2785" t="s">
        <v>35</v>
      </c>
      <c r="C2785" t="s">
        <v>22</v>
      </c>
      <c r="D2785" s="72" t="s">
        <v>4668</v>
      </c>
      <c r="E2785" t="s">
        <v>61</v>
      </c>
      <c r="F2785" t="s">
        <v>4669</v>
      </c>
      <c r="G2785" s="92">
        <v>42737.436354166668</v>
      </c>
      <c r="H2785" s="92">
        <v>42737.439837962964</v>
      </c>
      <c r="I2785" s="92">
        <v>42737.439837962964</v>
      </c>
      <c r="J2785" s="92"/>
      <c r="K2785" s="92">
        <v>42737.44054398148</v>
      </c>
      <c r="L2785" s="92">
        <f>IF(AND(单词表[[#This Row],[学英]]&lt;&gt;"",单词表[[#This Row],[学中]]&lt;&gt;"",单词表[[#This Row],[学词]]&lt;&gt;""),MAX(单词表[[#This Row],[学英]:[学词]]),"")</f>
        <v>42737.439837962964</v>
      </c>
      <c r="M2785" s="2" t="str">
        <f>IF(AND(单词表[[#This Row],[考英]]&lt;&gt;"",单词表[[#This Row],[考中]]&lt;&gt;""),MAX(单词表[[#This Row],[考英]:[考中]]),"")</f>
        <v/>
      </c>
      <c r="N2785" s="79"/>
    </row>
    <row r="2786" spans="1:14" hidden="1" x14ac:dyDescent="0.15">
      <c r="A2786">
        <v>2786</v>
      </c>
      <c r="B2786" t="s">
        <v>35</v>
      </c>
      <c r="C2786" t="s">
        <v>22</v>
      </c>
      <c r="D2786" s="72" t="s">
        <v>80</v>
      </c>
      <c r="E2786" t="s">
        <v>61</v>
      </c>
      <c r="F2786" t="s">
        <v>5597</v>
      </c>
      <c r="G2786" s="92">
        <v>42737.436400462961</v>
      </c>
      <c r="H2786" s="92">
        <v>42737.43990740741</v>
      </c>
      <c r="I2786" s="92">
        <v>42737.43990740741</v>
      </c>
      <c r="J2786" s="92"/>
      <c r="K2786" s="92">
        <v>42737.440613425926</v>
      </c>
      <c r="L2786" s="92">
        <f>IF(AND(单词表[[#This Row],[学英]]&lt;&gt;"",单词表[[#This Row],[学中]]&lt;&gt;"",单词表[[#This Row],[学词]]&lt;&gt;""),MAX(单词表[[#This Row],[学英]:[学词]]),"")</f>
        <v>42737.43990740741</v>
      </c>
      <c r="M2786" s="2" t="str">
        <f>IF(AND(单词表[[#This Row],[考英]]&lt;&gt;"",单词表[[#This Row],[考中]]&lt;&gt;""),MAX(单词表[[#This Row],[考英]:[考中]]),"")</f>
        <v/>
      </c>
      <c r="N2786" s="79"/>
    </row>
    <row r="2787" spans="1:14" hidden="1" x14ac:dyDescent="0.15">
      <c r="A2787">
        <v>2787</v>
      </c>
      <c r="B2787" t="s">
        <v>35</v>
      </c>
      <c r="C2787" t="s">
        <v>22</v>
      </c>
      <c r="D2787" s="72" t="s">
        <v>4670</v>
      </c>
      <c r="E2787" t="s">
        <v>61</v>
      </c>
      <c r="F2787" t="s">
        <v>4671</v>
      </c>
      <c r="G2787" s="92">
        <v>42738.787534722222</v>
      </c>
      <c r="H2787" s="92">
        <v>42738.787534722222</v>
      </c>
      <c r="I2787" s="92">
        <v>42738.787534722222</v>
      </c>
      <c r="J2787" s="92"/>
      <c r="K2787" s="92">
        <v>42739.827604166669</v>
      </c>
      <c r="L2787" s="92">
        <f>IF(AND(单词表[[#This Row],[学英]]&lt;&gt;"",单词表[[#This Row],[学中]]&lt;&gt;"",单词表[[#This Row],[学词]]&lt;&gt;""),MAX(单词表[[#This Row],[学英]:[学词]]),"")</f>
        <v>42738.787534722222</v>
      </c>
      <c r="M2787" s="2" t="str">
        <f>IF(AND(单词表[[#This Row],[考英]]&lt;&gt;"",单词表[[#This Row],[考中]]&lt;&gt;""),MAX(单词表[[#This Row],[考英]:[考中]]),"")</f>
        <v/>
      </c>
      <c r="N2787" s="79"/>
    </row>
    <row r="2788" spans="1:14" hidden="1" x14ac:dyDescent="0.15">
      <c r="A2788">
        <v>2788</v>
      </c>
      <c r="B2788" t="s">
        <v>35</v>
      </c>
      <c r="C2788" t="s">
        <v>22</v>
      </c>
      <c r="D2788" s="72" t="s">
        <v>4672</v>
      </c>
      <c r="E2788" t="s">
        <v>36</v>
      </c>
      <c r="F2788" t="s">
        <v>4673</v>
      </c>
      <c r="G2788" s="92">
        <v>42738.787557870368</v>
      </c>
      <c r="H2788" s="92">
        <v>42738.787557870368</v>
      </c>
      <c r="I2788" s="92">
        <v>42738.787557870368</v>
      </c>
      <c r="J2788" s="92"/>
      <c r="K2788" s="92">
        <v>42739.827627314815</v>
      </c>
      <c r="L2788" s="92">
        <f>IF(AND(单词表[[#This Row],[学英]]&lt;&gt;"",单词表[[#This Row],[学中]]&lt;&gt;"",单词表[[#This Row],[学词]]&lt;&gt;""),MAX(单词表[[#This Row],[学英]:[学词]]),"")</f>
        <v>42738.787557870368</v>
      </c>
      <c r="M2788" s="2" t="str">
        <f>IF(AND(单词表[[#This Row],[考英]]&lt;&gt;"",单词表[[#This Row],[考中]]&lt;&gt;""),MAX(单词表[[#This Row],[考英]:[考中]]),"")</f>
        <v/>
      </c>
      <c r="N2788" s="79"/>
    </row>
    <row r="2789" spans="1:14" hidden="1" x14ac:dyDescent="0.15">
      <c r="A2789">
        <v>2789</v>
      </c>
      <c r="B2789" t="s">
        <v>35</v>
      </c>
      <c r="C2789" t="s">
        <v>22</v>
      </c>
      <c r="D2789" s="72" t="s">
        <v>4674</v>
      </c>
      <c r="E2789" t="s">
        <v>73</v>
      </c>
      <c r="F2789" t="s">
        <v>4675</v>
      </c>
      <c r="G2789" s="92">
        <v>42738.787627314814</v>
      </c>
      <c r="H2789" s="92">
        <v>42738.787627314814</v>
      </c>
      <c r="I2789" s="92">
        <v>42738.787627314814</v>
      </c>
      <c r="J2789" s="92"/>
      <c r="K2789" s="92">
        <v>42739.827719907407</v>
      </c>
      <c r="L2789" s="92">
        <f>IF(AND(单词表[[#This Row],[学英]]&lt;&gt;"",单词表[[#This Row],[学中]]&lt;&gt;"",单词表[[#This Row],[学词]]&lt;&gt;""),MAX(单词表[[#This Row],[学英]:[学词]]),"")</f>
        <v>42738.787627314814</v>
      </c>
      <c r="M2789" s="2" t="str">
        <f>IF(AND(单词表[[#This Row],[考英]]&lt;&gt;"",单词表[[#This Row],[考中]]&lt;&gt;""),MAX(单词表[[#This Row],[考英]:[考中]]),"")</f>
        <v/>
      </c>
      <c r="N2789" s="79"/>
    </row>
    <row r="2790" spans="1:14" hidden="1" x14ac:dyDescent="0.15">
      <c r="A2790">
        <v>2790</v>
      </c>
      <c r="B2790" t="s">
        <v>35</v>
      </c>
      <c r="C2790" t="s">
        <v>22</v>
      </c>
      <c r="D2790" s="72" t="s">
        <v>4676</v>
      </c>
      <c r="E2790" t="s">
        <v>36</v>
      </c>
      <c r="F2790" t="s">
        <v>4677</v>
      </c>
      <c r="G2790" s="92">
        <v>42738.788726851853</v>
      </c>
      <c r="H2790" s="92">
        <v>42738.788726851853</v>
      </c>
      <c r="I2790" s="92">
        <v>42738.788726851853</v>
      </c>
      <c r="J2790" s="92"/>
      <c r="K2790" s="92">
        <v>42739.827835648146</v>
      </c>
      <c r="L2790" s="92">
        <f>IF(AND(单词表[[#This Row],[学英]]&lt;&gt;"",单词表[[#This Row],[学中]]&lt;&gt;"",单词表[[#This Row],[学词]]&lt;&gt;""),MAX(单词表[[#This Row],[学英]:[学词]]),"")</f>
        <v>42738.788726851853</v>
      </c>
      <c r="M2790" s="2" t="str">
        <f>IF(AND(单词表[[#This Row],[考英]]&lt;&gt;"",单词表[[#This Row],[考中]]&lt;&gt;""),MAX(单词表[[#This Row],[考英]:[考中]]),"")</f>
        <v/>
      </c>
      <c r="N2790" s="79"/>
    </row>
    <row r="2791" spans="1:14" hidden="1" x14ac:dyDescent="0.15">
      <c r="A2791">
        <v>2791</v>
      </c>
      <c r="B2791" t="s">
        <v>35</v>
      </c>
      <c r="C2791" t="s">
        <v>22</v>
      </c>
      <c r="D2791" s="72" t="s">
        <v>4678</v>
      </c>
      <c r="E2791" t="s">
        <v>61</v>
      </c>
      <c r="F2791" t="s">
        <v>4679</v>
      </c>
      <c r="G2791" s="92">
        <v>42738.788761574076</v>
      </c>
      <c r="H2791" s="92">
        <v>42738.788761574076</v>
      </c>
      <c r="I2791" s="92">
        <v>42738.788761574076</v>
      </c>
      <c r="J2791" s="92"/>
      <c r="K2791" s="92">
        <v>42739.827881944446</v>
      </c>
      <c r="L2791" s="92">
        <f>IF(AND(单词表[[#This Row],[学英]]&lt;&gt;"",单词表[[#This Row],[学中]]&lt;&gt;"",单词表[[#This Row],[学词]]&lt;&gt;""),MAX(单词表[[#This Row],[学英]:[学词]]),"")</f>
        <v>42738.788761574076</v>
      </c>
      <c r="M2791" s="2" t="str">
        <f>IF(AND(单词表[[#This Row],[考英]]&lt;&gt;"",单词表[[#This Row],[考中]]&lt;&gt;""),MAX(单词表[[#This Row],[考英]:[考中]]),"")</f>
        <v/>
      </c>
      <c r="N2791" s="79"/>
    </row>
    <row r="2792" spans="1:14" hidden="1" x14ac:dyDescent="0.15">
      <c r="A2792">
        <v>2792</v>
      </c>
      <c r="B2792" t="s">
        <v>35</v>
      </c>
      <c r="C2792" t="s">
        <v>22</v>
      </c>
      <c r="D2792" s="72" t="s">
        <v>4680</v>
      </c>
      <c r="E2792" t="s">
        <v>73</v>
      </c>
      <c r="F2792" t="s">
        <v>4681</v>
      </c>
      <c r="G2792" s="92">
        <v>42738.791215277779</v>
      </c>
      <c r="H2792" s="92">
        <v>42738.791215277779</v>
      </c>
      <c r="I2792" s="92">
        <v>42738.791215277779</v>
      </c>
      <c r="J2792" s="92"/>
      <c r="K2792" s="92">
        <v>42739.827916666669</v>
      </c>
      <c r="L2792" s="92">
        <f>IF(AND(单词表[[#This Row],[学英]]&lt;&gt;"",单词表[[#This Row],[学中]]&lt;&gt;"",单词表[[#This Row],[学词]]&lt;&gt;""),MAX(单词表[[#This Row],[学英]:[学词]]),"")</f>
        <v>42738.791215277779</v>
      </c>
      <c r="M2792" s="2" t="str">
        <f>IF(AND(单词表[[#This Row],[考英]]&lt;&gt;"",单词表[[#This Row],[考中]]&lt;&gt;""),MAX(单词表[[#This Row],[考英]:[考中]]),"")</f>
        <v/>
      </c>
      <c r="N2792" s="79"/>
    </row>
    <row r="2793" spans="1:14" hidden="1" x14ac:dyDescent="0.15">
      <c r="A2793">
        <v>2793</v>
      </c>
      <c r="B2793" t="s">
        <v>35</v>
      </c>
      <c r="C2793" t="s">
        <v>22</v>
      </c>
      <c r="D2793" s="72" t="s">
        <v>246</v>
      </c>
      <c r="E2793" t="s">
        <v>61</v>
      </c>
      <c r="F2793" t="s">
        <v>4682</v>
      </c>
      <c r="G2793" s="92">
        <v>42738.791250000002</v>
      </c>
      <c r="H2793" s="92">
        <v>42738.791250000002</v>
      </c>
      <c r="I2793" s="92">
        <v>42738.791250000002</v>
      </c>
      <c r="J2793" s="92"/>
      <c r="K2793" s="92">
        <v>42739.827962962961</v>
      </c>
      <c r="L2793" s="92">
        <f>IF(AND(单词表[[#This Row],[学英]]&lt;&gt;"",单词表[[#This Row],[学中]]&lt;&gt;"",单词表[[#This Row],[学词]]&lt;&gt;""),MAX(单词表[[#This Row],[学英]:[学词]]),"")</f>
        <v>42738.791250000002</v>
      </c>
      <c r="M2793" s="2" t="str">
        <f>IF(AND(单词表[[#This Row],[考英]]&lt;&gt;"",单词表[[#This Row],[考中]]&lt;&gt;""),MAX(单词表[[#This Row],[考英]:[考中]]),"")</f>
        <v/>
      </c>
      <c r="N2793" s="79"/>
    </row>
    <row r="2794" spans="1:14" hidden="1" x14ac:dyDescent="0.15">
      <c r="A2794">
        <v>2794</v>
      </c>
      <c r="B2794" t="s">
        <v>35</v>
      </c>
      <c r="C2794" t="s">
        <v>22</v>
      </c>
      <c r="D2794" s="72" t="s">
        <v>1325</v>
      </c>
      <c r="E2794" t="s">
        <v>36</v>
      </c>
      <c r="F2794" t="s">
        <v>4683</v>
      </c>
      <c r="G2794" s="92">
        <v>42738.791273148148</v>
      </c>
      <c r="H2794" s="92">
        <v>42738.791273148148</v>
      </c>
      <c r="I2794" s="92">
        <v>42738.791273148148</v>
      </c>
      <c r="J2794" s="92"/>
      <c r="K2794" s="92">
        <v>42739.827997685185</v>
      </c>
      <c r="L2794" s="92">
        <f>IF(AND(单词表[[#This Row],[学英]]&lt;&gt;"",单词表[[#This Row],[学中]]&lt;&gt;"",单词表[[#This Row],[学词]]&lt;&gt;""),MAX(单词表[[#This Row],[学英]:[学词]]),"")</f>
        <v>42738.791273148148</v>
      </c>
      <c r="M2794" s="2" t="str">
        <f>IF(AND(单词表[[#This Row],[考英]]&lt;&gt;"",单词表[[#This Row],[考中]]&lt;&gt;""),MAX(单词表[[#This Row],[考英]:[考中]]),"")</f>
        <v/>
      </c>
      <c r="N2794" s="79"/>
    </row>
    <row r="2795" spans="1:14" hidden="1" x14ac:dyDescent="0.15">
      <c r="A2795">
        <v>2795</v>
      </c>
      <c r="B2795" t="s">
        <v>35</v>
      </c>
      <c r="C2795" t="s">
        <v>22</v>
      </c>
      <c r="D2795" s="72" t="s">
        <v>4684</v>
      </c>
      <c r="E2795" t="s">
        <v>702</v>
      </c>
      <c r="F2795" t="s">
        <v>4685</v>
      </c>
      <c r="G2795" s="92">
        <v>42738.791296296295</v>
      </c>
      <c r="H2795" s="92">
        <v>42738.791296296295</v>
      </c>
      <c r="I2795" s="92">
        <v>42738.791296296295</v>
      </c>
      <c r="J2795" s="92"/>
      <c r="K2795" s="92">
        <v>42739.8281712963</v>
      </c>
      <c r="L2795" s="92">
        <f>IF(AND(单词表[[#This Row],[学英]]&lt;&gt;"",单词表[[#This Row],[学中]]&lt;&gt;"",单词表[[#This Row],[学词]]&lt;&gt;""),MAX(单词表[[#This Row],[学英]:[学词]]),"")</f>
        <v>42738.791296296295</v>
      </c>
      <c r="M2795" s="2" t="str">
        <f>IF(AND(单词表[[#This Row],[考英]]&lt;&gt;"",单词表[[#This Row],[考中]]&lt;&gt;""),MAX(单词表[[#This Row],[考英]:[考中]]),"")</f>
        <v/>
      </c>
      <c r="N2795" s="79"/>
    </row>
    <row r="2796" spans="1:14" hidden="1" x14ac:dyDescent="0.15">
      <c r="A2796">
        <v>2796</v>
      </c>
      <c r="B2796" t="s">
        <v>35</v>
      </c>
      <c r="C2796" t="s">
        <v>22</v>
      </c>
      <c r="D2796" s="72" t="s">
        <v>161</v>
      </c>
      <c r="E2796" t="s">
        <v>36</v>
      </c>
      <c r="F2796" t="s">
        <v>4686</v>
      </c>
      <c r="G2796" s="92">
        <v>42738.791331018518</v>
      </c>
      <c r="H2796" s="92">
        <v>42738.791331018518</v>
      </c>
      <c r="I2796" s="92">
        <v>42738.791331018518</v>
      </c>
      <c r="J2796" s="92"/>
      <c r="K2796" s="92">
        <v>42739.828194444446</v>
      </c>
      <c r="L2796" s="92">
        <f>IF(AND(单词表[[#This Row],[学英]]&lt;&gt;"",单词表[[#This Row],[学中]]&lt;&gt;"",单词表[[#This Row],[学词]]&lt;&gt;""),MAX(单词表[[#This Row],[学英]:[学词]]),"")</f>
        <v>42738.791331018518</v>
      </c>
      <c r="M2796" s="2" t="str">
        <f>IF(AND(单词表[[#This Row],[考英]]&lt;&gt;"",单词表[[#This Row],[考中]]&lt;&gt;""),MAX(单词表[[#This Row],[考英]:[考中]]),"")</f>
        <v/>
      </c>
      <c r="N2796" s="79"/>
    </row>
    <row r="2797" spans="1:14" hidden="1" x14ac:dyDescent="0.15">
      <c r="A2797">
        <v>2797</v>
      </c>
      <c r="B2797" t="s">
        <v>35</v>
      </c>
      <c r="C2797" t="s">
        <v>22</v>
      </c>
      <c r="D2797" s="72" t="s">
        <v>4687</v>
      </c>
      <c r="E2797" t="s">
        <v>36</v>
      </c>
      <c r="F2797" t="s">
        <v>4688</v>
      </c>
      <c r="G2797" s="92">
        <v>42739.817754629628</v>
      </c>
      <c r="H2797" s="92">
        <v>42739.817754629628</v>
      </c>
      <c r="I2797" s="92">
        <v>42739.817754629628</v>
      </c>
      <c r="J2797" s="92"/>
      <c r="K2797" s="92">
        <v>42739.828587962962</v>
      </c>
      <c r="L2797" s="92">
        <f>IF(AND(单词表[[#This Row],[学英]]&lt;&gt;"",单词表[[#This Row],[学中]]&lt;&gt;"",单词表[[#This Row],[学词]]&lt;&gt;""),MAX(单词表[[#This Row],[学英]:[学词]]),"")</f>
        <v>42739.817754629628</v>
      </c>
      <c r="M2797" s="2" t="str">
        <f>IF(AND(单词表[[#This Row],[考英]]&lt;&gt;"",单词表[[#This Row],[考中]]&lt;&gt;""),MAX(单词表[[#This Row],[考英]:[考中]]),"")</f>
        <v/>
      </c>
      <c r="N2797" s="79"/>
    </row>
    <row r="2798" spans="1:14" hidden="1" x14ac:dyDescent="0.15">
      <c r="A2798">
        <v>2798</v>
      </c>
      <c r="B2798" t="s">
        <v>35</v>
      </c>
      <c r="C2798" t="s">
        <v>22</v>
      </c>
      <c r="D2798" s="72" t="s">
        <v>4689</v>
      </c>
      <c r="E2798" t="s">
        <v>702</v>
      </c>
      <c r="F2798" t="s">
        <v>4690</v>
      </c>
      <c r="G2798" s="92">
        <v>42739.817824074074</v>
      </c>
      <c r="H2798" s="92">
        <v>42739.817824074074</v>
      </c>
      <c r="I2798" s="92">
        <v>42739.817824074074</v>
      </c>
      <c r="J2798" s="92"/>
      <c r="K2798" s="92">
        <v>42739.828692129631</v>
      </c>
      <c r="L2798" s="92">
        <f>IF(AND(单词表[[#This Row],[学英]]&lt;&gt;"",单词表[[#This Row],[学中]]&lt;&gt;"",单词表[[#This Row],[学词]]&lt;&gt;""),MAX(单词表[[#This Row],[学英]:[学词]]),"")</f>
        <v>42739.817824074074</v>
      </c>
      <c r="M2798" s="2" t="str">
        <f>IF(AND(单词表[[#This Row],[考英]]&lt;&gt;"",单词表[[#This Row],[考中]]&lt;&gt;""),MAX(单词表[[#This Row],[考英]:[考中]]),"")</f>
        <v/>
      </c>
      <c r="N2798" s="79"/>
    </row>
    <row r="2799" spans="1:14" hidden="1" x14ac:dyDescent="0.15">
      <c r="A2799">
        <v>2799</v>
      </c>
      <c r="B2799" t="s">
        <v>35</v>
      </c>
      <c r="C2799" t="s">
        <v>22</v>
      </c>
      <c r="D2799" s="72" t="s">
        <v>2136</v>
      </c>
      <c r="E2799" t="s">
        <v>36</v>
      </c>
      <c r="F2799" t="s">
        <v>2137</v>
      </c>
      <c r="G2799" s="92">
        <v>42739.817893518521</v>
      </c>
      <c r="H2799" s="92">
        <v>42739.817893518521</v>
      </c>
      <c r="I2799" s="92">
        <v>42739.817893518521</v>
      </c>
      <c r="J2799" s="92"/>
      <c r="K2799" s="92">
        <v>42739.828726851854</v>
      </c>
      <c r="L2799" s="92">
        <f>IF(AND(单词表[[#This Row],[学英]]&lt;&gt;"",单词表[[#This Row],[学中]]&lt;&gt;"",单词表[[#This Row],[学词]]&lt;&gt;""),MAX(单词表[[#This Row],[学英]:[学词]]),"")</f>
        <v>42739.817893518521</v>
      </c>
      <c r="M2799" s="2" t="str">
        <f>IF(AND(单词表[[#This Row],[考英]]&lt;&gt;"",单词表[[#This Row],[考中]]&lt;&gt;""),MAX(单词表[[#This Row],[考英]:[考中]]),"")</f>
        <v/>
      </c>
      <c r="N2799" s="79"/>
    </row>
    <row r="2800" spans="1:14" hidden="1" x14ac:dyDescent="0.15">
      <c r="A2800">
        <v>2800</v>
      </c>
      <c r="B2800" t="s">
        <v>35</v>
      </c>
      <c r="C2800" t="s">
        <v>22</v>
      </c>
      <c r="D2800" s="72" t="s">
        <v>4691</v>
      </c>
      <c r="E2800" t="s">
        <v>36</v>
      </c>
      <c r="F2800" t="s">
        <v>4692</v>
      </c>
      <c r="G2800" s="92">
        <v>42739.817997685182</v>
      </c>
      <c r="H2800" s="92">
        <v>42739.817997685182</v>
      </c>
      <c r="I2800" s="92">
        <v>42739.817997685182</v>
      </c>
      <c r="J2800" s="92"/>
      <c r="K2800" s="92">
        <v>42739.828773148147</v>
      </c>
      <c r="L2800" s="92">
        <f>IF(AND(单词表[[#This Row],[学英]]&lt;&gt;"",单词表[[#This Row],[学中]]&lt;&gt;"",单词表[[#This Row],[学词]]&lt;&gt;""),MAX(单词表[[#This Row],[学英]:[学词]]),"")</f>
        <v>42739.817997685182</v>
      </c>
      <c r="M2800" s="2" t="str">
        <f>IF(AND(单词表[[#This Row],[考英]]&lt;&gt;"",单词表[[#This Row],[考中]]&lt;&gt;""),MAX(单词表[[#This Row],[考英]:[考中]]),"")</f>
        <v/>
      </c>
      <c r="N2800" s="79"/>
    </row>
    <row r="2801" spans="1:14" hidden="1" x14ac:dyDescent="0.15">
      <c r="A2801">
        <v>2801</v>
      </c>
      <c r="B2801" t="s">
        <v>35</v>
      </c>
      <c r="C2801" t="s">
        <v>22</v>
      </c>
      <c r="D2801" s="72" t="s">
        <v>66</v>
      </c>
      <c r="E2801" t="s">
        <v>61</v>
      </c>
      <c r="F2801" t="s">
        <v>4693</v>
      </c>
      <c r="G2801" s="92">
        <v>42739.827037037037</v>
      </c>
      <c r="H2801" s="92">
        <v>42739.827037037037</v>
      </c>
      <c r="I2801" s="92">
        <v>42739.827037037037</v>
      </c>
      <c r="J2801" s="92"/>
      <c r="K2801" s="92">
        <v>42739.82885416667</v>
      </c>
      <c r="L2801" s="92">
        <f>IF(AND(单词表[[#This Row],[学英]]&lt;&gt;"",单词表[[#This Row],[学中]]&lt;&gt;"",单词表[[#This Row],[学词]]&lt;&gt;""),MAX(单词表[[#This Row],[学英]:[学词]]),"")</f>
        <v>42739.827037037037</v>
      </c>
      <c r="M2801" s="2" t="str">
        <f>IF(AND(单词表[[#This Row],[考英]]&lt;&gt;"",单词表[[#This Row],[考中]]&lt;&gt;""),MAX(单词表[[#This Row],[考英]:[考中]]),"")</f>
        <v/>
      </c>
      <c r="N2801" s="79"/>
    </row>
    <row r="2802" spans="1:14" hidden="1" x14ac:dyDescent="0.15">
      <c r="A2802">
        <v>2802</v>
      </c>
      <c r="B2802" t="s">
        <v>35</v>
      </c>
      <c r="C2802" t="s">
        <v>22</v>
      </c>
      <c r="D2802" s="72" t="s">
        <v>4694</v>
      </c>
      <c r="E2802" t="s">
        <v>36</v>
      </c>
      <c r="F2802" t="s">
        <v>4695</v>
      </c>
      <c r="G2802" s="92">
        <v>42739.827060185184</v>
      </c>
      <c r="H2802" s="92">
        <v>42739.827060185184</v>
      </c>
      <c r="I2802" s="92">
        <v>42739.827060185184</v>
      </c>
      <c r="J2802" s="92"/>
      <c r="K2802" s="92">
        <v>42739.828888888886</v>
      </c>
      <c r="L2802" s="92">
        <f>IF(AND(单词表[[#This Row],[学英]]&lt;&gt;"",单词表[[#This Row],[学中]]&lt;&gt;"",单词表[[#This Row],[学词]]&lt;&gt;""),MAX(单词表[[#This Row],[学英]:[学词]]),"")</f>
        <v>42739.827060185184</v>
      </c>
      <c r="M2802" s="2" t="str">
        <f>IF(AND(单词表[[#This Row],[考英]]&lt;&gt;"",单词表[[#This Row],[考中]]&lt;&gt;""),MAX(单词表[[#This Row],[考英]:[考中]]),"")</f>
        <v/>
      </c>
      <c r="N2802" s="79"/>
    </row>
    <row r="2803" spans="1:14" hidden="1" x14ac:dyDescent="0.15">
      <c r="A2803">
        <v>2803</v>
      </c>
      <c r="B2803" t="s">
        <v>35</v>
      </c>
      <c r="C2803" t="s">
        <v>22</v>
      </c>
      <c r="D2803" s="72" t="s">
        <v>4696</v>
      </c>
      <c r="E2803" t="s">
        <v>36</v>
      </c>
      <c r="F2803" t="s">
        <v>4697</v>
      </c>
      <c r="G2803" s="92">
        <v>42739.827407407407</v>
      </c>
      <c r="H2803" s="92">
        <v>42739.827407407407</v>
      </c>
      <c r="I2803" s="92">
        <v>42739.827407407407</v>
      </c>
      <c r="J2803" s="92"/>
      <c r="K2803" s="92">
        <v>42739.828946759262</v>
      </c>
      <c r="L2803" s="92">
        <f>IF(AND(单词表[[#This Row],[学英]]&lt;&gt;"",单词表[[#This Row],[学中]]&lt;&gt;"",单词表[[#This Row],[学词]]&lt;&gt;""),MAX(单词表[[#This Row],[学英]:[学词]]),"")</f>
        <v>42739.827407407407</v>
      </c>
      <c r="M2803" s="2" t="str">
        <f>IF(AND(单词表[[#This Row],[考英]]&lt;&gt;"",单词表[[#This Row],[考中]]&lt;&gt;""),MAX(单词表[[#This Row],[考英]:[考中]]),"")</f>
        <v/>
      </c>
      <c r="N2803" s="79"/>
    </row>
    <row r="2804" spans="1:14" hidden="1" x14ac:dyDescent="0.15">
      <c r="A2804">
        <v>2804</v>
      </c>
      <c r="B2804" t="s">
        <v>35</v>
      </c>
      <c r="C2804" t="s">
        <v>22</v>
      </c>
      <c r="D2804" s="72" t="s">
        <v>4698</v>
      </c>
      <c r="E2804" t="s">
        <v>61</v>
      </c>
      <c r="F2804" t="s">
        <v>4699</v>
      </c>
      <c r="G2804" s="92">
        <v>42739.827430555553</v>
      </c>
      <c r="H2804" s="92">
        <v>42739.827430555553</v>
      </c>
      <c r="I2804" s="92">
        <v>42739.827430555553</v>
      </c>
      <c r="J2804" s="92"/>
      <c r="K2804" s="92">
        <v>42739.828981481478</v>
      </c>
      <c r="L2804" s="92">
        <f>IF(AND(单词表[[#This Row],[学英]]&lt;&gt;"",单词表[[#This Row],[学中]]&lt;&gt;"",单词表[[#This Row],[学词]]&lt;&gt;""),MAX(单词表[[#This Row],[学英]:[学词]]),"")</f>
        <v>42739.827430555553</v>
      </c>
      <c r="M2804" s="2" t="str">
        <f>IF(AND(单词表[[#This Row],[考英]]&lt;&gt;"",单词表[[#This Row],[考中]]&lt;&gt;""),MAX(单词表[[#This Row],[考英]:[考中]]),"")</f>
        <v/>
      </c>
      <c r="N2804" s="79"/>
    </row>
    <row r="2805" spans="1:14" hidden="1" x14ac:dyDescent="0.15">
      <c r="A2805">
        <v>2805</v>
      </c>
      <c r="B2805" t="s">
        <v>35</v>
      </c>
      <c r="C2805" t="s">
        <v>22</v>
      </c>
      <c r="D2805" s="72" t="s">
        <v>4700</v>
      </c>
      <c r="E2805" t="s">
        <v>36</v>
      </c>
      <c r="F2805" t="s">
        <v>4701</v>
      </c>
      <c r="G2805" s="92">
        <v>42739.827465277776</v>
      </c>
      <c r="H2805" s="92">
        <v>42739.827465277776</v>
      </c>
      <c r="I2805" s="92">
        <v>42739.827465277776</v>
      </c>
      <c r="J2805" s="92"/>
      <c r="K2805" s="92">
        <v>42739.829016203701</v>
      </c>
      <c r="L2805" s="92">
        <f>IF(AND(单词表[[#This Row],[学英]]&lt;&gt;"",单词表[[#This Row],[学中]]&lt;&gt;"",单词表[[#This Row],[学词]]&lt;&gt;""),MAX(单词表[[#This Row],[学英]:[学词]]),"")</f>
        <v>42739.827465277776</v>
      </c>
      <c r="M2805" s="2" t="str">
        <f>IF(AND(单词表[[#This Row],[考英]]&lt;&gt;"",单词表[[#This Row],[考中]]&lt;&gt;""),MAX(单词表[[#This Row],[考英]:[考中]]),"")</f>
        <v/>
      </c>
      <c r="N2805" s="79"/>
    </row>
    <row r="2806" spans="1:14" hidden="1" x14ac:dyDescent="0.15">
      <c r="A2806">
        <v>2806</v>
      </c>
      <c r="B2806" t="s">
        <v>35</v>
      </c>
      <c r="C2806" t="s">
        <v>22</v>
      </c>
      <c r="D2806" s="72" t="s">
        <v>3201</v>
      </c>
      <c r="E2806" t="s">
        <v>36</v>
      </c>
      <c r="F2806" t="s">
        <v>4702</v>
      </c>
      <c r="G2806" s="92">
        <v>42739.827488425923</v>
      </c>
      <c r="H2806" s="92">
        <v>42739.827488425923</v>
      </c>
      <c r="I2806" s="92">
        <v>42739.827488425923</v>
      </c>
      <c r="J2806" s="92"/>
      <c r="K2806" s="92">
        <v>42739.829050925924</v>
      </c>
      <c r="L2806" s="92">
        <f>IF(AND(单词表[[#This Row],[学英]]&lt;&gt;"",单词表[[#This Row],[学中]]&lt;&gt;"",单词表[[#This Row],[学词]]&lt;&gt;""),MAX(单词表[[#This Row],[学英]:[学词]]),"")</f>
        <v>42739.827488425923</v>
      </c>
      <c r="M2806" s="2" t="str">
        <f>IF(AND(单词表[[#This Row],[考英]]&lt;&gt;"",单词表[[#This Row],[考中]]&lt;&gt;""),MAX(单词表[[#This Row],[考英]:[考中]]),"")</f>
        <v/>
      </c>
      <c r="N2806" s="79"/>
    </row>
    <row r="2807" spans="1:14" hidden="1" x14ac:dyDescent="0.15">
      <c r="A2807">
        <v>2807</v>
      </c>
      <c r="B2807" t="s">
        <v>35</v>
      </c>
      <c r="C2807" t="s">
        <v>23</v>
      </c>
      <c r="D2807" s="72" t="s">
        <v>4703</v>
      </c>
      <c r="E2807" t="s">
        <v>702</v>
      </c>
      <c r="F2807" t="s">
        <v>4704</v>
      </c>
      <c r="G2807" s="92">
        <v>42739.839583333334</v>
      </c>
      <c r="H2807" s="92">
        <v>42739.839594907404</v>
      </c>
      <c r="I2807" s="92">
        <v>42739.839594907404</v>
      </c>
      <c r="J2807" s="92"/>
      <c r="K2807" s="92">
        <v>42744.855532407404</v>
      </c>
      <c r="L2807" s="92">
        <f>IF(AND(单词表[[#This Row],[学英]]&lt;&gt;"",单词表[[#This Row],[学中]]&lt;&gt;"",单词表[[#This Row],[学词]]&lt;&gt;""),MAX(单词表[[#This Row],[学英]:[学词]]),"")</f>
        <v>42739.839594907404</v>
      </c>
      <c r="M2807" s="2" t="str">
        <f>IF(AND(单词表[[#This Row],[考英]]&lt;&gt;"",单词表[[#This Row],[考中]]&lt;&gt;""),MAX(单词表[[#This Row],[考英]:[考中]]),"")</f>
        <v/>
      </c>
      <c r="N2807" s="79"/>
    </row>
    <row r="2808" spans="1:14" hidden="1" x14ac:dyDescent="0.15">
      <c r="A2808">
        <v>2808</v>
      </c>
      <c r="B2808" t="s">
        <v>35</v>
      </c>
      <c r="C2808" t="s">
        <v>23</v>
      </c>
      <c r="D2808" s="72" t="s">
        <v>4705</v>
      </c>
      <c r="E2808" t="s">
        <v>736</v>
      </c>
      <c r="F2808" t="s">
        <v>4706</v>
      </c>
      <c r="G2808" s="92">
        <v>42739.839618055557</v>
      </c>
      <c r="H2808" s="92">
        <v>42739.839618055557</v>
      </c>
      <c r="I2808" s="92">
        <v>42739.839618055557</v>
      </c>
      <c r="J2808" s="92"/>
      <c r="K2808" s="92">
        <v>42744.855567129627</v>
      </c>
      <c r="L2808" s="92">
        <f>IF(AND(单词表[[#This Row],[学英]]&lt;&gt;"",单词表[[#This Row],[学中]]&lt;&gt;"",单词表[[#This Row],[学词]]&lt;&gt;""),MAX(单词表[[#This Row],[学英]:[学词]]),"")</f>
        <v>42739.839618055557</v>
      </c>
      <c r="M2808" s="2" t="str">
        <f>IF(AND(单词表[[#This Row],[考英]]&lt;&gt;"",单词表[[#This Row],[考中]]&lt;&gt;""),MAX(单词表[[#This Row],[考英]:[考中]]),"")</f>
        <v/>
      </c>
      <c r="N2808" s="79"/>
    </row>
    <row r="2809" spans="1:14" hidden="1" x14ac:dyDescent="0.15">
      <c r="A2809">
        <v>2809</v>
      </c>
      <c r="B2809" t="s">
        <v>35</v>
      </c>
      <c r="C2809" t="s">
        <v>23</v>
      </c>
      <c r="D2809" s="72" t="s">
        <v>4707</v>
      </c>
      <c r="E2809" t="s">
        <v>1019</v>
      </c>
      <c r="F2809" t="s">
        <v>4708</v>
      </c>
      <c r="G2809" s="92">
        <v>42739.839988425927</v>
      </c>
      <c r="H2809" s="92">
        <v>42739.839988425927</v>
      </c>
      <c r="I2809" s="92">
        <v>42739.839988425927</v>
      </c>
      <c r="J2809" s="92"/>
      <c r="K2809" s="92">
        <v>42744.855613425927</v>
      </c>
      <c r="L2809" s="92">
        <f>IF(AND(单词表[[#This Row],[学英]]&lt;&gt;"",单词表[[#This Row],[学中]]&lt;&gt;"",单词表[[#This Row],[学词]]&lt;&gt;""),MAX(单词表[[#This Row],[学英]:[学词]]),"")</f>
        <v>42739.839988425927</v>
      </c>
      <c r="M2809" s="2" t="str">
        <f>IF(AND(单词表[[#This Row],[考英]]&lt;&gt;"",单词表[[#This Row],[考中]]&lt;&gt;""),MAX(单词表[[#This Row],[考英]:[考中]]),"")</f>
        <v/>
      </c>
      <c r="N2809" s="79"/>
    </row>
    <row r="2810" spans="1:14" hidden="1" x14ac:dyDescent="0.15">
      <c r="A2810">
        <v>2810</v>
      </c>
      <c r="B2810" t="s">
        <v>35</v>
      </c>
      <c r="C2810" t="s">
        <v>23</v>
      </c>
      <c r="D2810" s="72" t="s">
        <v>4709</v>
      </c>
      <c r="E2810" t="s">
        <v>61</v>
      </c>
      <c r="F2810" t="s">
        <v>4710</v>
      </c>
      <c r="G2810" s="92">
        <v>42739.840081018519</v>
      </c>
      <c r="H2810" s="92">
        <v>42744.857581018521</v>
      </c>
      <c r="I2810" s="92">
        <v>42744.857581018521</v>
      </c>
      <c r="J2810" s="92"/>
      <c r="K2810" s="92">
        <v>42744.861030092594</v>
      </c>
      <c r="L2810" s="92">
        <f>IF(AND(单词表[[#This Row],[学英]]&lt;&gt;"",单词表[[#This Row],[学中]]&lt;&gt;"",单词表[[#This Row],[学词]]&lt;&gt;""),MAX(单词表[[#This Row],[学英]:[学词]]),"")</f>
        <v>42744.857581018521</v>
      </c>
      <c r="M2810" s="2" t="str">
        <f>IF(AND(单词表[[#This Row],[考英]]&lt;&gt;"",单词表[[#This Row],[考中]]&lt;&gt;""),MAX(单词表[[#This Row],[考英]:[考中]]),"")</f>
        <v/>
      </c>
      <c r="N2810" s="79"/>
    </row>
    <row r="2811" spans="1:14" hidden="1" x14ac:dyDescent="0.15">
      <c r="A2811">
        <v>2811</v>
      </c>
      <c r="B2811" t="s">
        <v>35</v>
      </c>
      <c r="C2811" t="s">
        <v>23</v>
      </c>
      <c r="D2811" s="72" t="s">
        <v>4711</v>
      </c>
      <c r="E2811" t="s">
        <v>61</v>
      </c>
      <c r="F2811" t="s">
        <v>4712</v>
      </c>
      <c r="G2811" s="92">
        <v>42739.840115740742</v>
      </c>
      <c r="H2811" s="92">
        <v>42744.857627314814</v>
      </c>
      <c r="I2811" s="92">
        <v>42744.857627314814</v>
      </c>
      <c r="J2811" s="92"/>
      <c r="K2811" s="92">
        <v>42744.861064814817</v>
      </c>
      <c r="L2811" s="92">
        <f>IF(AND(单词表[[#This Row],[学英]]&lt;&gt;"",单词表[[#This Row],[学中]]&lt;&gt;"",单词表[[#This Row],[学词]]&lt;&gt;""),MAX(单词表[[#This Row],[学英]:[学词]]),"")</f>
        <v>42744.857627314814</v>
      </c>
      <c r="M2811" s="2" t="str">
        <f>IF(AND(单词表[[#This Row],[考英]]&lt;&gt;"",单词表[[#This Row],[考中]]&lt;&gt;""),MAX(单词表[[#This Row],[考英]:[考中]]),"")</f>
        <v/>
      </c>
      <c r="N2811" s="79"/>
    </row>
    <row r="2812" spans="1:14" hidden="1" x14ac:dyDescent="0.15">
      <c r="A2812">
        <v>2812</v>
      </c>
      <c r="B2812" t="s">
        <v>35</v>
      </c>
      <c r="C2812" t="s">
        <v>23</v>
      </c>
      <c r="D2812" s="72" t="s">
        <v>428</v>
      </c>
      <c r="E2812" t="s">
        <v>36</v>
      </c>
      <c r="F2812" t="s">
        <v>429</v>
      </c>
      <c r="G2812" s="92">
        <v>42739.840150462966</v>
      </c>
      <c r="H2812" s="92">
        <v>42739.840150462966</v>
      </c>
      <c r="I2812" s="92">
        <v>42739.840150462966</v>
      </c>
      <c r="J2812" s="92"/>
      <c r="K2812" s="92">
        <v>42744.855763888889</v>
      </c>
      <c r="L2812" s="92">
        <f>IF(AND(单词表[[#This Row],[学英]]&lt;&gt;"",单词表[[#This Row],[学中]]&lt;&gt;"",单词表[[#This Row],[学词]]&lt;&gt;""),MAX(单词表[[#This Row],[学英]:[学词]]),"")</f>
        <v>42739.840150462966</v>
      </c>
      <c r="M2812" s="2" t="str">
        <f>IF(AND(单词表[[#This Row],[考英]]&lt;&gt;"",单词表[[#This Row],[考中]]&lt;&gt;""),MAX(单词表[[#This Row],[考英]:[考中]]),"")</f>
        <v/>
      </c>
      <c r="N2812" s="79"/>
    </row>
    <row r="2813" spans="1:14" hidden="1" x14ac:dyDescent="0.15">
      <c r="A2813">
        <v>2813</v>
      </c>
      <c r="B2813" t="s">
        <v>35</v>
      </c>
      <c r="C2813" t="s">
        <v>23</v>
      </c>
      <c r="D2813" s="72" t="s">
        <v>5932</v>
      </c>
      <c r="E2813" t="s">
        <v>36</v>
      </c>
      <c r="F2813" t="s">
        <v>4713</v>
      </c>
      <c r="G2813" s="92">
        <v>42739.840173611112</v>
      </c>
      <c r="H2813" s="92">
        <v>42744.858831018515</v>
      </c>
      <c r="I2813" s="92">
        <v>42744.858831018515</v>
      </c>
      <c r="J2813" s="92"/>
      <c r="K2813" s="92">
        <v>42744.861111111109</v>
      </c>
      <c r="L2813" s="92">
        <f>IF(AND(单词表[[#This Row],[学英]]&lt;&gt;"",单词表[[#This Row],[学中]]&lt;&gt;"",单词表[[#This Row],[学词]]&lt;&gt;""),MAX(单词表[[#This Row],[学英]:[学词]]),"")</f>
        <v>42744.858831018515</v>
      </c>
      <c r="M2813" s="2" t="str">
        <f>IF(AND(单词表[[#This Row],[考英]]&lt;&gt;"",单词表[[#This Row],[考中]]&lt;&gt;""),MAX(单词表[[#This Row],[考英]:[考中]]),"")</f>
        <v/>
      </c>
      <c r="N2813" s="79"/>
    </row>
    <row r="2814" spans="1:14" hidden="1" x14ac:dyDescent="0.15">
      <c r="A2814">
        <v>2814</v>
      </c>
      <c r="B2814" t="s">
        <v>35</v>
      </c>
      <c r="C2814" t="s">
        <v>23</v>
      </c>
      <c r="D2814" s="72" t="s">
        <v>4714</v>
      </c>
      <c r="E2814" t="s">
        <v>36</v>
      </c>
      <c r="F2814" t="s">
        <v>4715</v>
      </c>
      <c r="G2814" s="92">
        <v>42739.840196759258</v>
      </c>
      <c r="H2814" s="92">
        <v>42744.858032407406</v>
      </c>
      <c r="I2814" s="92">
        <v>42744.858032407406</v>
      </c>
      <c r="J2814" s="92"/>
      <c r="K2814" s="92">
        <v>42744.861215277779</v>
      </c>
      <c r="L2814" s="92">
        <f>IF(AND(单词表[[#This Row],[学英]]&lt;&gt;"",单词表[[#This Row],[学中]]&lt;&gt;"",单词表[[#This Row],[学词]]&lt;&gt;""),MAX(单词表[[#This Row],[学英]:[学词]]),"")</f>
        <v>42744.858032407406</v>
      </c>
      <c r="M2814" s="2" t="str">
        <f>IF(AND(单词表[[#This Row],[考英]]&lt;&gt;"",单词表[[#This Row],[考中]]&lt;&gt;""),MAX(单词表[[#This Row],[考英]:[考中]]),"")</f>
        <v/>
      </c>
      <c r="N2814" s="79"/>
    </row>
    <row r="2815" spans="1:14" hidden="1" x14ac:dyDescent="0.15">
      <c r="A2815">
        <v>2815</v>
      </c>
      <c r="B2815" t="s">
        <v>35</v>
      </c>
      <c r="C2815" t="s">
        <v>23</v>
      </c>
      <c r="D2815" s="72" t="s">
        <v>4716</v>
      </c>
      <c r="E2815" t="s">
        <v>36</v>
      </c>
      <c r="F2815" t="s">
        <v>4717</v>
      </c>
      <c r="G2815" s="92">
        <v>42744.859166666669</v>
      </c>
      <c r="H2815" s="92">
        <v>42744.859166666669</v>
      </c>
      <c r="I2815" s="92">
        <v>42744.859166666669</v>
      </c>
      <c r="J2815" s="92"/>
      <c r="K2815" s="92">
        <v>42744.861273148148</v>
      </c>
      <c r="L2815" s="92">
        <f>IF(AND(单词表[[#This Row],[学英]]&lt;&gt;"",单词表[[#This Row],[学中]]&lt;&gt;"",单词表[[#This Row],[学词]]&lt;&gt;""),MAX(单词表[[#This Row],[学英]:[学词]]),"")</f>
        <v>42744.859166666669</v>
      </c>
      <c r="M2815" s="2" t="str">
        <f>IF(AND(单词表[[#This Row],[考英]]&lt;&gt;"",单词表[[#This Row],[考中]]&lt;&gt;""),MAX(单词表[[#This Row],[考英]:[考中]]),"")</f>
        <v/>
      </c>
      <c r="N2815" s="79"/>
    </row>
    <row r="2816" spans="1:14" hidden="1" x14ac:dyDescent="0.15">
      <c r="A2816">
        <v>2816</v>
      </c>
      <c r="B2816" t="s">
        <v>35</v>
      </c>
      <c r="C2816" t="s">
        <v>23</v>
      </c>
      <c r="D2816" s="72" t="s">
        <v>4718</v>
      </c>
      <c r="E2816" t="s">
        <v>36</v>
      </c>
      <c r="F2816" t="s">
        <v>4719</v>
      </c>
      <c r="G2816" s="92">
        <v>42739.840289351851</v>
      </c>
      <c r="H2816" s="92">
        <v>42739.840289351851</v>
      </c>
      <c r="I2816" s="92">
        <v>42739.840289351851</v>
      </c>
      <c r="J2816" s="92"/>
      <c r="K2816" s="92">
        <v>42744.856099537035</v>
      </c>
      <c r="L2816" s="92">
        <f>IF(AND(单词表[[#This Row],[学英]]&lt;&gt;"",单词表[[#This Row],[学中]]&lt;&gt;"",单词表[[#This Row],[学词]]&lt;&gt;""),MAX(单词表[[#This Row],[学英]:[学词]]),"")</f>
        <v>42739.840289351851</v>
      </c>
      <c r="M2816" s="2" t="str">
        <f>IF(AND(单词表[[#This Row],[考英]]&lt;&gt;"",单词表[[#This Row],[考中]]&lt;&gt;""),MAX(单词表[[#This Row],[考英]:[考中]]),"")</f>
        <v/>
      </c>
      <c r="N2816" s="79"/>
    </row>
    <row r="2817" spans="1:14" hidden="1" x14ac:dyDescent="0.15">
      <c r="A2817">
        <v>2817</v>
      </c>
      <c r="B2817" t="s">
        <v>35</v>
      </c>
      <c r="C2817" t="s">
        <v>23</v>
      </c>
      <c r="D2817" s="72" t="s">
        <v>1990</v>
      </c>
      <c r="E2817" t="s">
        <v>736</v>
      </c>
      <c r="F2817" t="s">
        <v>1991</v>
      </c>
      <c r="G2817" s="92">
        <v>42743.566435185188</v>
      </c>
      <c r="H2817" s="92">
        <v>42743.566435185188</v>
      </c>
      <c r="I2817" s="92">
        <v>42743.566435185188</v>
      </c>
      <c r="J2817" s="92"/>
      <c r="K2817" s="92">
        <v>42744.856157407405</v>
      </c>
      <c r="L2817" s="92">
        <f>IF(AND(单词表[[#This Row],[学英]]&lt;&gt;"",单词表[[#This Row],[学中]]&lt;&gt;"",单词表[[#This Row],[学词]]&lt;&gt;""),MAX(单词表[[#This Row],[学英]:[学词]]),"")</f>
        <v>42743.566435185188</v>
      </c>
      <c r="M2817" s="2" t="str">
        <f>IF(AND(单词表[[#This Row],[考英]]&lt;&gt;"",单词表[[#This Row],[考中]]&lt;&gt;""),MAX(单词表[[#This Row],[考英]:[考中]]),"")</f>
        <v/>
      </c>
      <c r="N2817" s="79"/>
    </row>
    <row r="2818" spans="1:14" hidden="1" x14ac:dyDescent="0.15">
      <c r="A2818">
        <v>2818</v>
      </c>
      <c r="B2818" t="s">
        <v>35</v>
      </c>
      <c r="C2818" t="s">
        <v>23</v>
      </c>
      <c r="D2818" s="72" t="s">
        <v>4720</v>
      </c>
      <c r="E2818" t="s">
        <v>36</v>
      </c>
      <c r="F2818" t="s">
        <v>4721</v>
      </c>
      <c r="G2818" s="92">
        <v>42743.567627314813</v>
      </c>
      <c r="H2818" s="92">
        <v>42743.567627314813</v>
      </c>
      <c r="I2818" s="92">
        <v>42743.567627314813</v>
      </c>
      <c r="J2818" s="92"/>
      <c r="K2818" s="92">
        <v>42744.856226851851</v>
      </c>
      <c r="L2818" s="92">
        <f>IF(AND(单词表[[#This Row],[学英]]&lt;&gt;"",单词表[[#This Row],[学中]]&lt;&gt;"",单词表[[#This Row],[学词]]&lt;&gt;""),MAX(单词表[[#This Row],[学英]:[学词]]),"")</f>
        <v>42743.567627314813</v>
      </c>
      <c r="M2818" s="2" t="str">
        <f>IF(AND(单词表[[#This Row],[考英]]&lt;&gt;"",单词表[[#This Row],[考中]]&lt;&gt;""),MAX(单词表[[#This Row],[考英]:[考中]]),"")</f>
        <v/>
      </c>
      <c r="N2818" s="79"/>
    </row>
    <row r="2819" spans="1:14" hidden="1" x14ac:dyDescent="0.15">
      <c r="A2819">
        <v>2819</v>
      </c>
      <c r="B2819" t="s">
        <v>35</v>
      </c>
      <c r="C2819" t="s">
        <v>23</v>
      </c>
      <c r="D2819" s="72" t="s">
        <v>4722</v>
      </c>
      <c r="E2819" t="s">
        <v>36</v>
      </c>
      <c r="F2819" t="s">
        <v>4723</v>
      </c>
      <c r="G2819" s="92">
        <v>42743.567696759259</v>
      </c>
      <c r="H2819" s="92">
        <v>42743.567696759259</v>
      </c>
      <c r="I2819" s="92">
        <v>42743.567696759259</v>
      </c>
      <c r="J2819" s="92"/>
      <c r="K2819" s="92">
        <v>42744.856249999997</v>
      </c>
      <c r="L2819" s="92">
        <f>IF(AND(单词表[[#This Row],[学英]]&lt;&gt;"",单词表[[#This Row],[学中]]&lt;&gt;"",单词表[[#This Row],[学词]]&lt;&gt;""),MAX(单词表[[#This Row],[学英]:[学词]]),"")</f>
        <v>42743.567696759259</v>
      </c>
      <c r="M2819" s="2" t="str">
        <f>IF(AND(单词表[[#This Row],[考英]]&lt;&gt;"",单词表[[#This Row],[考中]]&lt;&gt;""),MAX(单词表[[#This Row],[考英]:[考中]]),"")</f>
        <v/>
      </c>
      <c r="N2819" s="79"/>
    </row>
    <row r="2820" spans="1:14" hidden="1" x14ac:dyDescent="0.15">
      <c r="A2820">
        <v>2820</v>
      </c>
      <c r="B2820" t="s">
        <v>35</v>
      </c>
      <c r="C2820" t="s">
        <v>23</v>
      </c>
      <c r="D2820" s="72" t="s">
        <v>4724</v>
      </c>
      <c r="E2820" t="s">
        <v>702</v>
      </c>
      <c r="F2820" t="s">
        <v>4725</v>
      </c>
      <c r="G2820" s="92">
        <v>42743.567731481482</v>
      </c>
      <c r="H2820" s="92">
        <v>42743.567731481482</v>
      </c>
      <c r="I2820" s="92">
        <v>42743.567731481482</v>
      </c>
      <c r="J2820" s="92"/>
      <c r="K2820" s="92">
        <v>42744.856296296297</v>
      </c>
      <c r="L2820" s="92">
        <f>IF(AND(单词表[[#This Row],[学英]]&lt;&gt;"",单词表[[#This Row],[学中]]&lt;&gt;"",单词表[[#This Row],[学词]]&lt;&gt;""),MAX(单词表[[#This Row],[学英]:[学词]]),"")</f>
        <v>42743.567731481482</v>
      </c>
      <c r="M2820" s="2" t="str">
        <f>IF(AND(单词表[[#This Row],[考英]]&lt;&gt;"",单词表[[#This Row],[考中]]&lt;&gt;""),MAX(单词表[[#This Row],[考英]:[考中]]),"")</f>
        <v/>
      </c>
      <c r="N2820" s="79"/>
    </row>
    <row r="2821" spans="1:14" hidden="1" x14ac:dyDescent="0.15">
      <c r="A2821">
        <v>2821</v>
      </c>
      <c r="B2821" t="s">
        <v>35</v>
      </c>
      <c r="C2821" t="s">
        <v>23</v>
      </c>
      <c r="D2821" s="72" t="s">
        <v>4726</v>
      </c>
      <c r="E2821" t="s">
        <v>73</v>
      </c>
      <c r="F2821" t="s">
        <v>4727</v>
      </c>
      <c r="G2821" s="92">
        <v>42743.574513888889</v>
      </c>
      <c r="H2821" s="92">
        <v>42743.574525462966</v>
      </c>
      <c r="I2821" s="92">
        <v>42743.574525462966</v>
      </c>
      <c r="J2821" s="92"/>
      <c r="K2821" s="92">
        <v>42744.856354166666</v>
      </c>
      <c r="L2821" s="92">
        <f>IF(AND(单词表[[#This Row],[学英]]&lt;&gt;"",单词表[[#This Row],[学中]]&lt;&gt;"",单词表[[#This Row],[学词]]&lt;&gt;""),MAX(单词表[[#This Row],[学英]:[学词]]),"")</f>
        <v>42743.574525462966</v>
      </c>
      <c r="M2821" s="2" t="str">
        <f>IF(AND(单词表[[#This Row],[考英]]&lt;&gt;"",单词表[[#This Row],[考中]]&lt;&gt;""),MAX(单词表[[#This Row],[考英]:[考中]]),"")</f>
        <v/>
      </c>
      <c r="N2821" s="79"/>
    </row>
    <row r="2822" spans="1:14" hidden="1" x14ac:dyDescent="0.15">
      <c r="A2822">
        <v>2822</v>
      </c>
      <c r="B2822" t="s">
        <v>35</v>
      </c>
      <c r="C2822" t="s">
        <v>23</v>
      </c>
      <c r="D2822" s="72" t="s">
        <v>1014</v>
      </c>
      <c r="E2822" t="s">
        <v>61</v>
      </c>
      <c r="F2822" t="s">
        <v>1015</v>
      </c>
      <c r="G2822" s="92">
        <v>42743.574548611112</v>
      </c>
      <c r="H2822" s="92">
        <v>42743.574548611112</v>
      </c>
      <c r="I2822" s="92">
        <v>42743.574548611112</v>
      </c>
      <c r="J2822" s="92"/>
      <c r="K2822" s="92">
        <v>42744.861400462964</v>
      </c>
      <c r="L2822" s="92">
        <f>IF(AND(单词表[[#This Row],[学英]]&lt;&gt;"",单词表[[#This Row],[学中]]&lt;&gt;"",单词表[[#This Row],[学词]]&lt;&gt;""),MAX(单词表[[#This Row],[学英]:[学词]]),"")</f>
        <v>42743.574548611112</v>
      </c>
      <c r="M2822" s="2" t="str">
        <f>IF(AND(单词表[[#This Row],[考英]]&lt;&gt;"",单词表[[#This Row],[考中]]&lt;&gt;""),MAX(单词表[[#This Row],[考英]:[考中]]),"")</f>
        <v/>
      </c>
      <c r="N2822" s="79"/>
    </row>
    <row r="2823" spans="1:14" hidden="1" x14ac:dyDescent="0.15">
      <c r="A2823">
        <v>2823</v>
      </c>
      <c r="B2823" t="s">
        <v>35</v>
      </c>
      <c r="C2823" t="s">
        <v>23</v>
      </c>
      <c r="D2823" s="72" t="s">
        <v>4728</v>
      </c>
      <c r="E2823" t="s">
        <v>36</v>
      </c>
      <c r="F2823" t="s">
        <v>4729</v>
      </c>
      <c r="G2823" s="92">
        <v>42743.576261574075</v>
      </c>
      <c r="H2823" s="92">
        <v>42744.862013888887</v>
      </c>
      <c r="I2823" s="92">
        <v>42744.862013888887</v>
      </c>
      <c r="J2823" s="92"/>
      <c r="K2823" s="92">
        <v>42744.862083333333</v>
      </c>
      <c r="L2823" s="92">
        <f>IF(AND(单词表[[#This Row],[学英]]&lt;&gt;"",单词表[[#This Row],[学中]]&lt;&gt;"",单词表[[#This Row],[学词]]&lt;&gt;""),MAX(单词表[[#This Row],[学英]:[学词]]),"")</f>
        <v>42744.862013888887</v>
      </c>
      <c r="M2823" s="2" t="str">
        <f>IF(AND(单词表[[#This Row],[考英]]&lt;&gt;"",单词表[[#This Row],[考中]]&lt;&gt;""),MAX(单词表[[#This Row],[考英]:[考中]]),"")</f>
        <v/>
      </c>
      <c r="N2823" s="79"/>
    </row>
    <row r="2824" spans="1:14" hidden="1" x14ac:dyDescent="0.15">
      <c r="A2824">
        <v>2824</v>
      </c>
      <c r="B2824" t="s">
        <v>35</v>
      </c>
      <c r="C2824" t="s">
        <v>23</v>
      </c>
      <c r="D2824" s="72" t="s">
        <v>2132</v>
      </c>
      <c r="E2824" t="s">
        <v>36</v>
      </c>
      <c r="F2824" t="s">
        <v>4730</v>
      </c>
      <c r="G2824" s="92">
        <v>42743.589131944442</v>
      </c>
      <c r="H2824" s="92">
        <v>42743.589131944442</v>
      </c>
      <c r="I2824" s="92">
        <v>42743.589131944442</v>
      </c>
      <c r="J2824" s="92"/>
      <c r="K2824" s="92">
        <v>42744.861516203702</v>
      </c>
      <c r="L2824" s="92">
        <f>IF(AND(单词表[[#This Row],[学英]]&lt;&gt;"",单词表[[#This Row],[学中]]&lt;&gt;"",单词表[[#This Row],[学词]]&lt;&gt;""),MAX(单词表[[#This Row],[学英]:[学词]]),"")</f>
        <v>42743.589131944442</v>
      </c>
      <c r="M2824" s="2" t="str">
        <f>IF(AND(单词表[[#This Row],[考英]]&lt;&gt;"",单词表[[#This Row],[考中]]&lt;&gt;""),MAX(单词表[[#This Row],[考英]:[考中]]),"")</f>
        <v/>
      </c>
      <c r="N2824" s="79"/>
    </row>
    <row r="2825" spans="1:14" hidden="1" x14ac:dyDescent="0.15">
      <c r="A2825">
        <v>2825</v>
      </c>
      <c r="B2825" t="s">
        <v>35</v>
      </c>
      <c r="C2825" t="s">
        <v>23</v>
      </c>
      <c r="D2825" s="72" t="s">
        <v>4731</v>
      </c>
      <c r="E2825" t="s">
        <v>736</v>
      </c>
      <c r="F2825" t="s">
        <v>4732</v>
      </c>
      <c r="G2825" s="92">
        <v>42743.589155092595</v>
      </c>
      <c r="H2825" s="92">
        <v>42743.589155092595</v>
      </c>
      <c r="I2825" s="92">
        <v>42743.589155092595</v>
      </c>
      <c r="J2825" s="92"/>
      <c r="K2825" s="92">
        <v>42744.861562500002</v>
      </c>
      <c r="L2825" s="92">
        <f>IF(AND(单词表[[#This Row],[学英]]&lt;&gt;"",单词表[[#This Row],[学中]]&lt;&gt;"",单词表[[#This Row],[学词]]&lt;&gt;""),MAX(单词表[[#This Row],[学英]:[学词]]),"")</f>
        <v>42743.589155092595</v>
      </c>
      <c r="M2825" s="2" t="str">
        <f>IF(AND(单词表[[#This Row],[考英]]&lt;&gt;"",单词表[[#This Row],[考中]]&lt;&gt;""),MAX(单词表[[#This Row],[考英]:[考中]]),"")</f>
        <v/>
      </c>
      <c r="N2825" s="79"/>
    </row>
    <row r="2826" spans="1:14" hidden="1" x14ac:dyDescent="0.15">
      <c r="A2826">
        <v>2826</v>
      </c>
      <c r="B2826" t="s">
        <v>35</v>
      </c>
      <c r="C2826" t="s">
        <v>23</v>
      </c>
      <c r="D2826" s="72" t="s">
        <v>672</v>
      </c>
      <c r="E2826" t="s">
        <v>36</v>
      </c>
      <c r="F2826" t="s">
        <v>4733</v>
      </c>
      <c r="G2826" s="92">
        <v>42751.60696759259</v>
      </c>
      <c r="H2826" s="92">
        <v>42751.60696759259</v>
      </c>
      <c r="I2826" s="92">
        <v>42751.60696759259</v>
      </c>
      <c r="J2826" s="92"/>
      <c r="K2826" s="92">
        <v>42751.64329861111</v>
      </c>
      <c r="L2826" s="92">
        <f>IF(AND(单词表[[#This Row],[学英]]&lt;&gt;"",单词表[[#This Row],[学中]]&lt;&gt;"",单词表[[#This Row],[学词]]&lt;&gt;""),MAX(单词表[[#This Row],[学英]:[学词]]),"")</f>
        <v>42751.60696759259</v>
      </c>
      <c r="M2826" s="2" t="str">
        <f>IF(AND(单词表[[#This Row],[考英]]&lt;&gt;"",单词表[[#This Row],[考中]]&lt;&gt;""),MAX(单词表[[#This Row],[考英]:[考中]]),"")</f>
        <v/>
      </c>
      <c r="N2826" s="79"/>
    </row>
    <row r="2827" spans="1:14" hidden="1" x14ac:dyDescent="0.15">
      <c r="A2827">
        <v>2827</v>
      </c>
      <c r="B2827" t="s">
        <v>35</v>
      </c>
      <c r="C2827" t="s">
        <v>23</v>
      </c>
      <c r="D2827" s="72" t="s">
        <v>4734</v>
      </c>
      <c r="E2827" t="s">
        <v>736</v>
      </c>
      <c r="F2827" t="s">
        <v>5598</v>
      </c>
      <c r="G2827" s="92">
        <v>42751.607025462959</v>
      </c>
      <c r="H2827" s="92">
        <v>42751.644583333335</v>
      </c>
      <c r="I2827" s="92">
        <v>42751.644583333335</v>
      </c>
      <c r="J2827" s="92"/>
      <c r="K2827" s="92">
        <v>42751.644652777781</v>
      </c>
      <c r="L2827" s="92">
        <f>IF(AND(单词表[[#This Row],[学英]]&lt;&gt;"",单词表[[#This Row],[学中]]&lt;&gt;"",单词表[[#This Row],[学词]]&lt;&gt;""),MAX(单词表[[#This Row],[学英]:[学词]]),"")</f>
        <v>42751.644583333335</v>
      </c>
      <c r="M2827" s="2" t="str">
        <f>IF(AND(单词表[[#This Row],[考英]]&lt;&gt;"",单词表[[#This Row],[考中]]&lt;&gt;""),MAX(单词表[[#This Row],[考英]:[考中]]),"")</f>
        <v/>
      </c>
      <c r="N2827" s="79"/>
    </row>
    <row r="2828" spans="1:14" hidden="1" x14ac:dyDescent="0.15">
      <c r="A2828">
        <v>2828</v>
      </c>
      <c r="B2828" t="s">
        <v>35</v>
      </c>
      <c r="C2828" t="s">
        <v>23</v>
      </c>
      <c r="D2828" s="72" t="s">
        <v>2002</v>
      </c>
      <c r="E2828" t="s">
        <v>61</v>
      </c>
      <c r="F2828" t="s">
        <v>4735</v>
      </c>
      <c r="G2828" s="92">
        <v>42751.607071759259</v>
      </c>
      <c r="H2828" s="92">
        <v>42751.607071759259</v>
      </c>
      <c r="I2828" s="92">
        <v>42751.607071759259</v>
      </c>
      <c r="J2828" s="92"/>
      <c r="K2828" s="92">
        <v>42751.643391203703</v>
      </c>
      <c r="L2828" s="92">
        <f>IF(AND(单词表[[#This Row],[学英]]&lt;&gt;"",单词表[[#This Row],[学中]]&lt;&gt;"",单词表[[#This Row],[学词]]&lt;&gt;""),MAX(单词表[[#This Row],[学英]:[学词]]),"")</f>
        <v>42751.607071759259</v>
      </c>
      <c r="M2828" s="2" t="str">
        <f>IF(AND(单词表[[#This Row],[考英]]&lt;&gt;"",单词表[[#This Row],[考中]]&lt;&gt;""),MAX(单词表[[#This Row],[考英]:[考中]]),"")</f>
        <v/>
      </c>
      <c r="N2828" s="79"/>
    </row>
    <row r="2829" spans="1:14" hidden="1" x14ac:dyDescent="0.15">
      <c r="A2829">
        <v>2829</v>
      </c>
      <c r="B2829" t="s">
        <v>35</v>
      </c>
      <c r="C2829" t="s">
        <v>23</v>
      </c>
      <c r="D2829" s="72" t="s">
        <v>4736</v>
      </c>
      <c r="E2829" t="s">
        <v>73</v>
      </c>
      <c r="F2829" t="s">
        <v>4737</v>
      </c>
      <c r="G2829" s="92">
        <v>42751.607094907406</v>
      </c>
      <c r="H2829" s="92">
        <v>42751.607094907406</v>
      </c>
      <c r="I2829" s="92">
        <v>42751.607094907406</v>
      </c>
      <c r="J2829" s="92"/>
      <c r="K2829" s="92">
        <v>42751.643425925926</v>
      </c>
      <c r="L2829" s="92">
        <f>IF(AND(单词表[[#This Row],[学英]]&lt;&gt;"",单词表[[#This Row],[学中]]&lt;&gt;"",单词表[[#This Row],[学词]]&lt;&gt;""),MAX(单词表[[#This Row],[学英]:[学词]]),"")</f>
        <v>42751.607094907406</v>
      </c>
      <c r="M2829" s="2" t="str">
        <f>IF(AND(单词表[[#This Row],[考英]]&lt;&gt;"",单词表[[#This Row],[考中]]&lt;&gt;""),MAX(单词表[[#This Row],[考英]:[考中]]),"")</f>
        <v/>
      </c>
      <c r="N2829" s="79"/>
    </row>
    <row r="2830" spans="1:14" hidden="1" x14ac:dyDescent="0.15">
      <c r="A2830">
        <v>2830</v>
      </c>
      <c r="B2830" t="s">
        <v>35</v>
      </c>
      <c r="C2830" t="s">
        <v>23</v>
      </c>
      <c r="D2830" s="72" t="s">
        <v>4040</v>
      </c>
      <c r="E2830" t="s">
        <v>210</v>
      </c>
      <c r="F2830" t="s">
        <v>4041</v>
      </c>
      <c r="G2830" s="92">
        <v>42751.607141203705</v>
      </c>
      <c r="H2830" s="92">
        <v>42751.644143518519</v>
      </c>
      <c r="I2830" s="92">
        <v>42751.644143518519</v>
      </c>
      <c r="J2830" s="92"/>
      <c r="K2830" s="92">
        <v>42751.64439814815</v>
      </c>
      <c r="L2830" s="92">
        <f>IF(AND(单词表[[#This Row],[学英]]&lt;&gt;"",单词表[[#This Row],[学中]]&lt;&gt;"",单词表[[#This Row],[学词]]&lt;&gt;""),MAX(单词表[[#This Row],[学英]:[学词]]),"")</f>
        <v>42751.644143518519</v>
      </c>
      <c r="M2830" s="2" t="str">
        <f>IF(AND(单词表[[#This Row],[考英]]&lt;&gt;"",单词表[[#This Row],[考中]]&lt;&gt;""),MAX(单词表[[#This Row],[考英]:[考中]]),"")</f>
        <v/>
      </c>
      <c r="N2830" s="79"/>
    </row>
    <row r="2831" spans="1:14" hidden="1" x14ac:dyDescent="0.15">
      <c r="A2831">
        <v>2831</v>
      </c>
      <c r="B2831" t="s">
        <v>35</v>
      </c>
      <c r="C2831" t="s">
        <v>23</v>
      </c>
      <c r="D2831" s="72" t="s">
        <v>2069</v>
      </c>
      <c r="E2831" t="s">
        <v>36</v>
      </c>
      <c r="F2831" t="s">
        <v>2070</v>
      </c>
      <c r="G2831" s="92">
        <v>42751.607164351852</v>
      </c>
      <c r="H2831" s="92">
        <v>42751.607164351852</v>
      </c>
      <c r="I2831" s="92">
        <v>42751.607164351852</v>
      </c>
      <c r="J2831" s="92"/>
      <c r="K2831" s="92">
        <v>42751.643634259257</v>
      </c>
      <c r="L2831" s="92">
        <f>IF(AND(单词表[[#This Row],[学英]]&lt;&gt;"",单词表[[#This Row],[学中]]&lt;&gt;"",单词表[[#This Row],[学词]]&lt;&gt;""),MAX(单词表[[#This Row],[学英]:[学词]]),"")</f>
        <v>42751.607164351852</v>
      </c>
      <c r="M2831" s="2" t="str">
        <f>IF(AND(单词表[[#This Row],[考英]]&lt;&gt;"",单词表[[#This Row],[考中]]&lt;&gt;""),MAX(单词表[[#This Row],[考英]:[考中]]),"")</f>
        <v/>
      </c>
      <c r="N2831" s="79"/>
    </row>
    <row r="2832" spans="1:14" hidden="1" x14ac:dyDescent="0.15">
      <c r="A2832">
        <v>2832</v>
      </c>
      <c r="B2832" t="s">
        <v>35</v>
      </c>
      <c r="C2832" t="s">
        <v>23</v>
      </c>
      <c r="D2832" s="72" t="s">
        <v>4738</v>
      </c>
      <c r="E2832" t="s">
        <v>36</v>
      </c>
      <c r="F2832" t="s">
        <v>5599</v>
      </c>
      <c r="G2832" s="92">
        <v>42751.607187499998</v>
      </c>
      <c r="H2832" s="92">
        <v>42751.607187499998</v>
      </c>
      <c r="I2832" s="92">
        <v>42751.607187499998</v>
      </c>
      <c r="J2832" s="92"/>
      <c r="K2832" s="92">
        <v>42751.643680555557</v>
      </c>
      <c r="L2832" s="92">
        <f>IF(AND(单词表[[#This Row],[学英]]&lt;&gt;"",单词表[[#This Row],[学中]]&lt;&gt;"",单词表[[#This Row],[学词]]&lt;&gt;""),MAX(单词表[[#This Row],[学英]:[学词]]),"")</f>
        <v>42751.607187499998</v>
      </c>
      <c r="M2832" s="2" t="str">
        <f>IF(AND(单词表[[#This Row],[考英]]&lt;&gt;"",单词表[[#This Row],[考中]]&lt;&gt;""),MAX(单词表[[#This Row],[考英]:[考中]]),"")</f>
        <v/>
      </c>
      <c r="N2832" s="79"/>
    </row>
    <row r="2833" spans="1:14" hidden="1" x14ac:dyDescent="0.15">
      <c r="A2833">
        <v>2833</v>
      </c>
      <c r="B2833" t="s">
        <v>35</v>
      </c>
      <c r="C2833" t="s">
        <v>23</v>
      </c>
      <c r="D2833" s="72" t="s">
        <v>2685</v>
      </c>
      <c r="E2833" t="s">
        <v>73</v>
      </c>
      <c r="F2833" t="s">
        <v>4739</v>
      </c>
      <c r="G2833" s="92">
        <v>42751.607210648152</v>
      </c>
      <c r="H2833" s="92">
        <v>42751.607210648152</v>
      </c>
      <c r="I2833" s="92">
        <v>42751.607210648152</v>
      </c>
      <c r="J2833" s="92"/>
      <c r="K2833" s="92">
        <v>42751.643726851849</v>
      </c>
      <c r="L2833" s="92">
        <f>IF(AND(单词表[[#This Row],[学英]]&lt;&gt;"",单词表[[#This Row],[学中]]&lt;&gt;"",单词表[[#This Row],[学词]]&lt;&gt;""),MAX(单词表[[#This Row],[学英]:[学词]]),"")</f>
        <v>42751.607210648152</v>
      </c>
      <c r="M2833" s="2" t="str">
        <f>IF(AND(单词表[[#This Row],[考英]]&lt;&gt;"",单词表[[#This Row],[考中]]&lt;&gt;""),MAX(单词表[[#This Row],[考英]:[考中]]),"")</f>
        <v/>
      </c>
      <c r="N2833" s="79"/>
    </row>
    <row r="2834" spans="1:14" hidden="1" x14ac:dyDescent="0.15">
      <c r="A2834">
        <v>2834</v>
      </c>
      <c r="B2834" t="s">
        <v>35</v>
      </c>
      <c r="C2834" t="s">
        <v>23</v>
      </c>
      <c r="D2834" s="72" t="s">
        <v>4740</v>
      </c>
      <c r="E2834" t="s">
        <v>1019</v>
      </c>
      <c r="F2834" t="s">
        <v>4741</v>
      </c>
      <c r="G2834" s="92">
        <v>42751.607222222221</v>
      </c>
      <c r="H2834" s="92">
        <v>42751.607222222221</v>
      </c>
      <c r="I2834" s="92">
        <v>42751.607222222221</v>
      </c>
      <c r="J2834" s="92"/>
      <c r="K2834" s="92">
        <v>42751.643900462965</v>
      </c>
      <c r="L2834" s="92">
        <f>IF(AND(单词表[[#This Row],[学英]]&lt;&gt;"",单词表[[#This Row],[学中]]&lt;&gt;"",单词表[[#This Row],[学词]]&lt;&gt;""),MAX(单词表[[#This Row],[学英]:[学词]]),"")</f>
        <v>42751.607222222221</v>
      </c>
      <c r="M2834" s="2" t="str">
        <f>IF(AND(单词表[[#This Row],[考英]]&lt;&gt;"",单词表[[#This Row],[考中]]&lt;&gt;""),MAX(单词表[[#This Row],[考英]:[考中]]),"")</f>
        <v/>
      </c>
      <c r="N2834" s="79"/>
    </row>
    <row r="2835" spans="1:14" hidden="1" x14ac:dyDescent="0.15">
      <c r="A2835">
        <v>2835</v>
      </c>
      <c r="B2835" t="s">
        <v>35</v>
      </c>
      <c r="C2835" t="s">
        <v>23</v>
      </c>
      <c r="D2835" s="72" t="s">
        <v>4742</v>
      </c>
      <c r="E2835" t="s">
        <v>61</v>
      </c>
      <c r="F2835" t="s">
        <v>5600</v>
      </c>
      <c r="G2835" s="92">
        <v>42751.607245370367</v>
      </c>
      <c r="H2835" s="92">
        <v>42751.607245370367</v>
      </c>
      <c r="I2835" s="92">
        <v>42751.607245370367</v>
      </c>
      <c r="J2835" s="92"/>
      <c r="K2835" s="92">
        <v>42751.643935185188</v>
      </c>
      <c r="L2835" s="92">
        <f>IF(AND(单词表[[#This Row],[学英]]&lt;&gt;"",单词表[[#This Row],[学中]]&lt;&gt;"",单词表[[#This Row],[学词]]&lt;&gt;""),MAX(单词表[[#This Row],[学英]:[学词]]),"")</f>
        <v>42751.607245370367</v>
      </c>
      <c r="M2835" s="2" t="str">
        <f>IF(AND(单词表[[#This Row],[考英]]&lt;&gt;"",单词表[[#This Row],[考中]]&lt;&gt;""),MAX(单词表[[#This Row],[考英]:[考中]]),"")</f>
        <v/>
      </c>
      <c r="N2835" s="79"/>
    </row>
    <row r="2836" spans="1:14" hidden="1" x14ac:dyDescent="0.15">
      <c r="A2836">
        <v>2836</v>
      </c>
      <c r="B2836" t="s">
        <v>35</v>
      </c>
      <c r="C2836" t="s">
        <v>23</v>
      </c>
      <c r="D2836" s="72" t="s">
        <v>4743</v>
      </c>
      <c r="E2836" t="s">
        <v>1019</v>
      </c>
      <c r="F2836" t="s">
        <v>5601</v>
      </c>
      <c r="G2836" s="92">
        <v>42799.611168981479</v>
      </c>
      <c r="H2836" s="92">
        <v>42799.611168981479</v>
      </c>
      <c r="I2836" s="92">
        <v>42799.611168981479</v>
      </c>
      <c r="J2836" s="92"/>
      <c r="K2836" s="92">
        <v>42799.625567129631</v>
      </c>
      <c r="L2836" s="92">
        <f>IF(AND(单词表[[#This Row],[学英]]&lt;&gt;"",单词表[[#This Row],[学中]]&lt;&gt;"",单词表[[#This Row],[学词]]&lt;&gt;""),MAX(单词表[[#This Row],[学英]:[学词]]),"")</f>
        <v>42799.611168981479</v>
      </c>
      <c r="M2836" s="2" t="str">
        <f>IF(AND(单词表[[#This Row],[考英]]&lt;&gt;"",单词表[[#This Row],[考中]]&lt;&gt;""),MAX(单词表[[#This Row],[考英]:[考中]]),"")</f>
        <v/>
      </c>
      <c r="N2836" s="79"/>
    </row>
    <row r="2837" spans="1:14" hidden="1" x14ac:dyDescent="0.15">
      <c r="A2837">
        <v>2837</v>
      </c>
      <c r="B2837" t="s">
        <v>35</v>
      </c>
      <c r="C2837" t="s">
        <v>23</v>
      </c>
      <c r="D2837" s="72" t="s">
        <v>4744</v>
      </c>
      <c r="E2837" t="s">
        <v>736</v>
      </c>
      <c r="F2837" t="s">
        <v>4745</v>
      </c>
      <c r="G2837" s="92">
        <v>42799.611261574071</v>
      </c>
      <c r="H2837" s="92">
        <v>42799.611261574071</v>
      </c>
      <c r="I2837" s="92">
        <v>42799.611261574071</v>
      </c>
      <c r="J2837" s="92"/>
      <c r="K2837" s="92">
        <v>42799.625625000001</v>
      </c>
      <c r="L2837" s="92">
        <f>IF(AND(单词表[[#This Row],[学英]]&lt;&gt;"",单词表[[#This Row],[学中]]&lt;&gt;"",单词表[[#This Row],[学词]]&lt;&gt;""),MAX(单词表[[#This Row],[学英]:[学词]]),"")</f>
        <v>42799.611261574071</v>
      </c>
      <c r="M2837" s="2" t="str">
        <f>IF(AND(单词表[[#This Row],[考英]]&lt;&gt;"",单词表[[#This Row],[考中]]&lt;&gt;""),MAX(单词表[[#This Row],[考英]:[考中]]),"")</f>
        <v/>
      </c>
      <c r="N2837" s="79"/>
    </row>
    <row r="2838" spans="1:14" hidden="1" x14ac:dyDescent="0.15">
      <c r="A2838">
        <v>2838</v>
      </c>
      <c r="B2838" t="s">
        <v>35</v>
      </c>
      <c r="C2838" t="s">
        <v>23</v>
      </c>
      <c r="D2838" s="72" t="s">
        <v>4746</v>
      </c>
      <c r="E2838" t="s">
        <v>36</v>
      </c>
      <c r="F2838" t="s">
        <v>4747</v>
      </c>
      <c r="G2838" s="92">
        <v>42799.613483796296</v>
      </c>
      <c r="H2838" s="92">
        <v>42799.626203703701</v>
      </c>
      <c r="I2838" s="92">
        <v>42799.626203703701</v>
      </c>
      <c r="J2838" s="92"/>
      <c r="K2838" s="92">
        <v>42799.627152777779</v>
      </c>
      <c r="L2838" s="92">
        <f>IF(AND(单词表[[#This Row],[学英]]&lt;&gt;"",单词表[[#This Row],[学中]]&lt;&gt;"",单词表[[#This Row],[学词]]&lt;&gt;""),MAX(单词表[[#This Row],[学英]:[学词]]),"")</f>
        <v>42799.626203703701</v>
      </c>
      <c r="M2838" s="2" t="str">
        <f>IF(AND(单词表[[#This Row],[考英]]&lt;&gt;"",单词表[[#This Row],[考中]]&lt;&gt;""),MAX(单词表[[#This Row],[考英]:[考中]]),"")</f>
        <v/>
      </c>
      <c r="N2838" s="79"/>
    </row>
    <row r="2839" spans="1:14" hidden="1" x14ac:dyDescent="0.15">
      <c r="A2839">
        <v>2839</v>
      </c>
      <c r="B2839" t="s">
        <v>35</v>
      </c>
      <c r="C2839" t="s">
        <v>23</v>
      </c>
      <c r="D2839" s="72" t="s">
        <v>4748</v>
      </c>
      <c r="E2839" t="s">
        <v>736</v>
      </c>
      <c r="F2839" t="s">
        <v>4749</v>
      </c>
      <c r="G2839" s="92">
        <v>42799.613576388889</v>
      </c>
      <c r="H2839" s="92">
        <v>42799.613576388889</v>
      </c>
      <c r="I2839" s="92">
        <v>42799.613576388889</v>
      </c>
      <c r="J2839" s="92"/>
      <c r="K2839" s="92">
        <v>42799.625740740739</v>
      </c>
      <c r="L2839" s="92">
        <f>IF(AND(单词表[[#This Row],[学英]]&lt;&gt;"",单词表[[#This Row],[学中]]&lt;&gt;"",单词表[[#This Row],[学词]]&lt;&gt;""),MAX(单词表[[#This Row],[学英]:[学词]]),"")</f>
        <v>42799.613576388889</v>
      </c>
      <c r="M2839" s="2" t="str">
        <f>IF(AND(单词表[[#This Row],[考英]]&lt;&gt;"",单词表[[#This Row],[考中]]&lt;&gt;""),MAX(单词表[[#This Row],[考英]:[考中]]),"")</f>
        <v/>
      </c>
      <c r="N2839" s="79"/>
    </row>
    <row r="2840" spans="1:14" hidden="1" x14ac:dyDescent="0.15">
      <c r="A2840">
        <v>2840</v>
      </c>
      <c r="B2840" t="s">
        <v>35</v>
      </c>
      <c r="C2840" t="s">
        <v>23</v>
      </c>
      <c r="D2840" s="72" t="s">
        <v>4750</v>
      </c>
      <c r="E2840" t="s">
        <v>36</v>
      </c>
      <c r="F2840" t="s">
        <v>521</v>
      </c>
      <c r="G2840" s="92">
        <v>42799.614861111113</v>
      </c>
      <c r="H2840" s="92">
        <v>42799.614861111113</v>
      </c>
      <c r="I2840" s="92">
        <v>42799.614861111113</v>
      </c>
      <c r="J2840" s="92"/>
      <c r="K2840" s="92">
        <v>42799.625810185185</v>
      </c>
      <c r="L2840" s="92">
        <f>IF(AND(单词表[[#This Row],[学英]]&lt;&gt;"",单词表[[#This Row],[学中]]&lt;&gt;"",单词表[[#This Row],[学词]]&lt;&gt;""),MAX(单词表[[#This Row],[学英]:[学词]]),"")</f>
        <v>42799.614861111113</v>
      </c>
      <c r="M2840" s="2" t="str">
        <f>IF(AND(单词表[[#This Row],[考英]]&lt;&gt;"",单词表[[#This Row],[考中]]&lt;&gt;""),MAX(单词表[[#This Row],[考英]:[考中]]),"")</f>
        <v/>
      </c>
      <c r="N2840" s="79"/>
    </row>
    <row r="2841" spans="1:14" hidden="1" x14ac:dyDescent="0.15">
      <c r="A2841">
        <v>2841</v>
      </c>
      <c r="B2841" t="s">
        <v>35</v>
      </c>
      <c r="C2841" t="s">
        <v>23</v>
      </c>
      <c r="D2841" s="72" t="s">
        <v>3055</v>
      </c>
      <c r="E2841" t="s">
        <v>73</v>
      </c>
      <c r="F2841" t="s">
        <v>4751</v>
      </c>
      <c r="G2841" s="92">
        <v>42799.620717592596</v>
      </c>
      <c r="H2841" s="92">
        <v>42799.620717592596</v>
      </c>
      <c r="I2841" s="92">
        <v>42799.620717592596</v>
      </c>
      <c r="J2841" s="92"/>
      <c r="K2841" s="92">
        <v>42799.625844907408</v>
      </c>
      <c r="L2841" s="92">
        <f>IF(AND(单词表[[#This Row],[学英]]&lt;&gt;"",单词表[[#This Row],[学中]]&lt;&gt;"",单词表[[#This Row],[学词]]&lt;&gt;""),MAX(单词表[[#This Row],[学英]:[学词]]),"")</f>
        <v>42799.620717592596</v>
      </c>
      <c r="M2841" s="2" t="str">
        <f>IF(AND(单词表[[#This Row],[考英]]&lt;&gt;"",单词表[[#This Row],[考中]]&lt;&gt;""),MAX(单词表[[#This Row],[考英]:[考中]]),"")</f>
        <v/>
      </c>
      <c r="N2841" s="79"/>
    </row>
    <row r="2842" spans="1:14" hidden="1" x14ac:dyDescent="0.15">
      <c r="A2842">
        <v>2842</v>
      </c>
      <c r="B2842" t="s">
        <v>35</v>
      </c>
      <c r="C2842" t="s">
        <v>23</v>
      </c>
      <c r="D2842" s="72" t="s">
        <v>461</v>
      </c>
      <c r="E2842" t="s">
        <v>61</v>
      </c>
      <c r="F2842" t="s">
        <v>4752</v>
      </c>
      <c r="G2842" s="92">
        <v>42799.611435185187</v>
      </c>
      <c r="H2842" s="92">
        <v>42799.611435185187</v>
      </c>
      <c r="I2842" s="92">
        <v>42799.611435185187</v>
      </c>
      <c r="J2842" s="92"/>
      <c r="K2842" s="92">
        <v>42799.625972222224</v>
      </c>
      <c r="L2842" s="92">
        <f>IF(AND(单词表[[#This Row],[学英]]&lt;&gt;"",单词表[[#This Row],[学中]]&lt;&gt;"",单词表[[#This Row],[学词]]&lt;&gt;""),MAX(单词表[[#This Row],[学英]:[学词]]),"")</f>
        <v>42799.611435185187</v>
      </c>
      <c r="M2842" s="2" t="str">
        <f>IF(AND(单词表[[#This Row],[考英]]&lt;&gt;"",单词表[[#This Row],[考中]]&lt;&gt;""),MAX(单词表[[#This Row],[考英]:[考中]]),"")</f>
        <v/>
      </c>
      <c r="N2842" s="79"/>
    </row>
    <row r="2843" spans="1:14" hidden="1" x14ac:dyDescent="0.15">
      <c r="A2843">
        <v>2843</v>
      </c>
      <c r="B2843" t="s">
        <v>35</v>
      </c>
      <c r="C2843" t="s">
        <v>23</v>
      </c>
      <c r="D2843" s="72" t="s">
        <v>4753</v>
      </c>
      <c r="E2843" t="s">
        <v>73</v>
      </c>
      <c r="F2843" t="s">
        <v>4754</v>
      </c>
      <c r="G2843" s="92">
        <v>42799.611493055556</v>
      </c>
      <c r="H2843" s="92">
        <v>42799.624282407407</v>
      </c>
      <c r="I2843" s="92">
        <v>42799.624282407407</v>
      </c>
      <c r="J2843" s="92"/>
      <c r="K2843" s="92">
        <v>42799.626030092593</v>
      </c>
      <c r="L2843" s="92">
        <f>IF(AND(单词表[[#This Row],[学英]]&lt;&gt;"",单词表[[#This Row],[学中]]&lt;&gt;"",单词表[[#This Row],[学词]]&lt;&gt;""),MAX(单词表[[#This Row],[学英]:[学词]]),"")</f>
        <v>42799.624282407407</v>
      </c>
      <c r="M2843" s="2" t="str">
        <f>IF(AND(单词表[[#This Row],[考英]]&lt;&gt;"",单词表[[#This Row],[考中]]&lt;&gt;""),MAX(单词表[[#This Row],[考英]:[考中]]),"")</f>
        <v/>
      </c>
      <c r="N2843" s="79"/>
    </row>
    <row r="2844" spans="1:14" hidden="1" x14ac:dyDescent="0.15">
      <c r="A2844">
        <v>2844</v>
      </c>
      <c r="B2844" t="s">
        <v>35</v>
      </c>
      <c r="C2844" t="s">
        <v>23</v>
      </c>
      <c r="D2844" s="72" t="s">
        <v>4755</v>
      </c>
      <c r="E2844" t="s">
        <v>73</v>
      </c>
      <c r="F2844" t="s">
        <v>4756</v>
      </c>
      <c r="G2844" s="92">
        <v>42799.611516203702</v>
      </c>
      <c r="H2844" s="92">
        <v>42799.624374999999</v>
      </c>
      <c r="I2844" s="92">
        <v>42799.624374999999</v>
      </c>
      <c r="J2844" s="92"/>
      <c r="K2844" s="92">
        <v>42799.62605324074</v>
      </c>
      <c r="L2844" s="92">
        <f>IF(AND(单词表[[#This Row],[学英]]&lt;&gt;"",单词表[[#This Row],[学中]]&lt;&gt;"",单词表[[#This Row],[学词]]&lt;&gt;""),MAX(单词表[[#This Row],[学英]:[学词]]),"")</f>
        <v>42799.624374999999</v>
      </c>
      <c r="M2844" s="2" t="str">
        <f>IF(AND(单词表[[#This Row],[考英]]&lt;&gt;"",单词表[[#This Row],[考中]]&lt;&gt;""),MAX(单词表[[#This Row],[考英]:[考中]]),"")</f>
        <v/>
      </c>
      <c r="N2844" s="79"/>
    </row>
    <row r="2845" spans="1:14" hidden="1" x14ac:dyDescent="0.15">
      <c r="A2845">
        <v>2845</v>
      </c>
      <c r="B2845" t="s">
        <v>35</v>
      </c>
      <c r="C2845" t="s">
        <v>23</v>
      </c>
      <c r="D2845" s="72" t="s">
        <v>4757</v>
      </c>
      <c r="E2845" t="s">
        <v>73</v>
      </c>
      <c r="F2845" t="s">
        <v>4758</v>
      </c>
      <c r="G2845" s="92">
        <v>42799.624513888892</v>
      </c>
      <c r="H2845" s="92">
        <v>42799.624513888892</v>
      </c>
      <c r="I2845" s="92">
        <v>42799.624513888892</v>
      </c>
      <c r="J2845" s="92"/>
      <c r="K2845" s="92">
        <v>42799.626087962963</v>
      </c>
      <c r="L2845" s="92">
        <f>IF(AND(单词表[[#This Row],[学英]]&lt;&gt;"",单词表[[#This Row],[学中]]&lt;&gt;"",单词表[[#This Row],[学词]]&lt;&gt;""),MAX(单词表[[#This Row],[学英]:[学词]]),"")</f>
        <v>42799.624513888892</v>
      </c>
      <c r="M2845" s="2" t="str">
        <f>IF(AND(单词表[[#This Row],[考英]]&lt;&gt;"",单词表[[#This Row],[考中]]&lt;&gt;""),MAX(单词表[[#This Row],[考英]:[考中]]),"")</f>
        <v/>
      </c>
      <c r="N2845" s="79"/>
    </row>
    <row r="2846" spans="1:14" hidden="1" x14ac:dyDescent="0.15">
      <c r="A2846">
        <v>2846</v>
      </c>
      <c r="B2846" t="s">
        <v>35</v>
      </c>
      <c r="C2846" t="s">
        <v>24</v>
      </c>
      <c r="D2846" s="72" t="s">
        <v>4759</v>
      </c>
      <c r="E2846" t="s">
        <v>36</v>
      </c>
      <c r="F2846" t="s">
        <v>4760</v>
      </c>
      <c r="G2846" s="92">
        <v>42802.744560185187</v>
      </c>
      <c r="H2846" s="92">
        <v>42802.744560185187</v>
      </c>
      <c r="I2846" s="92">
        <v>42802.744560185187</v>
      </c>
      <c r="J2846" s="92"/>
      <c r="K2846" s="92">
        <v>42802.787349537037</v>
      </c>
      <c r="L2846" s="92">
        <f>IF(AND(单词表[[#This Row],[学英]]&lt;&gt;"",单词表[[#This Row],[学中]]&lt;&gt;"",单词表[[#This Row],[学词]]&lt;&gt;""),MAX(单词表[[#This Row],[学英]:[学词]]),"")</f>
        <v>42802.744560185187</v>
      </c>
      <c r="M2846" s="2" t="str">
        <f>IF(AND(单词表[[#This Row],[考英]]&lt;&gt;"",单词表[[#This Row],[考中]]&lt;&gt;""),MAX(单词表[[#This Row],[考英]:[考中]]),"")</f>
        <v/>
      </c>
      <c r="N2846" s="79"/>
    </row>
    <row r="2847" spans="1:14" hidden="1" x14ac:dyDescent="0.15">
      <c r="A2847">
        <v>2847</v>
      </c>
      <c r="B2847" t="s">
        <v>35</v>
      </c>
      <c r="C2847" t="s">
        <v>24</v>
      </c>
      <c r="D2847" s="72" t="s">
        <v>2624</v>
      </c>
      <c r="E2847" t="s">
        <v>702</v>
      </c>
      <c r="F2847" t="s">
        <v>2625</v>
      </c>
      <c r="G2847" s="92">
        <v>42802.744583333333</v>
      </c>
      <c r="H2847" s="92">
        <v>42802.744583333333</v>
      </c>
      <c r="I2847" s="92">
        <v>42802.744583333333</v>
      </c>
      <c r="J2847" s="92"/>
      <c r="K2847" s="92">
        <v>42802.787407407406</v>
      </c>
      <c r="L2847" s="92">
        <f>IF(AND(单词表[[#This Row],[学英]]&lt;&gt;"",单词表[[#This Row],[学中]]&lt;&gt;"",单词表[[#This Row],[学词]]&lt;&gt;""),MAX(单词表[[#This Row],[学英]:[学词]]),"")</f>
        <v>42802.744583333333</v>
      </c>
      <c r="M2847" s="2" t="str">
        <f>IF(AND(单词表[[#This Row],[考英]]&lt;&gt;"",单词表[[#This Row],[考中]]&lt;&gt;""),MAX(单词表[[#This Row],[考英]:[考中]]),"")</f>
        <v/>
      </c>
      <c r="N2847" s="79"/>
    </row>
    <row r="2848" spans="1:14" hidden="1" x14ac:dyDescent="0.15">
      <c r="A2848">
        <v>2848</v>
      </c>
      <c r="B2848" t="s">
        <v>35</v>
      </c>
      <c r="C2848" t="s">
        <v>24</v>
      </c>
      <c r="D2848" s="72" t="s">
        <v>2272</v>
      </c>
      <c r="E2848" t="s">
        <v>36</v>
      </c>
      <c r="F2848" t="s">
        <v>2273</v>
      </c>
      <c r="G2848" s="92">
        <v>42802.74459490741</v>
      </c>
      <c r="H2848" s="92">
        <v>42802.74459490741</v>
      </c>
      <c r="I2848" s="92">
        <v>42802.74459490741</v>
      </c>
      <c r="J2848" s="92"/>
      <c r="K2848" s="92">
        <v>42802.787453703706</v>
      </c>
      <c r="L2848" s="92">
        <f>IF(AND(单词表[[#This Row],[学英]]&lt;&gt;"",单词表[[#This Row],[学中]]&lt;&gt;"",单词表[[#This Row],[学词]]&lt;&gt;""),MAX(单词表[[#This Row],[学英]:[学词]]),"")</f>
        <v>42802.74459490741</v>
      </c>
      <c r="M2848" s="2" t="str">
        <f>IF(AND(单词表[[#This Row],[考英]]&lt;&gt;"",单词表[[#This Row],[考中]]&lt;&gt;""),MAX(单词表[[#This Row],[考英]:[考中]]),"")</f>
        <v/>
      </c>
      <c r="N2848" s="79"/>
    </row>
    <row r="2849" spans="1:14" hidden="1" x14ac:dyDescent="0.15">
      <c r="A2849">
        <v>2849</v>
      </c>
      <c r="B2849" t="s">
        <v>35</v>
      </c>
      <c r="C2849" t="s">
        <v>24</v>
      </c>
      <c r="D2849" s="72" t="s">
        <v>2269</v>
      </c>
      <c r="E2849" t="s">
        <v>36</v>
      </c>
      <c r="F2849" t="s">
        <v>2270</v>
      </c>
      <c r="G2849" s="92">
        <v>42802.744618055556</v>
      </c>
      <c r="H2849" s="92">
        <v>42802.744618055556</v>
      </c>
      <c r="I2849" s="92">
        <v>42802.744618055556</v>
      </c>
      <c r="J2849" s="92"/>
      <c r="K2849" s="92">
        <v>42802.787476851852</v>
      </c>
      <c r="L2849" s="92">
        <f>IF(AND(单词表[[#This Row],[学英]]&lt;&gt;"",单词表[[#This Row],[学中]]&lt;&gt;"",单词表[[#This Row],[学词]]&lt;&gt;""),MAX(单词表[[#This Row],[学英]:[学词]]),"")</f>
        <v>42802.744618055556</v>
      </c>
      <c r="M2849" s="2" t="str">
        <f>IF(AND(单词表[[#This Row],[考英]]&lt;&gt;"",单词表[[#This Row],[考中]]&lt;&gt;""),MAX(单词表[[#This Row],[考英]:[考中]]),"")</f>
        <v/>
      </c>
      <c r="N2849" s="79"/>
    </row>
    <row r="2850" spans="1:14" hidden="1" x14ac:dyDescent="0.15">
      <c r="A2850">
        <v>2850</v>
      </c>
      <c r="B2850" t="s">
        <v>35</v>
      </c>
      <c r="C2850" t="s">
        <v>24</v>
      </c>
      <c r="D2850" s="72" t="s">
        <v>4761</v>
      </c>
      <c r="E2850" t="s">
        <v>36</v>
      </c>
      <c r="F2850" t="s">
        <v>4762</v>
      </c>
      <c r="G2850" s="92">
        <v>42802.744652777779</v>
      </c>
      <c r="H2850" s="92">
        <v>42802.744652777779</v>
      </c>
      <c r="I2850" s="92">
        <v>42802.744652777779</v>
      </c>
      <c r="J2850" s="92"/>
      <c r="K2850" s="92">
        <v>42802.787511574075</v>
      </c>
      <c r="L2850" s="92">
        <f>IF(AND(单词表[[#This Row],[学英]]&lt;&gt;"",单词表[[#This Row],[学中]]&lt;&gt;"",单词表[[#This Row],[学词]]&lt;&gt;""),MAX(单词表[[#This Row],[学英]:[学词]]),"")</f>
        <v>42802.744652777779</v>
      </c>
      <c r="M2850" s="2" t="str">
        <f>IF(AND(单词表[[#This Row],[考英]]&lt;&gt;"",单词表[[#This Row],[考中]]&lt;&gt;""),MAX(单词表[[#This Row],[考英]:[考中]]),"")</f>
        <v/>
      </c>
      <c r="N2850" s="79"/>
    </row>
    <row r="2851" spans="1:14" hidden="1" x14ac:dyDescent="0.15">
      <c r="A2851">
        <v>2851</v>
      </c>
      <c r="B2851" t="s">
        <v>35</v>
      </c>
      <c r="C2851" t="s">
        <v>24</v>
      </c>
      <c r="D2851" s="72" t="s">
        <v>2274</v>
      </c>
      <c r="E2851" t="s">
        <v>36</v>
      </c>
      <c r="F2851" t="s">
        <v>2275</v>
      </c>
      <c r="G2851" s="92">
        <v>42802.744664351849</v>
      </c>
      <c r="H2851" s="92">
        <v>42802.744664351849</v>
      </c>
      <c r="I2851" s="92">
        <v>42802.744664351849</v>
      </c>
      <c r="J2851" s="92"/>
      <c r="K2851" s="92">
        <v>42802.787534722222</v>
      </c>
      <c r="L2851" s="92">
        <f>IF(AND(单词表[[#This Row],[学英]]&lt;&gt;"",单词表[[#This Row],[学中]]&lt;&gt;"",单词表[[#This Row],[学词]]&lt;&gt;""),MAX(单词表[[#This Row],[学英]:[学词]]),"")</f>
        <v>42802.744664351849</v>
      </c>
      <c r="M2851" s="2" t="str">
        <f>IF(AND(单词表[[#This Row],[考英]]&lt;&gt;"",单词表[[#This Row],[考中]]&lt;&gt;""),MAX(单词表[[#This Row],[考英]:[考中]]),"")</f>
        <v/>
      </c>
      <c r="N2851" s="79"/>
    </row>
    <row r="2852" spans="1:14" hidden="1" x14ac:dyDescent="0.15">
      <c r="A2852">
        <v>2852</v>
      </c>
      <c r="B2852" t="s">
        <v>35</v>
      </c>
      <c r="C2852" t="s">
        <v>24</v>
      </c>
      <c r="D2852" s="72" t="s">
        <v>658</v>
      </c>
      <c r="E2852" t="s">
        <v>36</v>
      </c>
      <c r="F2852" t="s">
        <v>4763</v>
      </c>
      <c r="G2852" s="92">
        <v>42802.744687500002</v>
      </c>
      <c r="H2852" s="92">
        <v>42802.757974537039</v>
      </c>
      <c r="I2852" s="92">
        <v>42802.757974537039</v>
      </c>
      <c r="J2852" s="92"/>
      <c r="K2852" s="92">
        <v>42802.787581018521</v>
      </c>
      <c r="L2852" s="92">
        <f>IF(AND(单词表[[#This Row],[学英]]&lt;&gt;"",单词表[[#This Row],[学中]]&lt;&gt;"",单词表[[#This Row],[学词]]&lt;&gt;""),MAX(单词表[[#This Row],[学英]:[学词]]),"")</f>
        <v>42802.757974537039</v>
      </c>
      <c r="M2852" s="2" t="str">
        <f>IF(AND(单词表[[#This Row],[考英]]&lt;&gt;"",单词表[[#This Row],[考中]]&lt;&gt;""),MAX(单词表[[#This Row],[考英]:[考中]]),"")</f>
        <v/>
      </c>
      <c r="N2852" s="79"/>
    </row>
    <row r="2853" spans="1:14" hidden="1" x14ac:dyDescent="0.15">
      <c r="A2853">
        <v>2853</v>
      </c>
      <c r="B2853" t="s">
        <v>35</v>
      </c>
      <c r="C2853" t="s">
        <v>24</v>
      </c>
      <c r="D2853" s="72" t="s">
        <v>4764</v>
      </c>
      <c r="E2853" t="s">
        <v>36</v>
      </c>
      <c r="F2853" t="s">
        <v>4765</v>
      </c>
      <c r="G2853" s="92">
        <v>42802.744722222225</v>
      </c>
      <c r="H2853" s="92">
        <v>42802.758020833331</v>
      </c>
      <c r="I2853" s="92">
        <v>42802.758020833331</v>
      </c>
      <c r="J2853" s="92"/>
      <c r="K2853" s="92">
        <v>42802.787638888891</v>
      </c>
      <c r="L2853" s="92">
        <f>IF(AND(单词表[[#This Row],[学英]]&lt;&gt;"",单词表[[#This Row],[学中]]&lt;&gt;"",单词表[[#This Row],[学词]]&lt;&gt;""),MAX(单词表[[#This Row],[学英]:[学词]]),"")</f>
        <v>42802.758020833331</v>
      </c>
      <c r="M2853" s="2" t="str">
        <f>IF(AND(单词表[[#This Row],[考英]]&lt;&gt;"",单词表[[#This Row],[考中]]&lt;&gt;""),MAX(单词表[[#This Row],[考英]:[考中]]),"")</f>
        <v/>
      </c>
      <c r="N2853" s="79"/>
    </row>
    <row r="2854" spans="1:14" hidden="1" x14ac:dyDescent="0.15">
      <c r="A2854">
        <v>2854</v>
      </c>
      <c r="B2854" t="s">
        <v>35</v>
      </c>
      <c r="C2854" t="s">
        <v>24</v>
      </c>
      <c r="D2854" s="72" t="s">
        <v>4766</v>
      </c>
      <c r="E2854" t="s">
        <v>36</v>
      </c>
      <c r="F2854" t="s">
        <v>4767</v>
      </c>
      <c r="G2854" s="92">
        <v>42802.744733796295</v>
      </c>
      <c r="H2854" s="92">
        <v>42802.744733796295</v>
      </c>
      <c r="I2854" s="92">
        <v>42802.744733796295</v>
      </c>
      <c r="J2854" s="92"/>
      <c r="K2854" s="92">
        <v>42802.787685185183</v>
      </c>
      <c r="L2854" s="92">
        <f>IF(AND(单词表[[#This Row],[学英]]&lt;&gt;"",单词表[[#This Row],[学中]]&lt;&gt;"",单词表[[#This Row],[学词]]&lt;&gt;""),MAX(单词表[[#This Row],[学英]:[学词]]),"")</f>
        <v>42802.744733796295</v>
      </c>
      <c r="M2854" s="2" t="str">
        <f>IF(AND(单词表[[#This Row],[考英]]&lt;&gt;"",单词表[[#This Row],[考中]]&lt;&gt;""),MAX(单词表[[#This Row],[考英]:[考中]]),"")</f>
        <v/>
      </c>
      <c r="N2854" s="79"/>
    </row>
    <row r="2855" spans="1:14" hidden="1" x14ac:dyDescent="0.15">
      <c r="A2855">
        <v>2855</v>
      </c>
      <c r="B2855" t="s">
        <v>35</v>
      </c>
      <c r="C2855" t="s">
        <v>24</v>
      </c>
      <c r="D2855" s="72" t="s">
        <v>4768</v>
      </c>
      <c r="E2855" t="s">
        <v>36</v>
      </c>
      <c r="F2855" t="s">
        <v>4769</v>
      </c>
      <c r="G2855" s="92">
        <v>42802.744768518518</v>
      </c>
      <c r="H2855" s="92">
        <v>42802.788472222222</v>
      </c>
      <c r="I2855" s="92">
        <v>42802.788472222222</v>
      </c>
      <c r="J2855" s="92"/>
      <c r="K2855" s="92">
        <v>42802.854328703703</v>
      </c>
      <c r="L2855" s="92">
        <f>IF(AND(单词表[[#This Row],[学英]]&lt;&gt;"",单词表[[#This Row],[学中]]&lt;&gt;"",单词表[[#This Row],[学词]]&lt;&gt;""),MAX(单词表[[#This Row],[学英]:[学词]]),"")</f>
        <v>42802.788472222222</v>
      </c>
      <c r="M2855" s="2" t="str">
        <f>IF(AND(单词表[[#This Row],[考英]]&lt;&gt;"",单词表[[#This Row],[考中]]&lt;&gt;""),MAX(单词表[[#This Row],[考英]:[考中]]),"")</f>
        <v/>
      </c>
      <c r="N2855" s="79"/>
    </row>
    <row r="2856" spans="1:14" hidden="1" x14ac:dyDescent="0.15">
      <c r="A2856">
        <v>2856</v>
      </c>
      <c r="B2856" t="s">
        <v>35</v>
      </c>
      <c r="C2856" t="s">
        <v>24</v>
      </c>
      <c r="D2856" s="72" t="s">
        <v>4770</v>
      </c>
      <c r="E2856" t="s">
        <v>1019</v>
      </c>
      <c r="F2856" t="s">
        <v>4771</v>
      </c>
      <c r="G2856" s="92">
        <v>42802.744791666664</v>
      </c>
      <c r="H2856" s="92">
        <v>42802.856620370374</v>
      </c>
      <c r="I2856" s="92">
        <v>42802.856620370374</v>
      </c>
      <c r="J2856" s="92"/>
      <c r="K2856" s="92">
        <v>42802.856724537036</v>
      </c>
      <c r="L2856" s="92">
        <f>IF(AND(单词表[[#This Row],[学英]]&lt;&gt;"",单词表[[#This Row],[学中]]&lt;&gt;"",单词表[[#This Row],[学词]]&lt;&gt;""),MAX(单词表[[#This Row],[学英]:[学词]]),"")</f>
        <v>42802.856620370374</v>
      </c>
      <c r="M2856" s="2" t="str">
        <f>IF(AND(单词表[[#This Row],[考英]]&lt;&gt;"",单词表[[#This Row],[考中]]&lt;&gt;""),MAX(单词表[[#This Row],[考英]:[考中]]),"")</f>
        <v/>
      </c>
      <c r="N2856" s="79"/>
    </row>
    <row r="2857" spans="1:14" hidden="1" x14ac:dyDescent="0.15">
      <c r="A2857">
        <v>2857</v>
      </c>
      <c r="B2857" t="s">
        <v>35</v>
      </c>
      <c r="C2857" t="s">
        <v>24</v>
      </c>
      <c r="D2857" s="72" t="s">
        <v>4772</v>
      </c>
      <c r="E2857" t="s">
        <v>157</v>
      </c>
      <c r="F2857" t="s">
        <v>4773</v>
      </c>
      <c r="G2857" s="92">
        <v>42802.744814814818</v>
      </c>
      <c r="H2857" s="92">
        <v>42802.856099537035</v>
      </c>
      <c r="I2857" s="92">
        <v>42802.856099537035</v>
      </c>
      <c r="J2857" s="92"/>
      <c r="K2857" s="92">
        <v>42802.856319444443</v>
      </c>
      <c r="L2857" s="92">
        <f>IF(AND(单词表[[#This Row],[学英]]&lt;&gt;"",单词表[[#This Row],[学中]]&lt;&gt;"",单词表[[#This Row],[学词]]&lt;&gt;""),MAX(单词表[[#This Row],[学英]:[学词]]),"")</f>
        <v>42802.856099537035</v>
      </c>
      <c r="M2857" s="2" t="str">
        <f>IF(AND(单词表[[#This Row],[考英]]&lt;&gt;"",单词表[[#This Row],[考中]]&lt;&gt;""),MAX(单词表[[#This Row],[考英]:[考中]]),"")</f>
        <v/>
      </c>
      <c r="N2857" s="79"/>
    </row>
    <row r="2858" spans="1:14" hidden="1" x14ac:dyDescent="0.15">
      <c r="A2858">
        <v>2858</v>
      </c>
      <c r="B2858" t="s">
        <v>35</v>
      </c>
      <c r="C2858" t="s">
        <v>24</v>
      </c>
      <c r="D2858" s="72" t="s">
        <v>4774</v>
      </c>
      <c r="E2858" t="s">
        <v>36</v>
      </c>
      <c r="F2858" t="s">
        <v>4775</v>
      </c>
      <c r="G2858" s="92">
        <v>42802.744837962964</v>
      </c>
      <c r="H2858" s="92">
        <v>42802.85664351852</v>
      </c>
      <c r="I2858" s="92">
        <v>42802.85664351852</v>
      </c>
      <c r="J2858" s="92"/>
      <c r="K2858" s="92">
        <v>42802.856770833336</v>
      </c>
      <c r="L2858" s="92">
        <f>IF(AND(单词表[[#This Row],[学英]]&lt;&gt;"",单词表[[#This Row],[学中]]&lt;&gt;"",单词表[[#This Row],[学词]]&lt;&gt;""),MAX(单词表[[#This Row],[学英]:[学词]]),"")</f>
        <v>42802.85664351852</v>
      </c>
      <c r="M2858" s="2" t="str">
        <f>IF(AND(单词表[[#This Row],[考英]]&lt;&gt;"",单词表[[#This Row],[考中]]&lt;&gt;""),MAX(单词表[[#This Row],[考英]:[考中]]),"")</f>
        <v/>
      </c>
      <c r="N2858" s="79"/>
    </row>
    <row r="2859" spans="1:14" hidden="1" x14ac:dyDescent="0.15">
      <c r="A2859">
        <v>2859</v>
      </c>
      <c r="B2859" t="s">
        <v>35</v>
      </c>
      <c r="C2859" t="s">
        <v>24</v>
      </c>
      <c r="D2859" s="72" t="s">
        <v>4776</v>
      </c>
      <c r="E2859" t="s">
        <v>36</v>
      </c>
      <c r="F2859" t="s">
        <v>4777</v>
      </c>
      <c r="G2859" s="92">
        <v>42802.786724537036</v>
      </c>
      <c r="H2859" s="92">
        <v>42802.856145833335</v>
      </c>
      <c r="I2859" s="92">
        <v>42802.856145833335</v>
      </c>
      <c r="J2859" s="92"/>
      <c r="K2859" s="92">
        <v>42802.856469907405</v>
      </c>
      <c r="L2859" s="92">
        <f>IF(AND(单词表[[#This Row],[学英]]&lt;&gt;"",单词表[[#This Row],[学中]]&lt;&gt;"",单词表[[#This Row],[学词]]&lt;&gt;""),MAX(单词表[[#This Row],[学英]:[学词]]),"")</f>
        <v>42802.856145833335</v>
      </c>
      <c r="M2859" s="2" t="str">
        <f>IF(AND(单词表[[#This Row],[考英]]&lt;&gt;"",单词表[[#This Row],[考中]]&lt;&gt;""),MAX(单词表[[#This Row],[考英]:[考中]]),"")</f>
        <v/>
      </c>
      <c r="N2859" s="79"/>
    </row>
    <row r="2860" spans="1:14" hidden="1" x14ac:dyDescent="0.15">
      <c r="A2860">
        <v>2860</v>
      </c>
      <c r="B2860" t="s">
        <v>35</v>
      </c>
      <c r="C2860" t="s">
        <v>24</v>
      </c>
      <c r="D2860" s="72" t="s">
        <v>4778</v>
      </c>
      <c r="E2860" t="s">
        <v>36</v>
      </c>
      <c r="F2860" t="s">
        <v>4779</v>
      </c>
      <c r="G2860" s="92">
        <v>42802.787210648145</v>
      </c>
      <c r="H2860" s="92">
        <v>42802.787210648145</v>
      </c>
      <c r="I2860" s="92">
        <v>42802.787210648145</v>
      </c>
      <c r="J2860" s="92"/>
      <c r="K2860" s="92">
        <v>42802.854363425926</v>
      </c>
      <c r="L2860" s="92">
        <f>IF(AND(单词表[[#This Row],[学英]]&lt;&gt;"",单词表[[#This Row],[学中]]&lt;&gt;"",单词表[[#This Row],[学词]]&lt;&gt;""),MAX(单词表[[#This Row],[学英]:[学词]]),"")</f>
        <v>42802.787210648145</v>
      </c>
      <c r="M2860" s="2" t="str">
        <f>IF(AND(单词表[[#This Row],[考英]]&lt;&gt;"",单词表[[#This Row],[考中]]&lt;&gt;""),MAX(单词表[[#This Row],[考英]:[考中]]),"")</f>
        <v/>
      </c>
      <c r="N2860" s="79"/>
    </row>
    <row r="2861" spans="1:14" hidden="1" x14ac:dyDescent="0.15">
      <c r="A2861">
        <v>2861</v>
      </c>
      <c r="B2861" t="s">
        <v>35</v>
      </c>
      <c r="C2861" t="s">
        <v>24</v>
      </c>
      <c r="D2861" s="72" t="s">
        <v>2719</v>
      </c>
      <c r="E2861" t="s">
        <v>36</v>
      </c>
      <c r="F2861" t="s">
        <v>1313</v>
      </c>
      <c r="G2861" s="92">
        <v>42802.787152777775</v>
      </c>
      <c r="H2861" s="92">
        <v>42802.854201388887</v>
      </c>
      <c r="I2861" s="92">
        <v>42802.854201388887</v>
      </c>
      <c r="J2861" s="92"/>
      <c r="K2861" s="92">
        <v>42802.854386574072</v>
      </c>
      <c r="L2861" s="92">
        <f>IF(AND(单词表[[#This Row],[学英]]&lt;&gt;"",单词表[[#This Row],[学中]]&lt;&gt;"",单词表[[#This Row],[学词]]&lt;&gt;""),MAX(单词表[[#This Row],[学英]:[学词]]),"")</f>
        <v>42802.854201388887</v>
      </c>
      <c r="M2861" s="2" t="str">
        <f>IF(AND(单词表[[#This Row],[考英]]&lt;&gt;"",单词表[[#This Row],[考中]]&lt;&gt;""),MAX(单词表[[#This Row],[考英]:[考中]]),"")</f>
        <v/>
      </c>
      <c r="N2861" s="79"/>
    </row>
    <row r="2862" spans="1:14" hidden="1" x14ac:dyDescent="0.15">
      <c r="A2862">
        <v>2862</v>
      </c>
      <c r="B2862" t="s">
        <v>35</v>
      </c>
      <c r="C2862" t="s">
        <v>24</v>
      </c>
      <c r="D2862" s="72" t="s">
        <v>4780</v>
      </c>
      <c r="E2862" t="s">
        <v>36</v>
      </c>
      <c r="F2862" t="s">
        <v>4781</v>
      </c>
      <c r="G2862" s="92">
        <v>42802.787118055552</v>
      </c>
      <c r="H2862" s="92">
        <v>42802.854178240741</v>
      </c>
      <c r="I2862" s="92">
        <v>42802.854178240741</v>
      </c>
      <c r="J2862" s="92"/>
      <c r="K2862" s="92">
        <v>42802.854421296295</v>
      </c>
      <c r="L2862" s="92">
        <f>IF(AND(单词表[[#This Row],[学英]]&lt;&gt;"",单词表[[#This Row],[学中]]&lt;&gt;"",单词表[[#This Row],[学词]]&lt;&gt;""),MAX(单词表[[#This Row],[学英]:[学词]]),"")</f>
        <v>42802.854178240741</v>
      </c>
      <c r="M2862" s="2" t="str">
        <f>IF(AND(单词表[[#This Row],[考英]]&lt;&gt;"",单词表[[#This Row],[考中]]&lt;&gt;""),MAX(单词表[[#This Row],[考英]:[考中]]),"")</f>
        <v/>
      </c>
      <c r="N2862" s="79"/>
    </row>
    <row r="2863" spans="1:14" hidden="1" x14ac:dyDescent="0.15">
      <c r="A2863">
        <v>2863</v>
      </c>
      <c r="B2863" t="s">
        <v>35</v>
      </c>
      <c r="C2863" t="s">
        <v>24</v>
      </c>
      <c r="D2863" s="72" t="s">
        <v>2095</v>
      </c>
      <c r="E2863" t="s">
        <v>36</v>
      </c>
      <c r="F2863" t="s">
        <v>2096</v>
      </c>
      <c r="G2863" s="92">
        <v>42802.787094907406</v>
      </c>
      <c r="H2863" s="92">
        <v>42802.787094907406</v>
      </c>
      <c r="I2863" s="92">
        <v>42802.787094907406</v>
      </c>
      <c r="J2863" s="92"/>
      <c r="K2863" s="92">
        <v>42802.854456018518</v>
      </c>
      <c r="L2863" s="92">
        <f>IF(AND(单词表[[#This Row],[学英]]&lt;&gt;"",单词表[[#This Row],[学中]]&lt;&gt;"",单词表[[#This Row],[学词]]&lt;&gt;""),MAX(单词表[[#This Row],[学英]:[学词]]),"")</f>
        <v>42802.787094907406</v>
      </c>
      <c r="M2863" s="2" t="str">
        <f>IF(AND(单词表[[#This Row],[考英]]&lt;&gt;"",单词表[[#This Row],[考中]]&lt;&gt;""),MAX(单词表[[#This Row],[考英]:[考中]]),"")</f>
        <v/>
      </c>
      <c r="N2863" s="79"/>
    </row>
    <row r="2864" spans="1:14" hidden="1" x14ac:dyDescent="0.15">
      <c r="A2864">
        <v>2864</v>
      </c>
      <c r="B2864" t="s">
        <v>35</v>
      </c>
      <c r="C2864" t="s">
        <v>24</v>
      </c>
      <c r="D2864" s="72" t="s">
        <v>4782</v>
      </c>
      <c r="E2864" t="s">
        <v>702</v>
      </c>
      <c r="F2864" t="s">
        <v>4783</v>
      </c>
      <c r="G2864" s="92">
        <v>42802.787060185183</v>
      </c>
      <c r="H2864" s="92">
        <v>42802.791018518517</v>
      </c>
      <c r="I2864" s="92">
        <v>42802.791018518517</v>
      </c>
      <c r="J2864" s="92"/>
      <c r="K2864" s="92">
        <v>42802.854513888888</v>
      </c>
      <c r="L2864" s="92">
        <f>IF(AND(单词表[[#This Row],[学英]]&lt;&gt;"",单词表[[#This Row],[学中]]&lt;&gt;"",单词表[[#This Row],[学词]]&lt;&gt;""),MAX(单词表[[#This Row],[学英]:[学词]]),"")</f>
        <v>42802.791018518517</v>
      </c>
      <c r="M2864" s="2" t="str">
        <f>IF(AND(单词表[[#This Row],[考英]]&lt;&gt;"",单词表[[#This Row],[考中]]&lt;&gt;""),MAX(单词表[[#This Row],[考英]:[考中]]),"")</f>
        <v/>
      </c>
      <c r="N2864" s="79"/>
    </row>
    <row r="2865" spans="1:14" hidden="1" x14ac:dyDescent="0.15">
      <c r="A2865">
        <v>2865</v>
      </c>
      <c r="B2865" t="s">
        <v>35</v>
      </c>
      <c r="C2865" t="s">
        <v>24</v>
      </c>
      <c r="D2865" s="72" t="s">
        <v>4784</v>
      </c>
      <c r="E2865" t="s">
        <v>702</v>
      </c>
      <c r="F2865" t="s">
        <v>4785</v>
      </c>
      <c r="G2865" s="92">
        <v>42802.787037037036</v>
      </c>
      <c r="H2865" s="92">
        <v>42802.787037037036</v>
      </c>
      <c r="I2865" s="92">
        <v>42802.787037037036</v>
      </c>
      <c r="J2865" s="92"/>
      <c r="K2865" s="92">
        <v>42802.854548611111</v>
      </c>
      <c r="L2865" s="92">
        <f>IF(AND(单词表[[#This Row],[学英]]&lt;&gt;"",单词表[[#This Row],[学中]]&lt;&gt;"",单词表[[#This Row],[学词]]&lt;&gt;""),MAX(单词表[[#This Row],[学英]:[学词]]),"")</f>
        <v>42802.787037037036</v>
      </c>
      <c r="M2865" s="2" t="str">
        <f>IF(AND(单词表[[#This Row],[考英]]&lt;&gt;"",单词表[[#This Row],[考中]]&lt;&gt;""),MAX(单词表[[#This Row],[考英]:[考中]]),"")</f>
        <v/>
      </c>
      <c r="N2865" s="79"/>
    </row>
    <row r="2866" spans="1:14" hidden="1" x14ac:dyDescent="0.15">
      <c r="A2866">
        <v>2866</v>
      </c>
      <c r="B2866" t="s">
        <v>35</v>
      </c>
      <c r="C2866" t="s">
        <v>24</v>
      </c>
      <c r="D2866" s="72" t="s">
        <v>4786</v>
      </c>
      <c r="E2866" t="s">
        <v>702</v>
      </c>
      <c r="F2866" t="s">
        <v>4787</v>
      </c>
      <c r="G2866" s="92">
        <v>42802.786990740744</v>
      </c>
      <c r="H2866" s="92">
        <v>42802.791076388887</v>
      </c>
      <c r="I2866" s="92">
        <v>42802.791076388887</v>
      </c>
      <c r="J2866" s="92"/>
      <c r="K2866" s="92">
        <v>42802.854594907411</v>
      </c>
      <c r="L2866" s="92">
        <f>IF(AND(单词表[[#This Row],[学英]]&lt;&gt;"",单词表[[#This Row],[学中]]&lt;&gt;"",单词表[[#This Row],[学词]]&lt;&gt;""),MAX(单词表[[#This Row],[学英]:[学词]]),"")</f>
        <v>42802.791076388887</v>
      </c>
      <c r="M2866" s="2" t="str">
        <f>IF(AND(单词表[[#This Row],[考英]]&lt;&gt;"",单词表[[#This Row],[考中]]&lt;&gt;""),MAX(单词表[[#This Row],[考英]:[考中]]),"")</f>
        <v/>
      </c>
      <c r="N2866" s="79"/>
    </row>
    <row r="2867" spans="1:14" hidden="1" x14ac:dyDescent="0.15">
      <c r="A2867">
        <v>2867</v>
      </c>
      <c r="B2867" t="s">
        <v>35</v>
      </c>
      <c r="C2867" t="s">
        <v>24</v>
      </c>
      <c r="D2867" s="72" t="s">
        <v>4788</v>
      </c>
      <c r="E2867" t="s">
        <v>61</v>
      </c>
      <c r="F2867" t="s">
        <v>4789</v>
      </c>
      <c r="G2867" s="92">
        <v>42802.78696759259</v>
      </c>
      <c r="H2867" s="92">
        <v>42802.854143518518</v>
      </c>
      <c r="I2867" s="92">
        <v>42802.854143518518</v>
      </c>
      <c r="J2867" s="92"/>
      <c r="K2867" s="92">
        <v>42802.854664351849</v>
      </c>
      <c r="L2867" s="92">
        <f>IF(AND(单词表[[#This Row],[学英]]&lt;&gt;"",单词表[[#This Row],[学中]]&lt;&gt;"",单词表[[#This Row],[学词]]&lt;&gt;""),MAX(单词表[[#This Row],[学英]:[学词]]),"")</f>
        <v>42802.854143518518</v>
      </c>
      <c r="M2867" s="2" t="str">
        <f>IF(AND(单词表[[#This Row],[考英]]&lt;&gt;"",单词表[[#This Row],[考中]]&lt;&gt;""),MAX(单词表[[#This Row],[考英]:[考中]]),"")</f>
        <v/>
      </c>
      <c r="N2867" s="79"/>
    </row>
    <row r="2868" spans="1:14" hidden="1" x14ac:dyDescent="0.15">
      <c r="A2868">
        <v>2868</v>
      </c>
      <c r="B2868" t="s">
        <v>35</v>
      </c>
      <c r="C2868" t="s">
        <v>24</v>
      </c>
      <c r="D2868" s="72" t="s">
        <v>4790</v>
      </c>
      <c r="E2868" t="s">
        <v>36</v>
      </c>
      <c r="F2868" t="s">
        <v>4791</v>
      </c>
      <c r="G2868" s="92">
        <v>42802.786944444444</v>
      </c>
      <c r="H2868" s="92">
        <v>42802.854074074072</v>
      </c>
      <c r="I2868" s="92">
        <v>42802.854074074072</v>
      </c>
      <c r="J2868" s="92"/>
      <c r="K2868" s="92">
        <v>42802.854687500003</v>
      </c>
      <c r="L2868" s="92">
        <f>IF(AND(单词表[[#This Row],[学英]]&lt;&gt;"",单词表[[#This Row],[学中]]&lt;&gt;"",单词表[[#This Row],[学词]]&lt;&gt;""),MAX(单词表[[#This Row],[学英]:[学词]]),"")</f>
        <v>42802.854074074072</v>
      </c>
      <c r="M2868" s="2" t="str">
        <f>IF(AND(单词表[[#This Row],[考英]]&lt;&gt;"",单词表[[#This Row],[考中]]&lt;&gt;""),MAX(单词表[[#This Row],[考英]:[考中]]),"")</f>
        <v/>
      </c>
      <c r="N2868" s="79"/>
    </row>
    <row r="2869" spans="1:14" hidden="1" x14ac:dyDescent="0.15">
      <c r="A2869">
        <v>2869</v>
      </c>
      <c r="B2869" t="s">
        <v>35</v>
      </c>
      <c r="C2869" t="s">
        <v>24</v>
      </c>
      <c r="D2869" s="72" t="s">
        <v>4792</v>
      </c>
      <c r="E2869" t="s">
        <v>61</v>
      </c>
      <c r="F2869" t="s">
        <v>4793</v>
      </c>
      <c r="G2869" s="92">
        <v>42803.832777777781</v>
      </c>
      <c r="H2869" s="92">
        <v>42803.832777777781</v>
      </c>
      <c r="I2869" s="92">
        <v>42803.832777777781</v>
      </c>
      <c r="J2869" s="92"/>
      <c r="K2869" s="92">
        <v>42803.865659722222</v>
      </c>
      <c r="L2869" s="92">
        <f>IF(AND(单词表[[#This Row],[学英]]&lt;&gt;"",单词表[[#This Row],[学中]]&lt;&gt;"",单词表[[#This Row],[学词]]&lt;&gt;""),MAX(单词表[[#This Row],[学英]:[学词]]),"")</f>
        <v>42803.832777777781</v>
      </c>
      <c r="M2869" s="2" t="str">
        <f>IF(AND(单词表[[#This Row],[考英]]&lt;&gt;"",单词表[[#This Row],[考中]]&lt;&gt;""),MAX(单词表[[#This Row],[考英]:[考中]]),"")</f>
        <v/>
      </c>
      <c r="N2869" s="79"/>
    </row>
    <row r="2870" spans="1:14" hidden="1" x14ac:dyDescent="0.15">
      <c r="A2870">
        <v>2870</v>
      </c>
      <c r="B2870" t="s">
        <v>35</v>
      </c>
      <c r="C2870" t="s">
        <v>24</v>
      </c>
      <c r="D2870" s="72" t="s">
        <v>4794</v>
      </c>
      <c r="E2870" t="s">
        <v>1021</v>
      </c>
      <c r="F2870" t="s">
        <v>4795</v>
      </c>
      <c r="G2870" s="92">
        <v>42803.832916666666</v>
      </c>
      <c r="H2870" s="92">
        <v>42803.862129629626</v>
      </c>
      <c r="I2870" s="92">
        <v>42803.862129629626</v>
      </c>
      <c r="J2870" s="92"/>
      <c r="K2870" s="92">
        <v>42803.865694444445</v>
      </c>
      <c r="L2870" s="92">
        <f>IF(AND(单词表[[#This Row],[学英]]&lt;&gt;"",单词表[[#This Row],[学中]]&lt;&gt;"",单词表[[#This Row],[学词]]&lt;&gt;""),MAX(单词表[[#This Row],[学英]:[学词]]),"")</f>
        <v>42803.862129629626</v>
      </c>
      <c r="M2870" s="2" t="str">
        <f>IF(AND(单词表[[#This Row],[考英]]&lt;&gt;"",单词表[[#This Row],[考中]]&lt;&gt;""),MAX(单词表[[#This Row],[考英]:[考中]]),"")</f>
        <v/>
      </c>
      <c r="N2870" s="79"/>
    </row>
    <row r="2871" spans="1:14" hidden="1" x14ac:dyDescent="0.15">
      <c r="A2871">
        <v>2871</v>
      </c>
      <c r="B2871" t="s">
        <v>35</v>
      </c>
      <c r="C2871" t="s">
        <v>24</v>
      </c>
      <c r="D2871" s="72" t="s">
        <v>4796</v>
      </c>
      <c r="E2871" t="s">
        <v>1021</v>
      </c>
      <c r="F2871" t="s">
        <v>4797</v>
      </c>
      <c r="G2871" s="92">
        <v>42803.832986111112</v>
      </c>
      <c r="H2871" s="92">
        <v>42803.832997685182</v>
      </c>
      <c r="I2871" s="92">
        <v>42803.832997685182</v>
      </c>
      <c r="J2871" s="92"/>
      <c r="K2871" s="92">
        <v>42803.865729166668</v>
      </c>
      <c r="L2871" s="92">
        <f>IF(AND(单词表[[#This Row],[学英]]&lt;&gt;"",单词表[[#This Row],[学中]]&lt;&gt;"",单词表[[#This Row],[学词]]&lt;&gt;""),MAX(单词表[[#This Row],[学英]:[学词]]),"")</f>
        <v>42803.832997685182</v>
      </c>
      <c r="M2871" s="2" t="str">
        <f>IF(AND(单词表[[#This Row],[考英]]&lt;&gt;"",单词表[[#This Row],[考中]]&lt;&gt;""),MAX(单词表[[#This Row],[考英]:[考中]]),"")</f>
        <v/>
      </c>
      <c r="N2871" s="79"/>
    </row>
    <row r="2872" spans="1:14" hidden="1" x14ac:dyDescent="0.15">
      <c r="A2872">
        <v>2872</v>
      </c>
      <c r="B2872" t="s">
        <v>35</v>
      </c>
      <c r="C2872" t="s">
        <v>24</v>
      </c>
      <c r="D2872" s="72" t="s">
        <v>3273</v>
      </c>
      <c r="E2872" t="s">
        <v>61</v>
      </c>
      <c r="F2872" t="s">
        <v>3274</v>
      </c>
      <c r="G2872" s="92">
        <v>42803.833020833335</v>
      </c>
      <c r="H2872" s="92">
        <v>42803.862245370372</v>
      </c>
      <c r="I2872" s="92">
        <v>42803.862245370372</v>
      </c>
      <c r="J2872" s="92"/>
      <c r="K2872" s="92">
        <v>42803.865752314814</v>
      </c>
      <c r="L2872" s="92">
        <f>IF(AND(单词表[[#This Row],[学英]]&lt;&gt;"",单词表[[#This Row],[学中]]&lt;&gt;"",单词表[[#This Row],[学词]]&lt;&gt;""),MAX(单词表[[#This Row],[学英]:[学词]]),"")</f>
        <v>42803.862245370372</v>
      </c>
      <c r="M2872" s="2" t="str">
        <f>IF(AND(单词表[[#This Row],[考英]]&lt;&gt;"",单词表[[#This Row],[考中]]&lt;&gt;""),MAX(单词表[[#This Row],[考英]:[考中]]),"")</f>
        <v/>
      </c>
      <c r="N2872" s="79"/>
    </row>
    <row r="2873" spans="1:14" hidden="1" x14ac:dyDescent="0.15">
      <c r="A2873">
        <v>2873</v>
      </c>
      <c r="B2873" t="s">
        <v>35</v>
      </c>
      <c r="C2873" t="s">
        <v>24</v>
      </c>
      <c r="D2873" s="72" t="s">
        <v>4798</v>
      </c>
      <c r="E2873" t="s">
        <v>73</v>
      </c>
      <c r="F2873" t="s">
        <v>4799</v>
      </c>
      <c r="G2873" s="92">
        <v>42803.833043981482</v>
      </c>
      <c r="H2873" s="92">
        <v>42803.863078703704</v>
      </c>
      <c r="I2873" s="92">
        <v>42803.863078703704</v>
      </c>
      <c r="J2873" s="92"/>
      <c r="K2873" s="92">
        <v>42803.865914351853</v>
      </c>
      <c r="L2873" s="92">
        <f>IF(AND(单词表[[#This Row],[学英]]&lt;&gt;"",单词表[[#This Row],[学中]]&lt;&gt;"",单词表[[#This Row],[学词]]&lt;&gt;""),MAX(单词表[[#This Row],[学英]:[学词]]),"")</f>
        <v>42803.863078703704</v>
      </c>
      <c r="M2873" s="2" t="str">
        <f>IF(AND(单词表[[#This Row],[考英]]&lt;&gt;"",单词表[[#This Row],[考中]]&lt;&gt;""),MAX(单词表[[#This Row],[考英]:[考中]]),"")</f>
        <v/>
      </c>
      <c r="N2873" s="79"/>
    </row>
    <row r="2874" spans="1:14" hidden="1" x14ac:dyDescent="0.15">
      <c r="A2874">
        <v>2874</v>
      </c>
      <c r="B2874" t="s">
        <v>35</v>
      </c>
      <c r="C2874" t="s">
        <v>24</v>
      </c>
      <c r="D2874" s="72" t="s">
        <v>4800</v>
      </c>
      <c r="E2874" t="s">
        <v>736</v>
      </c>
      <c r="F2874" t="s">
        <v>4801</v>
      </c>
      <c r="G2874" s="92">
        <v>42803.833067129628</v>
      </c>
      <c r="H2874" s="92">
        <v>42803.867025462961</v>
      </c>
      <c r="I2874" s="92">
        <v>42803.867025462961</v>
      </c>
      <c r="J2874" s="92"/>
      <c r="K2874" s="92">
        <v>42803.867094907408</v>
      </c>
      <c r="L2874" s="92">
        <f>IF(AND(单词表[[#This Row],[学英]]&lt;&gt;"",单词表[[#This Row],[学中]]&lt;&gt;"",单词表[[#This Row],[学词]]&lt;&gt;""),MAX(单词表[[#This Row],[学英]:[学词]]),"")</f>
        <v>42803.867025462961</v>
      </c>
      <c r="M2874" s="2" t="str">
        <f>IF(AND(单词表[[#This Row],[考英]]&lt;&gt;"",单词表[[#This Row],[考中]]&lt;&gt;""),MAX(单词表[[#This Row],[考英]:[考中]]),"")</f>
        <v/>
      </c>
      <c r="N2874" s="79"/>
    </row>
    <row r="2875" spans="1:14" hidden="1" x14ac:dyDescent="0.15">
      <c r="A2875">
        <v>2875</v>
      </c>
      <c r="B2875" t="s">
        <v>35</v>
      </c>
      <c r="C2875" t="s">
        <v>24</v>
      </c>
      <c r="D2875" s="72" t="s">
        <v>4802</v>
      </c>
      <c r="E2875" t="s">
        <v>36</v>
      </c>
      <c r="F2875" t="s">
        <v>4803</v>
      </c>
      <c r="G2875" s="92">
        <v>42803.833090277774</v>
      </c>
      <c r="H2875" s="92">
        <v>42803.864803240744</v>
      </c>
      <c r="I2875" s="92">
        <v>42803.864803240744</v>
      </c>
      <c r="J2875" s="92"/>
      <c r="K2875" s="92">
        <v>42803.866041666668</v>
      </c>
      <c r="L2875" s="92">
        <f>IF(AND(单词表[[#This Row],[学英]]&lt;&gt;"",单词表[[#This Row],[学中]]&lt;&gt;"",单词表[[#This Row],[学词]]&lt;&gt;""),MAX(单词表[[#This Row],[学英]:[学词]]),"")</f>
        <v>42803.864803240744</v>
      </c>
      <c r="M2875" s="2" t="str">
        <f>IF(AND(单词表[[#This Row],[考英]]&lt;&gt;"",单词表[[#This Row],[考中]]&lt;&gt;""),MAX(单词表[[#This Row],[考英]:[考中]]),"")</f>
        <v/>
      </c>
      <c r="N2875" s="79"/>
    </row>
    <row r="2876" spans="1:14" hidden="1" x14ac:dyDescent="0.15">
      <c r="A2876">
        <v>2876</v>
      </c>
      <c r="B2876" t="s">
        <v>35</v>
      </c>
      <c r="C2876" t="s">
        <v>24</v>
      </c>
      <c r="D2876" s="72" t="s">
        <v>613</v>
      </c>
      <c r="E2876" t="s">
        <v>36</v>
      </c>
      <c r="F2876" t="s">
        <v>4804</v>
      </c>
      <c r="G2876" s="92">
        <v>42803.833136574074</v>
      </c>
      <c r="H2876" s="92">
        <v>42803.865034722221</v>
      </c>
      <c r="I2876" s="92">
        <v>42803.865034722221</v>
      </c>
      <c r="J2876" s="92"/>
      <c r="K2876" s="92">
        <v>42803.866076388891</v>
      </c>
      <c r="L2876" s="92">
        <f>IF(AND(单词表[[#This Row],[学英]]&lt;&gt;"",单词表[[#This Row],[学中]]&lt;&gt;"",单词表[[#This Row],[学词]]&lt;&gt;""),MAX(单词表[[#This Row],[学英]:[学词]]),"")</f>
        <v>42803.865034722221</v>
      </c>
      <c r="M2876" s="2" t="str">
        <f>IF(AND(单词表[[#This Row],[考英]]&lt;&gt;"",单词表[[#This Row],[考中]]&lt;&gt;""),MAX(单词表[[#This Row],[考英]:[考中]]),"")</f>
        <v/>
      </c>
      <c r="N2876" s="79"/>
    </row>
    <row r="2877" spans="1:14" hidden="1" x14ac:dyDescent="0.15">
      <c r="A2877">
        <v>2877</v>
      </c>
      <c r="B2877" t="s">
        <v>35</v>
      </c>
      <c r="C2877" t="s">
        <v>24</v>
      </c>
      <c r="D2877" s="72" t="s">
        <v>4805</v>
      </c>
      <c r="E2877" t="s">
        <v>36</v>
      </c>
      <c r="F2877" t="s">
        <v>4806</v>
      </c>
      <c r="G2877" s="92">
        <v>42803.833171296297</v>
      </c>
      <c r="H2877" s="92">
        <v>42803.833171296297</v>
      </c>
      <c r="I2877" s="92">
        <v>42803.833171296297</v>
      </c>
      <c r="J2877" s="92"/>
      <c r="K2877" s="92">
        <v>42803.866122685184</v>
      </c>
      <c r="L2877" s="92">
        <f>IF(AND(单词表[[#This Row],[学英]]&lt;&gt;"",单词表[[#This Row],[学中]]&lt;&gt;"",单词表[[#This Row],[学词]]&lt;&gt;""),MAX(单词表[[#This Row],[学英]:[学词]]),"")</f>
        <v>42803.833171296297</v>
      </c>
      <c r="M2877" s="2" t="str">
        <f>IF(AND(单词表[[#This Row],[考英]]&lt;&gt;"",单词表[[#This Row],[考中]]&lt;&gt;""),MAX(单词表[[#This Row],[考英]:[考中]]),"")</f>
        <v/>
      </c>
      <c r="N2877" s="79"/>
    </row>
    <row r="2878" spans="1:14" hidden="1" x14ac:dyDescent="0.15">
      <c r="A2878">
        <v>2878</v>
      </c>
      <c r="B2878" t="s">
        <v>35</v>
      </c>
      <c r="C2878" t="s">
        <v>24</v>
      </c>
      <c r="D2878" s="72" t="s">
        <v>1893</v>
      </c>
      <c r="E2878" t="s">
        <v>36</v>
      </c>
      <c r="F2878" t="s">
        <v>1894</v>
      </c>
      <c r="G2878" s="92">
        <v>42803.83320601852</v>
      </c>
      <c r="H2878" s="92">
        <v>42803.865173611113</v>
      </c>
      <c r="I2878" s="92">
        <v>42803.865173611113</v>
      </c>
      <c r="J2878" s="92"/>
      <c r="K2878" s="92">
        <v>42803.86614583333</v>
      </c>
      <c r="L2878" s="92">
        <f>IF(AND(单词表[[#This Row],[学英]]&lt;&gt;"",单词表[[#This Row],[学中]]&lt;&gt;"",单词表[[#This Row],[学词]]&lt;&gt;""),MAX(单词表[[#This Row],[学英]:[学词]]),"")</f>
        <v>42803.865173611113</v>
      </c>
      <c r="M2878" s="2" t="str">
        <f>IF(AND(单词表[[#This Row],[考英]]&lt;&gt;"",单词表[[#This Row],[考中]]&lt;&gt;""),MAX(单词表[[#This Row],[考英]:[考中]]),"")</f>
        <v/>
      </c>
      <c r="N2878" s="79"/>
    </row>
    <row r="2879" spans="1:14" hidden="1" x14ac:dyDescent="0.15">
      <c r="A2879">
        <v>2879</v>
      </c>
      <c r="B2879" t="s">
        <v>35</v>
      </c>
      <c r="C2879" t="s">
        <v>25</v>
      </c>
      <c r="D2879" s="72" t="s">
        <v>3245</v>
      </c>
      <c r="E2879" t="s">
        <v>36</v>
      </c>
      <c r="F2879" t="s">
        <v>3246</v>
      </c>
      <c r="G2879" s="92">
        <v>42805.45652777778</v>
      </c>
      <c r="H2879" s="92">
        <v>42805.45652777778</v>
      </c>
      <c r="I2879" s="92">
        <v>42805.45652777778</v>
      </c>
      <c r="J2879" s="92"/>
      <c r="K2879" s="92">
        <v>42805.500925925924</v>
      </c>
      <c r="L2879" s="92">
        <f>IF(AND(单词表[[#This Row],[学英]]&lt;&gt;"",单词表[[#This Row],[学中]]&lt;&gt;"",单词表[[#This Row],[学词]]&lt;&gt;""),MAX(单词表[[#This Row],[学英]:[学词]]),"")</f>
        <v>42805.45652777778</v>
      </c>
      <c r="M2879" s="2" t="str">
        <f>IF(AND(单词表[[#This Row],[考英]]&lt;&gt;"",单词表[[#This Row],[考中]]&lt;&gt;""),MAX(单词表[[#This Row],[考英]:[考中]]),"")</f>
        <v/>
      </c>
      <c r="N2879" s="79"/>
    </row>
    <row r="2880" spans="1:14" hidden="1" x14ac:dyDescent="0.15">
      <c r="A2880">
        <v>2880</v>
      </c>
      <c r="B2880" t="s">
        <v>35</v>
      </c>
      <c r="C2880" t="s">
        <v>25</v>
      </c>
      <c r="D2880" s="72" t="s">
        <v>4807</v>
      </c>
      <c r="E2880" t="s">
        <v>36</v>
      </c>
      <c r="F2880" t="s">
        <v>4808</v>
      </c>
      <c r="G2880" s="92">
        <v>42805.456585648149</v>
      </c>
      <c r="H2880" s="92">
        <v>42805.48064814815</v>
      </c>
      <c r="I2880" s="92">
        <v>42805.48064814815</v>
      </c>
      <c r="J2880" s="92"/>
      <c r="K2880" s="92">
        <v>42805.50104166667</v>
      </c>
      <c r="L2880" s="92">
        <f>IF(AND(单词表[[#This Row],[学英]]&lt;&gt;"",单词表[[#This Row],[学中]]&lt;&gt;"",单词表[[#This Row],[学词]]&lt;&gt;""),MAX(单词表[[#This Row],[学英]:[学词]]),"")</f>
        <v>42805.48064814815</v>
      </c>
      <c r="M2880" s="2" t="str">
        <f>IF(AND(单词表[[#This Row],[考英]]&lt;&gt;"",单词表[[#This Row],[考中]]&lt;&gt;""),MAX(单词表[[#This Row],[考英]:[考中]]),"")</f>
        <v/>
      </c>
      <c r="N2880" s="79"/>
    </row>
    <row r="2881" spans="1:14" hidden="1" x14ac:dyDescent="0.15">
      <c r="A2881">
        <v>2881</v>
      </c>
      <c r="B2881" t="s">
        <v>35</v>
      </c>
      <c r="C2881" t="s">
        <v>25</v>
      </c>
      <c r="D2881" s="72" t="s">
        <v>4809</v>
      </c>
      <c r="E2881" t="s">
        <v>36</v>
      </c>
      <c r="F2881" t="s">
        <v>4810</v>
      </c>
      <c r="G2881" s="92">
        <v>42805.456620370373</v>
      </c>
      <c r="H2881" s="92">
        <v>42805.493750000001</v>
      </c>
      <c r="I2881" s="92">
        <v>42805.493750000001</v>
      </c>
      <c r="J2881" s="92"/>
      <c r="K2881" s="92">
        <v>42805.501076388886</v>
      </c>
      <c r="L2881" s="92">
        <f>IF(AND(单词表[[#This Row],[学英]]&lt;&gt;"",单词表[[#This Row],[学中]]&lt;&gt;"",单词表[[#This Row],[学词]]&lt;&gt;""),MAX(单词表[[#This Row],[学英]:[学词]]),"")</f>
        <v>42805.493750000001</v>
      </c>
      <c r="M2881" s="2" t="str">
        <f>IF(AND(单词表[[#This Row],[考英]]&lt;&gt;"",单词表[[#This Row],[考中]]&lt;&gt;""),MAX(单词表[[#This Row],[考英]:[考中]]),"")</f>
        <v/>
      </c>
      <c r="N2881" s="79"/>
    </row>
    <row r="2882" spans="1:14" hidden="1" x14ac:dyDescent="0.15">
      <c r="A2882">
        <v>2882</v>
      </c>
      <c r="B2882" t="s">
        <v>35</v>
      </c>
      <c r="C2882" t="s">
        <v>25</v>
      </c>
      <c r="D2882" s="72" t="s">
        <v>4811</v>
      </c>
      <c r="E2882" t="s">
        <v>1019</v>
      </c>
      <c r="F2882" t="s">
        <v>4812</v>
      </c>
      <c r="G2882" s="92">
        <v>42805.456631944442</v>
      </c>
      <c r="H2882" s="92">
        <v>42805.501828703702</v>
      </c>
      <c r="I2882" s="92">
        <v>42805.501828703702</v>
      </c>
      <c r="J2882" s="92"/>
      <c r="K2882" s="92">
        <v>42805.505694444444</v>
      </c>
      <c r="L2882" s="92">
        <f>IF(AND(单词表[[#This Row],[学英]]&lt;&gt;"",单词表[[#This Row],[学中]]&lt;&gt;"",单词表[[#This Row],[学词]]&lt;&gt;""),MAX(单词表[[#This Row],[学英]:[学词]]),"")</f>
        <v>42805.501828703702</v>
      </c>
      <c r="M2882" s="2" t="str">
        <f>IF(AND(单词表[[#This Row],[考英]]&lt;&gt;"",单词表[[#This Row],[考中]]&lt;&gt;""),MAX(单词表[[#This Row],[考英]:[考中]]),"")</f>
        <v/>
      </c>
      <c r="N2882" s="79"/>
    </row>
    <row r="2883" spans="1:14" hidden="1" x14ac:dyDescent="0.15">
      <c r="A2883">
        <v>2883</v>
      </c>
      <c r="B2883" t="s">
        <v>35</v>
      </c>
      <c r="C2883" t="s">
        <v>25</v>
      </c>
      <c r="D2883" s="72" t="s">
        <v>57</v>
      </c>
      <c r="E2883" t="s">
        <v>736</v>
      </c>
      <c r="F2883" t="s">
        <v>4813</v>
      </c>
      <c r="G2883" s="92">
        <v>42805.456666666665</v>
      </c>
      <c r="H2883" s="92">
        <v>42805.493796296294</v>
      </c>
      <c r="I2883" s="92">
        <v>42805.493796296294</v>
      </c>
      <c r="J2883" s="92"/>
      <c r="K2883" s="92">
        <v>42805.501203703701</v>
      </c>
      <c r="L2883" s="92">
        <f>IF(AND(单词表[[#This Row],[学英]]&lt;&gt;"",单词表[[#This Row],[学中]]&lt;&gt;"",单词表[[#This Row],[学词]]&lt;&gt;""),MAX(单词表[[#This Row],[学英]:[学词]]),"")</f>
        <v>42805.493796296294</v>
      </c>
      <c r="M2883" s="2" t="str">
        <f>IF(AND(单词表[[#This Row],[考英]]&lt;&gt;"",单词表[[#This Row],[考中]]&lt;&gt;""),MAX(单词表[[#This Row],[考英]:[考中]]),"")</f>
        <v/>
      </c>
      <c r="N2883" s="79"/>
    </row>
    <row r="2884" spans="1:14" hidden="1" x14ac:dyDescent="0.15">
      <c r="A2884">
        <v>2884</v>
      </c>
      <c r="B2884" t="s">
        <v>35</v>
      </c>
      <c r="C2884" t="s">
        <v>25</v>
      </c>
      <c r="D2884" s="72" t="s">
        <v>4814</v>
      </c>
      <c r="E2884" t="s">
        <v>36</v>
      </c>
      <c r="F2884" t="s">
        <v>4815</v>
      </c>
      <c r="G2884" s="92">
        <v>42805.456689814811</v>
      </c>
      <c r="H2884" s="92">
        <v>42805.493842592594</v>
      </c>
      <c r="I2884" s="92">
        <v>42805.493842592594</v>
      </c>
      <c r="J2884" s="92"/>
      <c r="K2884" s="92">
        <v>42805.501261574071</v>
      </c>
      <c r="L2884" s="92">
        <f>IF(AND(单词表[[#This Row],[学英]]&lt;&gt;"",单词表[[#This Row],[学中]]&lt;&gt;"",单词表[[#This Row],[学词]]&lt;&gt;""),MAX(单词表[[#This Row],[学英]:[学词]]),"")</f>
        <v>42805.493842592594</v>
      </c>
      <c r="M2884" s="2" t="str">
        <f>IF(AND(单词表[[#This Row],[考英]]&lt;&gt;"",单词表[[#This Row],[考中]]&lt;&gt;""),MAX(单词表[[#This Row],[考英]:[考中]]),"")</f>
        <v/>
      </c>
      <c r="N2884" s="79"/>
    </row>
    <row r="2885" spans="1:14" hidden="1" x14ac:dyDescent="0.15">
      <c r="A2885">
        <v>2885</v>
      </c>
      <c r="B2885" t="s">
        <v>35</v>
      </c>
      <c r="C2885" t="s">
        <v>25</v>
      </c>
      <c r="D2885" s="72" t="s">
        <v>4816</v>
      </c>
      <c r="E2885" t="s">
        <v>61</v>
      </c>
      <c r="F2885" t="s">
        <v>4817</v>
      </c>
      <c r="G2885" s="92">
        <v>42805.456712962965</v>
      </c>
      <c r="H2885" s="92">
        <v>42805.505543981482</v>
      </c>
      <c r="I2885" s="92">
        <v>42805.505543981482</v>
      </c>
      <c r="J2885" s="92"/>
      <c r="K2885" s="92">
        <v>42805.505740740744</v>
      </c>
      <c r="L2885" s="92">
        <f>IF(AND(单词表[[#This Row],[学英]]&lt;&gt;"",单词表[[#This Row],[学中]]&lt;&gt;"",单词表[[#This Row],[学词]]&lt;&gt;""),MAX(单词表[[#This Row],[学英]:[学词]]),"")</f>
        <v>42805.505543981482</v>
      </c>
      <c r="M2885" s="2" t="str">
        <f>IF(AND(单词表[[#This Row],[考英]]&lt;&gt;"",单词表[[#This Row],[考中]]&lt;&gt;""),MAX(单词表[[#This Row],[考英]:[考中]]),"")</f>
        <v/>
      </c>
      <c r="N2885" s="79"/>
    </row>
    <row r="2886" spans="1:14" hidden="1" x14ac:dyDescent="0.15">
      <c r="A2886">
        <v>2886</v>
      </c>
      <c r="B2886" t="s">
        <v>35</v>
      </c>
      <c r="C2886" t="s">
        <v>25</v>
      </c>
      <c r="D2886" s="72" t="s">
        <v>4818</v>
      </c>
      <c r="E2886" t="s">
        <v>73</v>
      </c>
      <c r="F2886" t="s">
        <v>4819</v>
      </c>
      <c r="G2886" s="92">
        <v>42805.456724537034</v>
      </c>
      <c r="H2886" s="92">
        <v>42805.494212962964</v>
      </c>
      <c r="I2886" s="92">
        <v>42805.494212962964</v>
      </c>
      <c r="J2886" s="92"/>
      <c r="K2886" s="92">
        <v>42805.501388888886</v>
      </c>
      <c r="L2886" s="92">
        <f>IF(AND(单词表[[#This Row],[学英]]&lt;&gt;"",单词表[[#This Row],[学中]]&lt;&gt;"",单词表[[#This Row],[学词]]&lt;&gt;""),MAX(单词表[[#This Row],[学英]:[学词]]),"")</f>
        <v>42805.494212962964</v>
      </c>
      <c r="M2886" s="2" t="str">
        <f>IF(AND(单词表[[#This Row],[考英]]&lt;&gt;"",单词表[[#This Row],[考中]]&lt;&gt;""),MAX(单词表[[#This Row],[考英]:[考中]]),"")</f>
        <v/>
      </c>
      <c r="N2886" s="79"/>
    </row>
    <row r="2887" spans="1:14" hidden="1" x14ac:dyDescent="0.15">
      <c r="A2887">
        <v>2887</v>
      </c>
      <c r="B2887" t="s">
        <v>35</v>
      </c>
      <c r="C2887" t="s">
        <v>25</v>
      </c>
      <c r="D2887" s="72" t="s">
        <v>4820</v>
      </c>
      <c r="E2887" t="s">
        <v>702</v>
      </c>
      <c r="F2887" t="s">
        <v>4821</v>
      </c>
      <c r="G2887" s="92">
        <v>42805.456747685188</v>
      </c>
      <c r="H2887" s="92">
        <v>42805.456747685188</v>
      </c>
      <c r="I2887" s="92">
        <v>42805.456747685188</v>
      </c>
      <c r="J2887" s="92"/>
      <c r="K2887" s="92">
        <v>42805.501435185186</v>
      </c>
      <c r="L2887" s="92">
        <f>IF(AND(单词表[[#This Row],[学英]]&lt;&gt;"",单词表[[#This Row],[学中]]&lt;&gt;"",单词表[[#This Row],[学词]]&lt;&gt;""),MAX(单词表[[#This Row],[学英]:[学词]]),"")</f>
        <v>42805.456747685188</v>
      </c>
      <c r="M2887" s="2" t="str">
        <f>IF(AND(单词表[[#This Row],[考英]]&lt;&gt;"",单词表[[#This Row],[考中]]&lt;&gt;""),MAX(单词表[[#This Row],[考英]:[考中]]),"")</f>
        <v/>
      </c>
      <c r="N2887" s="79"/>
    </row>
    <row r="2888" spans="1:14" hidden="1" x14ac:dyDescent="0.15">
      <c r="A2888">
        <v>2888</v>
      </c>
      <c r="B2888" t="s">
        <v>35</v>
      </c>
      <c r="C2888" t="s">
        <v>25</v>
      </c>
      <c r="D2888" s="72" t="s">
        <v>4822</v>
      </c>
      <c r="E2888" t="s">
        <v>36</v>
      </c>
      <c r="F2888" t="s">
        <v>4823</v>
      </c>
      <c r="G2888" s="92">
        <v>42805.456770833334</v>
      </c>
      <c r="H2888" s="92">
        <v>42805.456770833334</v>
      </c>
      <c r="I2888" s="92">
        <v>42805.456770833334</v>
      </c>
      <c r="J2888" s="92"/>
      <c r="K2888" s="92">
        <v>42805.501458333332</v>
      </c>
      <c r="L2888" s="92">
        <f>IF(AND(单词表[[#This Row],[学英]]&lt;&gt;"",单词表[[#This Row],[学中]]&lt;&gt;"",单词表[[#This Row],[学词]]&lt;&gt;""),MAX(单词表[[#This Row],[学英]:[学词]]),"")</f>
        <v>42805.456770833334</v>
      </c>
      <c r="M2888" s="2" t="str">
        <f>IF(AND(单词表[[#This Row],[考英]]&lt;&gt;"",单词表[[#This Row],[考中]]&lt;&gt;""),MAX(单词表[[#This Row],[考英]:[考中]]),"")</f>
        <v/>
      </c>
      <c r="N2888" s="79"/>
    </row>
    <row r="2889" spans="1:14" hidden="1" x14ac:dyDescent="0.15">
      <c r="A2889">
        <v>2889</v>
      </c>
      <c r="B2889" t="s">
        <v>35</v>
      </c>
      <c r="C2889" t="s">
        <v>25</v>
      </c>
      <c r="D2889" s="72" t="s">
        <v>4824</v>
      </c>
      <c r="E2889" t="s">
        <v>36</v>
      </c>
      <c r="F2889" t="s">
        <v>4825</v>
      </c>
      <c r="G2889" s="92">
        <v>42805.456793981481</v>
      </c>
      <c r="H2889" s="92">
        <v>42805.456793981481</v>
      </c>
      <c r="I2889" s="92">
        <v>42805.456793981481</v>
      </c>
      <c r="J2889" s="92"/>
      <c r="K2889" s="92">
        <v>42805.501481481479</v>
      </c>
      <c r="L2889" s="92">
        <f>IF(AND(单词表[[#This Row],[学英]]&lt;&gt;"",单词表[[#This Row],[学中]]&lt;&gt;"",单词表[[#This Row],[学词]]&lt;&gt;""),MAX(单词表[[#This Row],[学英]:[学词]]),"")</f>
        <v>42805.456793981481</v>
      </c>
      <c r="M2889" s="2" t="str">
        <f>IF(AND(单词表[[#This Row],[考英]]&lt;&gt;"",单词表[[#This Row],[考中]]&lt;&gt;""),MAX(单词表[[#This Row],[考英]:[考中]]),"")</f>
        <v/>
      </c>
      <c r="N2889" s="79"/>
    </row>
    <row r="2890" spans="1:14" hidden="1" x14ac:dyDescent="0.15">
      <c r="A2890">
        <v>2890</v>
      </c>
      <c r="B2890" t="s">
        <v>35</v>
      </c>
      <c r="C2890" t="s">
        <v>25</v>
      </c>
      <c r="D2890" s="72" t="s">
        <v>641</v>
      </c>
      <c r="E2890" t="s">
        <v>36</v>
      </c>
      <c r="F2890" t="s">
        <v>4826</v>
      </c>
      <c r="G2890" s="92">
        <v>42805.456817129627</v>
      </c>
      <c r="H2890" s="92">
        <v>42805.494247685187</v>
      </c>
      <c r="I2890" s="92">
        <v>42805.494247685187</v>
      </c>
      <c r="J2890" s="92"/>
      <c r="K2890" s="92">
        <v>42805.501516203702</v>
      </c>
      <c r="L2890" s="92">
        <f>IF(AND(单词表[[#This Row],[学英]]&lt;&gt;"",单词表[[#This Row],[学中]]&lt;&gt;"",单词表[[#This Row],[学词]]&lt;&gt;""),MAX(单词表[[#This Row],[学英]:[学词]]),"")</f>
        <v>42805.494247685187</v>
      </c>
      <c r="M2890" s="2" t="str">
        <f>IF(AND(单词表[[#This Row],[考英]]&lt;&gt;"",单词表[[#This Row],[考中]]&lt;&gt;""),MAX(单词表[[#This Row],[考英]:[考中]]),"")</f>
        <v/>
      </c>
      <c r="N2890" s="79"/>
    </row>
    <row r="2891" spans="1:14" hidden="1" x14ac:dyDescent="0.15">
      <c r="A2891">
        <v>2891</v>
      </c>
      <c r="B2891" t="s">
        <v>35</v>
      </c>
      <c r="C2891" t="s">
        <v>25</v>
      </c>
      <c r="D2891" s="72" t="s">
        <v>1450</v>
      </c>
      <c r="E2891" t="s">
        <v>73</v>
      </c>
      <c r="F2891" t="s">
        <v>4827</v>
      </c>
      <c r="G2891" s="92">
        <v>42805.456828703704</v>
      </c>
      <c r="H2891" s="92">
        <v>42805.456828703704</v>
      </c>
      <c r="I2891" s="92">
        <v>42805.456828703704</v>
      </c>
      <c r="J2891" s="92"/>
      <c r="K2891" s="92">
        <v>42805.501550925925</v>
      </c>
      <c r="L2891" s="92">
        <f>IF(AND(单词表[[#This Row],[学英]]&lt;&gt;"",单词表[[#This Row],[学中]]&lt;&gt;"",单词表[[#This Row],[学词]]&lt;&gt;""),MAX(单词表[[#This Row],[学英]:[学词]]),"")</f>
        <v>42805.456828703704</v>
      </c>
      <c r="M2891" s="2" t="str">
        <f>IF(AND(单词表[[#This Row],[考英]]&lt;&gt;"",单词表[[#This Row],[考中]]&lt;&gt;""),MAX(单词表[[#This Row],[考英]:[考中]]),"")</f>
        <v/>
      </c>
      <c r="N2891" s="79"/>
    </row>
    <row r="2892" spans="1:14" hidden="1" x14ac:dyDescent="0.15">
      <c r="A2892">
        <v>2892</v>
      </c>
      <c r="B2892" t="s">
        <v>35</v>
      </c>
      <c r="C2892" t="s">
        <v>25</v>
      </c>
      <c r="D2892" s="72" t="s">
        <v>4828</v>
      </c>
      <c r="E2892" t="s">
        <v>157</v>
      </c>
      <c r="F2892" t="s">
        <v>4829</v>
      </c>
      <c r="G2892" s="92">
        <v>42805.456863425927</v>
      </c>
      <c r="H2892" s="92">
        <v>42805.456863425927</v>
      </c>
      <c r="I2892" s="92">
        <v>42805.456863425927</v>
      </c>
      <c r="J2892" s="92"/>
      <c r="K2892" s="92">
        <v>42805.501585648148</v>
      </c>
      <c r="L2892" s="92">
        <f>IF(AND(单词表[[#This Row],[学英]]&lt;&gt;"",单词表[[#This Row],[学中]]&lt;&gt;"",单词表[[#This Row],[学词]]&lt;&gt;""),MAX(单词表[[#This Row],[学英]:[学词]]),"")</f>
        <v>42805.456863425927</v>
      </c>
      <c r="M2892" s="2" t="str">
        <f>IF(AND(单词表[[#This Row],[考英]]&lt;&gt;"",单词表[[#This Row],[考中]]&lt;&gt;""),MAX(单词表[[#This Row],[考英]:[考中]]),"")</f>
        <v/>
      </c>
      <c r="N2892" s="79"/>
    </row>
    <row r="2893" spans="1:14" hidden="1" x14ac:dyDescent="0.15">
      <c r="A2893">
        <v>2893</v>
      </c>
      <c r="B2893" t="s">
        <v>35</v>
      </c>
      <c r="C2893" t="s">
        <v>25</v>
      </c>
      <c r="D2893" s="72" t="s">
        <v>4478</v>
      </c>
      <c r="E2893" t="s">
        <v>61</v>
      </c>
      <c r="F2893" t="s">
        <v>4830</v>
      </c>
      <c r="G2893" s="92">
        <v>42805.456886574073</v>
      </c>
      <c r="H2893" s="92">
        <v>42805.494270833333</v>
      </c>
      <c r="I2893" s="92">
        <v>42805.494270833333</v>
      </c>
      <c r="J2893" s="92"/>
      <c r="K2893" s="92">
        <v>42805.501689814817</v>
      </c>
      <c r="L2893" s="92">
        <f>IF(AND(单词表[[#This Row],[学英]]&lt;&gt;"",单词表[[#This Row],[学中]]&lt;&gt;"",单词表[[#This Row],[学词]]&lt;&gt;""),MAX(单词表[[#This Row],[学英]:[学词]]),"")</f>
        <v>42805.494270833333</v>
      </c>
      <c r="M2893" s="2" t="str">
        <f>IF(AND(单词表[[#This Row],[考英]]&lt;&gt;"",单词表[[#This Row],[考中]]&lt;&gt;""),MAX(单词表[[#This Row],[考英]:[考中]]),"")</f>
        <v/>
      </c>
      <c r="N2893" s="79"/>
    </row>
    <row r="2894" spans="1:14" hidden="1" x14ac:dyDescent="0.15">
      <c r="A2894">
        <v>2894</v>
      </c>
      <c r="B2894" t="s">
        <v>35</v>
      </c>
      <c r="C2894" t="s">
        <v>25</v>
      </c>
      <c r="D2894" s="72" t="s">
        <v>4831</v>
      </c>
      <c r="E2894" t="s">
        <v>73</v>
      </c>
      <c r="F2894" t="s">
        <v>4832</v>
      </c>
      <c r="G2894" s="92"/>
      <c r="H2894" s="92"/>
      <c r="I2894" s="92"/>
      <c r="J2894" s="92"/>
      <c r="K2894" s="92"/>
      <c r="L2894" s="9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9"/>
    </row>
    <row r="2895" spans="1:14" hidden="1" x14ac:dyDescent="0.15">
      <c r="A2895">
        <v>2895</v>
      </c>
      <c r="B2895" t="s">
        <v>35</v>
      </c>
      <c r="C2895" t="s">
        <v>25</v>
      </c>
      <c r="D2895" s="72" t="s">
        <v>4833</v>
      </c>
      <c r="E2895" t="s">
        <v>157</v>
      </c>
      <c r="F2895" t="s">
        <v>4834</v>
      </c>
      <c r="G2895" s="92"/>
      <c r="H2895" s="92"/>
      <c r="I2895" s="92"/>
      <c r="J2895" s="92"/>
      <c r="K2895" s="92"/>
      <c r="L2895" s="9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9"/>
    </row>
    <row r="2896" spans="1:14" hidden="1" x14ac:dyDescent="0.15">
      <c r="A2896">
        <v>2896</v>
      </c>
      <c r="B2896" t="s">
        <v>35</v>
      </c>
      <c r="C2896" t="s">
        <v>25</v>
      </c>
      <c r="D2896" s="72" t="s">
        <v>4835</v>
      </c>
      <c r="E2896" t="s">
        <v>1019</v>
      </c>
      <c r="F2896" t="s">
        <v>4836</v>
      </c>
      <c r="G2896" s="92"/>
      <c r="H2896" s="92"/>
      <c r="I2896" s="92"/>
      <c r="J2896" s="92"/>
      <c r="K2896" s="92"/>
      <c r="L2896" s="9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9"/>
    </row>
    <row r="2897" spans="1:14" hidden="1" x14ac:dyDescent="0.15">
      <c r="A2897">
        <v>2897</v>
      </c>
      <c r="B2897" t="s">
        <v>35</v>
      </c>
      <c r="C2897" t="s">
        <v>25</v>
      </c>
      <c r="D2897" s="72" t="s">
        <v>4837</v>
      </c>
      <c r="E2897" t="s">
        <v>36</v>
      </c>
      <c r="F2897" t="s">
        <v>2131</v>
      </c>
      <c r="G2897" s="92"/>
      <c r="H2897" s="92"/>
      <c r="I2897" s="92"/>
      <c r="J2897" s="92"/>
      <c r="K2897" s="92"/>
      <c r="L2897" s="9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9"/>
    </row>
    <row r="2898" spans="1:14" hidden="1" x14ac:dyDescent="0.15">
      <c r="A2898">
        <v>2898</v>
      </c>
      <c r="B2898" t="s">
        <v>35</v>
      </c>
      <c r="C2898" t="s">
        <v>25</v>
      </c>
      <c r="D2898" s="72" t="s">
        <v>4838</v>
      </c>
      <c r="E2898" t="s">
        <v>1019</v>
      </c>
      <c r="F2898" t="s">
        <v>4839</v>
      </c>
      <c r="G2898" s="92"/>
      <c r="H2898" s="92"/>
      <c r="I2898" s="92"/>
      <c r="J2898" s="92"/>
      <c r="K2898" s="92"/>
      <c r="L2898" s="9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9"/>
    </row>
    <row r="2899" spans="1:14" hidden="1" x14ac:dyDescent="0.15">
      <c r="A2899">
        <v>2899</v>
      </c>
      <c r="B2899" t="s">
        <v>35</v>
      </c>
      <c r="C2899" t="s">
        <v>25</v>
      </c>
      <c r="D2899" s="72" t="s">
        <v>4840</v>
      </c>
      <c r="E2899" t="s">
        <v>36</v>
      </c>
      <c r="F2899" t="s">
        <v>4841</v>
      </c>
      <c r="G2899" s="92"/>
      <c r="H2899" s="92"/>
      <c r="I2899" s="92"/>
      <c r="J2899" s="92"/>
      <c r="K2899" s="92"/>
      <c r="L2899" s="9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9"/>
    </row>
    <row r="2900" spans="1:14" hidden="1" x14ac:dyDescent="0.15">
      <c r="A2900">
        <v>2900</v>
      </c>
      <c r="B2900" t="s">
        <v>35</v>
      </c>
      <c r="C2900" t="s">
        <v>25</v>
      </c>
      <c r="D2900" s="72" t="s">
        <v>4842</v>
      </c>
      <c r="E2900" t="s">
        <v>36</v>
      </c>
      <c r="F2900" t="s">
        <v>4843</v>
      </c>
      <c r="G2900" s="92"/>
      <c r="H2900" s="92"/>
      <c r="I2900" s="92"/>
      <c r="J2900" s="92"/>
      <c r="K2900" s="92"/>
      <c r="L2900" s="9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9"/>
    </row>
    <row r="2901" spans="1:14" hidden="1" x14ac:dyDescent="0.15">
      <c r="A2901">
        <v>2901</v>
      </c>
      <c r="B2901" t="s">
        <v>35</v>
      </c>
      <c r="C2901" t="s">
        <v>25</v>
      </c>
      <c r="D2901" s="72" t="s">
        <v>4844</v>
      </c>
      <c r="E2901" t="s">
        <v>36</v>
      </c>
      <c r="F2901" t="s">
        <v>4845</v>
      </c>
      <c r="G2901" s="92"/>
      <c r="H2901" s="92"/>
      <c r="I2901" s="92"/>
      <c r="J2901" s="92"/>
      <c r="K2901" s="92"/>
      <c r="L2901" s="9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9"/>
    </row>
    <row r="2902" spans="1:14" hidden="1" x14ac:dyDescent="0.15">
      <c r="A2902">
        <v>2902</v>
      </c>
      <c r="B2902" t="s">
        <v>35</v>
      </c>
      <c r="C2902" t="s">
        <v>25</v>
      </c>
      <c r="D2902" s="72" t="s">
        <v>4846</v>
      </c>
      <c r="E2902" t="s">
        <v>36</v>
      </c>
      <c r="F2902" t="s">
        <v>4847</v>
      </c>
      <c r="G2902" s="92"/>
      <c r="H2902" s="92"/>
      <c r="I2902" s="92"/>
      <c r="J2902" s="92"/>
      <c r="K2902" s="92"/>
      <c r="L2902" s="9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9"/>
    </row>
    <row r="2903" spans="1:14" hidden="1" x14ac:dyDescent="0.15">
      <c r="A2903">
        <v>2903</v>
      </c>
      <c r="B2903" t="s">
        <v>35</v>
      </c>
      <c r="C2903" t="s">
        <v>25</v>
      </c>
      <c r="D2903" s="72" t="s">
        <v>4848</v>
      </c>
      <c r="E2903" t="s">
        <v>61</v>
      </c>
      <c r="F2903" t="s">
        <v>4849</v>
      </c>
      <c r="G2903" s="92"/>
      <c r="H2903" s="92"/>
      <c r="I2903" s="92"/>
      <c r="J2903" s="92"/>
      <c r="K2903" s="92"/>
      <c r="L2903" s="9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9"/>
    </row>
    <row r="2904" spans="1:14" hidden="1" x14ac:dyDescent="0.15">
      <c r="A2904">
        <v>2904</v>
      </c>
      <c r="B2904" t="s">
        <v>35</v>
      </c>
      <c r="C2904" t="s">
        <v>25</v>
      </c>
      <c r="D2904" s="72" t="s">
        <v>830</v>
      </c>
      <c r="E2904" t="s">
        <v>1021</v>
      </c>
      <c r="F2904" t="s">
        <v>2235</v>
      </c>
      <c r="G2904" s="92"/>
      <c r="H2904" s="92"/>
      <c r="I2904" s="92"/>
      <c r="J2904" s="92"/>
      <c r="K2904" s="92"/>
      <c r="L2904" s="9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9"/>
    </row>
    <row r="2905" spans="1:14" hidden="1" x14ac:dyDescent="0.15">
      <c r="A2905">
        <v>2905</v>
      </c>
      <c r="B2905" t="s">
        <v>35</v>
      </c>
      <c r="C2905" t="s">
        <v>25</v>
      </c>
      <c r="D2905" s="72" t="s">
        <v>4850</v>
      </c>
      <c r="E2905" t="s">
        <v>36</v>
      </c>
      <c r="F2905" t="s">
        <v>4851</v>
      </c>
      <c r="G2905" s="92"/>
      <c r="H2905" s="92"/>
      <c r="I2905" s="92"/>
      <c r="J2905" s="92"/>
      <c r="K2905" s="92"/>
      <c r="L2905" s="9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9"/>
    </row>
    <row r="2906" spans="1:14" hidden="1" x14ac:dyDescent="0.15">
      <c r="A2906">
        <v>2906</v>
      </c>
      <c r="B2906" t="s">
        <v>35</v>
      </c>
      <c r="C2906" t="s">
        <v>25</v>
      </c>
      <c r="D2906" s="72" t="s">
        <v>4852</v>
      </c>
      <c r="E2906" t="s">
        <v>736</v>
      </c>
      <c r="F2906" t="s">
        <v>4853</v>
      </c>
      <c r="G2906" s="92"/>
      <c r="H2906" s="92"/>
      <c r="I2906" s="92"/>
      <c r="J2906" s="92"/>
      <c r="K2906" s="92"/>
      <c r="L2906" s="9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9"/>
    </row>
    <row r="2907" spans="1:14" hidden="1" x14ac:dyDescent="0.15">
      <c r="A2907">
        <v>2907</v>
      </c>
      <c r="B2907" t="s">
        <v>35</v>
      </c>
      <c r="C2907" t="s">
        <v>25</v>
      </c>
      <c r="D2907" s="72" t="s">
        <v>796</v>
      </c>
      <c r="E2907" t="s">
        <v>36</v>
      </c>
      <c r="F2907" t="s">
        <v>797</v>
      </c>
      <c r="G2907" s="92"/>
      <c r="H2907" s="92"/>
      <c r="I2907" s="92"/>
      <c r="J2907" s="92"/>
      <c r="K2907" s="92"/>
      <c r="L2907" s="9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9"/>
    </row>
    <row r="2908" spans="1:14" hidden="1" x14ac:dyDescent="0.15">
      <c r="A2908">
        <v>2908</v>
      </c>
      <c r="B2908" t="s">
        <v>35</v>
      </c>
      <c r="C2908" t="s">
        <v>25</v>
      </c>
      <c r="D2908" s="72" t="s">
        <v>4854</v>
      </c>
      <c r="E2908" t="s">
        <v>702</v>
      </c>
      <c r="F2908" t="s">
        <v>4855</v>
      </c>
      <c r="G2908" s="92"/>
      <c r="H2908" s="92"/>
      <c r="I2908" s="92"/>
      <c r="J2908" s="92"/>
      <c r="K2908" s="92"/>
      <c r="L2908" s="9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9"/>
    </row>
    <row r="2909" spans="1:14" hidden="1" x14ac:dyDescent="0.15">
      <c r="A2909">
        <v>2909</v>
      </c>
      <c r="B2909" t="s">
        <v>35</v>
      </c>
      <c r="C2909" t="s">
        <v>25</v>
      </c>
      <c r="D2909" s="72" t="s">
        <v>4856</v>
      </c>
      <c r="E2909" t="s">
        <v>73</v>
      </c>
      <c r="F2909" t="s">
        <v>4857</v>
      </c>
      <c r="G2909" s="92"/>
      <c r="H2909" s="92"/>
      <c r="I2909" s="92"/>
      <c r="J2909" s="92"/>
      <c r="K2909" s="92"/>
      <c r="L2909" s="9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9"/>
    </row>
    <row r="2910" spans="1:14" hidden="1" x14ac:dyDescent="0.15">
      <c r="A2910">
        <v>2910</v>
      </c>
      <c r="B2910" t="s">
        <v>35</v>
      </c>
      <c r="C2910" t="s">
        <v>25</v>
      </c>
      <c r="D2910" s="72" t="s">
        <v>4858</v>
      </c>
      <c r="E2910" t="s">
        <v>36</v>
      </c>
      <c r="F2910" t="s">
        <v>4859</v>
      </c>
      <c r="G2910" s="92"/>
      <c r="H2910" s="92"/>
      <c r="I2910" s="92"/>
      <c r="J2910" s="92"/>
      <c r="K2910" s="92"/>
      <c r="L2910" s="9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9"/>
    </row>
    <row r="2911" spans="1:14" hidden="1" x14ac:dyDescent="0.15">
      <c r="A2911">
        <v>2911</v>
      </c>
      <c r="B2911" t="s">
        <v>35</v>
      </c>
      <c r="C2911" t="s">
        <v>25</v>
      </c>
      <c r="D2911" s="72" t="s">
        <v>4860</v>
      </c>
      <c r="E2911" t="s">
        <v>36</v>
      </c>
      <c r="F2911" t="s">
        <v>4861</v>
      </c>
      <c r="G2911" s="92"/>
      <c r="H2911" s="92"/>
      <c r="I2911" s="92"/>
      <c r="J2911" s="92"/>
      <c r="K2911" s="92"/>
      <c r="L2911" s="9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9"/>
    </row>
    <row r="2912" spans="1:14" hidden="1" x14ac:dyDescent="0.15">
      <c r="A2912">
        <v>2912</v>
      </c>
      <c r="B2912" t="s">
        <v>35</v>
      </c>
      <c r="C2912" t="s">
        <v>25</v>
      </c>
      <c r="D2912" s="72" t="s">
        <v>4862</v>
      </c>
      <c r="E2912" t="s">
        <v>36</v>
      </c>
      <c r="F2912" t="s">
        <v>4863</v>
      </c>
      <c r="G2912" s="92"/>
      <c r="H2912" s="92"/>
      <c r="I2912" s="92"/>
      <c r="J2912" s="92"/>
      <c r="K2912" s="92"/>
      <c r="L2912" s="9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9"/>
    </row>
    <row r="2913" spans="1:14" hidden="1" x14ac:dyDescent="0.15">
      <c r="A2913">
        <v>2913</v>
      </c>
      <c r="B2913" t="s">
        <v>35</v>
      </c>
      <c r="C2913" t="s">
        <v>25</v>
      </c>
      <c r="D2913" s="72" t="s">
        <v>4864</v>
      </c>
      <c r="E2913" t="s">
        <v>36</v>
      </c>
      <c r="F2913" t="s">
        <v>4865</v>
      </c>
      <c r="G2913" s="92"/>
      <c r="H2913" s="92"/>
      <c r="I2913" s="92"/>
      <c r="J2913" s="92"/>
      <c r="K2913" s="92"/>
      <c r="L2913" s="9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9"/>
    </row>
    <row r="2914" spans="1:14" hidden="1" x14ac:dyDescent="0.15">
      <c r="A2914">
        <v>2914</v>
      </c>
      <c r="B2914" t="s">
        <v>35</v>
      </c>
      <c r="C2914" t="s">
        <v>25</v>
      </c>
      <c r="D2914" s="72" t="s">
        <v>4866</v>
      </c>
      <c r="E2914" t="s">
        <v>36</v>
      </c>
      <c r="F2914" t="s">
        <v>4867</v>
      </c>
      <c r="G2914" s="92"/>
      <c r="H2914" s="92"/>
      <c r="I2914" s="92"/>
      <c r="J2914" s="92"/>
      <c r="K2914" s="92"/>
      <c r="L2914" s="9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9"/>
    </row>
    <row r="2915" spans="1:14" hidden="1" x14ac:dyDescent="0.15">
      <c r="A2915">
        <v>2915</v>
      </c>
      <c r="B2915" t="s">
        <v>35</v>
      </c>
      <c r="C2915" t="s">
        <v>25</v>
      </c>
      <c r="D2915" s="72" t="s">
        <v>865</v>
      </c>
      <c r="E2915" t="s">
        <v>36</v>
      </c>
      <c r="F2915" t="s">
        <v>4868</v>
      </c>
      <c r="G2915" s="92"/>
      <c r="H2915" s="92"/>
      <c r="I2915" s="92"/>
      <c r="J2915" s="92"/>
      <c r="K2915" s="92"/>
      <c r="L2915" s="9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9"/>
    </row>
    <row r="2916" spans="1:14" hidden="1" x14ac:dyDescent="0.15">
      <c r="A2916">
        <v>2916</v>
      </c>
      <c r="B2916" t="s">
        <v>35</v>
      </c>
      <c r="C2916" t="s">
        <v>25</v>
      </c>
      <c r="D2916" s="72" t="s">
        <v>4869</v>
      </c>
      <c r="E2916" t="s">
        <v>36</v>
      </c>
      <c r="F2916" t="s">
        <v>4870</v>
      </c>
      <c r="G2916" s="92"/>
      <c r="H2916" s="92"/>
      <c r="I2916" s="92"/>
      <c r="J2916" s="92"/>
      <c r="K2916" s="92"/>
      <c r="L2916" s="9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9"/>
    </row>
    <row r="2917" spans="1:14" hidden="1" x14ac:dyDescent="0.15">
      <c r="A2917">
        <v>2917</v>
      </c>
      <c r="B2917" t="s">
        <v>35</v>
      </c>
      <c r="C2917" t="s">
        <v>25</v>
      </c>
      <c r="D2917" s="72" t="s">
        <v>4869</v>
      </c>
      <c r="E2917" t="s">
        <v>61</v>
      </c>
      <c r="F2917" t="s">
        <v>4870</v>
      </c>
      <c r="G2917" s="92"/>
      <c r="H2917" s="92"/>
      <c r="I2917" s="92"/>
      <c r="J2917" s="92"/>
      <c r="K2917" s="92"/>
      <c r="L2917" s="9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9"/>
    </row>
    <row r="2918" spans="1:14" hidden="1" x14ac:dyDescent="0.15">
      <c r="A2918">
        <v>2918</v>
      </c>
      <c r="B2918" t="s">
        <v>35</v>
      </c>
      <c r="C2918" t="s">
        <v>25</v>
      </c>
      <c r="D2918" s="72" t="s">
        <v>4871</v>
      </c>
      <c r="E2918" t="s">
        <v>36</v>
      </c>
      <c r="F2918" t="s">
        <v>4872</v>
      </c>
      <c r="G2918" s="92"/>
      <c r="H2918" s="92"/>
      <c r="I2918" s="92"/>
      <c r="J2918" s="92"/>
      <c r="K2918" s="92"/>
      <c r="L2918" s="9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9"/>
    </row>
    <row r="2919" spans="1:14" hidden="1" x14ac:dyDescent="0.15">
      <c r="A2919">
        <v>2919</v>
      </c>
      <c r="B2919" t="s">
        <v>35</v>
      </c>
      <c r="C2919" t="s">
        <v>25</v>
      </c>
      <c r="D2919" s="72" t="s">
        <v>3002</v>
      </c>
      <c r="E2919" t="s">
        <v>36</v>
      </c>
      <c r="F2919" t="s">
        <v>3003</v>
      </c>
      <c r="G2919" s="92"/>
      <c r="H2919" s="92"/>
      <c r="I2919" s="92"/>
      <c r="J2919" s="92"/>
      <c r="K2919" s="92"/>
      <c r="L2919" s="9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9"/>
    </row>
    <row r="2920" spans="1:14" hidden="1" x14ac:dyDescent="0.15">
      <c r="A2920">
        <v>2920</v>
      </c>
      <c r="B2920" t="s">
        <v>35</v>
      </c>
      <c r="C2920" t="s">
        <v>25</v>
      </c>
      <c r="D2920" s="72" t="s">
        <v>4873</v>
      </c>
      <c r="E2920" t="s">
        <v>702</v>
      </c>
      <c r="F2920" t="s">
        <v>4874</v>
      </c>
      <c r="G2920" s="92"/>
      <c r="H2920" s="92"/>
      <c r="I2920" s="92"/>
      <c r="J2920" s="92"/>
      <c r="K2920" s="92"/>
      <c r="L2920" s="9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9"/>
    </row>
    <row r="2921" spans="1:14" hidden="1" x14ac:dyDescent="0.15">
      <c r="A2921">
        <v>2921</v>
      </c>
      <c r="B2921" t="s">
        <v>35</v>
      </c>
      <c r="C2921" t="s">
        <v>25</v>
      </c>
      <c r="D2921" s="72" t="s">
        <v>4875</v>
      </c>
      <c r="E2921" t="s">
        <v>61</v>
      </c>
      <c r="F2921" t="s">
        <v>3622</v>
      </c>
      <c r="G2921" s="92"/>
      <c r="H2921" s="92"/>
      <c r="I2921" s="92"/>
      <c r="J2921" s="92"/>
      <c r="K2921" s="92"/>
      <c r="L2921" s="9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9"/>
    </row>
    <row r="2922" spans="1:14" hidden="1" x14ac:dyDescent="0.15">
      <c r="A2922">
        <v>2922</v>
      </c>
      <c r="B2922" t="s">
        <v>35</v>
      </c>
      <c r="C2922" t="s">
        <v>25</v>
      </c>
      <c r="D2922" s="72" t="s">
        <v>4876</v>
      </c>
      <c r="E2922" t="s">
        <v>61</v>
      </c>
      <c r="F2922" t="s">
        <v>4877</v>
      </c>
      <c r="G2922" s="92"/>
      <c r="H2922" s="92"/>
      <c r="I2922" s="92"/>
      <c r="J2922" s="92"/>
      <c r="K2922" s="92"/>
      <c r="L2922" s="9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9"/>
    </row>
    <row r="2923" spans="1:14" hidden="1" x14ac:dyDescent="0.15">
      <c r="A2923">
        <v>2923</v>
      </c>
      <c r="B2923" t="s">
        <v>35</v>
      </c>
      <c r="C2923" t="s">
        <v>25</v>
      </c>
      <c r="D2923" s="72" t="s">
        <v>4878</v>
      </c>
      <c r="E2923" t="s">
        <v>73</v>
      </c>
      <c r="F2923" t="s">
        <v>4879</v>
      </c>
      <c r="G2923" s="92"/>
      <c r="H2923" s="92"/>
      <c r="I2923" s="92"/>
      <c r="J2923" s="92"/>
      <c r="K2923" s="92"/>
      <c r="L2923" s="9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9"/>
    </row>
    <row r="2924" spans="1:14" hidden="1" x14ac:dyDescent="0.15">
      <c r="A2924">
        <v>2924</v>
      </c>
      <c r="B2924" t="s">
        <v>35</v>
      </c>
      <c r="C2924" t="s">
        <v>25</v>
      </c>
      <c r="D2924" s="72" t="s">
        <v>4880</v>
      </c>
      <c r="E2924" t="s">
        <v>702</v>
      </c>
      <c r="F2924" t="s">
        <v>4881</v>
      </c>
      <c r="G2924" s="92"/>
      <c r="H2924" s="92"/>
      <c r="I2924" s="92"/>
      <c r="J2924" s="92"/>
      <c r="K2924" s="92"/>
      <c r="L2924" s="9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9"/>
    </row>
    <row r="2925" spans="1:14" hidden="1" x14ac:dyDescent="0.15">
      <c r="A2925">
        <v>2925</v>
      </c>
      <c r="B2925" t="s">
        <v>35</v>
      </c>
      <c r="C2925" t="s">
        <v>25</v>
      </c>
      <c r="D2925" s="72" t="s">
        <v>197</v>
      </c>
      <c r="E2925" t="s">
        <v>73</v>
      </c>
      <c r="F2925" t="s">
        <v>4882</v>
      </c>
      <c r="G2925" s="92"/>
      <c r="H2925" s="92"/>
      <c r="I2925" s="92"/>
      <c r="J2925" s="92"/>
      <c r="K2925" s="92"/>
      <c r="L2925" s="9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9"/>
    </row>
    <row r="2926" spans="1:14" hidden="1" x14ac:dyDescent="0.15">
      <c r="A2926">
        <v>2926</v>
      </c>
      <c r="B2926" t="s">
        <v>35</v>
      </c>
      <c r="C2926" t="s">
        <v>25</v>
      </c>
      <c r="D2926" s="72" t="s">
        <v>4883</v>
      </c>
      <c r="E2926" t="s">
        <v>36</v>
      </c>
      <c r="F2926" t="s">
        <v>4884</v>
      </c>
      <c r="G2926" s="92"/>
      <c r="H2926" s="92"/>
      <c r="I2926" s="92"/>
      <c r="J2926" s="92"/>
      <c r="K2926" s="92"/>
      <c r="L2926" s="9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9"/>
    </row>
    <row r="2927" spans="1:14" hidden="1" x14ac:dyDescent="0.15">
      <c r="A2927">
        <v>2927</v>
      </c>
      <c r="B2927" t="s">
        <v>35</v>
      </c>
      <c r="C2927" t="s">
        <v>25</v>
      </c>
      <c r="D2927" s="72" t="s">
        <v>4885</v>
      </c>
      <c r="E2927" t="s">
        <v>36</v>
      </c>
      <c r="F2927" t="s">
        <v>4886</v>
      </c>
      <c r="G2927" s="92"/>
      <c r="H2927" s="92"/>
      <c r="I2927" s="92"/>
      <c r="J2927" s="92"/>
      <c r="K2927" s="92"/>
      <c r="L2927" s="9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9"/>
    </row>
    <row r="2928" spans="1:14" hidden="1" x14ac:dyDescent="0.15">
      <c r="A2928">
        <v>2928</v>
      </c>
      <c r="B2928" t="s">
        <v>35</v>
      </c>
      <c r="C2928" t="s">
        <v>25</v>
      </c>
      <c r="D2928" s="72" t="s">
        <v>4887</v>
      </c>
      <c r="E2928" t="s">
        <v>36</v>
      </c>
      <c r="F2928" t="s">
        <v>4888</v>
      </c>
      <c r="G2928" s="92"/>
      <c r="H2928" s="92"/>
      <c r="I2928" s="92"/>
      <c r="J2928" s="92"/>
      <c r="K2928" s="92"/>
      <c r="L2928" s="9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9"/>
    </row>
    <row r="2929" spans="1:14" hidden="1" x14ac:dyDescent="0.15">
      <c r="A2929">
        <v>2929</v>
      </c>
      <c r="B2929" t="s">
        <v>35</v>
      </c>
      <c r="C2929" t="s">
        <v>25</v>
      </c>
      <c r="D2929" s="72" t="s">
        <v>4889</v>
      </c>
      <c r="E2929" t="s">
        <v>36</v>
      </c>
      <c r="F2929" t="s">
        <v>4890</v>
      </c>
      <c r="G2929" s="92"/>
      <c r="H2929" s="92"/>
      <c r="I2929" s="92"/>
      <c r="J2929" s="92"/>
      <c r="K2929" s="92"/>
      <c r="L2929" s="9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9"/>
    </row>
    <row r="2930" spans="1:14" hidden="1" x14ac:dyDescent="0.15">
      <c r="A2930">
        <v>2930</v>
      </c>
      <c r="B2930" t="s">
        <v>35</v>
      </c>
      <c r="C2930" t="s">
        <v>25</v>
      </c>
      <c r="D2930" s="72" t="s">
        <v>4891</v>
      </c>
      <c r="E2930" t="s">
        <v>4892</v>
      </c>
      <c r="F2930" t="s">
        <v>4893</v>
      </c>
      <c r="G2930" s="92"/>
      <c r="H2930" s="92"/>
      <c r="I2930" s="92"/>
      <c r="J2930" s="92"/>
      <c r="K2930" s="92"/>
      <c r="L2930" s="9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9"/>
    </row>
    <row r="2931" spans="1:14" hidden="1" x14ac:dyDescent="0.15">
      <c r="A2931">
        <v>2931</v>
      </c>
      <c r="B2931" t="s">
        <v>35</v>
      </c>
      <c r="C2931" t="s">
        <v>25</v>
      </c>
      <c r="D2931" s="72" t="s">
        <v>4894</v>
      </c>
      <c r="E2931" t="s">
        <v>36</v>
      </c>
      <c r="F2931" t="s">
        <v>4895</v>
      </c>
      <c r="G2931" s="92"/>
      <c r="H2931" s="92"/>
      <c r="I2931" s="92"/>
      <c r="J2931" s="92"/>
      <c r="K2931" s="92"/>
      <c r="L2931" s="9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9"/>
    </row>
    <row r="2932" spans="1:14" hidden="1" x14ac:dyDescent="0.15">
      <c r="A2932">
        <v>2932</v>
      </c>
      <c r="B2932" t="s">
        <v>35</v>
      </c>
      <c r="C2932" t="s">
        <v>25</v>
      </c>
      <c r="D2932" s="72" t="s">
        <v>4896</v>
      </c>
      <c r="E2932" t="s">
        <v>73</v>
      </c>
      <c r="F2932" t="s">
        <v>704</v>
      </c>
      <c r="G2932" s="92"/>
      <c r="H2932" s="92"/>
      <c r="I2932" s="92"/>
      <c r="J2932" s="92"/>
      <c r="K2932" s="92"/>
      <c r="L2932" s="9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9"/>
    </row>
    <row r="2933" spans="1:14" hidden="1" x14ac:dyDescent="0.15">
      <c r="A2933">
        <v>2933</v>
      </c>
      <c r="B2933" t="s">
        <v>35</v>
      </c>
      <c r="C2933" t="s">
        <v>25</v>
      </c>
      <c r="D2933" s="72" t="s">
        <v>4897</v>
      </c>
      <c r="E2933" t="s">
        <v>157</v>
      </c>
      <c r="F2933" t="s">
        <v>5602</v>
      </c>
      <c r="G2933" s="92"/>
      <c r="H2933" s="92"/>
      <c r="I2933" s="92"/>
      <c r="J2933" s="92"/>
      <c r="K2933" s="92"/>
      <c r="L2933" s="9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9"/>
    </row>
    <row r="2934" spans="1:14" hidden="1" x14ac:dyDescent="0.15">
      <c r="A2934">
        <v>2934</v>
      </c>
      <c r="B2934" t="s">
        <v>35</v>
      </c>
      <c r="C2934" t="s">
        <v>25</v>
      </c>
      <c r="D2934" s="72" t="s">
        <v>4898</v>
      </c>
      <c r="E2934" t="s">
        <v>736</v>
      </c>
      <c r="F2934" t="s">
        <v>4899</v>
      </c>
      <c r="G2934" s="92"/>
      <c r="H2934" s="92"/>
      <c r="I2934" s="92"/>
      <c r="J2934" s="92"/>
      <c r="K2934" s="92"/>
      <c r="L2934" s="9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9"/>
    </row>
    <row r="2935" spans="1:14" hidden="1" x14ac:dyDescent="0.15">
      <c r="A2935">
        <v>2935</v>
      </c>
      <c r="B2935" t="s">
        <v>35</v>
      </c>
      <c r="C2935" t="s">
        <v>25</v>
      </c>
      <c r="D2935" s="72" t="s">
        <v>542</v>
      </c>
      <c r="E2935" t="s">
        <v>36</v>
      </c>
      <c r="F2935" t="s">
        <v>543</v>
      </c>
      <c r="G2935" s="92"/>
      <c r="H2935" s="92"/>
      <c r="I2935" s="92"/>
      <c r="J2935" s="92"/>
      <c r="K2935" s="92"/>
      <c r="L2935" s="9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9"/>
    </row>
    <row r="2936" spans="1:14" hidden="1" x14ac:dyDescent="0.15">
      <c r="A2936">
        <v>2936</v>
      </c>
      <c r="B2936" t="s">
        <v>35</v>
      </c>
      <c r="C2936" t="s">
        <v>25</v>
      </c>
      <c r="D2936" s="72" t="s">
        <v>4900</v>
      </c>
      <c r="E2936" t="s">
        <v>61</v>
      </c>
      <c r="F2936" t="s">
        <v>4304</v>
      </c>
      <c r="G2936" s="92"/>
      <c r="H2936" s="92"/>
      <c r="I2936" s="92"/>
      <c r="J2936" s="92"/>
      <c r="K2936" s="92"/>
      <c r="L2936" s="9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9"/>
    </row>
    <row r="2937" spans="1:14" hidden="1" x14ac:dyDescent="0.15">
      <c r="A2937">
        <v>2937</v>
      </c>
      <c r="B2937" t="s">
        <v>35</v>
      </c>
      <c r="C2937" t="s">
        <v>25</v>
      </c>
      <c r="D2937" s="72" t="s">
        <v>4901</v>
      </c>
      <c r="E2937" t="s">
        <v>36</v>
      </c>
      <c r="F2937" t="s">
        <v>4902</v>
      </c>
      <c r="G2937" s="92"/>
      <c r="H2937" s="92"/>
      <c r="I2937" s="92"/>
      <c r="J2937" s="92"/>
      <c r="K2937" s="92"/>
      <c r="L2937" s="9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9"/>
    </row>
    <row r="2938" spans="1:14" hidden="1" x14ac:dyDescent="0.15">
      <c r="A2938">
        <v>2938</v>
      </c>
      <c r="B2938" t="s">
        <v>35</v>
      </c>
      <c r="C2938" t="s">
        <v>25</v>
      </c>
      <c r="D2938" s="72" t="s">
        <v>4903</v>
      </c>
      <c r="E2938" t="s">
        <v>61</v>
      </c>
      <c r="F2938" t="s">
        <v>4904</v>
      </c>
      <c r="G2938" s="92"/>
      <c r="H2938" s="92"/>
      <c r="I2938" s="92"/>
      <c r="J2938" s="92"/>
      <c r="K2938" s="92"/>
      <c r="L2938" s="9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9"/>
    </row>
    <row r="2939" spans="1:14" hidden="1" x14ac:dyDescent="0.15">
      <c r="A2939">
        <v>2939</v>
      </c>
      <c r="B2939" t="s">
        <v>35</v>
      </c>
      <c r="C2939" t="s">
        <v>26</v>
      </c>
      <c r="D2939" s="72" t="s">
        <v>4905</v>
      </c>
      <c r="E2939" t="s">
        <v>36</v>
      </c>
      <c r="F2939" t="s">
        <v>4906</v>
      </c>
      <c r="G2939" s="92"/>
      <c r="H2939" s="92"/>
      <c r="I2939" s="92"/>
      <c r="J2939" s="92"/>
      <c r="K2939" s="92"/>
      <c r="L2939" s="9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9"/>
    </row>
    <row r="2940" spans="1:14" hidden="1" x14ac:dyDescent="0.15">
      <c r="A2940">
        <v>2940</v>
      </c>
      <c r="B2940" t="s">
        <v>35</v>
      </c>
      <c r="C2940" t="s">
        <v>26</v>
      </c>
      <c r="D2940" s="72" t="s">
        <v>4907</v>
      </c>
      <c r="E2940" t="s">
        <v>702</v>
      </c>
      <c r="F2940" t="s">
        <v>5603</v>
      </c>
      <c r="G2940" s="92"/>
      <c r="H2940" s="92"/>
      <c r="I2940" s="92"/>
      <c r="J2940" s="92"/>
      <c r="K2940" s="92"/>
      <c r="L2940" s="9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9"/>
    </row>
    <row r="2941" spans="1:14" hidden="1" x14ac:dyDescent="0.15">
      <c r="A2941">
        <v>2941</v>
      </c>
      <c r="B2941" t="s">
        <v>35</v>
      </c>
      <c r="C2941" t="s">
        <v>26</v>
      </c>
      <c r="D2941" s="72" t="s">
        <v>4908</v>
      </c>
      <c r="E2941" t="s">
        <v>73</v>
      </c>
      <c r="F2941" t="s">
        <v>4909</v>
      </c>
      <c r="G2941" s="92"/>
      <c r="H2941" s="92"/>
      <c r="I2941" s="92"/>
      <c r="J2941" s="92"/>
      <c r="K2941" s="92"/>
      <c r="L2941" s="9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9"/>
    </row>
    <row r="2942" spans="1:14" hidden="1" x14ac:dyDescent="0.15">
      <c r="A2942">
        <v>2942</v>
      </c>
      <c r="B2942" t="s">
        <v>35</v>
      </c>
      <c r="C2942" t="s">
        <v>26</v>
      </c>
      <c r="D2942" s="72" t="s">
        <v>4910</v>
      </c>
      <c r="E2942" t="s">
        <v>1021</v>
      </c>
      <c r="F2942" t="s">
        <v>4911</v>
      </c>
      <c r="G2942" s="92"/>
      <c r="H2942" s="92"/>
      <c r="I2942" s="92"/>
      <c r="J2942" s="92"/>
      <c r="K2942" s="92"/>
      <c r="L2942" s="9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9"/>
    </row>
    <row r="2943" spans="1:14" hidden="1" x14ac:dyDescent="0.15">
      <c r="A2943">
        <v>2943</v>
      </c>
      <c r="B2943" t="s">
        <v>35</v>
      </c>
      <c r="C2943" t="s">
        <v>26</v>
      </c>
      <c r="D2943" s="72" t="s">
        <v>4912</v>
      </c>
      <c r="E2943" t="s">
        <v>73</v>
      </c>
      <c r="F2943" t="s">
        <v>4913</v>
      </c>
      <c r="G2943" s="92"/>
      <c r="H2943" s="92"/>
      <c r="I2943" s="92"/>
      <c r="J2943" s="92"/>
      <c r="K2943" s="92"/>
      <c r="L2943" s="9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9"/>
    </row>
    <row r="2944" spans="1:14" hidden="1" x14ac:dyDescent="0.15">
      <c r="A2944">
        <v>2944</v>
      </c>
      <c r="B2944" t="s">
        <v>35</v>
      </c>
      <c r="C2944" t="s">
        <v>26</v>
      </c>
      <c r="D2944" s="72" t="s">
        <v>233</v>
      </c>
      <c r="E2944" t="s">
        <v>36</v>
      </c>
      <c r="F2944" t="s">
        <v>2465</v>
      </c>
      <c r="G2944" s="92"/>
      <c r="H2944" s="92"/>
      <c r="I2944" s="92"/>
      <c r="J2944" s="92"/>
      <c r="K2944" s="92"/>
      <c r="L2944" s="9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9"/>
    </row>
    <row r="2945" spans="1:14" hidden="1" x14ac:dyDescent="0.15">
      <c r="A2945">
        <v>2945</v>
      </c>
      <c r="B2945" t="s">
        <v>35</v>
      </c>
      <c r="C2945" t="s">
        <v>26</v>
      </c>
      <c r="D2945" s="72" t="s">
        <v>4914</v>
      </c>
      <c r="E2945" t="s">
        <v>61</v>
      </c>
      <c r="F2945" t="s">
        <v>4915</v>
      </c>
      <c r="G2945" s="92"/>
      <c r="H2945" s="92"/>
      <c r="I2945" s="92"/>
      <c r="J2945" s="92"/>
      <c r="K2945" s="92"/>
      <c r="L2945" s="9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9"/>
    </row>
    <row r="2946" spans="1:14" hidden="1" x14ac:dyDescent="0.15">
      <c r="A2946">
        <v>2946</v>
      </c>
      <c r="B2946" t="s">
        <v>35</v>
      </c>
      <c r="C2946" t="s">
        <v>26</v>
      </c>
      <c r="D2946" s="72" t="s">
        <v>3082</v>
      </c>
      <c r="E2946" t="s">
        <v>36</v>
      </c>
      <c r="F2946" t="s">
        <v>4916</v>
      </c>
      <c r="G2946" s="92"/>
      <c r="H2946" s="92"/>
      <c r="I2946" s="92"/>
      <c r="J2946" s="92"/>
      <c r="K2946" s="92"/>
      <c r="L2946" s="9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9"/>
    </row>
    <row r="2947" spans="1:14" hidden="1" x14ac:dyDescent="0.15">
      <c r="A2947">
        <v>2947</v>
      </c>
      <c r="B2947" t="s">
        <v>35</v>
      </c>
      <c r="C2947" t="s">
        <v>26</v>
      </c>
      <c r="D2947" s="72" t="s">
        <v>1686</v>
      </c>
      <c r="E2947" t="s">
        <v>36</v>
      </c>
      <c r="F2947" t="s">
        <v>4917</v>
      </c>
      <c r="G2947" s="92"/>
      <c r="H2947" s="92"/>
      <c r="I2947" s="92"/>
      <c r="J2947" s="92"/>
      <c r="K2947" s="92"/>
      <c r="L2947" s="9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9"/>
    </row>
    <row r="2948" spans="1:14" hidden="1" x14ac:dyDescent="0.15">
      <c r="A2948">
        <v>2948</v>
      </c>
      <c r="B2948" t="s">
        <v>35</v>
      </c>
      <c r="C2948" t="s">
        <v>26</v>
      </c>
      <c r="D2948" s="72" t="s">
        <v>4918</v>
      </c>
      <c r="E2948" t="s">
        <v>36</v>
      </c>
      <c r="F2948" t="s">
        <v>4919</v>
      </c>
      <c r="G2948" s="92"/>
      <c r="H2948" s="92"/>
      <c r="I2948" s="92"/>
      <c r="J2948" s="92"/>
      <c r="K2948" s="92"/>
      <c r="L2948" s="9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9"/>
    </row>
    <row r="2949" spans="1:14" hidden="1" x14ac:dyDescent="0.15">
      <c r="A2949">
        <v>2949</v>
      </c>
      <c r="B2949" t="s">
        <v>35</v>
      </c>
      <c r="C2949" t="s">
        <v>26</v>
      </c>
      <c r="D2949" s="72" t="s">
        <v>2128</v>
      </c>
      <c r="E2949" t="s">
        <v>36</v>
      </c>
      <c r="F2949" t="s">
        <v>2129</v>
      </c>
      <c r="G2949" s="92"/>
      <c r="H2949" s="92"/>
      <c r="I2949" s="92"/>
      <c r="J2949" s="92"/>
      <c r="K2949" s="92"/>
      <c r="L2949" s="9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9"/>
    </row>
    <row r="2950" spans="1:14" hidden="1" x14ac:dyDescent="0.15">
      <c r="A2950">
        <v>2950</v>
      </c>
      <c r="B2950" t="s">
        <v>35</v>
      </c>
      <c r="C2950" t="s">
        <v>26</v>
      </c>
      <c r="D2950" s="72" t="s">
        <v>1050</v>
      </c>
      <c r="E2950" t="s">
        <v>61</v>
      </c>
      <c r="F2950" t="s">
        <v>4870</v>
      </c>
      <c r="G2950" s="92"/>
      <c r="H2950" s="92"/>
      <c r="I2950" s="92"/>
      <c r="J2950" s="92"/>
      <c r="K2950" s="92"/>
      <c r="L2950" s="9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9"/>
    </row>
    <row r="2951" spans="1:14" hidden="1" x14ac:dyDescent="0.15">
      <c r="A2951">
        <v>2951</v>
      </c>
      <c r="B2951" t="s">
        <v>35</v>
      </c>
      <c r="C2951" t="s">
        <v>26</v>
      </c>
      <c r="D2951" s="72" t="s">
        <v>4920</v>
      </c>
      <c r="E2951" t="s">
        <v>36</v>
      </c>
      <c r="F2951" t="s">
        <v>4921</v>
      </c>
      <c r="G2951" s="92"/>
      <c r="H2951" s="92"/>
      <c r="I2951" s="92"/>
      <c r="J2951" s="92"/>
      <c r="K2951" s="92"/>
      <c r="L2951" s="9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9"/>
    </row>
    <row r="2952" spans="1:14" hidden="1" x14ac:dyDescent="0.15">
      <c r="A2952">
        <v>2952</v>
      </c>
      <c r="B2952" t="s">
        <v>35</v>
      </c>
      <c r="C2952" t="s">
        <v>26</v>
      </c>
      <c r="D2952" s="72" t="s">
        <v>4922</v>
      </c>
      <c r="E2952" t="s">
        <v>702</v>
      </c>
      <c r="F2952" t="s">
        <v>4923</v>
      </c>
      <c r="G2952" s="92"/>
      <c r="H2952" s="92"/>
      <c r="I2952" s="92"/>
      <c r="J2952" s="92"/>
      <c r="K2952" s="92"/>
      <c r="L2952" s="9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9"/>
    </row>
    <row r="2953" spans="1:14" hidden="1" x14ac:dyDescent="0.15">
      <c r="A2953">
        <v>2953</v>
      </c>
      <c r="B2953" t="s">
        <v>35</v>
      </c>
      <c r="C2953" t="s">
        <v>26</v>
      </c>
      <c r="D2953" s="72" t="s">
        <v>611</v>
      </c>
      <c r="E2953" t="s">
        <v>36</v>
      </c>
      <c r="F2953" t="s">
        <v>5604</v>
      </c>
      <c r="G2953" s="92"/>
      <c r="H2953" s="92"/>
      <c r="I2953" s="92"/>
      <c r="J2953" s="92"/>
      <c r="K2953" s="92"/>
      <c r="L2953" s="9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9"/>
    </row>
    <row r="2954" spans="1:14" hidden="1" x14ac:dyDescent="0.15">
      <c r="A2954">
        <v>2954</v>
      </c>
      <c r="B2954" t="s">
        <v>35</v>
      </c>
      <c r="C2954" t="s">
        <v>26</v>
      </c>
      <c r="D2954" s="72" t="s">
        <v>4924</v>
      </c>
      <c r="E2954" t="s">
        <v>36</v>
      </c>
      <c r="F2954" t="s">
        <v>5605</v>
      </c>
      <c r="G2954" s="92"/>
      <c r="H2954" s="92"/>
      <c r="I2954" s="92"/>
      <c r="J2954" s="92"/>
      <c r="K2954" s="92"/>
      <c r="L2954" s="9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9"/>
    </row>
    <row r="2955" spans="1:14" hidden="1" x14ac:dyDescent="0.15">
      <c r="A2955">
        <v>2955</v>
      </c>
      <c r="B2955" t="s">
        <v>35</v>
      </c>
      <c r="C2955" t="s">
        <v>26</v>
      </c>
      <c r="D2955" s="72" t="s">
        <v>4925</v>
      </c>
      <c r="E2955" t="s">
        <v>36</v>
      </c>
      <c r="F2955" t="s">
        <v>4926</v>
      </c>
      <c r="G2955" s="92"/>
      <c r="H2955" s="92"/>
      <c r="I2955" s="92"/>
      <c r="J2955" s="92"/>
      <c r="K2955" s="92"/>
      <c r="L2955" s="9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9"/>
    </row>
    <row r="2956" spans="1:14" hidden="1" x14ac:dyDescent="0.15">
      <c r="A2956">
        <v>2956</v>
      </c>
      <c r="B2956" t="s">
        <v>35</v>
      </c>
      <c r="C2956" t="s">
        <v>26</v>
      </c>
      <c r="D2956" s="72" t="s">
        <v>4927</v>
      </c>
      <c r="E2956" t="s">
        <v>736</v>
      </c>
      <c r="F2956" t="s">
        <v>4928</v>
      </c>
      <c r="G2956" s="92"/>
      <c r="H2956" s="92"/>
      <c r="I2956" s="92"/>
      <c r="J2956" s="92"/>
      <c r="K2956" s="92"/>
      <c r="L2956" s="9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9"/>
    </row>
    <row r="2957" spans="1:14" hidden="1" x14ac:dyDescent="0.15">
      <c r="A2957">
        <v>2957</v>
      </c>
      <c r="B2957" t="s">
        <v>35</v>
      </c>
      <c r="C2957" t="s">
        <v>26</v>
      </c>
      <c r="D2957" s="72" t="s">
        <v>4929</v>
      </c>
      <c r="E2957" t="s">
        <v>61</v>
      </c>
      <c r="F2957" t="s">
        <v>4930</v>
      </c>
      <c r="G2957" s="92"/>
      <c r="H2957" s="92"/>
      <c r="I2957" s="92"/>
      <c r="J2957" s="92"/>
      <c r="K2957" s="92"/>
      <c r="L2957" s="9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9"/>
    </row>
    <row r="2958" spans="1:14" hidden="1" x14ac:dyDescent="0.15">
      <c r="A2958">
        <v>2958</v>
      </c>
      <c r="B2958" t="s">
        <v>35</v>
      </c>
      <c r="C2958" t="s">
        <v>26</v>
      </c>
      <c r="D2958" s="72" t="s">
        <v>4931</v>
      </c>
      <c r="E2958" t="s">
        <v>736</v>
      </c>
      <c r="F2958" t="s">
        <v>4932</v>
      </c>
      <c r="G2958" s="92"/>
      <c r="H2958" s="92"/>
      <c r="I2958" s="92"/>
      <c r="J2958" s="92"/>
      <c r="K2958" s="92"/>
      <c r="L2958" s="9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9"/>
    </row>
    <row r="2959" spans="1:14" hidden="1" x14ac:dyDescent="0.15">
      <c r="A2959">
        <v>2959</v>
      </c>
      <c r="B2959" t="s">
        <v>35</v>
      </c>
      <c r="C2959" t="s">
        <v>26</v>
      </c>
      <c r="D2959" s="72" t="s">
        <v>3783</v>
      </c>
      <c r="E2959" t="s">
        <v>36</v>
      </c>
      <c r="F2959" t="s">
        <v>4933</v>
      </c>
      <c r="G2959" s="92"/>
      <c r="H2959" s="92"/>
      <c r="I2959" s="92"/>
      <c r="J2959" s="92"/>
      <c r="K2959" s="92"/>
      <c r="L2959" s="9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9"/>
    </row>
    <row r="2960" spans="1:14" hidden="1" x14ac:dyDescent="0.15">
      <c r="A2960">
        <v>2960</v>
      </c>
      <c r="B2960" t="s">
        <v>35</v>
      </c>
      <c r="C2960" t="s">
        <v>26</v>
      </c>
      <c r="D2960" s="72" t="s">
        <v>3817</v>
      </c>
      <c r="E2960" t="s">
        <v>36</v>
      </c>
      <c r="F2960" t="s">
        <v>3818</v>
      </c>
      <c r="G2960" s="92"/>
      <c r="H2960" s="92"/>
      <c r="I2960" s="92"/>
      <c r="J2960" s="92"/>
      <c r="K2960" s="92"/>
      <c r="L2960" s="9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9"/>
    </row>
    <row r="2961" spans="1:14" hidden="1" x14ac:dyDescent="0.15">
      <c r="A2961">
        <v>2961</v>
      </c>
      <c r="B2961" t="s">
        <v>35</v>
      </c>
      <c r="C2961" t="s">
        <v>26</v>
      </c>
      <c r="D2961" s="72" t="s">
        <v>4934</v>
      </c>
      <c r="E2961" t="s">
        <v>36</v>
      </c>
      <c r="F2961" t="s">
        <v>4935</v>
      </c>
      <c r="G2961" s="92"/>
      <c r="H2961" s="92"/>
      <c r="I2961" s="92"/>
      <c r="J2961" s="92"/>
      <c r="K2961" s="92"/>
      <c r="L2961" s="9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9"/>
    </row>
    <row r="2962" spans="1:14" hidden="1" x14ac:dyDescent="0.15">
      <c r="A2962">
        <v>2962</v>
      </c>
      <c r="B2962" t="s">
        <v>35</v>
      </c>
      <c r="C2962" t="s">
        <v>26</v>
      </c>
      <c r="D2962" s="72" t="s">
        <v>2752</v>
      </c>
      <c r="E2962" t="s">
        <v>73</v>
      </c>
      <c r="F2962" t="s">
        <v>4936</v>
      </c>
      <c r="G2962" s="92"/>
      <c r="H2962" s="92"/>
      <c r="I2962" s="92"/>
      <c r="J2962" s="92"/>
      <c r="K2962" s="92"/>
      <c r="L2962" s="9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9"/>
    </row>
    <row r="2963" spans="1:14" hidden="1" x14ac:dyDescent="0.15">
      <c r="A2963">
        <v>2963</v>
      </c>
      <c r="B2963" t="s">
        <v>35</v>
      </c>
      <c r="C2963" t="s">
        <v>26</v>
      </c>
      <c r="D2963" s="72" t="s">
        <v>4937</v>
      </c>
      <c r="E2963" t="s">
        <v>36</v>
      </c>
      <c r="F2963" t="s">
        <v>4938</v>
      </c>
      <c r="G2963" s="92"/>
      <c r="H2963" s="92"/>
      <c r="I2963" s="92"/>
      <c r="J2963" s="92"/>
      <c r="K2963" s="92"/>
      <c r="L2963" s="9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9"/>
    </row>
    <row r="2964" spans="1:14" hidden="1" x14ac:dyDescent="0.15">
      <c r="A2964">
        <v>2964</v>
      </c>
      <c r="B2964" t="s">
        <v>35</v>
      </c>
      <c r="C2964" t="s">
        <v>26</v>
      </c>
      <c r="D2964" s="72" t="s">
        <v>4939</v>
      </c>
      <c r="E2964" t="s">
        <v>61</v>
      </c>
      <c r="F2964" t="s">
        <v>4940</v>
      </c>
      <c r="G2964" s="92"/>
      <c r="H2964" s="92"/>
      <c r="I2964" s="92"/>
      <c r="J2964" s="92"/>
      <c r="K2964" s="92"/>
      <c r="L2964" s="9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9"/>
    </row>
    <row r="2965" spans="1:14" hidden="1" x14ac:dyDescent="0.15">
      <c r="A2965">
        <v>2965</v>
      </c>
      <c r="B2965" t="s">
        <v>35</v>
      </c>
      <c r="C2965" t="s">
        <v>26</v>
      </c>
      <c r="D2965" s="72" t="s">
        <v>2366</v>
      </c>
      <c r="E2965" t="s">
        <v>36</v>
      </c>
      <c r="F2965" t="s">
        <v>4941</v>
      </c>
      <c r="G2965" s="92"/>
      <c r="H2965" s="92"/>
      <c r="I2965" s="92"/>
      <c r="J2965" s="92"/>
      <c r="K2965" s="92"/>
      <c r="L2965" s="9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9"/>
    </row>
    <row r="2966" spans="1:14" hidden="1" x14ac:dyDescent="0.15">
      <c r="A2966">
        <v>2966</v>
      </c>
      <c r="B2966" t="s">
        <v>35</v>
      </c>
      <c r="C2966" t="s">
        <v>26</v>
      </c>
      <c r="D2966" s="72" t="s">
        <v>4942</v>
      </c>
      <c r="E2966" t="s">
        <v>702</v>
      </c>
      <c r="F2966" t="s">
        <v>4943</v>
      </c>
      <c r="G2966" s="92"/>
      <c r="H2966" s="92"/>
      <c r="I2966" s="92"/>
      <c r="J2966" s="92"/>
      <c r="K2966" s="92"/>
      <c r="L2966" s="9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9"/>
    </row>
    <row r="2967" spans="1:14" hidden="1" x14ac:dyDescent="0.15">
      <c r="A2967">
        <v>2967</v>
      </c>
      <c r="B2967" t="s">
        <v>35</v>
      </c>
      <c r="C2967" t="s">
        <v>26</v>
      </c>
      <c r="D2967" s="72" t="s">
        <v>4944</v>
      </c>
      <c r="E2967" t="s">
        <v>702</v>
      </c>
      <c r="F2967" t="s">
        <v>4945</v>
      </c>
      <c r="G2967" s="92"/>
      <c r="H2967" s="92"/>
      <c r="I2967" s="92"/>
      <c r="J2967" s="92"/>
      <c r="K2967" s="92"/>
      <c r="L2967" s="9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9"/>
    </row>
    <row r="2968" spans="1:14" hidden="1" x14ac:dyDescent="0.15">
      <c r="A2968">
        <v>2968</v>
      </c>
      <c r="B2968" t="s">
        <v>35</v>
      </c>
      <c r="C2968" t="s">
        <v>26</v>
      </c>
      <c r="D2968" s="72" t="s">
        <v>4946</v>
      </c>
      <c r="E2968" t="s">
        <v>36</v>
      </c>
      <c r="F2968" t="s">
        <v>4947</v>
      </c>
      <c r="G2968" s="92"/>
      <c r="H2968" s="92"/>
      <c r="I2968" s="92"/>
      <c r="J2968" s="92"/>
      <c r="K2968" s="92"/>
      <c r="L2968" s="9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9"/>
    </row>
    <row r="2969" spans="1:14" hidden="1" x14ac:dyDescent="0.15">
      <c r="A2969">
        <v>2969</v>
      </c>
      <c r="B2969" t="s">
        <v>35</v>
      </c>
      <c r="C2969" t="s">
        <v>26</v>
      </c>
      <c r="D2969" s="72" t="s">
        <v>2842</v>
      </c>
      <c r="E2969" t="s">
        <v>73</v>
      </c>
      <c r="F2969" t="s">
        <v>2843</v>
      </c>
      <c r="G2969" s="92"/>
      <c r="H2969" s="92"/>
      <c r="I2969" s="92"/>
      <c r="J2969" s="92"/>
      <c r="K2969" s="92"/>
      <c r="L2969" s="9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9"/>
    </row>
    <row r="2970" spans="1:14" hidden="1" x14ac:dyDescent="0.15">
      <c r="A2970">
        <v>2970</v>
      </c>
      <c r="B2970" t="s">
        <v>35</v>
      </c>
      <c r="C2970" t="s">
        <v>26</v>
      </c>
      <c r="D2970" s="72" t="s">
        <v>2356</v>
      </c>
      <c r="E2970" t="s">
        <v>73</v>
      </c>
      <c r="F2970" t="s">
        <v>2357</v>
      </c>
      <c r="G2970" s="92"/>
      <c r="H2970" s="92"/>
      <c r="I2970" s="92"/>
      <c r="J2970" s="92"/>
      <c r="K2970" s="92"/>
      <c r="L2970" s="9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9"/>
    </row>
    <row r="2971" spans="1:14" hidden="1" x14ac:dyDescent="0.15">
      <c r="A2971">
        <v>2971</v>
      </c>
      <c r="B2971" t="s">
        <v>35</v>
      </c>
      <c r="C2971" t="s">
        <v>26</v>
      </c>
      <c r="D2971" s="72" t="s">
        <v>4948</v>
      </c>
      <c r="E2971" t="s">
        <v>36</v>
      </c>
      <c r="F2971" t="s">
        <v>4949</v>
      </c>
      <c r="G2971" s="92"/>
      <c r="H2971" s="92"/>
      <c r="I2971" s="92"/>
      <c r="J2971" s="92"/>
      <c r="K2971" s="92"/>
      <c r="L2971" s="9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9"/>
    </row>
    <row r="2972" spans="1:14" hidden="1" x14ac:dyDescent="0.15">
      <c r="A2972">
        <v>2972</v>
      </c>
      <c r="B2972" t="s">
        <v>35</v>
      </c>
      <c r="C2972" t="s">
        <v>26</v>
      </c>
      <c r="D2972" s="72" t="s">
        <v>4950</v>
      </c>
      <c r="E2972" t="s">
        <v>36</v>
      </c>
      <c r="F2972" t="s">
        <v>4951</v>
      </c>
      <c r="G2972" s="92"/>
      <c r="H2972" s="92"/>
      <c r="I2972" s="92"/>
      <c r="J2972" s="92"/>
      <c r="K2972" s="92"/>
      <c r="L2972" s="9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9"/>
    </row>
    <row r="2973" spans="1:14" hidden="1" x14ac:dyDescent="0.15">
      <c r="A2973">
        <v>2973</v>
      </c>
      <c r="B2973" t="s">
        <v>35</v>
      </c>
      <c r="C2973" t="s">
        <v>26</v>
      </c>
      <c r="D2973" s="72" t="s">
        <v>4952</v>
      </c>
      <c r="E2973" t="s">
        <v>36</v>
      </c>
      <c r="F2973" t="s">
        <v>4953</v>
      </c>
      <c r="G2973" s="92"/>
      <c r="H2973" s="92"/>
      <c r="I2973" s="92"/>
      <c r="J2973" s="92"/>
      <c r="K2973" s="92"/>
      <c r="L2973" s="9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9"/>
    </row>
    <row r="2974" spans="1:14" hidden="1" x14ac:dyDescent="0.15">
      <c r="A2974">
        <v>2974</v>
      </c>
      <c r="B2974" t="s">
        <v>35</v>
      </c>
      <c r="C2974" t="s">
        <v>26</v>
      </c>
      <c r="D2974" s="72" t="s">
        <v>4954</v>
      </c>
      <c r="E2974" t="s">
        <v>36</v>
      </c>
      <c r="F2974" t="s">
        <v>4955</v>
      </c>
      <c r="G2974" s="92"/>
      <c r="H2974" s="92"/>
      <c r="I2974" s="92"/>
      <c r="J2974" s="92"/>
      <c r="K2974" s="92"/>
      <c r="L2974" s="9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9"/>
    </row>
    <row r="2975" spans="1:14" hidden="1" x14ac:dyDescent="0.15">
      <c r="A2975">
        <v>2975</v>
      </c>
      <c r="B2975" t="s">
        <v>35</v>
      </c>
      <c r="C2975" t="s">
        <v>26</v>
      </c>
      <c r="D2975" s="72" t="s">
        <v>4956</v>
      </c>
      <c r="E2975" t="s">
        <v>736</v>
      </c>
      <c r="F2975" t="s">
        <v>4957</v>
      </c>
      <c r="G2975" s="92"/>
      <c r="H2975" s="92"/>
      <c r="I2975" s="92"/>
      <c r="J2975" s="92"/>
      <c r="K2975" s="92"/>
      <c r="L2975" s="9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9"/>
    </row>
    <row r="2976" spans="1:14" hidden="1" x14ac:dyDescent="0.15">
      <c r="A2976">
        <v>2976</v>
      </c>
      <c r="B2976" t="s">
        <v>35</v>
      </c>
      <c r="C2976" t="s">
        <v>26</v>
      </c>
      <c r="D2976" s="72" t="s">
        <v>4958</v>
      </c>
      <c r="E2976" t="s">
        <v>36</v>
      </c>
      <c r="F2976" t="s">
        <v>4959</v>
      </c>
      <c r="G2976" s="92"/>
      <c r="H2976" s="92"/>
      <c r="I2976" s="92"/>
      <c r="J2976" s="92"/>
      <c r="K2976" s="92"/>
      <c r="L2976" s="9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9"/>
    </row>
    <row r="2977" spans="1:14" hidden="1" x14ac:dyDescent="0.15">
      <c r="A2977">
        <v>2977</v>
      </c>
      <c r="B2977" t="s">
        <v>35</v>
      </c>
      <c r="C2977" t="s">
        <v>26</v>
      </c>
      <c r="D2977" s="72" t="s">
        <v>4960</v>
      </c>
      <c r="E2977" t="s">
        <v>61</v>
      </c>
      <c r="F2977" t="s">
        <v>4961</v>
      </c>
      <c r="G2977" s="92"/>
      <c r="H2977" s="92"/>
      <c r="I2977" s="92"/>
      <c r="J2977" s="92"/>
      <c r="K2977" s="92"/>
      <c r="L2977" s="9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9"/>
    </row>
    <row r="2978" spans="1:14" hidden="1" x14ac:dyDescent="0.15">
      <c r="A2978">
        <v>2978</v>
      </c>
      <c r="B2978" t="s">
        <v>35</v>
      </c>
      <c r="C2978" t="s">
        <v>26</v>
      </c>
      <c r="D2978" s="72" t="s">
        <v>4962</v>
      </c>
      <c r="E2978" t="s">
        <v>736</v>
      </c>
      <c r="F2978" t="s">
        <v>4963</v>
      </c>
      <c r="G2978" s="92"/>
      <c r="H2978" s="92"/>
      <c r="I2978" s="92"/>
      <c r="J2978" s="92"/>
      <c r="K2978" s="92"/>
      <c r="L2978" s="9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9"/>
    </row>
    <row r="2979" spans="1:14" hidden="1" x14ac:dyDescent="0.15">
      <c r="A2979">
        <v>2979</v>
      </c>
      <c r="B2979" t="s">
        <v>35</v>
      </c>
      <c r="C2979" t="s">
        <v>26</v>
      </c>
      <c r="D2979" s="72" t="s">
        <v>4964</v>
      </c>
      <c r="E2979" t="s">
        <v>36</v>
      </c>
      <c r="F2979" t="s">
        <v>4965</v>
      </c>
      <c r="G2979" s="92"/>
      <c r="H2979" s="92"/>
      <c r="I2979" s="92"/>
      <c r="J2979" s="92"/>
      <c r="K2979" s="92"/>
      <c r="L2979" s="9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9"/>
    </row>
    <row r="2980" spans="1:14" hidden="1" x14ac:dyDescent="0.15">
      <c r="A2980">
        <v>2980</v>
      </c>
      <c r="B2980" t="s">
        <v>35</v>
      </c>
      <c r="C2980" t="s">
        <v>26</v>
      </c>
      <c r="D2980" s="72" t="s">
        <v>3651</v>
      </c>
      <c r="E2980" t="s">
        <v>36</v>
      </c>
      <c r="F2980" t="s">
        <v>4966</v>
      </c>
      <c r="G2980" s="92"/>
      <c r="H2980" s="92"/>
      <c r="I2980" s="92"/>
      <c r="J2980" s="92"/>
      <c r="K2980" s="92"/>
      <c r="L2980" s="9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9"/>
    </row>
    <row r="2981" spans="1:14" hidden="1" x14ac:dyDescent="0.15">
      <c r="A2981">
        <v>2981</v>
      </c>
      <c r="B2981" t="s">
        <v>35</v>
      </c>
      <c r="C2981" t="s">
        <v>26</v>
      </c>
      <c r="D2981" s="72" t="s">
        <v>3651</v>
      </c>
      <c r="E2981" t="s">
        <v>61</v>
      </c>
      <c r="F2981" t="s">
        <v>4967</v>
      </c>
      <c r="G2981" s="92"/>
      <c r="H2981" s="92"/>
      <c r="I2981" s="92"/>
      <c r="J2981" s="92"/>
      <c r="K2981" s="92"/>
      <c r="L2981" s="9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9"/>
    </row>
    <row r="2982" spans="1:14" hidden="1" x14ac:dyDescent="0.15">
      <c r="A2982">
        <v>2982</v>
      </c>
      <c r="B2982" t="s">
        <v>35</v>
      </c>
      <c r="C2982" t="s">
        <v>26</v>
      </c>
      <c r="D2982" s="72" t="s">
        <v>4968</v>
      </c>
      <c r="E2982" t="s">
        <v>702</v>
      </c>
      <c r="F2982" t="s">
        <v>4969</v>
      </c>
      <c r="G2982" s="92"/>
      <c r="H2982" s="92"/>
      <c r="I2982" s="92"/>
      <c r="J2982" s="92"/>
      <c r="K2982" s="92"/>
      <c r="L2982" s="9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9"/>
    </row>
    <row r="2983" spans="1:14" hidden="1" x14ac:dyDescent="0.15">
      <c r="A2983">
        <v>2983</v>
      </c>
      <c r="B2983" t="s">
        <v>35</v>
      </c>
      <c r="C2983" t="s">
        <v>26</v>
      </c>
      <c r="D2983" s="72" t="s">
        <v>2630</v>
      </c>
      <c r="E2983" t="s">
        <v>36</v>
      </c>
      <c r="F2983" t="s">
        <v>2631</v>
      </c>
      <c r="G2983" s="92"/>
      <c r="H2983" s="92"/>
      <c r="I2983" s="92"/>
      <c r="J2983" s="92"/>
      <c r="K2983" s="92"/>
      <c r="L2983" s="9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9"/>
    </row>
    <row r="2984" spans="1:14" hidden="1" x14ac:dyDescent="0.15">
      <c r="A2984">
        <v>2984</v>
      </c>
      <c r="B2984" t="s">
        <v>35</v>
      </c>
      <c r="C2984" t="s">
        <v>26</v>
      </c>
      <c r="D2984" s="72" t="s">
        <v>4970</v>
      </c>
      <c r="E2984" t="s">
        <v>36</v>
      </c>
      <c r="F2984" t="s">
        <v>4971</v>
      </c>
      <c r="G2984" s="92"/>
      <c r="H2984" s="92"/>
      <c r="I2984" s="92"/>
      <c r="J2984" s="92"/>
      <c r="K2984" s="92"/>
      <c r="L2984" s="9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9"/>
    </row>
    <row r="2985" spans="1:14" hidden="1" x14ac:dyDescent="0.15">
      <c r="A2985">
        <v>2985</v>
      </c>
      <c r="B2985" t="s">
        <v>35</v>
      </c>
      <c r="C2985" t="s">
        <v>26</v>
      </c>
      <c r="D2985" s="72" t="s">
        <v>4972</v>
      </c>
      <c r="E2985" t="s">
        <v>736</v>
      </c>
      <c r="F2985" t="s">
        <v>4973</v>
      </c>
      <c r="G2985" s="92"/>
      <c r="H2985" s="92"/>
      <c r="I2985" s="92"/>
      <c r="J2985" s="92"/>
      <c r="K2985" s="92"/>
      <c r="L2985" s="9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9"/>
    </row>
    <row r="2986" spans="1:14" hidden="1" x14ac:dyDescent="0.15">
      <c r="A2986">
        <v>2986</v>
      </c>
      <c r="B2986" t="s">
        <v>35</v>
      </c>
      <c r="C2986" t="s">
        <v>26</v>
      </c>
      <c r="D2986" s="72" t="s">
        <v>4974</v>
      </c>
      <c r="E2986" t="s">
        <v>36</v>
      </c>
      <c r="F2986" t="s">
        <v>4975</v>
      </c>
      <c r="G2986" s="92"/>
      <c r="H2986" s="92"/>
      <c r="I2986" s="92"/>
      <c r="J2986" s="92"/>
      <c r="K2986" s="92"/>
      <c r="L2986" s="9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9"/>
    </row>
    <row r="2987" spans="1:14" hidden="1" x14ac:dyDescent="0.15">
      <c r="A2987">
        <v>2987</v>
      </c>
      <c r="B2987" t="s">
        <v>35</v>
      </c>
      <c r="C2987" t="s">
        <v>26</v>
      </c>
      <c r="D2987" s="72" t="s">
        <v>4976</v>
      </c>
      <c r="E2987" t="s">
        <v>73</v>
      </c>
      <c r="F2987" t="s">
        <v>4977</v>
      </c>
      <c r="G2987" s="92"/>
      <c r="H2987" s="92"/>
      <c r="I2987" s="92"/>
      <c r="J2987" s="92"/>
      <c r="K2987" s="92"/>
      <c r="L2987" s="9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9"/>
    </row>
    <row r="2988" spans="1:14" hidden="1" x14ac:dyDescent="0.15">
      <c r="A2988">
        <v>2988</v>
      </c>
      <c r="B2988" t="s">
        <v>35</v>
      </c>
      <c r="C2988" t="s">
        <v>26</v>
      </c>
      <c r="D2988" s="72" t="s">
        <v>4978</v>
      </c>
      <c r="E2988" t="s">
        <v>73</v>
      </c>
      <c r="F2988" t="s">
        <v>4979</v>
      </c>
      <c r="G2988" s="92"/>
      <c r="H2988" s="92"/>
      <c r="I2988" s="92"/>
      <c r="J2988" s="92"/>
      <c r="K2988" s="92"/>
      <c r="L2988" s="9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9"/>
    </row>
    <row r="2989" spans="1:14" hidden="1" x14ac:dyDescent="0.15">
      <c r="A2989">
        <v>2989</v>
      </c>
      <c r="B2989" t="s">
        <v>35</v>
      </c>
      <c r="C2989" t="s">
        <v>26</v>
      </c>
      <c r="D2989" s="72" t="s">
        <v>4980</v>
      </c>
      <c r="E2989" t="s">
        <v>157</v>
      </c>
      <c r="F2989" t="s">
        <v>4981</v>
      </c>
      <c r="G2989" s="92"/>
      <c r="H2989" s="92"/>
      <c r="I2989" s="92"/>
      <c r="J2989" s="92"/>
      <c r="K2989" s="92"/>
      <c r="L2989" s="9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9"/>
    </row>
    <row r="2990" spans="1:14" hidden="1" x14ac:dyDescent="0.15">
      <c r="A2990">
        <v>2990</v>
      </c>
      <c r="B2990" t="s">
        <v>35</v>
      </c>
      <c r="C2990" t="s">
        <v>26</v>
      </c>
      <c r="D2990" s="72" t="s">
        <v>4982</v>
      </c>
      <c r="E2990" t="s">
        <v>736</v>
      </c>
      <c r="F2990" t="s">
        <v>4983</v>
      </c>
      <c r="G2990" s="92"/>
      <c r="H2990" s="92"/>
      <c r="I2990" s="92"/>
      <c r="J2990" s="92"/>
      <c r="K2990" s="92"/>
      <c r="L2990" s="9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9"/>
    </row>
    <row r="2991" spans="1:14" hidden="1" x14ac:dyDescent="0.15">
      <c r="A2991">
        <v>2991</v>
      </c>
      <c r="B2991" t="s">
        <v>35</v>
      </c>
      <c r="C2991" t="s">
        <v>26</v>
      </c>
      <c r="D2991" s="72" t="s">
        <v>4984</v>
      </c>
      <c r="E2991" t="s">
        <v>61</v>
      </c>
      <c r="F2991" t="s">
        <v>4985</v>
      </c>
      <c r="G2991" s="92"/>
      <c r="H2991" s="92"/>
      <c r="I2991" s="92"/>
      <c r="J2991" s="92"/>
      <c r="K2991" s="92"/>
      <c r="L2991" s="9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9"/>
    </row>
    <row r="2992" spans="1:14" hidden="1" x14ac:dyDescent="0.15">
      <c r="A2992">
        <v>2992</v>
      </c>
      <c r="B2992" t="s">
        <v>35</v>
      </c>
      <c r="C2992" t="s">
        <v>26</v>
      </c>
      <c r="D2992" s="72" t="s">
        <v>4986</v>
      </c>
      <c r="E2992" t="s">
        <v>736</v>
      </c>
      <c r="F2992" t="s">
        <v>3816</v>
      </c>
      <c r="G2992" s="92"/>
      <c r="H2992" s="92"/>
      <c r="I2992" s="92"/>
      <c r="J2992" s="92"/>
      <c r="K2992" s="92"/>
      <c r="L2992" s="9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9"/>
    </row>
    <row r="2993" spans="1:14" hidden="1" x14ac:dyDescent="0.15">
      <c r="A2993">
        <v>2993</v>
      </c>
      <c r="B2993" t="s">
        <v>35</v>
      </c>
      <c r="C2993" t="s">
        <v>26</v>
      </c>
      <c r="D2993" s="72" t="s">
        <v>4987</v>
      </c>
      <c r="E2993" t="s">
        <v>61</v>
      </c>
      <c r="F2993" t="s">
        <v>4988</v>
      </c>
      <c r="G2993" s="92"/>
      <c r="H2993" s="92"/>
      <c r="I2993" s="92"/>
      <c r="J2993" s="92"/>
      <c r="K2993" s="92"/>
      <c r="L2993" s="9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9"/>
    </row>
    <row r="2994" spans="1:14" hidden="1" x14ac:dyDescent="0.15">
      <c r="A2994">
        <v>2994</v>
      </c>
      <c r="B2994" t="s">
        <v>35</v>
      </c>
      <c r="C2994" t="s">
        <v>26</v>
      </c>
      <c r="D2994" s="72" t="s">
        <v>892</v>
      </c>
      <c r="E2994" t="s">
        <v>61</v>
      </c>
      <c r="F2994" t="s">
        <v>893</v>
      </c>
      <c r="G2994" s="92"/>
      <c r="H2994" s="92"/>
      <c r="I2994" s="92"/>
      <c r="J2994" s="92"/>
      <c r="K2994" s="92"/>
      <c r="L2994" s="9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9"/>
    </row>
    <row r="2995" spans="1:14" hidden="1" x14ac:dyDescent="0.15">
      <c r="A2995">
        <v>2995</v>
      </c>
      <c r="B2995" t="s">
        <v>35</v>
      </c>
      <c r="C2995" t="s">
        <v>26</v>
      </c>
      <c r="D2995" s="72" t="s">
        <v>4989</v>
      </c>
      <c r="E2995" t="s">
        <v>36</v>
      </c>
      <c r="F2995" t="s">
        <v>4990</v>
      </c>
      <c r="G2995" s="92"/>
      <c r="H2995" s="92"/>
      <c r="I2995" s="92"/>
      <c r="J2995" s="92"/>
      <c r="K2995" s="92"/>
      <c r="L2995" s="9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9"/>
    </row>
    <row r="2996" spans="1:14" hidden="1" x14ac:dyDescent="0.15">
      <c r="A2996">
        <v>2996</v>
      </c>
      <c r="B2996" t="s">
        <v>35</v>
      </c>
      <c r="C2996" t="s">
        <v>27</v>
      </c>
      <c r="D2996" s="72" t="s">
        <v>4991</v>
      </c>
      <c r="E2996" t="s">
        <v>73</v>
      </c>
      <c r="F2996" t="s">
        <v>3898</v>
      </c>
      <c r="G2996" s="92"/>
      <c r="H2996" s="92"/>
      <c r="I2996" s="92"/>
      <c r="J2996" s="92"/>
      <c r="K2996" s="92"/>
      <c r="L2996" s="9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9"/>
    </row>
    <row r="2997" spans="1:14" hidden="1" x14ac:dyDescent="0.15">
      <c r="A2997">
        <v>2997</v>
      </c>
      <c r="B2997" t="s">
        <v>35</v>
      </c>
      <c r="C2997" t="s">
        <v>27</v>
      </c>
      <c r="D2997" s="72" t="s">
        <v>695</v>
      </c>
      <c r="E2997" t="s">
        <v>61</v>
      </c>
      <c r="F2997" t="s">
        <v>696</v>
      </c>
      <c r="G2997" s="92"/>
      <c r="H2997" s="92"/>
      <c r="I2997" s="92"/>
      <c r="J2997" s="92"/>
      <c r="K2997" s="92"/>
      <c r="L2997" s="9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9"/>
    </row>
    <row r="2998" spans="1:14" hidden="1" x14ac:dyDescent="0.15">
      <c r="A2998">
        <v>2998</v>
      </c>
      <c r="B2998" t="s">
        <v>35</v>
      </c>
      <c r="C2998" t="s">
        <v>27</v>
      </c>
      <c r="D2998" s="72" t="s">
        <v>4992</v>
      </c>
      <c r="E2998" t="s">
        <v>736</v>
      </c>
      <c r="F2998" t="s">
        <v>4993</v>
      </c>
      <c r="G2998" s="92"/>
      <c r="H2998" s="92"/>
      <c r="I2998" s="92"/>
      <c r="J2998" s="92"/>
      <c r="K2998" s="92"/>
      <c r="L2998" s="9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9"/>
    </row>
    <row r="2999" spans="1:14" hidden="1" x14ac:dyDescent="0.15">
      <c r="A2999">
        <v>2999</v>
      </c>
      <c r="B2999" t="s">
        <v>35</v>
      </c>
      <c r="C2999" t="s">
        <v>27</v>
      </c>
      <c r="D2999" s="72" t="s">
        <v>4994</v>
      </c>
      <c r="E2999" t="s">
        <v>736</v>
      </c>
      <c r="F2999" t="s">
        <v>5606</v>
      </c>
      <c r="G2999" s="92"/>
      <c r="H2999" s="92"/>
      <c r="I2999" s="92"/>
      <c r="J2999" s="92"/>
      <c r="K2999" s="92"/>
      <c r="L2999" s="9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9"/>
    </row>
    <row r="3000" spans="1:14" hidden="1" x14ac:dyDescent="0.15">
      <c r="A3000">
        <v>3000</v>
      </c>
      <c r="B3000" t="s">
        <v>35</v>
      </c>
      <c r="C3000" t="s">
        <v>27</v>
      </c>
      <c r="D3000" s="72" t="s">
        <v>4995</v>
      </c>
      <c r="E3000" t="s">
        <v>702</v>
      </c>
      <c r="F3000" t="s">
        <v>4996</v>
      </c>
      <c r="G3000" s="92"/>
      <c r="H3000" s="92"/>
      <c r="I3000" s="92"/>
      <c r="J3000" s="92"/>
      <c r="K3000" s="92"/>
      <c r="L3000" s="9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9"/>
    </row>
    <row r="3001" spans="1:14" hidden="1" x14ac:dyDescent="0.15">
      <c r="A3001">
        <v>3001</v>
      </c>
      <c r="B3001" t="s">
        <v>35</v>
      </c>
      <c r="C3001" t="s">
        <v>27</v>
      </c>
      <c r="D3001" s="72" t="s">
        <v>4997</v>
      </c>
      <c r="E3001" t="s">
        <v>73</v>
      </c>
      <c r="F3001" t="s">
        <v>4998</v>
      </c>
      <c r="G3001" s="92"/>
      <c r="H3001" s="92"/>
      <c r="I3001" s="92"/>
      <c r="J3001" s="92"/>
      <c r="K3001" s="92"/>
      <c r="L3001" s="9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9"/>
    </row>
    <row r="3002" spans="1:14" hidden="1" x14ac:dyDescent="0.15">
      <c r="A3002">
        <v>3002</v>
      </c>
      <c r="B3002" t="s">
        <v>35</v>
      </c>
      <c r="C3002" t="s">
        <v>27</v>
      </c>
      <c r="D3002" s="72" t="s">
        <v>2834</v>
      </c>
      <c r="E3002" t="s">
        <v>702</v>
      </c>
      <c r="F3002" t="s">
        <v>2835</v>
      </c>
      <c r="G3002" s="92"/>
      <c r="H3002" s="92"/>
      <c r="I3002" s="92"/>
      <c r="J3002" s="92"/>
      <c r="K3002" s="92"/>
      <c r="L3002" s="9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9"/>
    </row>
    <row r="3003" spans="1:14" hidden="1" x14ac:dyDescent="0.15">
      <c r="A3003">
        <v>3003</v>
      </c>
      <c r="B3003" t="s">
        <v>35</v>
      </c>
      <c r="C3003" t="s">
        <v>27</v>
      </c>
      <c r="D3003" s="72" t="s">
        <v>4999</v>
      </c>
      <c r="E3003" t="s">
        <v>36</v>
      </c>
      <c r="F3003" t="s">
        <v>5000</v>
      </c>
      <c r="G3003" s="92"/>
      <c r="H3003" s="92"/>
      <c r="I3003" s="92"/>
      <c r="J3003" s="92"/>
      <c r="K3003" s="92"/>
      <c r="L3003" s="9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9"/>
    </row>
    <row r="3004" spans="1:14" hidden="1" x14ac:dyDescent="0.15">
      <c r="A3004">
        <v>3004</v>
      </c>
      <c r="B3004" t="s">
        <v>35</v>
      </c>
      <c r="C3004" t="s">
        <v>27</v>
      </c>
      <c r="D3004" s="72" t="s">
        <v>3059</v>
      </c>
      <c r="E3004" t="s">
        <v>36</v>
      </c>
      <c r="F3004" t="s">
        <v>3060</v>
      </c>
      <c r="G3004" s="92"/>
      <c r="H3004" s="92"/>
      <c r="I3004" s="92"/>
      <c r="J3004" s="92"/>
      <c r="K3004" s="92"/>
      <c r="L3004" s="9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9"/>
    </row>
    <row r="3005" spans="1:14" hidden="1" x14ac:dyDescent="0.15">
      <c r="A3005">
        <v>3005</v>
      </c>
      <c r="B3005" t="s">
        <v>35</v>
      </c>
      <c r="C3005" t="s">
        <v>27</v>
      </c>
      <c r="D3005" s="72" t="s">
        <v>5001</v>
      </c>
      <c r="E3005" t="s">
        <v>73</v>
      </c>
      <c r="F3005" t="s">
        <v>5002</v>
      </c>
      <c r="G3005" s="92"/>
      <c r="H3005" s="92"/>
      <c r="I3005" s="92"/>
      <c r="J3005" s="92"/>
      <c r="K3005" s="92"/>
      <c r="L3005" s="9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9"/>
    </row>
    <row r="3006" spans="1:14" hidden="1" x14ac:dyDescent="0.15">
      <c r="A3006">
        <v>3006</v>
      </c>
      <c r="B3006" t="s">
        <v>35</v>
      </c>
      <c r="C3006" t="s">
        <v>27</v>
      </c>
      <c r="D3006" s="72" t="s">
        <v>5003</v>
      </c>
      <c r="E3006" t="s">
        <v>36</v>
      </c>
      <c r="F3006" t="s">
        <v>5004</v>
      </c>
      <c r="G3006" s="92"/>
      <c r="H3006" s="92"/>
      <c r="I3006" s="92"/>
      <c r="J3006" s="92"/>
      <c r="K3006" s="92"/>
      <c r="L3006" s="9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9"/>
    </row>
    <row r="3007" spans="1:14" hidden="1" x14ac:dyDescent="0.15">
      <c r="A3007">
        <v>3007</v>
      </c>
      <c r="B3007" t="s">
        <v>35</v>
      </c>
      <c r="C3007" t="s">
        <v>27</v>
      </c>
      <c r="D3007" s="72" t="s">
        <v>5005</v>
      </c>
      <c r="E3007" t="s">
        <v>36</v>
      </c>
      <c r="F3007" t="s">
        <v>5006</v>
      </c>
      <c r="G3007" s="92"/>
      <c r="H3007" s="92"/>
      <c r="I3007" s="92"/>
      <c r="J3007" s="92"/>
      <c r="K3007" s="92"/>
      <c r="L3007" s="9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9"/>
    </row>
    <row r="3008" spans="1:14" hidden="1" x14ac:dyDescent="0.15">
      <c r="A3008">
        <v>3008</v>
      </c>
      <c r="B3008" t="s">
        <v>35</v>
      </c>
      <c r="C3008" t="s">
        <v>27</v>
      </c>
      <c r="D3008" s="72" t="s">
        <v>5007</v>
      </c>
      <c r="E3008" t="s">
        <v>736</v>
      </c>
      <c r="F3008" t="s">
        <v>5008</v>
      </c>
      <c r="G3008" s="92"/>
      <c r="H3008" s="92"/>
      <c r="I3008" s="92"/>
      <c r="J3008" s="92"/>
      <c r="K3008" s="92"/>
      <c r="L3008" s="9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9"/>
    </row>
    <row r="3009" spans="1:14" hidden="1" x14ac:dyDescent="0.15">
      <c r="A3009">
        <v>3009</v>
      </c>
      <c r="B3009" t="s">
        <v>35</v>
      </c>
      <c r="C3009" t="s">
        <v>27</v>
      </c>
      <c r="D3009" s="72" t="s">
        <v>5009</v>
      </c>
      <c r="E3009" t="s">
        <v>36</v>
      </c>
      <c r="F3009" t="s">
        <v>5010</v>
      </c>
      <c r="G3009" s="92"/>
      <c r="H3009" s="92"/>
      <c r="I3009" s="92"/>
      <c r="J3009" s="92"/>
      <c r="K3009" s="92"/>
      <c r="L3009" s="9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9"/>
    </row>
    <row r="3010" spans="1:14" hidden="1" x14ac:dyDescent="0.15">
      <c r="A3010">
        <v>3010</v>
      </c>
      <c r="B3010" t="s">
        <v>35</v>
      </c>
      <c r="C3010" t="s">
        <v>27</v>
      </c>
      <c r="D3010" s="72" t="s">
        <v>5011</v>
      </c>
      <c r="E3010" t="s">
        <v>61</v>
      </c>
      <c r="F3010" t="s">
        <v>5012</v>
      </c>
      <c r="G3010" s="92"/>
      <c r="H3010" s="92"/>
      <c r="I3010" s="92"/>
      <c r="J3010" s="92"/>
      <c r="K3010" s="92"/>
      <c r="L3010" s="9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9"/>
    </row>
    <row r="3011" spans="1:14" hidden="1" x14ac:dyDescent="0.15">
      <c r="A3011">
        <v>3011</v>
      </c>
      <c r="B3011" t="s">
        <v>35</v>
      </c>
      <c r="C3011" t="s">
        <v>27</v>
      </c>
      <c r="D3011" s="72" t="s">
        <v>5013</v>
      </c>
      <c r="E3011" t="s">
        <v>36</v>
      </c>
      <c r="F3011" t="s">
        <v>5014</v>
      </c>
      <c r="G3011" s="92"/>
      <c r="H3011" s="92"/>
      <c r="I3011" s="92"/>
      <c r="J3011" s="92"/>
      <c r="K3011" s="92"/>
      <c r="L3011" s="9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9"/>
    </row>
    <row r="3012" spans="1:14" hidden="1" x14ac:dyDescent="0.15">
      <c r="A3012">
        <v>3012</v>
      </c>
      <c r="B3012" t="s">
        <v>35</v>
      </c>
      <c r="C3012" t="s">
        <v>27</v>
      </c>
      <c r="D3012" s="72" t="s">
        <v>5015</v>
      </c>
      <c r="E3012" t="s">
        <v>73</v>
      </c>
      <c r="F3012" t="s">
        <v>5016</v>
      </c>
      <c r="G3012" s="92"/>
      <c r="H3012" s="92"/>
      <c r="I3012" s="92"/>
      <c r="J3012" s="92"/>
      <c r="K3012" s="92"/>
      <c r="L3012" s="9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9"/>
    </row>
    <row r="3013" spans="1:14" hidden="1" x14ac:dyDescent="0.15">
      <c r="A3013">
        <v>3013</v>
      </c>
      <c r="B3013" t="s">
        <v>35</v>
      </c>
      <c r="C3013" t="s">
        <v>27</v>
      </c>
      <c r="D3013" s="72" t="s">
        <v>5017</v>
      </c>
      <c r="E3013" t="s">
        <v>61</v>
      </c>
      <c r="F3013" t="s">
        <v>5018</v>
      </c>
      <c r="G3013" s="92"/>
      <c r="H3013" s="92"/>
      <c r="I3013" s="92"/>
      <c r="J3013" s="92"/>
      <c r="K3013" s="92"/>
      <c r="L3013" s="9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9"/>
    </row>
    <row r="3014" spans="1:14" hidden="1" x14ac:dyDescent="0.15">
      <c r="A3014">
        <v>3014</v>
      </c>
      <c r="B3014" t="s">
        <v>35</v>
      </c>
      <c r="C3014" t="s">
        <v>27</v>
      </c>
      <c r="D3014" s="72" t="s">
        <v>744</v>
      </c>
      <c r="E3014" t="s">
        <v>61</v>
      </c>
      <c r="F3014" t="s">
        <v>5607</v>
      </c>
      <c r="G3014" s="92"/>
      <c r="H3014" s="92"/>
      <c r="I3014" s="92"/>
      <c r="J3014" s="92"/>
      <c r="K3014" s="92"/>
      <c r="L3014" s="9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9"/>
    </row>
    <row r="3015" spans="1:14" hidden="1" x14ac:dyDescent="0.15">
      <c r="A3015">
        <v>3015</v>
      </c>
      <c r="B3015" t="s">
        <v>35</v>
      </c>
      <c r="C3015" t="s">
        <v>27</v>
      </c>
      <c r="D3015" s="72" t="s">
        <v>92</v>
      </c>
      <c r="E3015" t="s">
        <v>61</v>
      </c>
      <c r="F3015" t="s">
        <v>5019</v>
      </c>
      <c r="G3015" s="92"/>
      <c r="H3015" s="92"/>
      <c r="I3015" s="92"/>
      <c r="J3015" s="92"/>
      <c r="K3015" s="92"/>
      <c r="L3015" s="9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9"/>
    </row>
    <row r="3016" spans="1:14" hidden="1" x14ac:dyDescent="0.15">
      <c r="A3016">
        <v>3016</v>
      </c>
      <c r="B3016" t="s">
        <v>35</v>
      </c>
      <c r="C3016" t="s">
        <v>27</v>
      </c>
      <c r="D3016" s="72" t="s">
        <v>5020</v>
      </c>
      <c r="E3016" t="s">
        <v>61</v>
      </c>
      <c r="F3016" t="s">
        <v>5021</v>
      </c>
      <c r="G3016" s="92"/>
      <c r="H3016" s="92"/>
      <c r="I3016" s="92"/>
      <c r="J3016" s="92"/>
      <c r="K3016" s="92"/>
      <c r="L3016" s="9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9"/>
    </row>
    <row r="3017" spans="1:14" hidden="1" x14ac:dyDescent="0.15">
      <c r="A3017">
        <v>3017</v>
      </c>
      <c r="B3017" t="s">
        <v>35</v>
      </c>
      <c r="C3017" t="s">
        <v>27</v>
      </c>
      <c r="D3017" s="72" t="s">
        <v>5022</v>
      </c>
      <c r="E3017" t="s">
        <v>736</v>
      </c>
      <c r="F3017" t="s">
        <v>5023</v>
      </c>
      <c r="G3017" s="92"/>
      <c r="H3017" s="92"/>
      <c r="I3017" s="92"/>
      <c r="J3017" s="92"/>
      <c r="K3017" s="92"/>
      <c r="L3017" s="9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9"/>
    </row>
    <row r="3018" spans="1:14" hidden="1" x14ac:dyDescent="0.15">
      <c r="A3018">
        <v>3018</v>
      </c>
      <c r="B3018" t="s">
        <v>35</v>
      </c>
      <c r="C3018" t="s">
        <v>27</v>
      </c>
      <c r="D3018" s="72" t="s">
        <v>5024</v>
      </c>
      <c r="E3018" t="s">
        <v>61</v>
      </c>
      <c r="F3018" t="s">
        <v>5025</v>
      </c>
      <c r="G3018" s="92"/>
      <c r="H3018" s="92"/>
      <c r="I3018" s="92"/>
      <c r="J3018" s="92"/>
      <c r="K3018" s="92"/>
      <c r="L3018" s="9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9"/>
    </row>
    <row r="3019" spans="1:14" hidden="1" x14ac:dyDescent="0.15">
      <c r="A3019">
        <v>3019</v>
      </c>
      <c r="B3019" t="s">
        <v>35</v>
      </c>
      <c r="C3019" t="s">
        <v>27</v>
      </c>
      <c r="D3019" s="72" t="s">
        <v>5026</v>
      </c>
      <c r="E3019" t="s">
        <v>36</v>
      </c>
      <c r="F3019" t="s">
        <v>5027</v>
      </c>
      <c r="G3019" s="92"/>
      <c r="H3019" s="92"/>
      <c r="I3019" s="92"/>
      <c r="J3019" s="92"/>
      <c r="K3019" s="92"/>
      <c r="L3019" s="9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9"/>
    </row>
    <row r="3020" spans="1:14" hidden="1" x14ac:dyDescent="0.15">
      <c r="A3020">
        <v>3020</v>
      </c>
      <c r="B3020" t="s">
        <v>35</v>
      </c>
      <c r="C3020" t="s">
        <v>27</v>
      </c>
      <c r="D3020" s="72" t="s">
        <v>5028</v>
      </c>
      <c r="E3020" t="s">
        <v>73</v>
      </c>
      <c r="F3020" t="s">
        <v>5029</v>
      </c>
      <c r="G3020" s="92"/>
      <c r="H3020" s="92"/>
      <c r="I3020" s="92"/>
      <c r="J3020" s="92"/>
      <c r="K3020" s="92"/>
      <c r="L3020" s="9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9"/>
    </row>
    <row r="3021" spans="1:14" hidden="1" x14ac:dyDescent="0.15">
      <c r="A3021">
        <v>3021</v>
      </c>
      <c r="B3021" t="s">
        <v>35</v>
      </c>
      <c r="C3021" t="s">
        <v>27</v>
      </c>
      <c r="D3021" s="72" t="s">
        <v>200</v>
      </c>
      <c r="E3021" t="s">
        <v>61</v>
      </c>
      <c r="F3021" t="s">
        <v>201</v>
      </c>
      <c r="G3021" s="92"/>
      <c r="H3021" s="92"/>
      <c r="I3021" s="92"/>
      <c r="J3021" s="92"/>
      <c r="K3021" s="92"/>
      <c r="L3021" s="9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9"/>
    </row>
    <row r="3022" spans="1:14" hidden="1" x14ac:dyDescent="0.15">
      <c r="A3022">
        <v>3022</v>
      </c>
      <c r="B3022" t="s">
        <v>35</v>
      </c>
      <c r="C3022" t="s">
        <v>27</v>
      </c>
      <c r="D3022" s="72" t="s">
        <v>5030</v>
      </c>
      <c r="E3022" t="s">
        <v>73</v>
      </c>
      <c r="F3022" t="s">
        <v>5031</v>
      </c>
      <c r="G3022" s="92"/>
      <c r="H3022" s="92"/>
      <c r="I3022" s="92"/>
      <c r="J3022" s="92"/>
      <c r="K3022" s="92"/>
      <c r="L3022" s="9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9"/>
    </row>
    <row r="3023" spans="1:14" hidden="1" x14ac:dyDescent="0.15">
      <c r="A3023">
        <v>3023</v>
      </c>
      <c r="B3023" t="s">
        <v>35</v>
      </c>
      <c r="C3023" t="s">
        <v>27</v>
      </c>
      <c r="D3023" s="72" t="s">
        <v>5032</v>
      </c>
      <c r="E3023" t="s">
        <v>736</v>
      </c>
      <c r="F3023" t="s">
        <v>5033</v>
      </c>
      <c r="G3023" s="92"/>
      <c r="H3023" s="92"/>
      <c r="I3023" s="92"/>
      <c r="J3023" s="92"/>
      <c r="K3023" s="92"/>
      <c r="L3023" s="9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9"/>
    </row>
    <row r="3024" spans="1:14" hidden="1" x14ac:dyDescent="0.15">
      <c r="A3024">
        <v>3024</v>
      </c>
      <c r="B3024" t="s">
        <v>35</v>
      </c>
      <c r="C3024" t="s">
        <v>27</v>
      </c>
      <c r="D3024" s="72" t="s">
        <v>5034</v>
      </c>
      <c r="E3024" t="s">
        <v>36</v>
      </c>
      <c r="F3024" t="s">
        <v>5608</v>
      </c>
      <c r="G3024" s="92"/>
      <c r="H3024" s="92"/>
      <c r="I3024" s="92"/>
      <c r="J3024" s="92"/>
      <c r="K3024" s="92"/>
      <c r="L3024" s="9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9"/>
    </row>
    <row r="3025" spans="1:14" hidden="1" x14ac:dyDescent="0.15">
      <c r="A3025">
        <v>3025</v>
      </c>
      <c r="B3025" t="s">
        <v>35</v>
      </c>
      <c r="C3025" t="s">
        <v>27</v>
      </c>
      <c r="D3025" s="72" t="s">
        <v>728</v>
      </c>
      <c r="E3025" t="s">
        <v>36</v>
      </c>
      <c r="F3025" t="s">
        <v>729</v>
      </c>
      <c r="G3025" s="92"/>
      <c r="H3025" s="92"/>
      <c r="I3025" s="92"/>
      <c r="J3025" s="92"/>
      <c r="K3025" s="92"/>
      <c r="L3025" s="9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9"/>
    </row>
    <row r="3026" spans="1:14" hidden="1" x14ac:dyDescent="0.15">
      <c r="A3026">
        <v>3026</v>
      </c>
      <c r="B3026" t="s">
        <v>35</v>
      </c>
      <c r="C3026" t="s">
        <v>28</v>
      </c>
      <c r="D3026" s="72" t="s">
        <v>5035</v>
      </c>
      <c r="E3026" t="s">
        <v>36</v>
      </c>
      <c r="F3026" t="s">
        <v>5036</v>
      </c>
      <c r="G3026" s="92"/>
      <c r="H3026" s="92"/>
      <c r="I3026" s="92"/>
      <c r="J3026" s="92"/>
      <c r="K3026" s="92"/>
      <c r="L3026" s="9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9"/>
    </row>
    <row r="3027" spans="1:14" hidden="1" x14ac:dyDescent="0.15">
      <c r="A3027">
        <v>3027</v>
      </c>
      <c r="B3027" t="s">
        <v>35</v>
      </c>
      <c r="C3027" t="s">
        <v>28</v>
      </c>
      <c r="D3027" s="72" t="s">
        <v>5037</v>
      </c>
      <c r="E3027" t="s">
        <v>36</v>
      </c>
      <c r="F3027" t="s">
        <v>5038</v>
      </c>
      <c r="G3027" s="92"/>
      <c r="H3027" s="92"/>
      <c r="I3027" s="92"/>
      <c r="J3027" s="92"/>
      <c r="K3027" s="92"/>
      <c r="L3027" s="9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9"/>
    </row>
    <row r="3028" spans="1:14" hidden="1" x14ac:dyDescent="0.15">
      <c r="A3028">
        <v>3028</v>
      </c>
      <c r="B3028" t="s">
        <v>35</v>
      </c>
      <c r="C3028" t="s">
        <v>28</v>
      </c>
      <c r="D3028" s="72" t="s">
        <v>5039</v>
      </c>
      <c r="E3028" t="s">
        <v>73</v>
      </c>
      <c r="F3028" t="s">
        <v>5040</v>
      </c>
      <c r="G3028" s="92"/>
      <c r="H3028" s="92"/>
      <c r="I3028" s="92"/>
      <c r="J3028" s="92"/>
      <c r="K3028" s="92"/>
      <c r="L3028" s="9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9"/>
    </row>
    <row r="3029" spans="1:14" hidden="1" x14ac:dyDescent="0.15">
      <c r="A3029">
        <v>3029</v>
      </c>
      <c r="B3029" t="s">
        <v>35</v>
      </c>
      <c r="C3029" t="s">
        <v>28</v>
      </c>
      <c r="D3029" s="72" t="s">
        <v>1566</v>
      </c>
      <c r="E3029" t="s">
        <v>73</v>
      </c>
      <c r="F3029" t="s">
        <v>5041</v>
      </c>
      <c r="G3029" s="92"/>
      <c r="H3029" s="92"/>
      <c r="I3029" s="92"/>
      <c r="J3029" s="92"/>
      <c r="K3029" s="92"/>
      <c r="L3029" s="9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9"/>
    </row>
    <row r="3030" spans="1:14" hidden="1" x14ac:dyDescent="0.15">
      <c r="A3030">
        <v>3030</v>
      </c>
      <c r="B3030" t="s">
        <v>35</v>
      </c>
      <c r="C3030" t="s">
        <v>28</v>
      </c>
      <c r="D3030" s="72" t="s">
        <v>5042</v>
      </c>
      <c r="E3030" t="s">
        <v>736</v>
      </c>
      <c r="F3030" t="s">
        <v>5609</v>
      </c>
      <c r="G3030" s="92"/>
      <c r="H3030" s="92"/>
      <c r="I3030" s="92"/>
      <c r="J3030" s="92"/>
      <c r="K3030" s="92"/>
      <c r="L3030" s="9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9"/>
    </row>
    <row r="3031" spans="1:14" hidden="1" x14ac:dyDescent="0.15">
      <c r="A3031">
        <v>3031</v>
      </c>
      <c r="B3031" t="s">
        <v>35</v>
      </c>
      <c r="C3031" t="s">
        <v>28</v>
      </c>
      <c r="D3031" s="72" t="s">
        <v>5043</v>
      </c>
      <c r="E3031" t="s">
        <v>36</v>
      </c>
      <c r="F3031" t="s">
        <v>5044</v>
      </c>
      <c r="G3031" s="92"/>
      <c r="H3031" s="92"/>
      <c r="I3031" s="92"/>
      <c r="J3031" s="92"/>
      <c r="K3031" s="92"/>
      <c r="L3031" s="9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9"/>
    </row>
    <row r="3032" spans="1:14" hidden="1" x14ac:dyDescent="0.15">
      <c r="A3032">
        <v>3032</v>
      </c>
      <c r="B3032" t="s">
        <v>35</v>
      </c>
      <c r="C3032" t="s">
        <v>28</v>
      </c>
      <c r="D3032" s="72" t="s">
        <v>5045</v>
      </c>
      <c r="E3032" t="s">
        <v>36</v>
      </c>
      <c r="F3032" t="s">
        <v>5046</v>
      </c>
      <c r="G3032" s="92"/>
      <c r="H3032" s="92"/>
      <c r="I3032" s="92"/>
      <c r="J3032" s="92"/>
      <c r="K3032" s="92"/>
      <c r="L3032" s="9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9"/>
    </row>
    <row r="3033" spans="1:14" hidden="1" x14ac:dyDescent="0.15">
      <c r="A3033">
        <v>3033</v>
      </c>
      <c r="B3033" t="s">
        <v>35</v>
      </c>
      <c r="C3033" t="s">
        <v>28</v>
      </c>
      <c r="D3033" s="72" t="s">
        <v>5047</v>
      </c>
      <c r="E3033" t="s">
        <v>36</v>
      </c>
      <c r="F3033" t="s">
        <v>5048</v>
      </c>
      <c r="G3033" s="92"/>
      <c r="H3033" s="92"/>
      <c r="I3033" s="92"/>
      <c r="J3033" s="92"/>
      <c r="K3033" s="92"/>
      <c r="L3033" s="9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9"/>
    </row>
    <row r="3034" spans="1:14" hidden="1" x14ac:dyDescent="0.15">
      <c r="A3034">
        <v>3034</v>
      </c>
      <c r="B3034" t="s">
        <v>35</v>
      </c>
      <c r="C3034" t="s">
        <v>28</v>
      </c>
      <c r="D3034" s="72" t="s">
        <v>1863</v>
      </c>
      <c r="E3034" t="s">
        <v>36</v>
      </c>
      <c r="F3034" t="s">
        <v>5049</v>
      </c>
      <c r="G3034" s="92"/>
      <c r="H3034" s="92"/>
      <c r="I3034" s="92"/>
      <c r="J3034" s="92"/>
      <c r="K3034" s="92"/>
      <c r="L3034" s="9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9"/>
    </row>
    <row r="3035" spans="1:14" hidden="1" x14ac:dyDescent="0.15">
      <c r="A3035">
        <v>3035</v>
      </c>
      <c r="B3035" t="s">
        <v>35</v>
      </c>
      <c r="C3035" t="s">
        <v>28</v>
      </c>
      <c r="D3035" s="72" t="s">
        <v>5050</v>
      </c>
      <c r="E3035" t="s">
        <v>36</v>
      </c>
      <c r="F3035" t="s">
        <v>5051</v>
      </c>
      <c r="G3035" s="92"/>
      <c r="H3035" s="92"/>
      <c r="I3035" s="92"/>
      <c r="J3035" s="92"/>
      <c r="K3035" s="92"/>
      <c r="L3035" s="9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9"/>
    </row>
    <row r="3036" spans="1:14" hidden="1" x14ac:dyDescent="0.15">
      <c r="A3036">
        <v>3036</v>
      </c>
      <c r="B3036" t="s">
        <v>35</v>
      </c>
      <c r="C3036" t="s">
        <v>28</v>
      </c>
      <c r="D3036" s="72" t="s">
        <v>5052</v>
      </c>
      <c r="E3036" t="s">
        <v>36</v>
      </c>
      <c r="F3036" t="s">
        <v>5053</v>
      </c>
      <c r="G3036" s="92"/>
      <c r="H3036" s="92"/>
      <c r="I3036" s="92"/>
      <c r="J3036" s="92"/>
      <c r="K3036" s="92"/>
      <c r="L3036" s="9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9"/>
    </row>
    <row r="3037" spans="1:14" hidden="1" x14ac:dyDescent="0.15">
      <c r="A3037">
        <v>3037</v>
      </c>
      <c r="B3037" t="s">
        <v>35</v>
      </c>
      <c r="C3037" t="s">
        <v>28</v>
      </c>
      <c r="D3037" s="72" t="s">
        <v>5054</v>
      </c>
      <c r="E3037" t="s">
        <v>36</v>
      </c>
      <c r="F3037" t="s">
        <v>5055</v>
      </c>
      <c r="G3037" s="92"/>
      <c r="H3037" s="92"/>
      <c r="I3037" s="92"/>
      <c r="J3037" s="92"/>
      <c r="K3037" s="92"/>
      <c r="L3037" s="9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9"/>
    </row>
    <row r="3038" spans="1:14" hidden="1" x14ac:dyDescent="0.15">
      <c r="A3038">
        <v>3038</v>
      </c>
      <c r="B3038" t="s">
        <v>35</v>
      </c>
      <c r="C3038" t="s">
        <v>28</v>
      </c>
      <c r="D3038" s="72" t="s">
        <v>509</v>
      </c>
      <c r="E3038" t="s">
        <v>73</v>
      </c>
      <c r="F3038" t="s">
        <v>5056</v>
      </c>
      <c r="G3038" s="92"/>
      <c r="H3038" s="92"/>
      <c r="I3038" s="92"/>
      <c r="J3038" s="92"/>
      <c r="K3038" s="92"/>
      <c r="L3038" s="9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9"/>
    </row>
    <row r="3039" spans="1:14" hidden="1" x14ac:dyDescent="0.15">
      <c r="A3039">
        <v>3039</v>
      </c>
      <c r="B3039" t="s">
        <v>35</v>
      </c>
      <c r="C3039" t="s">
        <v>28</v>
      </c>
      <c r="D3039" s="72" t="s">
        <v>5057</v>
      </c>
      <c r="E3039" t="s">
        <v>36</v>
      </c>
      <c r="F3039" t="s">
        <v>5058</v>
      </c>
      <c r="G3039" s="92"/>
      <c r="H3039" s="92"/>
      <c r="I3039" s="92"/>
      <c r="J3039" s="92"/>
      <c r="K3039" s="92"/>
      <c r="L3039" s="9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9"/>
    </row>
    <row r="3040" spans="1:14" hidden="1" x14ac:dyDescent="0.15">
      <c r="A3040">
        <v>3040</v>
      </c>
      <c r="B3040" t="s">
        <v>35</v>
      </c>
      <c r="C3040" t="s">
        <v>28</v>
      </c>
      <c r="D3040" s="72" t="s">
        <v>5660</v>
      </c>
      <c r="E3040" t="s">
        <v>1019</v>
      </c>
      <c r="F3040" t="s">
        <v>5517</v>
      </c>
      <c r="G3040" s="92"/>
      <c r="H3040" s="92"/>
      <c r="I3040" s="92"/>
      <c r="J3040" s="92"/>
      <c r="K3040" s="92"/>
      <c r="L3040" s="9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9"/>
    </row>
    <row r="3041" spans="1:14" hidden="1" x14ac:dyDescent="0.15">
      <c r="A3041">
        <v>3041</v>
      </c>
      <c r="B3041" t="s">
        <v>35</v>
      </c>
      <c r="C3041" t="s">
        <v>28</v>
      </c>
      <c r="D3041" s="72" t="s">
        <v>5059</v>
      </c>
      <c r="E3041" t="s">
        <v>36</v>
      </c>
      <c r="F3041" t="s">
        <v>5610</v>
      </c>
      <c r="G3041" s="92"/>
      <c r="H3041" s="92"/>
      <c r="I3041" s="92"/>
      <c r="J3041" s="92"/>
      <c r="K3041" s="92"/>
      <c r="L3041" s="9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9"/>
    </row>
    <row r="3042" spans="1:14" hidden="1" x14ac:dyDescent="0.15">
      <c r="A3042">
        <v>3042</v>
      </c>
      <c r="B3042" t="s">
        <v>35</v>
      </c>
      <c r="C3042" t="s">
        <v>28</v>
      </c>
      <c r="D3042" s="72" t="s">
        <v>2903</v>
      </c>
      <c r="E3042" t="s">
        <v>36</v>
      </c>
      <c r="F3042" t="s">
        <v>2904</v>
      </c>
      <c r="G3042" s="92"/>
      <c r="H3042" s="92"/>
      <c r="I3042" s="92"/>
      <c r="J3042" s="92"/>
      <c r="K3042" s="92"/>
      <c r="L3042" s="9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9"/>
    </row>
    <row r="3043" spans="1:14" hidden="1" x14ac:dyDescent="0.15">
      <c r="A3043">
        <v>3043</v>
      </c>
      <c r="B3043" t="s">
        <v>35</v>
      </c>
      <c r="C3043" t="s">
        <v>28</v>
      </c>
      <c r="D3043" s="72" t="s">
        <v>5060</v>
      </c>
      <c r="E3043" t="s">
        <v>61</v>
      </c>
      <c r="F3043" t="s">
        <v>5061</v>
      </c>
      <c r="G3043" s="92"/>
      <c r="H3043" s="92"/>
      <c r="I3043" s="92"/>
      <c r="J3043" s="92"/>
      <c r="K3043" s="92"/>
      <c r="L3043" s="9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9"/>
    </row>
    <row r="3044" spans="1:14" hidden="1" x14ac:dyDescent="0.15">
      <c r="A3044">
        <v>3044</v>
      </c>
      <c r="B3044" t="s">
        <v>35</v>
      </c>
      <c r="C3044" t="s">
        <v>28</v>
      </c>
      <c r="D3044" s="72" t="s">
        <v>5062</v>
      </c>
      <c r="E3044" t="s">
        <v>73</v>
      </c>
      <c r="F3044" t="s">
        <v>5063</v>
      </c>
      <c r="G3044" s="92"/>
      <c r="H3044" s="92"/>
      <c r="I3044" s="92"/>
      <c r="J3044" s="92"/>
      <c r="K3044" s="92"/>
      <c r="L3044" s="9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9"/>
    </row>
    <row r="3045" spans="1:14" hidden="1" x14ac:dyDescent="0.15">
      <c r="A3045">
        <v>3045</v>
      </c>
      <c r="B3045" t="s">
        <v>35</v>
      </c>
      <c r="C3045" t="s">
        <v>28</v>
      </c>
      <c r="D3045" s="72" t="s">
        <v>186</v>
      </c>
      <c r="E3045" t="s">
        <v>61</v>
      </c>
      <c r="F3045" t="s">
        <v>188</v>
      </c>
      <c r="G3045" s="92"/>
      <c r="H3045" s="92"/>
      <c r="I3045" s="92"/>
      <c r="J3045" s="92"/>
      <c r="K3045" s="92"/>
      <c r="L3045" s="9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9"/>
    </row>
    <row r="3046" spans="1:14" hidden="1" x14ac:dyDescent="0.15">
      <c r="A3046">
        <v>3046</v>
      </c>
      <c r="B3046" t="s">
        <v>35</v>
      </c>
      <c r="C3046" t="s">
        <v>28</v>
      </c>
      <c r="D3046" s="72" t="s">
        <v>5064</v>
      </c>
      <c r="E3046" t="s">
        <v>702</v>
      </c>
      <c r="F3046" t="s">
        <v>5065</v>
      </c>
      <c r="G3046" s="92"/>
      <c r="H3046" s="92"/>
      <c r="I3046" s="92"/>
      <c r="J3046" s="92"/>
      <c r="K3046" s="92"/>
      <c r="L3046" s="9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9"/>
    </row>
    <row r="3047" spans="1:14" hidden="1" x14ac:dyDescent="0.15">
      <c r="A3047">
        <v>3047</v>
      </c>
      <c r="B3047" t="s">
        <v>35</v>
      </c>
      <c r="C3047" t="s">
        <v>28</v>
      </c>
      <c r="D3047" s="72" t="s">
        <v>5066</v>
      </c>
      <c r="E3047" t="s">
        <v>61</v>
      </c>
      <c r="F3047" t="s">
        <v>5067</v>
      </c>
      <c r="G3047" s="92"/>
      <c r="H3047" s="92"/>
      <c r="I3047" s="92"/>
      <c r="J3047" s="92"/>
      <c r="K3047" s="92"/>
      <c r="L3047" s="9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9"/>
    </row>
    <row r="3048" spans="1:14" hidden="1" x14ac:dyDescent="0.15">
      <c r="A3048">
        <v>3048</v>
      </c>
      <c r="B3048" t="s">
        <v>35</v>
      </c>
      <c r="C3048" t="s">
        <v>28</v>
      </c>
      <c r="D3048" s="72" t="s">
        <v>5068</v>
      </c>
      <c r="E3048" t="s">
        <v>36</v>
      </c>
      <c r="F3048" t="s">
        <v>5069</v>
      </c>
      <c r="G3048" s="92"/>
      <c r="H3048" s="92"/>
      <c r="I3048" s="92"/>
      <c r="J3048" s="92"/>
      <c r="K3048" s="92"/>
      <c r="L3048" s="9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9"/>
    </row>
    <row r="3049" spans="1:14" hidden="1" x14ac:dyDescent="0.15">
      <c r="A3049">
        <v>3049</v>
      </c>
      <c r="B3049" t="s">
        <v>35</v>
      </c>
      <c r="C3049" t="s">
        <v>28</v>
      </c>
      <c r="D3049" s="72" t="s">
        <v>4105</v>
      </c>
      <c r="E3049" t="s">
        <v>61</v>
      </c>
      <c r="F3049" t="s">
        <v>5070</v>
      </c>
      <c r="G3049" s="92"/>
      <c r="H3049" s="92"/>
      <c r="I3049" s="92"/>
      <c r="J3049" s="92"/>
      <c r="K3049" s="92"/>
      <c r="L3049" s="9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9"/>
    </row>
    <row r="3050" spans="1:14" hidden="1" x14ac:dyDescent="0.15">
      <c r="A3050">
        <v>3050</v>
      </c>
      <c r="B3050" t="s">
        <v>35</v>
      </c>
      <c r="C3050" t="s">
        <v>28</v>
      </c>
      <c r="D3050" s="72" t="s">
        <v>2977</v>
      </c>
      <c r="E3050" t="s">
        <v>1016</v>
      </c>
      <c r="F3050" t="s">
        <v>1396</v>
      </c>
      <c r="G3050" s="92"/>
      <c r="H3050" s="92"/>
      <c r="I3050" s="92"/>
      <c r="J3050" s="92"/>
      <c r="K3050" s="92"/>
      <c r="L3050" s="9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9"/>
    </row>
    <row r="3051" spans="1:14" hidden="1" x14ac:dyDescent="0.15">
      <c r="A3051">
        <v>3051</v>
      </c>
      <c r="B3051" t="s">
        <v>35</v>
      </c>
      <c r="C3051" t="s">
        <v>28</v>
      </c>
      <c r="D3051" s="72" t="s">
        <v>194</v>
      </c>
      <c r="E3051" t="s">
        <v>61</v>
      </c>
      <c r="F3051" t="s">
        <v>5071</v>
      </c>
      <c r="G3051" s="92"/>
      <c r="H3051" s="92"/>
      <c r="I3051" s="92"/>
      <c r="J3051" s="92"/>
      <c r="K3051" s="92"/>
      <c r="L3051" s="9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9"/>
    </row>
    <row r="3052" spans="1:14" hidden="1" x14ac:dyDescent="0.15">
      <c r="A3052">
        <v>3052</v>
      </c>
      <c r="B3052" t="s">
        <v>35</v>
      </c>
      <c r="C3052" t="s">
        <v>28</v>
      </c>
      <c r="D3052" s="72" t="s">
        <v>5072</v>
      </c>
      <c r="E3052" t="s">
        <v>36</v>
      </c>
      <c r="F3052" t="s">
        <v>5073</v>
      </c>
      <c r="G3052" s="92"/>
      <c r="H3052" s="92"/>
      <c r="I3052" s="92"/>
      <c r="J3052" s="92"/>
      <c r="K3052" s="92"/>
      <c r="L3052" s="9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9"/>
    </row>
    <row r="3053" spans="1:14" hidden="1" x14ac:dyDescent="0.15">
      <c r="A3053">
        <v>3053</v>
      </c>
      <c r="B3053" t="s">
        <v>35</v>
      </c>
      <c r="C3053" t="s">
        <v>28</v>
      </c>
      <c r="D3053" s="72" t="s">
        <v>5074</v>
      </c>
      <c r="E3053" t="s">
        <v>61</v>
      </c>
      <c r="F3053" t="s">
        <v>5075</v>
      </c>
      <c r="G3053" s="92"/>
      <c r="H3053" s="92"/>
      <c r="I3053" s="92"/>
      <c r="J3053" s="92"/>
      <c r="K3053" s="92"/>
      <c r="L3053" s="9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9"/>
    </row>
    <row r="3054" spans="1:14" hidden="1" x14ac:dyDescent="0.15">
      <c r="A3054">
        <v>3054</v>
      </c>
      <c r="B3054" t="s">
        <v>35</v>
      </c>
      <c r="C3054" t="s">
        <v>28</v>
      </c>
      <c r="D3054" s="72" t="s">
        <v>224</v>
      </c>
      <c r="E3054" t="s">
        <v>61</v>
      </c>
      <c r="F3054" t="s">
        <v>3366</v>
      </c>
      <c r="G3054" s="92"/>
      <c r="H3054" s="92"/>
      <c r="I3054" s="92"/>
      <c r="J3054" s="92"/>
      <c r="K3054" s="92"/>
      <c r="L3054" s="9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9"/>
    </row>
    <row r="3055" spans="1:14" hidden="1" x14ac:dyDescent="0.15">
      <c r="A3055">
        <v>3055</v>
      </c>
      <c r="B3055" t="s">
        <v>35</v>
      </c>
      <c r="C3055" t="s">
        <v>28</v>
      </c>
      <c r="D3055" s="72" t="s">
        <v>3691</v>
      </c>
      <c r="E3055" t="s">
        <v>61</v>
      </c>
      <c r="F3055" t="s">
        <v>5076</v>
      </c>
      <c r="G3055" s="92"/>
      <c r="H3055" s="92"/>
      <c r="I3055" s="92"/>
      <c r="J3055" s="92"/>
      <c r="K3055" s="92"/>
      <c r="L3055" s="9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9"/>
    </row>
    <row r="3056" spans="1:14" hidden="1" x14ac:dyDescent="0.15">
      <c r="A3056">
        <v>3056</v>
      </c>
      <c r="B3056" t="s">
        <v>35</v>
      </c>
      <c r="C3056" t="s">
        <v>28</v>
      </c>
      <c r="D3056" s="72" t="s">
        <v>5077</v>
      </c>
      <c r="E3056" t="s">
        <v>36</v>
      </c>
      <c r="F3056" t="s">
        <v>5078</v>
      </c>
      <c r="G3056" s="92"/>
      <c r="H3056" s="92"/>
      <c r="I3056" s="92"/>
      <c r="J3056" s="92"/>
      <c r="K3056" s="92"/>
      <c r="L3056" s="9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9"/>
    </row>
    <row r="3057" spans="1:14" hidden="1" x14ac:dyDescent="0.15">
      <c r="A3057">
        <v>3057</v>
      </c>
      <c r="B3057" t="s">
        <v>35</v>
      </c>
      <c r="C3057" t="s">
        <v>28</v>
      </c>
      <c r="D3057" s="72" t="s">
        <v>5079</v>
      </c>
      <c r="E3057" t="s">
        <v>61</v>
      </c>
      <c r="F3057" t="s">
        <v>5080</v>
      </c>
      <c r="G3057" s="92"/>
      <c r="H3057" s="92"/>
      <c r="I3057" s="92"/>
      <c r="J3057" s="92"/>
      <c r="K3057" s="92"/>
      <c r="L3057" s="9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9"/>
    </row>
    <row r="3058" spans="1:14" hidden="1" x14ac:dyDescent="0.15">
      <c r="A3058">
        <v>3058</v>
      </c>
      <c r="B3058" t="s">
        <v>35</v>
      </c>
      <c r="C3058" t="s">
        <v>28</v>
      </c>
      <c r="D3058" s="72" t="s">
        <v>3705</v>
      </c>
      <c r="E3058" t="s">
        <v>36</v>
      </c>
      <c r="F3058" t="s">
        <v>5081</v>
      </c>
      <c r="G3058" s="92"/>
      <c r="H3058" s="92"/>
      <c r="I3058" s="92"/>
      <c r="J3058" s="92"/>
      <c r="K3058" s="92"/>
      <c r="L3058" s="9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9"/>
    </row>
    <row r="3059" spans="1:14" hidden="1" x14ac:dyDescent="0.15">
      <c r="A3059">
        <v>3059</v>
      </c>
      <c r="B3059" t="s">
        <v>35</v>
      </c>
      <c r="C3059" t="s">
        <v>28</v>
      </c>
      <c r="D3059" s="72" t="s">
        <v>5082</v>
      </c>
      <c r="E3059" t="s">
        <v>73</v>
      </c>
      <c r="F3059" t="s">
        <v>5083</v>
      </c>
      <c r="G3059" s="92"/>
      <c r="H3059" s="92"/>
      <c r="I3059" s="92"/>
      <c r="J3059" s="92"/>
      <c r="K3059" s="92"/>
      <c r="L3059" s="9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9"/>
    </row>
    <row r="3060" spans="1:14" hidden="1" x14ac:dyDescent="0.15">
      <c r="A3060">
        <v>3060</v>
      </c>
      <c r="B3060" t="s">
        <v>35</v>
      </c>
      <c r="C3060" t="s">
        <v>28</v>
      </c>
      <c r="D3060" s="72" t="s">
        <v>246</v>
      </c>
      <c r="E3060" t="s">
        <v>61</v>
      </c>
      <c r="F3060" t="s">
        <v>4682</v>
      </c>
      <c r="G3060" s="92"/>
      <c r="H3060" s="92"/>
      <c r="I3060" s="92"/>
      <c r="J3060" s="92"/>
      <c r="K3060" s="92"/>
      <c r="L3060" s="9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9"/>
    </row>
    <row r="3061" spans="1:14" hidden="1" x14ac:dyDescent="0.15">
      <c r="A3061">
        <v>3061</v>
      </c>
      <c r="B3061" t="s">
        <v>35</v>
      </c>
      <c r="C3061" t="s">
        <v>28</v>
      </c>
      <c r="D3061" s="72" t="s">
        <v>2480</v>
      </c>
      <c r="E3061" t="s">
        <v>73</v>
      </c>
      <c r="F3061" t="s">
        <v>5084</v>
      </c>
      <c r="G3061" s="92"/>
      <c r="H3061" s="92"/>
      <c r="I3061" s="92"/>
      <c r="J3061" s="92"/>
      <c r="K3061" s="92"/>
      <c r="L3061" s="9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9"/>
    </row>
    <row r="3062" spans="1:14" hidden="1" x14ac:dyDescent="0.15">
      <c r="A3062">
        <v>3062</v>
      </c>
      <c r="B3062" t="s">
        <v>35</v>
      </c>
      <c r="C3062" t="s">
        <v>28</v>
      </c>
      <c r="D3062" s="72" t="s">
        <v>5085</v>
      </c>
      <c r="E3062" t="s">
        <v>61</v>
      </c>
      <c r="F3062" t="s">
        <v>5086</v>
      </c>
      <c r="G3062" s="92"/>
      <c r="H3062" s="92"/>
      <c r="I3062" s="92"/>
      <c r="J3062" s="92"/>
      <c r="K3062" s="92"/>
      <c r="L3062" s="9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9"/>
    </row>
    <row r="3063" spans="1:14" hidden="1" x14ac:dyDescent="0.15">
      <c r="A3063">
        <v>3063</v>
      </c>
      <c r="B3063" t="s">
        <v>35</v>
      </c>
      <c r="C3063" t="s">
        <v>28</v>
      </c>
      <c r="D3063" s="72" t="s">
        <v>5087</v>
      </c>
      <c r="E3063" t="s">
        <v>702</v>
      </c>
      <c r="F3063" t="s">
        <v>5611</v>
      </c>
      <c r="G3063" s="92"/>
      <c r="H3063" s="92"/>
      <c r="I3063" s="92"/>
      <c r="J3063" s="92"/>
      <c r="K3063" s="92"/>
      <c r="L3063" s="9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9"/>
    </row>
    <row r="3064" spans="1:14" hidden="1" x14ac:dyDescent="0.15">
      <c r="A3064">
        <v>3064</v>
      </c>
      <c r="B3064" t="s">
        <v>35</v>
      </c>
      <c r="C3064" t="s">
        <v>28</v>
      </c>
      <c r="D3064" s="72" t="s">
        <v>5088</v>
      </c>
      <c r="E3064" t="s">
        <v>73</v>
      </c>
      <c r="F3064" t="s">
        <v>5089</v>
      </c>
      <c r="G3064" s="92"/>
      <c r="H3064" s="92"/>
      <c r="I3064" s="92"/>
      <c r="J3064" s="92"/>
      <c r="K3064" s="92"/>
      <c r="L3064" s="9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9"/>
    </row>
    <row r="3065" spans="1:14" hidden="1" x14ac:dyDescent="0.15">
      <c r="A3065">
        <v>3065</v>
      </c>
      <c r="B3065" t="s">
        <v>35</v>
      </c>
      <c r="C3065" t="s">
        <v>28</v>
      </c>
      <c r="D3065" s="72" t="s">
        <v>5090</v>
      </c>
      <c r="E3065" t="s">
        <v>61</v>
      </c>
      <c r="F3065" t="s">
        <v>5091</v>
      </c>
      <c r="G3065" s="92"/>
      <c r="H3065" s="92"/>
      <c r="I3065" s="92"/>
      <c r="J3065" s="92"/>
      <c r="K3065" s="92"/>
      <c r="L3065" s="9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9"/>
    </row>
    <row r="3066" spans="1:14" hidden="1" x14ac:dyDescent="0.15">
      <c r="A3066">
        <v>3066</v>
      </c>
      <c r="B3066" t="s">
        <v>35</v>
      </c>
      <c r="C3066" t="s">
        <v>28</v>
      </c>
      <c r="D3066" s="72" t="s">
        <v>713</v>
      </c>
      <c r="E3066" t="s">
        <v>61</v>
      </c>
      <c r="F3066" t="s">
        <v>5092</v>
      </c>
      <c r="G3066" s="92"/>
      <c r="H3066" s="92"/>
      <c r="I3066" s="92"/>
      <c r="J3066" s="92"/>
      <c r="K3066" s="92"/>
      <c r="L3066" s="9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9"/>
    </row>
    <row r="3067" spans="1:14" hidden="1" x14ac:dyDescent="0.15">
      <c r="A3067">
        <v>3067</v>
      </c>
      <c r="B3067" t="s">
        <v>35</v>
      </c>
      <c r="C3067" t="s">
        <v>28</v>
      </c>
      <c r="D3067" s="72" t="s">
        <v>2622</v>
      </c>
      <c r="E3067" t="s">
        <v>61</v>
      </c>
      <c r="F3067" t="s">
        <v>5093</v>
      </c>
      <c r="G3067" s="92"/>
      <c r="H3067" s="92"/>
      <c r="I3067" s="92"/>
      <c r="J3067" s="92"/>
      <c r="K3067" s="92"/>
      <c r="L3067" s="9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9"/>
    </row>
    <row r="3068" spans="1:14" hidden="1" x14ac:dyDescent="0.15">
      <c r="A3068">
        <v>3068</v>
      </c>
      <c r="B3068" t="s">
        <v>35</v>
      </c>
      <c r="C3068" t="s">
        <v>28</v>
      </c>
      <c r="D3068" s="72" t="s">
        <v>5094</v>
      </c>
      <c r="E3068" t="s">
        <v>36</v>
      </c>
      <c r="F3068" t="s">
        <v>5095</v>
      </c>
      <c r="G3068" s="92"/>
      <c r="H3068" s="92"/>
      <c r="I3068" s="92"/>
      <c r="J3068" s="92"/>
      <c r="K3068" s="92"/>
      <c r="L3068" s="9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9"/>
    </row>
    <row r="3069" spans="1:14" hidden="1" x14ac:dyDescent="0.15">
      <c r="A3069">
        <v>3069</v>
      </c>
      <c r="B3069" t="s">
        <v>35</v>
      </c>
      <c r="C3069" t="s">
        <v>28</v>
      </c>
      <c r="D3069" s="72" t="s">
        <v>63</v>
      </c>
      <c r="E3069" t="s">
        <v>61</v>
      </c>
      <c r="F3069" t="s">
        <v>5096</v>
      </c>
      <c r="G3069" s="92"/>
      <c r="H3069" s="92"/>
      <c r="I3069" s="92"/>
      <c r="J3069" s="92"/>
      <c r="K3069" s="92"/>
      <c r="L3069" s="9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9"/>
    </row>
    <row r="3070" spans="1:14" hidden="1" x14ac:dyDescent="0.15">
      <c r="A3070">
        <v>3070</v>
      </c>
      <c r="B3070" t="s">
        <v>35</v>
      </c>
      <c r="C3070" t="s">
        <v>28</v>
      </c>
      <c r="D3070" s="72" t="s">
        <v>5097</v>
      </c>
      <c r="E3070" t="s">
        <v>36</v>
      </c>
      <c r="F3070" t="s">
        <v>5098</v>
      </c>
      <c r="G3070" s="92"/>
      <c r="H3070" s="92"/>
      <c r="I3070" s="92"/>
      <c r="J3070" s="92"/>
      <c r="K3070" s="92"/>
      <c r="L3070" s="9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9"/>
    </row>
    <row r="3071" spans="1:14" hidden="1" x14ac:dyDescent="0.15">
      <c r="A3071">
        <v>3071</v>
      </c>
      <c r="B3071" t="s">
        <v>35</v>
      </c>
      <c r="C3071" t="s">
        <v>28</v>
      </c>
      <c r="D3071" s="72" t="s">
        <v>5099</v>
      </c>
      <c r="E3071" t="s">
        <v>73</v>
      </c>
      <c r="F3071" t="s">
        <v>5100</v>
      </c>
      <c r="G3071" s="92"/>
      <c r="H3071" s="92"/>
      <c r="I3071" s="92"/>
      <c r="J3071" s="92"/>
      <c r="K3071" s="92"/>
      <c r="L3071" s="9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9"/>
    </row>
    <row r="3072" spans="1:14" hidden="1" x14ac:dyDescent="0.15">
      <c r="A3072">
        <v>3072</v>
      </c>
      <c r="B3072" t="s">
        <v>35</v>
      </c>
      <c r="C3072" t="s">
        <v>28</v>
      </c>
      <c r="D3072" s="72" t="s">
        <v>5101</v>
      </c>
      <c r="E3072" t="s">
        <v>702</v>
      </c>
      <c r="F3072" t="s">
        <v>5102</v>
      </c>
      <c r="G3072" s="92"/>
      <c r="H3072" s="92"/>
      <c r="I3072" s="92"/>
      <c r="J3072" s="92"/>
      <c r="K3072" s="92"/>
      <c r="L3072" s="9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9"/>
    </row>
    <row r="3073" spans="1:14" hidden="1" x14ac:dyDescent="0.15">
      <c r="A3073">
        <v>3073</v>
      </c>
      <c r="B3073" t="s">
        <v>35</v>
      </c>
      <c r="C3073" t="s">
        <v>28</v>
      </c>
      <c r="D3073" s="72" t="s">
        <v>5103</v>
      </c>
      <c r="E3073" t="s">
        <v>36</v>
      </c>
      <c r="F3073" t="s">
        <v>5612</v>
      </c>
      <c r="G3073" s="92"/>
      <c r="H3073" s="92"/>
      <c r="I3073" s="92"/>
      <c r="J3073" s="92"/>
      <c r="K3073" s="92"/>
      <c r="L3073" s="9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9"/>
    </row>
    <row r="3074" spans="1:14" hidden="1" x14ac:dyDescent="0.15">
      <c r="A3074">
        <v>3074</v>
      </c>
      <c r="B3074" t="s">
        <v>35</v>
      </c>
      <c r="C3074" t="s">
        <v>28</v>
      </c>
      <c r="D3074" s="72" t="s">
        <v>5104</v>
      </c>
      <c r="E3074" t="s">
        <v>702</v>
      </c>
      <c r="F3074" t="s">
        <v>5105</v>
      </c>
      <c r="G3074" s="92"/>
      <c r="H3074" s="92"/>
      <c r="I3074" s="92"/>
      <c r="J3074" s="92"/>
      <c r="K3074" s="92"/>
      <c r="L3074" s="9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9"/>
    </row>
    <row r="3075" spans="1:14" hidden="1" x14ac:dyDescent="0.15">
      <c r="A3075">
        <v>3075</v>
      </c>
      <c r="B3075" t="s">
        <v>35</v>
      </c>
      <c r="C3075" t="s">
        <v>28</v>
      </c>
      <c r="D3075" s="72" t="s">
        <v>5106</v>
      </c>
      <c r="E3075" t="s">
        <v>36</v>
      </c>
      <c r="F3075" t="s">
        <v>5107</v>
      </c>
      <c r="G3075" s="92"/>
      <c r="H3075" s="92"/>
      <c r="I3075" s="92"/>
      <c r="J3075" s="92"/>
      <c r="K3075" s="92"/>
      <c r="L3075" s="9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9"/>
    </row>
    <row r="3076" spans="1:14" hidden="1" x14ac:dyDescent="0.15">
      <c r="A3076">
        <v>3076</v>
      </c>
      <c r="B3076" t="s">
        <v>35</v>
      </c>
      <c r="C3076" t="s">
        <v>28</v>
      </c>
      <c r="D3076" s="72" t="s">
        <v>1867</v>
      </c>
      <c r="E3076" t="s">
        <v>61</v>
      </c>
      <c r="F3076" t="s">
        <v>5108</v>
      </c>
      <c r="G3076" s="92"/>
      <c r="H3076" s="92"/>
      <c r="I3076" s="92"/>
      <c r="J3076" s="92"/>
      <c r="K3076" s="92"/>
      <c r="L3076" s="9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9"/>
    </row>
    <row r="3077" spans="1:14" hidden="1" x14ac:dyDescent="0.15">
      <c r="A3077">
        <v>3077</v>
      </c>
      <c r="B3077" t="s">
        <v>35</v>
      </c>
      <c r="C3077" t="s">
        <v>28</v>
      </c>
      <c r="D3077" s="72" t="s">
        <v>826</v>
      </c>
      <c r="E3077" t="s">
        <v>36</v>
      </c>
      <c r="F3077" t="s">
        <v>827</v>
      </c>
      <c r="G3077" s="92"/>
      <c r="H3077" s="92"/>
      <c r="I3077" s="92"/>
      <c r="J3077" s="92"/>
      <c r="K3077" s="92"/>
      <c r="L3077" s="9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9"/>
    </row>
    <row r="3078" spans="1:14" hidden="1" x14ac:dyDescent="0.15">
      <c r="A3078">
        <v>3078</v>
      </c>
      <c r="B3078" t="s">
        <v>35</v>
      </c>
      <c r="C3078" t="s">
        <v>28</v>
      </c>
      <c r="D3078" s="72" t="s">
        <v>5109</v>
      </c>
      <c r="E3078" t="s">
        <v>36</v>
      </c>
      <c r="F3078" t="s">
        <v>5110</v>
      </c>
      <c r="G3078" s="92"/>
      <c r="H3078" s="92"/>
      <c r="I3078" s="92"/>
      <c r="J3078" s="92"/>
      <c r="K3078" s="92"/>
      <c r="L3078" s="9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9"/>
    </row>
    <row r="3079" spans="1:14" hidden="1" x14ac:dyDescent="0.15">
      <c r="A3079">
        <v>3079</v>
      </c>
      <c r="B3079" t="s">
        <v>35</v>
      </c>
      <c r="C3079" t="s">
        <v>28</v>
      </c>
      <c r="D3079" s="72" t="s">
        <v>5111</v>
      </c>
      <c r="E3079" t="s">
        <v>61</v>
      </c>
      <c r="F3079" t="s">
        <v>5112</v>
      </c>
      <c r="G3079" s="92"/>
      <c r="H3079" s="92"/>
      <c r="I3079" s="92"/>
      <c r="J3079" s="92"/>
      <c r="K3079" s="92"/>
      <c r="L3079" s="9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9"/>
    </row>
    <row r="3080" spans="1:14" hidden="1" x14ac:dyDescent="0.15">
      <c r="A3080">
        <v>3080</v>
      </c>
      <c r="B3080" t="s">
        <v>35</v>
      </c>
      <c r="C3080" t="s">
        <v>28</v>
      </c>
      <c r="D3080" s="72" t="s">
        <v>5113</v>
      </c>
      <c r="E3080" t="s">
        <v>73</v>
      </c>
      <c r="F3080" t="s">
        <v>5114</v>
      </c>
      <c r="G3080" s="92"/>
      <c r="H3080" s="92"/>
      <c r="I3080" s="92"/>
      <c r="J3080" s="92"/>
      <c r="K3080" s="92"/>
      <c r="L3080" s="9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9"/>
    </row>
    <row r="3081" spans="1:14" hidden="1" x14ac:dyDescent="0.15">
      <c r="A3081">
        <v>3081</v>
      </c>
      <c r="B3081" t="s">
        <v>35</v>
      </c>
      <c r="C3081" t="s">
        <v>28</v>
      </c>
      <c r="D3081" s="72" t="s">
        <v>5115</v>
      </c>
      <c r="E3081" t="s">
        <v>736</v>
      </c>
      <c r="F3081" t="s">
        <v>288</v>
      </c>
      <c r="G3081" s="92"/>
      <c r="H3081" s="92"/>
      <c r="I3081" s="92"/>
      <c r="J3081" s="92"/>
      <c r="K3081" s="92"/>
      <c r="L3081" s="9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9"/>
    </row>
    <row r="3082" spans="1:14" hidden="1" x14ac:dyDescent="0.15">
      <c r="A3082">
        <v>3082</v>
      </c>
      <c r="B3082" t="s">
        <v>35</v>
      </c>
      <c r="C3082" t="s">
        <v>28</v>
      </c>
      <c r="D3082" s="72" t="s">
        <v>5116</v>
      </c>
      <c r="E3082" t="s">
        <v>36</v>
      </c>
      <c r="F3082" t="s">
        <v>5613</v>
      </c>
      <c r="G3082" s="92"/>
      <c r="H3082" s="92"/>
      <c r="I3082" s="92"/>
      <c r="J3082" s="92"/>
      <c r="K3082" s="92"/>
      <c r="L3082" s="9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9"/>
    </row>
    <row r="3083" spans="1:14" hidden="1" x14ac:dyDescent="0.15">
      <c r="A3083">
        <v>3083</v>
      </c>
      <c r="B3083" t="s">
        <v>35</v>
      </c>
      <c r="C3083" t="s">
        <v>28</v>
      </c>
      <c r="D3083" s="72" t="s">
        <v>5117</v>
      </c>
      <c r="E3083" t="s">
        <v>61</v>
      </c>
      <c r="F3083" t="s">
        <v>5118</v>
      </c>
      <c r="G3083" s="92"/>
      <c r="H3083" s="92"/>
      <c r="I3083" s="92"/>
      <c r="J3083" s="92"/>
      <c r="K3083" s="92"/>
      <c r="L3083" s="9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9"/>
    </row>
    <row r="3084" spans="1:14" hidden="1" x14ac:dyDescent="0.15">
      <c r="A3084">
        <v>3084</v>
      </c>
      <c r="B3084" t="s">
        <v>35</v>
      </c>
      <c r="C3084" t="s">
        <v>28</v>
      </c>
      <c r="D3084" s="72" t="s">
        <v>2872</v>
      </c>
      <c r="E3084" t="s">
        <v>36</v>
      </c>
      <c r="F3084" t="s">
        <v>5119</v>
      </c>
      <c r="G3084" s="92"/>
      <c r="H3084" s="92"/>
      <c r="I3084" s="92"/>
      <c r="J3084" s="92"/>
      <c r="K3084" s="92"/>
      <c r="L3084" s="9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9"/>
    </row>
    <row r="3085" spans="1:14" hidden="1" x14ac:dyDescent="0.15">
      <c r="A3085">
        <v>3085</v>
      </c>
      <c r="B3085" t="s">
        <v>35</v>
      </c>
      <c r="C3085" t="s">
        <v>28</v>
      </c>
      <c r="D3085" s="72" t="s">
        <v>5120</v>
      </c>
      <c r="E3085" t="s">
        <v>702</v>
      </c>
      <c r="F3085" t="s">
        <v>5121</v>
      </c>
      <c r="G3085" s="92"/>
      <c r="H3085" s="92"/>
      <c r="I3085" s="92"/>
      <c r="J3085" s="92"/>
      <c r="K3085" s="92"/>
      <c r="L3085" s="9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9"/>
    </row>
    <row r="3086" spans="1:14" hidden="1" x14ac:dyDescent="0.15">
      <c r="A3086">
        <v>3086</v>
      </c>
      <c r="B3086" t="s">
        <v>35</v>
      </c>
      <c r="C3086" t="s">
        <v>28</v>
      </c>
      <c r="D3086" s="72" t="s">
        <v>5122</v>
      </c>
      <c r="E3086" t="s">
        <v>36</v>
      </c>
      <c r="F3086" t="s">
        <v>3025</v>
      </c>
      <c r="G3086" s="92"/>
      <c r="H3086" s="92"/>
      <c r="I3086" s="92"/>
      <c r="J3086" s="92"/>
      <c r="K3086" s="92"/>
      <c r="L3086" s="9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9"/>
    </row>
    <row r="3087" spans="1:14" hidden="1" x14ac:dyDescent="0.15">
      <c r="A3087">
        <v>3087</v>
      </c>
      <c r="B3087" t="s">
        <v>35</v>
      </c>
      <c r="C3087" t="s">
        <v>28</v>
      </c>
      <c r="D3087" s="72" t="s">
        <v>5123</v>
      </c>
      <c r="E3087" t="s">
        <v>36</v>
      </c>
      <c r="F3087" t="s">
        <v>5614</v>
      </c>
      <c r="G3087" s="92"/>
      <c r="H3087" s="92"/>
      <c r="I3087" s="92"/>
      <c r="J3087" s="92"/>
      <c r="K3087" s="92"/>
      <c r="L3087" s="9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9"/>
    </row>
    <row r="3088" spans="1:14" hidden="1" x14ac:dyDescent="0.15">
      <c r="A3088">
        <v>3088</v>
      </c>
      <c r="B3088" t="s">
        <v>35</v>
      </c>
      <c r="C3088" t="s">
        <v>28</v>
      </c>
      <c r="D3088" s="72" t="s">
        <v>5124</v>
      </c>
      <c r="E3088" t="s">
        <v>73</v>
      </c>
      <c r="F3088" t="s">
        <v>5125</v>
      </c>
      <c r="G3088" s="92"/>
      <c r="H3088" s="92"/>
      <c r="I3088" s="92"/>
      <c r="J3088" s="92"/>
      <c r="K3088" s="92"/>
      <c r="L3088" s="9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9"/>
    </row>
    <row r="3089" spans="1:14" hidden="1" x14ac:dyDescent="0.15">
      <c r="A3089">
        <v>3089</v>
      </c>
      <c r="B3089" t="s">
        <v>35</v>
      </c>
      <c r="C3089" t="s">
        <v>28</v>
      </c>
      <c r="D3089" s="72" t="s">
        <v>5659</v>
      </c>
      <c r="E3089" t="s">
        <v>73</v>
      </c>
      <c r="F3089" t="s">
        <v>5126</v>
      </c>
      <c r="G3089" s="92"/>
      <c r="H3089" s="92"/>
      <c r="I3089" s="92"/>
      <c r="J3089" s="92"/>
      <c r="K3089" s="92"/>
      <c r="L3089" s="9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9"/>
    </row>
    <row r="3090" spans="1:14" hidden="1" x14ac:dyDescent="0.15">
      <c r="A3090">
        <v>3090</v>
      </c>
      <c r="B3090" t="s">
        <v>35</v>
      </c>
      <c r="C3090" t="s">
        <v>28</v>
      </c>
      <c r="D3090" s="72" t="s">
        <v>5127</v>
      </c>
      <c r="E3090" t="s">
        <v>73</v>
      </c>
      <c r="F3090" t="s">
        <v>5128</v>
      </c>
      <c r="G3090" s="92"/>
      <c r="H3090" s="92"/>
      <c r="I3090" s="92"/>
      <c r="J3090" s="92"/>
      <c r="K3090" s="92"/>
      <c r="L3090" s="9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9"/>
    </row>
    <row r="3091" spans="1:14" hidden="1" x14ac:dyDescent="0.15">
      <c r="A3091">
        <v>3091</v>
      </c>
      <c r="B3091" t="s">
        <v>35</v>
      </c>
      <c r="C3091" t="s">
        <v>28</v>
      </c>
      <c r="D3091" s="72" t="s">
        <v>5129</v>
      </c>
      <c r="E3091" t="s">
        <v>73</v>
      </c>
      <c r="F3091" t="s">
        <v>5130</v>
      </c>
      <c r="G3091" s="92"/>
      <c r="H3091" s="92"/>
      <c r="I3091" s="92"/>
      <c r="J3091" s="92"/>
      <c r="K3091" s="92"/>
      <c r="L3091" s="9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9"/>
    </row>
    <row r="3092" spans="1:14" hidden="1" x14ac:dyDescent="0.15">
      <c r="A3092">
        <v>3092</v>
      </c>
      <c r="B3092" t="s">
        <v>35</v>
      </c>
      <c r="C3092" t="s">
        <v>28</v>
      </c>
      <c r="D3092" s="72" t="s">
        <v>5131</v>
      </c>
      <c r="E3092" t="s">
        <v>36</v>
      </c>
      <c r="F3092" t="s">
        <v>5132</v>
      </c>
      <c r="G3092" s="92"/>
      <c r="H3092" s="92"/>
      <c r="I3092" s="92"/>
      <c r="J3092" s="92"/>
      <c r="K3092" s="92"/>
      <c r="L3092" s="9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9"/>
    </row>
    <row r="3093" spans="1:14" hidden="1" x14ac:dyDescent="0.15">
      <c r="A3093">
        <v>3093</v>
      </c>
      <c r="B3093" t="s">
        <v>35</v>
      </c>
      <c r="C3093" t="s">
        <v>28</v>
      </c>
      <c r="D3093" s="72" t="s">
        <v>2197</v>
      </c>
      <c r="E3093" t="s">
        <v>36</v>
      </c>
      <c r="F3093" t="s">
        <v>5133</v>
      </c>
      <c r="G3093" s="92"/>
      <c r="H3093" s="92"/>
      <c r="I3093" s="92"/>
      <c r="J3093" s="92"/>
      <c r="K3093" s="92"/>
      <c r="L3093" s="9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9"/>
    </row>
    <row r="3094" spans="1:14" hidden="1" x14ac:dyDescent="0.15">
      <c r="A3094">
        <v>3094</v>
      </c>
      <c r="B3094" t="s">
        <v>35</v>
      </c>
      <c r="C3094" t="s">
        <v>28</v>
      </c>
      <c r="D3094" s="72" t="s">
        <v>5134</v>
      </c>
      <c r="E3094" t="s">
        <v>73</v>
      </c>
      <c r="F3094" t="s">
        <v>5135</v>
      </c>
      <c r="G3094" s="92"/>
      <c r="H3094" s="92"/>
      <c r="I3094" s="92"/>
      <c r="J3094" s="92"/>
      <c r="K3094" s="92"/>
      <c r="L3094" s="9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9"/>
    </row>
    <row r="3095" spans="1:14" hidden="1" x14ac:dyDescent="0.15">
      <c r="A3095">
        <v>3095</v>
      </c>
      <c r="B3095" t="s">
        <v>35</v>
      </c>
      <c r="C3095" t="s">
        <v>28</v>
      </c>
      <c r="D3095" s="72" t="s">
        <v>2516</v>
      </c>
      <c r="E3095" t="s">
        <v>36</v>
      </c>
      <c r="F3095" t="s">
        <v>5136</v>
      </c>
      <c r="G3095" s="92"/>
      <c r="H3095" s="92"/>
      <c r="I3095" s="92"/>
      <c r="J3095" s="92"/>
      <c r="K3095" s="92"/>
      <c r="L3095" s="9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9"/>
    </row>
    <row r="3096" spans="1:14" hidden="1" x14ac:dyDescent="0.15">
      <c r="A3096">
        <v>3096</v>
      </c>
      <c r="B3096" t="s">
        <v>35</v>
      </c>
      <c r="C3096" t="s">
        <v>28</v>
      </c>
      <c r="D3096" s="72" t="s">
        <v>5137</v>
      </c>
      <c r="E3096" t="s">
        <v>36</v>
      </c>
      <c r="F3096" t="s">
        <v>5138</v>
      </c>
      <c r="G3096" s="92"/>
      <c r="H3096" s="92"/>
      <c r="I3096" s="92"/>
      <c r="J3096" s="92"/>
      <c r="K3096" s="92"/>
      <c r="L3096" s="9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9"/>
    </row>
    <row r="3097" spans="1:14" hidden="1" x14ac:dyDescent="0.15">
      <c r="A3097">
        <v>3097</v>
      </c>
      <c r="B3097" t="s">
        <v>35</v>
      </c>
      <c r="C3097" t="s">
        <v>29</v>
      </c>
      <c r="D3097" s="72" t="s">
        <v>2306</v>
      </c>
      <c r="E3097" t="s">
        <v>61</v>
      </c>
      <c r="F3097" t="s">
        <v>5615</v>
      </c>
      <c r="G3097" s="92"/>
      <c r="H3097" s="92"/>
      <c r="I3097" s="92"/>
      <c r="J3097" s="92"/>
      <c r="K3097" s="92"/>
      <c r="L3097" s="9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9"/>
    </row>
    <row r="3098" spans="1:14" hidden="1" x14ac:dyDescent="0.15">
      <c r="A3098">
        <v>3098</v>
      </c>
      <c r="B3098" t="s">
        <v>35</v>
      </c>
      <c r="C3098" t="s">
        <v>29</v>
      </c>
      <c r="D3098" s="72" t="s">
        <v>5139</v>
      </c>
      <c r="E3098" t="s">
        <v>702</v>
      </c>
      <c r="F3098" t="s">
        <v>5140</v>
      </c>
      <c r="G3098" s="92"/>
      <c r="H3098" s="92"/>
      <c r="I3098" s="92"/>
      <c r="J3098" s="92"/>
      <c r="K3098" s="92"/>
      <c r="L3098" s="9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9"/>
    </row>
    <row r="3099" spans="1:14" hidden="1" x14ac:dyDescent="0.15">
      <c r="A3099">
        <v>3099</v>
      </c>
      <c r="B3099" t="s">
        <v>35</v>
      </c>
      <c r="C3099" t="s">
        <v>29</v>
      </c>
      <c r="D3099" s="72" t="s">
        <v>5141</v>
      </c>
      <c r="E3099" t="s">
        <v>73</v>
      </c>
      <c r="F3099" t="s">
        <v>5142</v>
      </c>
      <c r="G3099" s="92"/>
      <c r="H3099" s="92"/>
      <c r="I3099" s="92"/>
      <c r="J3099" s="92"/>
      <c r="K3099" s="92"/>
      <c r="L3099" s="9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9"/>
    </row>
    <row r="3100" spans="1:14" hidden="1" x14ac:dyDescent="0.15">
      <c r="A3100">
        <v>3100</v>
      </c>
      <c r="B3100" t="s">
        <v>35</v>
      </c>
      <c r="C3100" t="s">
        <v>29</v>
      </c>
      <c r="D3100" s="72" t="s">
        <v>1512</v>
      </c>
      <c r="E3100" t="s">
        <v>36</v>
      </c>
      <c r="F3100" t="s">
        <v>5143</v>
      </c>
      <c r="G3100" s="92"/>
      <c r="H3100" s="92"/>
      <c r="I3100" s="92"/>
      <c r="J3100" s="92"/>
      <c r="K3100" s="92"/>
      <c r="L3100" s="9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9"/>
    </row>
    <row r="3101" spans="1:14" hidden="1" x14ac:dyDescent="0.15">
      <c r="A3101">
        <v>3101</v>
      </c>
      <c r="B3101" t="s">
        <v>35</v>
      </c>
      <c r="C3101" t="s">
        <v>29</v>
      </c>
      <c r="D3101" s="72" t="s">
        <v>5144</v>
      </c>
      <c r="E3101" t="s">
        <v>36</v>
      </c>
      <c r="F3101" t="s">
        <v>5145</v>
      </c>
      <c r="G3101" s="92"/>
      <c r="H3101" s="92"/>
      <c r="I3101" s="92"/>
      <c r="J3101" s="92"/>
      <c r="K3101" s="92"/>
      <c r="L3101" s="9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9"/>
    </row>
    <row r="3102" spans="1:14" hidden="1" x14ac:dyDescent="0.15">
      <c r="A3102">
        <v>3102</v>
      </c>
      <c r="B3102" t="s">
        <v>35</v>
      </c>
      <c r="C3102" t="s">
        <v>29</v>
      </c>
      <c r="D3102" s="72" t="s">
        <v>5146</v>
      </c>
      <c r="E3102" t="s">
        <v>73</v>
      </c>
      <c r="F3102" t="s">
        <v>5147</v>
      </c>
      <c r="G3102" s="92"/>
      <c r="H3102" s="92"/>
      <c r="I3102" s="92"/>
      <c r="J3102" s="92"/>
      <c r="K3102" s="92"/>
      <c r="L3102" s="9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9"/>
    </row>
    <row r="3103" spans="1:14" hidden="1" x14ac:dyDescent="0.15">
      <c r="A3103">
        <v>3103</v>
      </c>
      <c r="B3103" t="s">
        <v>35</v>
      </c>
      <c r="C3103" t="s">
        <v>29</v>
      </c>
      <c r="D3103" s="72" t="s">
        <v>5148</v>
      </c>
      <c r="E3103" t="s">
        <v>736</v>
      </c>
      <c r="F3103" t="s">
        <v>5149</v>
      </c>
      <c r="G3103" s="92"/>
      <c r="H3103" s="92"/>
      <c r="I3103" s="92"/>
      <c r="J3103" s="92"/>
      <c r="K3103" s="92"/>
      <c r="L3103" s="9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9"/>
    </row>
    <row r="3104" spans="1:14" hidden="1" x14ac:dyDescent="0.15">
      <c r="A3104">
        <v>3104</v>
      </c>
      <c r="B3104" t="s">
        <v>35</v>
      </c>
      <c r="C3104" t="s">
        <v>29</v>
      </c>
      <c r="D3104" s="72" t="s">
        <v>5150</v>
      </c>
      <c r="E3104" t="s">
        <v>36</v>
      </c>
      <c r="F3104" t="s">
        <v>5151</v>
      </c>
      <c r="G3104" s="92"/>
      <c r="H3104" s="92"/>
      <c r="I3104" s="92"/>
      <c r="J3104" s="92"/>
      <c r="K3104" s="92"/>
      <c r="L3104" s="9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9"/>
    </row>
    <row r="3105" spans="1:14" hidden="1" x14ac:dyDescent="0.15">
      <c r="A3105">
        <v>3105</v>
      </c>
      <c r="B3105" t="s">
        <v>35</v>
      </c>
      <c r="C3105" t="s">
        <v>29</v>
      </c>
      <c r="D3105" s="72" t="s">
        <v>5152</v>
      </c>
      <c r="E3105" t="s">
        <v>36</v>
      </c>
      <c r="F3105" t="s">
        <v>5153</v>
      </c>
      <c r="G3105" s="92"/>
      <c r="H3105" s="92"/>
      <c r="I3105" s="92"/>
      <c r="J3105" s="92"/>
      <c r="K3105" s="92"/>
      <c r="L3105" s="9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9"/>
    </row>
    <row r="3106" spans="1:14" hidden="1" x14ac:dyDescent="0.15">
      <c r="A3106">
        <v>3106</v>
      </c>
      <c r="B3106" t="s">
        <v>35</v>
      </c>
      <c r="C3106" t="s">
        <v>29</v>
      </c>
      <c r="D3106" s="72" t="s">
        <v>3127</v>
      </c>
      <c r="E3106" t="s">
        <v>157</v>
      </c>
      <c r="F3106" t="s">
        <v>5154</v>
      </c>
      <c r="G3106" s="92"/>
      <c r="H3106" s="92"/>
      <c r="I3106" s="92"/>
      <c r="J3106" s="92"/>
      <c r="K3106" s="92"/>
      <c r="L3106" s="9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9"/>
    </row>
    <row r="3107" spans="1:14" hidden="1" x14ac:dyDescent="0.15">
      <c r="A3107">
        <v>3107</v>
      </c>
      <c r="B3107" t="s">
        <v>35</v>
      </c>
      <c r="C3107" t="s">
        <v>29</v>
      </c>
      <c r="D3107" s="72" t="s">
        <v>5155</v>
      </c>
      <c r="E3107" t="s">
        <v>702</v>
      </c>
      <c r="F3107" t="s">
        <v>5156</v>
      </c>
      <c r="G3107" s="92"/>
      <c r="H3107" s="92"/>
      <c r="I3107" s="92"/>
      <c r="J3107" s="92"/>
      <c r="K3107" s="92"/>
      <c r="L3107" s="9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9"/>
    </row>
    <row r="3108" spans="1:14" hidden="1" x14ac:dyDescent="0.15">
      <c r="A3108">
        <v>3108</v>
      </c>
      <c r="B3108" t="s">
        <v>35</v>
      </c>
      <c r="C3108" t="s">
        <v>29</v>
      </c>
      <c r="D3108" s="72" t="s">
        <v>5157</v>
      </c>
      <c r="E3108" t="s">
        <v>61</v>
      </c>
      <c r="F3108" t="s">
        <v>5158</v>
      </c>
      <c r="G3108" s="92"/>
      <c r="H3108" s="92"/>
      <c r="I3108" s="92"/>
      <c r="J3108" s="92"/>
      <c r="K3108" s="92"/>
      <c r="L3108" s="9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9"/>
    </row>
    <row r="3109" spans="1:14" hidden="1" x14ac:dyDescent="0.15">
      <c r="A3109">
        <v>3109</v>
      </c>
      <c r="B3109" t="s">
        <v>35</v>
      </c>
      <c r="C3109" t="s">
        <v>29</v>
      </c>
      <c r="D3109" s="72" t="s">
        <v>5159</v>
      </c>
      <c r="E3109" t="s">
        <v>36</v>
      </c>
      <c r="F3109" t="s">
        <v>5160</v>
      </c>
      <c r="G3109" s="92"/>
      <c r="H3109" s="92"/>
      <c r="I3109" s="92"/>
      <c r="J3109" s="92"/>
      <c r="K3109" s="92"/>
      <c r="L3109" s="9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9"/>
    </row>
    <row r="3110" spans="1:14" hidden="1" x14ac:dyDescent="0.15">
      <c r="A3110">
        <v>3110</v>
      </c>
      <c r="B3110" t="s">
        <v>35</v>
      </c>
      <c r="C3110" t="s">
        <v>29</v>
      </c>
      <c r="D3110" s="72" t="s">
        <v>5161</v>
      </c>
      <c r="E3110" t="s">
        <v>61</v>
      </c>
      <c r="F3110" t="s">
        <v>5162</v>
      </c>
      <c r="G3110" s="92"/>
      <c r="H3110" s="92"/>
      <c r="I3110" s="92"/>
      <c r="J3110" s="92"/>
      <c r="K3110" s="92"/>
      <c r="L3110" s="9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9"/>
    </row>
    <row r="3111" spans="1:14" hidden="1" x14ac:dyDescent="0.15">
      <c r="A3111">
        <v>3111</v>
      </c>
      <c r="B3111" t="s">
        <v>35</v>
      </c>
      <c r="C3111" t="s">
        <v>29</v>
      </c>
      <c r="D3111" s="72" t="s">
        <v>5163</v>
      </c>
      <c r="E3111" t="s">
        <v>736</v>
      </c>
      <c r="F3111" t="s">
        <v>5164</v>
      </c>
      <c r="G3111" s="92"/>
      <c r="H3111" s="92"/>
      <c r="I3111" s="92"/>
      <c r="J3111" s="92"/>
      <c r="K3111" s="92"/>
      <c r="L3111" s="9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9"/>
    </row>
    <row r="3112" spans="1:14" hidden="1" x14ac:dyDescent="0.15">
      <c r="A3112">
        <v>3112</v>
      </c>
      <c r="B3112" t="s">
        <v>35</v>
      </c>
      <c r="C3112" t="s">
        <v>29</v>
      </c>
      <c r="D3112" s="72" t="s">
        <v>5165</v>
      </c>
      <c r="E3112" t="s">
        <v>36</v>
      </c>
      <c r="F3112" t="s">
        <v>5166</v>
      </c>
      <c r="G3112" s="92"/>
      <c r="H3112" s="92"/>
      <c r="I3112" s="92"/>
      <c r="J3112" s="92"/>
      <c r="K3112" s="92"/>
      <c r="L3112" s="9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9"/>
    </row>
    <row r="3113" spans="1:14" hidden="1" x14ac:dyDescent="0.15">
      <c r="A3113">
        <v>3113</v>
      </c>
      <c r="B3113" t="s">
        <v>35</v>
      </c>
      <c r="C3113" t="s">
        <v>29</v>
      </c>
      <c r="D3113" s="72" t="s">
        <v>5167</v>
      </c>
      <c r="E3113" t="s">
        <v>702</v>
      </c>
      <c r="F3113" t="s">
        <v>2989</v>
      </c>
      <c r="G3113" s="92"/>
      <c r="H3113" s="92"/>
      <c r="I3113" s="92"/>
      <c r="J3113" s="92"/>
      <c r="K3113" s="92"/>
      <c r="L3113" s="9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9"/>
    </row>
    <row r="3114" spans="1:14" hidden="1" x14ac:dyDescent="0.15">
      <c r="A3114">
        <v>3114</v>
      </c>
      <c r="B3114" t="s">
        <v>35</v>
      </c>
      <c r="C3114" t="s">
        <v>29</v>
      </c>
      <c r="D3114" s="72" t="s">
        <v>5168</v>
      </c>
      <c r="E3114" t="s">
        <v>36</v>
      </c>
      <c r="F3114" t="s">
        <v>5169</v>
      </c>
      <c r="G3114" s="92"/>
      <c r="H3114" s="92"/>
      <c r="I3114" s="92"/>
      <c r="J3114" s="92"/>
      <c r="K3114" s="92"/>
      <c r="L3114" s="9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9"/>
    </row>
    <row r="3115" spans="1:14" hidden="1" x14ac:dyDescent="0.15">
      <c r="A3115">
        <v>3115</v>
      </c>
      <c r="B3115" t="s">
        <v>35</v>
      </c>
      <c r="C3115" t="s">
        <v>29</v>
      </c>
      <c r="D3115" s="72" t="s">
        <v>2461</v>
      </c>
      <c r="E3115" t="s">
        <v>36</v>
      </c>
      <c r="F3115" t="s">
        <v>2462</v>
      </c>
      <c r="G3115" s="92"/>
      <c r="H3115" s="92"/>
      <c r="I3115" s="92"/>
      <c r="J3115" s="92"/>
      <c r="K3115" s="92"/>
      <c r="L3115" s="9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9"/>
    </row>
    <row r="3116" spans="1:14" hidden="1" x14ac:dyDescent="0.15">
      <c r="A3116">
        <v>3116</v>
      </c>
      <c r="B3116" t="s">
        <v>35</v>
      </c>
      <c r="C3116" t="s">
        <v>29</v>
      </c>
      <c r="D3116" s="72" t="s">
        <v>5170</v>
      </c>
      <c r="E3116" t="s">
        <v>61</v>
      </c>
      <c r="F3116" t="s">
        <v>5171</v>
      </c>
      <c r="G3116" s="92"/>
      <c r="H3116" s="92"/>
      <c r="I3116" s="92"/>
      <c r="J3116" s="92"/>
      <c r="K3116" s="92"/>
      <c r="L3116" s="9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9"/>
    </row>
    <row r="3117" spans="1:14" hidden="1" x14ac:dyDescent="0.15">
      <c r="A3117">
        <v>3117</v>
      </c>
      <c r="B3117" t="s">
        <v>35</v>
      </c>
      <c r="C3117" t="s">
        <v>29</v>
      </c>
      <c r="D3117" s="72" t="s">
        <v>1616</v>
      </c>
      <c r="E3117" t="s">
        <v>36</v>
      </c>
      <c r="F3117" t="s">
        <v>5172</v>
      </c>
      <c r="G3117" s="92"/>
      <c r="H3117" s="92"/>
      <c r="I3117" s="92"/>
      <c r="J3117" s="92"/>
      <c r="K3117" s="92"/>
      <c r="L3117" s="9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9"/>
    </row>
    <row r="3118" spans="1:14" hidden="1" x14ac:dyDescent="0.15">
      <c r="A3118">
        <v>3118</v>
      </c>
      <c r="B3118" t="s">
        <v>35</v>
      </c>
      <c r="C3118" t="s">
        <v>29</v>
      </c>
      <c r="D3118" s="72" t="s">
        <v>5173</v>
      </c>
      <c r="E3118" t="s">
        <v>36</v>
      </c>
      <c r="F3118" t="s">
        <v>5616</v>
      </c>
      <c r="G3118" s="92"/>
      <c r="H3118" s="92"/>
      <c r="I3118" s="92"/>
      <c r="J3118" s="92"/>
      <c r="K3118" s="92"/>
      <c r="L3118" s="9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9"/>
    </row>
    <row r="3119" spans="1:14" hidden="1" x14ac:dyDescent="0.15">
      <c r="A3119">
        <v>3119</v>
      </c>
      <c r="B3119" t="s">
        <v>35</v>
      </c>
      <c r="C3119" t="s">
        <v>29</v>
      </c>
      <c r="D3119" s="72" t="s">
        <v>5174</v>
      </c>
      <c r="E3119" t="s">
        <v>73</v>
      </c>
      <c r="F3119" t="s">
        <v>5175</v>
      </c>
      <c r="G3119" s="92"/>
      <c r="H3119" s="92"/>
      <c r="I3119" s="92"/>
      <c r="J3119" s="92"/>
      <c r="K3119" s="92"/>
      <c r="L3119" s="9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9"/>
    </row>
    <row r="3120" spans="1:14" hidden="1" x14ac:dyDescent="0.15">
      <c r="A3120">
        <v>3120</v>
      </c>
      <c r="B3120" t="s">
        <v>35</v>
      </c>
      <c r="C3120" t="s">
        <v>29</v>
      </c>
      <c r="D3120" s="72" t="s">
        <v>5176</v>
      </c>
      <c r="E3120" t="s">
        <v>61</v>
      </c>
      <c r="F3120" t="s">
        <v>5177</v>
      </c>
      <c r="G3120" s="92"/>
      <c r="H3120" s="92"/>
      <c r="I3120" s="92"/>
      <c r="J3120" s="92"/>
      <c r="K3120" s="92"/>
      <c r="L3120" s="9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9"/>
    </row>
    <row r="3121" spans="1:14" hidden="1" x14ac:dyDescent="0.15">
      <c r="A3121">
        <v>3121</v>
      </c>
      <c r="B3121" t="s">
        <v>35</v>
      </c>
      <c r="C3121" t="s">
        <v>29</v>
      </c>
      <c r="D3121" s="72" t="s">
        <v>5178</v>
      </c>
      <c r="E3121" t="s">
        <v>1016</v>
      </c>
      <c r="F3121" t="s">
        <v>5179</v>
      </c>
      <c r="G3121" s="92"/>
      <c r="H3121" s="92"/>
      <c r="I3121" s="92"/>
      <c r="J3121" s="92"/>
      <c r="K3121" s="92"/>
      <c r="L3121" s="9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9"/>
    </row>
    <row r="3122" spans="1:14" hidden="1" x14ac:dyDescent="0.15">
      <c r="A3122">
        <v>3122</v>
      </c>
      <c r="B3122" t="s">
        <v>35</v>
      </c>
      <c r="C3122" t="s">
        <v>29</v>
      </c>
      <c r="D3122" s="72" t="s">
        <v>5180</v>
      </c>
      <c r="E3122" t="s">
        <v>36</v>
      </c>
      <c r="F3122" t="s">
        <v>5181</v>
      </c>
      <c r="G3122" s="92"/>
      <c r="H3122" s="92"/>
      <c r="I3122" s="92"/>
      <c r="J3122" s="92"/>
      <c r="K3122" s="92"/>
      <c r="L3122" s="9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9"/>
    </row>
    <row r="3123" spans="1:14" hidden="1" x14ac:dyDescent="0.15">
      <c r="A3123">
        <v>3123</v>
      </c>
      <c r="B3123" t="s">
        <v>35</v>
      </c>
      <c r="C3123" t="s">
        <v>29</v>
      </c>
      <c r="D3123" s="72" t="s">
        <v>5182</v>
      </c>
      <c r="E3123" t="s">
        <v>1019</v>
      </c>
      <c r="F3123" t="s">
        <v>5183</v>
      </c>
      <c r="G3123" s="92"/>
      <c r="H3123" s="92"/>
      <c r="I3123" s="92"/>
      <c r="J3123" s="92"/>
      <c r="K3123" s="92"/>
      <c r="L3123" s="9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9"/>
    </row>
    <row r="3124" spans="1:14" hidden="1" x14ac:dyDescent="0.15">
      <c r="A3124">
        <v>3124</v>
      </c>
      <c r="B3124" t="s">
        <v>35</v>
      </c>
      <c r="C3124" t="s">
        <v>29</v>
      </c>
      <c r="D3124" s="72" t="s">
        <v>5184</v>
      </c>
      <c r="E3124" t="s">
        <v>61</v>
      </c>
      <c r="F3124" t="s">
        <v>5185</v>
      </c>
      <c r="G3124" s="92"/>
      <c r="H3124" s="92"/>
      <c r="I3124" s="92"/>
      <c r="J3124" s="92"/>
      <c r="K3124" s="92"/>
      <c r="L3124" s="9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9"/>
    </row>
    <row r="3125" spans="1:14" hidden="1" x14ac:dyDescent="0.15">
      <c r="A3125">
        <v>3125</v>
      </c>
      <c r="B3125" t="s">
        <v>35</v>
      </c>
      <c r="C3125" t="s">
        <v>29</v>
      </c>
      <c r="D3125" s="72" t="s">
        <v>5186</v>
      </c>
      <c r="E3125" t="s">
        <v>73</v>
      </c>
      <c r="F3125" t="s">
        <v>5187</v>
      </c>
      <c r="G3125" s="92"/>
      <c r="H3125" s="92"/>
      <c r="I3125" s="92"/>
      <c r="J3125" s="92"/>
      <c r="K3125" s="92"/>
      <c r="L3125" s="9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9"/>
    </row>
    <row r="3126" spans="1:14" hidden="1" x14ac:dyDescent="0.15">
      <c r="A3126">
        <v>3126</v>
      </c>
      <c r="B3126" t="s">
        <v>35</v>
      </c>
      <c r="C3126" t="s">
        <v>29</v>
      </c>
      <c r="D3126" s="72" t="s">
        <v>5188</v>
      </c>
      <c r="E3126" t="s">
        <v>736</v>
      </c>
      <c r="F3126" t="s">
        <v>5189</v>
      </c>
      <c r="G3126" s="92"/>
      <c r="H3126" s="92"/>
      <c r="I3126" s="92"/>
      <c r="J3126" s="92"/>
      <c r="K3126" s="92"/>
      <c r="L3126" s="9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9"/>
    </row>
    <row r="3127" spans="1:14" hidden="1" x14ac:dyDescent="0.15">
      <c r="A3127">
        <v>3127</v>
      </c>
      <c r="B3127" t="s">
        <v>35</v>
      </c>
      <c r="C3127" t="s">
        <v>29</v>
      </c>
      <c r="D3127" s="72" t="s">
        <v>5190</v>
      </c>
      <c r="E3127" t="s">
        <v>736</v>
      </c>
      <c r="F3127" t="s">
        <v>5191</v>
      </c>
      <c r="G3127" s="92"/>
      <c r="H3127" s="92"/>
      <c r="I3127" s="92"/>
      <c r="J3127" s="92"/>
      <c r="K3127" s="92"/>
      <c r="L3127" s="9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9"/>
    </row>
    <row r="3128" spans="1:14" hidden="1" x14ac:dyDescent="0.15">
      <c r="A3128">
        <v>3128</v>
      </c>
      <c r="B3128" t="s">
        <v>35</v>
      </c>
      <c r="C3128" t="s">
        <v>29</v>
      </c>
      <c r="D3128" s="72" t="s">
        <v>5192</v>
      </c>
      <c r="E3128" t="s">
        <v>61</v>
      </c>
      <c r="F3128" t="s">
        <v>5193</v>
      </c>
      <c r="G3128" s="92"/>
      <c r="H3128" s="92"/>
      <c r="I3128" s="92"/>
      <c r="J3128" s="92"/>
      <c r="K3128" s="92"/>
      <c r="L3128" s="9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9"/>
    </row>
    <row r="3129" spans="1:14" hidden="1" x14ac:dyDescent="0.15">
      <c r="A3129">
        <v>3129</v>
      </c>
      <c r="B3129" t="s">
        <v>35</v>
      </c>
      <c r="C3129" t="s">
        <v>29</v>
      </c>
      <c r="D3129" s="72" t="s">
        <v>5194</v>
      </c>
      <c r="E3129" t="s">
        <v>36</v>
      </c>
      <c r="F3129" t="s">
        <v>5195</v>
      </c>
      <c r="G3129" s="92"/>
      <c r="H3129" s="92"/>
      <c r="I3129" s="92"/>
      <c r="J3129" s="92"/>
      <c r="K3129" s="92"/>
      <c r="L3129" s="9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9"/>
    </row>
    <row r="3130" spans="1:14" hidden="1" x14ac:dyDescent="0.15">
      <c r="A3130">
        <v>3130</v>
      </c>
      <c r="B3130" t="s">
        <v>35</v>
      </c>
      <c r="C3130" t="s">
        <v>29</v>
      </c>
      <c r="D3130" s="72" t="s">
        <v>5196</v>
      </c>
      <c r="E3130" t="s">
        <v>36</v>
      </c>
      <c r="F3130" t="s">
        <v>5197</v>
      </c>
      <c r="G3130" s="92"/>
      <c r="H3130" s="92"/>
      <c r="I3130" s="92"/>
      <c r="J3130" s="92"/>
      <c r="K3130" s="92"/>
      <c r="L3130" s="9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9"/>
    </row>
    <row r="3131" spans="1:14" hidden="1" x14ac:dyDescent="0.15">
      <c r="A3131">
        <v>3131</v>
      </c>
      <c r="B3131" t="s">
        <v>35</v>
      </c>
      <c r="C3131" t="s">
        <v>29</v>
      </c>
      <c r="D3131" s="72" t="s">
        <v>5198</v>
      </c>
      <c r="E3131" t="s">
        <v>36</v>
      </c>
      <c r="F3131" t="s">
        <v>5617</v>
      </c>
      <c r="G3131" s="92"/>
      <c r="H3131" s="92"/>
      <c r="I3131" s="92"/>
      <c r="J3131" s="92"/>
      <c r="K3131" s="92"/>
      <c r="L3131" s="9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9"/>
    </row>
    <row r="3132" spans="1:14" hidden="1" x14ac:dyDescent="0.15">
      <c r="A3132">
        <v>3132</v>
      </c>
      <c r="B3132" t="s">
        <v>35</v>
      </c>
      <c r="C3132" t="s">
        <v>29</v>
      </c>
      <c r="D3132" s="72" t="s">
        <v>5199</v>
      </c>
      <c r="E3132" t="s">
        <v>61</v>
      </c>
      <c r="F3132" t="s">
        <v>5200</v>
      </c>
      <c r="G3132" s="92"/>
      <c r="H3132" s="92"/>
      <c r="I3132" s="92"/>
      <c r="J3132" s="92"/>
      <c r="K3132" s="92"/>
      <c r="L3132" s="9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9"/>
    </row>
    <row r="3133" spans="1:14" hidden="1" x14ac:dyDescent="0.15">
      <c r="A3133">
        <v>3133</v>
      </c>
      <c r="B3133" t="s">
        <v>35</v>
      </c>
      <c r="C3133" t="s">
        <v>30</v>
      </c>
      <c r="D3133" s="72" t="s">
        <v>5201</v>
      </c>
      <c r="E3133" t="s">
        <v>36</v>
      </c>
      <c r="F3133" t="s">
        <v>5618</v>
      </c>
      <c r="G3133" s="92"/>
      <c r="H3133" s="92"/>
      <c r="I3133" s="92"/>
      <c r="J3133" s="92"/>
      <c r="K3133" s="92"/>
      <c r="L3133" s="9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9"/>
    </row>
    <row r="3134" spans="1:14" hidden="1" x14ac:dyDescent="0.15">
      <c r="A3134">
        <v>3134</v>
      </c>
      <c r="B3134" t="s">
        <v>35</v>
      </c>
      <c r="C3134" t="s">
        <v>30</v>
      </c>
      <c r="D3134" s="72" t="s">
        <v>5202</v>
      </c>
      <c r="E3134" t="s">
        <v>36</v>
      </c>
      <c r="F3134" t="s">
        <v>5203</v>
      </c>
      <c r="G3134" s="92"/>
      <c r="H3134" s="92"/>
      <c r="I3134" s="92"/>
      <c r="J3134" s="92"/>
      <c r="K3134" s="92"/>
      <c r="L3134" s="9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9"/>
    </row>
    <row r="3135" spans="1:14" hidden="1" x14ac:dyDescent="0.15">
      <c r="A3135">
        <v>3135</v>
      </c>
      <c r="B3135" t="s">
        <v>35</v>
      </c>
      <c r="C3135" t="s">
        <v>30</v>
      </c>
      <c r="D3135" s="72" t="s">
        <v>5202</v>
      </c>
      <c r="E3135" t="s">
        <v>61</v>
      </c>
      <c r="F3135" t="s">
        <v>5203</v>
      </c>
      <c r="G3135" s="92"/>
      <c r="H3135" s="92"/>
      <c r="I3135" s="92"/>
      <c r="J3135" s="92"/>
      <c r="K3135" s="92"/>
      <c r="L3135" s="9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9"/>
    </row>
    <row r="3136" spans="1:14" hidden="1" x14ac:dyDescent="0.15">
      <c r="A3136">
        <v>3136</v>
      </c>
      <c r="B3136" t="s">
        <v>35</v>
      </c>
      <c r="C3136" t="s">
        <v>30</v>
      </c>
      <c r="D3136" s="72" t="s">
        <v>5204</v>
      </c>
      <c r="E3136" t="s">
        <v>736</v>
      </c>
      <c r="F3136" t="s">
        <v>1217</v>
      </c>
      <c r="G3136" s="92"/>
      <c r="H3136" s="92"/>
      <c r="I3136" s="92"/>
      <c r="J3136" s="92"/>
      <c r="K3136" s="92"/>
      <c r="L3136" s="9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9"/>
    </row>
    <row r="3137" spans="1:14" hidden="1" x14ac:dyDescent="0.15">
      <c r="A3137">
        <v>3137</v>
      </c>
      <c r="B3137" t="s">
        <v>35</v>
      </c>
      <c r="C3137" t="s">
        <v>30</v>
      </c>
      <c r="D3137" s="72" t="s">
        <v>922</v>
      </c>
      <c r="E3137" t="s">
        <v>73</v>
      </c>
      <c r="F3137" t="s">
        <v>5619</v>
      </c>
      <c r="G3137" s="92"/>
      <c r="H3137" s="92"/>
      <c r="I3137" s="92"/>
      <c r="J3137" s="92"/>
      <c r="K3137" s="92"/>
      <c r="L3137" s="9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9"/>
    </row>
    <row r="3138" spans="1:14" hidden="1" x14ac:dyDescent="0.15">
      <c r="A3138">
        <v>3138</v>
      </c>
      <c r="B3138" t="s">
        <v>35</v>
      </c>
      <c r="C3138" t="s">
        <v>30</v>
      </c>
      <c r="D3138" s="72" t="s">
        <v>5205</v>
      </c>
      <c r="E3138" t="s">
        <v>61</v>
      </c>
      <c r="F3138" t="s">
        <v>5206</v>
      </c>
      <c r="G3138" s="92"/>
      <c r="H3138" s="92"/>
      <c r="I3138" s="92"/>
      <c r="J3138" s="92"/>
      <c r="K3138" s="92"/>
      <c r="L3138" s="9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9"/>
    </row>
    <row r="3139" spans="1:14" hidden="1" x14ac:dyDescent="0.15">
      <c r="A3139">
        <v>3139</v>
      </c>
      <c r="B3139" t="s">
        <v>35</v>
      </c>
      <c r="C3139" t="s">
        <v>30</v>
      </c>
      <c r="D3139" s="72" t="s">
        <v>5207</v>
      </c>
      <c r="E3139" t="s">
        <v>702</v>
      </c>
      <c r="F3139" t="s">
        <v>5208</v>
      </c>
      <c r="G3139" s="92"/>
      <c r="H3139" s="92"/>
      <c r="I3139" s="92"/>
      <c r="J3139" s="92"/>
      <c r="K3139" s="92"/>
      <c r="L3139" s="9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9"/>
    </row>
    <row r="3140" spans="1:14" hidden="1" x14ac:dyDescent="0.15">
      <c r="A3140">
        <v>3140</v>
      </c>
      <c r="B3140" t="s">
        <v>35</v>
      </c>
      <c r="C3140" t="s">
        <v>30</v>
      </c>
      <c r="D3140" s="72" t="s">
        <v>5658</v>
      </c>
      <c r="E3140" t="s">
        <v>736</v>
      </c>
      <c r="F3140" t="s">
        <v>5209</v>
      </c>
      <c r="G3140" s="92"/>
      <c r="H3140" s="92"/>
      <c r="I3140" s="92"/>
      <c r="J3140" s="92"/>
      <c r="K3140" s="92"/>
      <c r="L3140" s="9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9"/>
    </row>
    <row r="3141" spans="1:14" hidden="1" x14ac:dyDescent="0.15">
      <c r="A3141">
        <v>3141</v>
      </c>
      <c r="B3141" t="s">
        <v>35</v>
      </c>
      <c r="C3141" t="s">
        <v>30</v>
      </c>
      <c r="D3141" s="72" t="s">
        <v>5210</v>
      </c>
      <c r="E3141" t="s">
        <v>73</v>
      </c>
      <c r="F3141" t="s">
        <v>5211</v>
      </c>
      <c r="G3141" s="92"/>
      <c r="H3141" s="92"/>
      <c r="I3141" s="92"/>
      <c r="J3141" s="92"/>
      <c r="K3141" s="92"/>
      <c r="L3141" s="9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9"/>
    </row>
    <row r="3142" spans="1:14" hidden="1" x14ac:dyDescent="0.15">
      <c r="A3142">
        <v>3142</v>
      </c>
      <c r="B3142" t="s">
        <v>35</v>
      </c>
      <c r="C3142" t="s">
        <v>30</v>
      </c>
      <c r="D3142" s="72" t="s">
        <v>5212</v>
      </c>
      <c r="E3142" t="s">
        <v>1019</v>
      </c>
      <c r="F3142" t="s">
        <v>5213</v>
      </c>
      <c r="G3142" s="92"/>
      <c r="H3142" s="92"/>
      <c r="I3142" s="92"/>
      <c r="J3142" s="92"/>
      <c r="K3142" s="92"/>
      <c r="L3142" s="9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9"/>
    </row>
    <row r="3143" spans="1:14" hidden="1" x14ac:dyDescent="0.15">
      <c r="A3143">
        <v>3143</v>
      </c>
      <c r="B3143" t="s">
        <v>35</v>
      </c>
      <c r="C3143" t="s">
        <v>30</v>
      </c>
      <c r="D3143" s="72" t="s">
        <v>5214</v>
      </c>
      <c r="E3143" t="s">
        <v>61</v>
      </c>
      <c r="F3143" t="s">
        <v>5215</v>
      </c>
      <c r="G3143" s="92"/>
      <c r="H3143" s="92"/>
      <c r="I3143" s="92"/>
      <c r="J3143" s="92"/>
      <c r="K3143" s="92"/>
      <c r="L3143" s="9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9"/>
    </row>
    <row r="3144" spans="1:14" hidden="1" x14ac:dyDescent="0.15">
      <c r="A3144">
        <v>3144</v>
      </c>
      <c r="B3144" t="s">
        <v>35</v>
      </c>
      <c r="C3144" t="s">
        <v>30</v>
      </c>
      <c r="D3144" s="72" t="s">
        <v>5216</v>
      </c>
      <c r="E3144" t="s">
        <v>61</v>
      </c>
      <c r="F3144" t="s">
        <v>5018</v>
      </c>
      <c r="G3144" s="92"/>
      <c r="H3144" s="92"/>
      <c r="I3144" s="92"/>
      <c r="J3144" s="92"/>
      <c r="K3144" s="92"/>
      <c r="L3144" s="9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9"/>
    </row>
    <row r="3145" spans="1:14" hidden="1" x14ac:dyDescent="0.15">
      <c r="A3145">
        <v>3145</v>
      </c>
      <c r="B3145" t="s">
        <v>35</v>
      </c>
      <c r="C3145" t="s">
        <v>30</v>
      </c>
      <c r="D3145" s="72" t="s">
        <v>3008</v>
      </c>
      <c r="E3145" t="s">
        <v>702</v>
      </c>
      <c r="F3145" t="s">
        <v>3009</v>
      </c>
      <c r="G3145" s="92"/>
      <c r="H3145" s="92"/>
      <c r="I3145" s="92"/>
      <c r="J3145" s="92"/>
      <c r="K3145" s="92"/>
      <c r="L3145" s="9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9"/>
    </row>
    <row r="3146" spans="1:14" hidden="1" x14ac:dyDescent="0.15">
      <c r="A3146">
        <v>3146</v>
      </c>
      <c r="B3146" t="s">
        <v>35</v>
      </c>
      <c r="C3146" t="s">
        <v>30</v>
      </c>
      <c r="D3146" s="72" t="s">
        <v>212</v>
      </c>
      <c r="E3146" t="s">
        <v>210</v>
      </c>
      <c r="F3146" t="s">
        <v>213</v>
      </c>
      <c r="G3146" s="92"/>
      <c r="H3146" s="92"/>
      <c r="I3146" s="92"/>
      <c r="J3146" s="92"/>
      <c r="K3146" s="92"/>
      <c r="L3146" s="9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9"/>
    </row>
    <row r="3147" spans="1:14" hidden="1" x14ac:dyDescent="0.15">
      <c r="A3147">
        <v>3147</v>
      </c>
      <c r="B3147" t="s">
        <v>35</v>
      </c>
      <c r="C3147" t="s">
        <v>30</v>
      </c>
      <c r="D3147" s="72" t="s">
        <v>3150</v>
      </c>
      <c r="E3147" t="s">
        <v>61</v>
      </c>
      <c r="F3147" t="s">
        <v>3151</v>
      </c>
      <c r="G3147" s="92"/>
      <c r="H3147" s="92"/>
      <c r="I3147" s="92"/>
      <c r="J3147" s="92"/>
      <c r="K3147" s="92"/>
      <c r="L3147" s="9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9"/>
    </row>
    <row r="3148" spans="1:14" hidden="1" x14ac:dyDescent="0.15">
      <c r="A3148">
        <v>3148</v>
      </c>
      <c r="B3148" t="s">
        <v>35</v>
      </c>
      <c r="C3148" t="s">
        <v>30</v>
      </c>
      <c r="D3148" s="72" t="s">
        <v>5217</v>
      </c>
      <c r="E3148" t="s">
        <v>61</v>
      </c>
      <c r="F3148" t="s">
        <v>5218</v>
      </c>
      <c r="G3148" s="92"/>
      <c r="H3148" s="92"/>
      <c r="I3148" s="92"/>
      <c r="J3148" s="92"/>
      <c r="K3148" s="92"/>
      <c r="L3148" s="9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9"/>
    </row>
    <row r="3149" spans="1:14" hidden="1" x14ac:dyDescent="0.15">
      <c r="A3149">
        <v>3149</v>
      </c>
      <c r="B3149" t="s">
        <v>35</v>
      </c>
      <c r="C3149" t="s">
        <v>30</v>
      </c>
      <c r="D3149" s="72" t="s">
        <v>2564</v>
      </c>
      <c r="E3149" t="s">
        <v>61</v>
      </c>
      <c r="F3149" t="s">
        <v>5219</v>
      </c>
      <c r="G3149" s="92"/>
      <c r="H3149" s="92"/>
      <c r="I3149" s="92"/>
      <c r="J3149" s="92"/>
      <c r="K3149" s="92"/>
      <c r="L3149" s="9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9"/>
    </row>
    <row r="3150" spans="1:14" hidden="1" x14ac:dyDescent="0.15">
      <c r="A3150">
        <v>3150</v>
      </c>
      <c r="B3150" t="s">
        <v>35</v>
      </c>
      <c r="C3150" t="s">
        <v>30</v>
      </c>
      <c r="D3150" s="72" t="s">
        <v>5220</v>
      </c>
      <c r="E3150" t="s">
        <v>36</v>
      </c>
      <c r="F3150" t="s">
        <v>5221</v>
      </c>
      <c r="G3150" s="92"/>
      <c r="H3150" s="92"/>
      <c r="I3150" s="92"/>
      <c r="J3150" s="92"/>
      <c r="K3150" s="92"/>
      <c r="L3150" s="9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9"/>
    </row>
    <row r="3151" spans="1:14" hidden="1" x14ac:dyDescent="0.15">
      <c r="A3151">
        <v>3151</v>
      </c>
      <c r="B3151" t="s">
        <v>35</v>
      </c>
      <c r="C3151" t="s">
        <v>30</v>
      </c>
      <c r="D3151" s="72" t="s">
        <v>5222</v>
      </c>
      <c r="E3151" t="s">
        <v>36</v>
      </c>
      <c r="F3151" t="s">
        <v>5223</v>
      </c>
      <c r="G3151" s="92"/>
      <c r="H3151" s="92"/>
      <c r="I3151" s="92"/>
      <c r="J3151" s="92"/>
      <c r="K3151" s="92"/>
      <c r="L3151" s="9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9"/>
    </row>
    <row r="3152" spans="1:14" hidden="1" x14ac:dyDescent="0.15">
      <c r="A3152">
        <v>3152</v>
      </c>
      <c r="B3152" t="s">
        <v>35</v>
      </c>
      <c r="C3152" t="s">
        <v>30</v>
      </c>
      <c r="D3152" s="72" t="s">
        <v>5224</v>
      </c>
      <c r="E3152" t="s">
        <v>736</v>
      </c>
      <c r="F3152" t="s">
        <v>5225</v>
      </c>
      <c r="G3152" s="92"/>
      <c r="H3152" s="92"/>
      <c r="I3152" s="92"/>
      <c r="J3152" s="92"/>
      <c r="K3152" s="92"/>
      <c r="L3152" s="9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9"/>
    </row>
    <row r="3153" spans="1:14" hidden="1" x14ac:dyDescent="0.15">
      <c r="A3153">
        <v>3153</v>
      </c>
      <c r="B3153" t="s">
        <v>35</v>
      </c>
      <c r="C3153" t="s">
        <v>30</v>
      </c>
      <c r="D3153" s="72" t="s">
        <v>3449</v>
      </c>
      <c r="E3153" t="s">
        <v>61</v>
      </c>
      <c r="F3153" t="s">
        <v>5226</v>
      </c>
      <c r="G3153" s="92"/>
      <c r="H3153" s="92"/>
      <c r="I3153" s="92"/>
      <c r="J3153" s="92"/>
      <c r="K3153" s="92"/>
      <c r="L3153" s="9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9"/>
    </row>
    <row r="3154" spans="1:14" hidden="1" x14ac:dyDescent="0.15">
      <c r="A3154">
        <v>3154</v>
      </c>
      <c r="B3154" t="s">
        <v>35</v>
      </c>
      <c r="C3154" t="s">
        <v>30</v>
      </c>
      <c r="D3154" s="72" t="s">
        <v>699</v>
      </c>
      <c r="E3154" t="s">
        <v>61</v>
      </c>
      <c r="F3154" t="s">
        <v>5227</v>
      </c>
      <c r="G3154" s="92"/>
      <c r="H3154" s="92"/>
      <c r="I3154" s="92"/>
      <c r="J3154" s="92"/>
      <c r="K3154" s="92"/>
      <c r="L3154" s="9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9"/>
    </row>
    <row r="3155" spans="1:14" hidden="1" x14ac:dyDescent="0.15">
      <c r="A3155">
        <v>3155</v>
      </c>
      <c r="B3155" t="s">
        <v>35</v>
      </c>
      <c r="C3155" t="s">
        <v>30</v>
      </c>
      <c r="D3155" s="72" t="s">
        <v>5228</v>
      </c>
      <c r="E3155" t="s">
        <v>1016</v>
      </c>
      <c r="F3155" t="s">
        <v>3912</v>
      </c>
      <c r="G3155" s="92"/>
      <c r="H3155" s="92"/>
      <c r="I3155" s="92"/>
      <c r="J3155" s="92"/>
      <c r="K3155" s="92"/>
      <c r="L3155" s="9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9"/>
    </row>
    <row r="3156" spans="1:14" hidden="1" x14ac:dyDescent="0.15">
      <c r="A3156">
        <v>3156</v>
      </c>
      <c r="B3156" t="s">
        <v>35</v>
      </c>
      <c r="C3156" t="s">
        <v>31</v>
      </c>
      <c r="D3156" s="72" t="s">
        <v>5229</v>
      </c>
      <c r="E3156" t="s">
        <v>36</v>
      </c>
      <c r="F3156" t="s">
        <v>5230</v>
      </c>
      <c r="G3156" s="92"/>
      <c r="H3156" s="92"/>
      <c r="I3156" s="92"/>
      <c r="J3156" s="92"/>
      <c r="K3156" s="92"/>
      <c r="L3156" s="9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9"/>
    </row>
    <row r="3157" spans="1:14" hidden="1" x14ac:dyDescent="0.15">
      <c r="A3157">
        <v>3157</v>
      </c>
      <c r="B3157" t="s">
        <v>35</v>
      </c>
      <c r="C3157" t="s">
        <v>31</v>
      </c>
      <c r="D3157" s="72" t="s">
        <v>5231</v>
      </c>
      <c r="E3157" t="s">
        <v>36</v>
      </c>
      <c r="F3157" t="s">
        <v>5232</v>
      </c>
      <c r="G3157" s="92"/>
      <c r="H3157" s="92"/>
      <c r="I3157" s="92"/>
      <c r="J3157" s="92"/>
      <c r="K3157" s="92"/>
      <c r="L3157" s="9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9"/>
    </row>
    <row r="3158" spans="1:14" hidden="1" x14ac:dyDescent="0.15">
      <c r="A3158">
        <v>3158</v>
      </c>
      <c r="B3158" t="s">
        <v>35</v>
      </c>
      <c r="C3158" t="s">
        <v>31</v>
      </c>
      <c r="D3158" s="72" t="s">
        <v>5233</v>
      </c>
      <c r="E3158" t="s">
        <v>36</v>
      </c>
      <c r="F3158" t="s">
        <v>5234</v>
      </c>
      <c r="G3158" s="92"/>
      <c r="H3158" s="92"/>
      <c r="I3158" s="92"/>
      <c r="J3158" s="92"/>
      <c r="K3158" s="92"/>
      <c r="L3158" s="9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9"/>
    </row>
    <row r="3159" spans="1:14" hidden="1" x14ac:dyDescent="0.15">
      <c r="A3159">
        <v>3159</v>
      </c>
      <c r="B3159" t="s">
        <v>35</v>
      </c>
      <c r="C3159" t="s">
        <v>31</v>
      </c>
      <c r="D3159" s="72" t="s">
        <v>1970</v>
      </c>
      <c r="E3159" t="s">
        <v>61</v>
      </c>
      <c r="F3159" t="s">
        <v>1971</v>
      </c>
      <c r="G3159" s="92"/>
      <c r="H3159" s="92"/>
      <c r="I3159" s="92"/>
      <c r="J3159" s="92"/>
      <c r="K3159" s="92"/>
      <c r="L3159" s="9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9"/>
    </row>
    <row r="3160" spans="1:14" hidden="1" x14ac:dyDescent="0.15">
      <c r="A3160">
        <v>3160</v>
      </c>
      <c r="B3160" t="s">
        <v>35</v>
      </c>
      <c r="C3160" t="s">
        <v>31</v>
      </c>
      <c r="D3160" s="72" t="s">
        <v>5235</v>
      </c>
      <c r="E3160" t="s">
        <v>36</v>
      </c>
      <c r="F3160" t="s">
        <v>5620</v>
      </c>
      <c r="G3160" s="92"/>
      <c r="H3160" s="92"/>
      <c r="I3160" s="92"/>
      <c r="J3160" s="92"/>
      <c r="K3160" s="92"/>
      <c r="L3160" s="9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9"/>
    </row>
    <row r="3161" spans="1:14" hidden="1" x14ac:dyDescent="0.15">
      <c r="A3161">
        <v>3161</v>
      </c>
      <c r="B3161" t="s">
        <v>35</v>
      </c>
      <c r="C3161" t="s">
        <v>31</v>
      </c>
      <c r="D3161" s="72" t="s">
        <v>5236</v>
      </c>
      <c r="E3161" t="s">
        <v>36</v>
      </c>
      <c r="F3161" t="s">
        <v>5237</v>
      </c>
      <c r="G3161" s="92"/>
      <c r="H3161" s="92"/>
      <c r="I3161" s="92"/>
      <c r="J3161" s="92"/>
      <c r="K3161" s="92"/>
      <c r="L3161" s="9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9"/>
    </row>
    <row r="3162" spans="1:14" hidden="1" x14ac:dyDescent="0.15">
      <c r="A3162">
        <v>3162</v>
      </c>
      <c r="B3162" t="s">
        <v>35</v>
      </c>
      <c r="C3162" t="s">
        <v>31</v>
      </c>
      <c r="D3162" s="72" t="s">
        <v>5238</v>
      </c>
      <c r="E3162" t="s">
        <v>36</v>
      </c>
      <c r="F3162" t="s">
        <v>5621</v>
      </c>
      <c r="G3162" s="92"/>
      <c r="H3162" s="92"/>
      <c r="I3162" s="92"/>
      <c r="J3162" s="92"/>
      <c r="K3162" s="92"/>
      <c r="L3162" s="9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9"/>
    </row>
    <row r="3163" spans="1:14" hidden="1" x14ac:dyDescent="0.15">
      <c r="A3163">
        <v>3163</v>
      </c>
      <c r="B3163" t="s">
        <v>35</v>
      </c>
      <c r="C3163" t="s">
        <v>31</v>
      </c>
      <c r="D3163" s="72" t="s">
        <v>5239</v>
      </c>
      <c r="E3163" t="s">
        <v>36</v>
      </c>
      <c r="F3163" t="s">
        <v>5240</v>
      </c>
      <c r="G3163" s="92"/>
      <c r="H3163" s="92"/>
      <c r="I3163" s="92"/>
      <c r="J3163" s="92"/>
      <c r="K3163" s="92"/>
      <c r="L3163" s="9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9"/>
    </row>
    <row r="3164" spans="1:14" hidden="1" x14ac:dyDescent="0.15">
      <c r="A3164">
        <v>3164</v>
      </c>
      <c r="B3164" t="s">
        <v>35</v>
      </c>
      <c r="C3164" t="s">
        <v>31</v>
      </c>
      <c r="D3164" s="72" t="s">
        <v>5241</v>
      </c>
      <c r="E3164" t="s">
        <v>36</v>
      </c>
      <c r="F3164" t="s">
        <v>5622</v>
      </c>
      <c r="G3164" s="92"/>
      <c r="H3164" s="92"/>
      <c r="I3164" s="92"/>
      <c r="J3164" s="92"/>
      <c r="K3164" s="92"/>
      <c r="L3164" s="9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9"/>
    </row>
    <row r="3165" spans="1:14" hidden="1" x14ac:dyDescent="0.15">
      <c r="A3165">
        <v>3165</v>
      </c>
      <c r="B3165" t="s">
        <v>35</v>
      </c>
      <c r="C3165" t="s">
        <v>31</v>
      </c>
      <c r="D3165" s="72" t="s">
        <v>5242</v>
      </c>
      <c r="E3165" t="s">
        <v>36</v>
      </c>
      <c r="F3165" t="s">
        <v>5243</v>
      </c>
      <c r="G3165" s="92"/>
      <c r="H3165" s="92"/>
      <c r="I3165" s="92"/>
      <c r="J3165" s="92"/>
      <c r="K3165" s="92"/>
      <c r="L3165" s="9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9"/>
    </row>
    <row r="3166" spans="1:14" hidden="1" x14ac:dyDescent="0.15">
      <c r="A3166">
        <v>3166</v>
      </c>
      <c r="B3166" t="s">
        <v>35</v>
      </c>
      <c r="C3166" t="s">
        <v>31</v>
      </c>
      <c r="D3166" s="72" t="s">
        <v>5244</v>
      </c>
      <c r="E3166" t="s">
        <v>36</v>
      </c>
      <c r="F3166" t="s">
        <v>5623</v>
      </c>
      <c r="G3166" s="92"/>
      <c r="H3166" s="92"/>
      <c r="I3166" s="92"/>
      <c r="J3166" s="92"/>
      <c r="K3166" s="92"/>
      <c r="L3166" s="9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9"/>
    </row>
    <row r="3167" spans="1:14" hidden="1" x14ac:dyDescent="0.15">
      <c r="A3167">
        <v>3167</v>
      </c>
      <c r="B3167" t="s">
        <v>35</v>
      </c>
      <c r="C3167" t="s">
        <v>31</v>
      </c>
      <c r="D3167" s="72" t="s">
        <v>5245</v>
      </c>
      <c r="E3167" t="s">
        <v>36</v>
      </c>
      <c r="F3167" t="s">
        <v>5246</v>
      </c>
      <c r="G3167" s="92"/>
      <c r="H3167" s="92"/>
      <c r="I3167" s="92"/>
      <c r="J3167" s="92"/>
      <c r="K3167" s="92"/>
      <c r="L3167" s="9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9"/>
    </row>
    <row r="3168" spans="1:14" hidden="1" x14ac:dyDescent="0.15">
      <c r="A3168">
        <v>3168</v>
      </c>
      <c r="B3168" t="s">
        <v>35</v>
      </c>
      <c r="C3168" t="s">
        <v>31</v>
      </c>
      <c r="D3168" s="72" t="s">
        <v>5247</v>
      </c>
      <c r="E3168" t="s">
        <v>73</v>
      </c>
      <c r="F3168" t="s">
        <v>5248</v>
      </c>
      <c r="G3168" s="92"/>
      <c r="H3168" s="92"/>
      <c r="I3168" s="92"/>
      <c r="J3168" s="92"/>
      <c r="K3168" s="92"/>
      <c r="L3168" s="9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9"/>
    </row>
    <row r="3169" spans="1:14" hidden="1" x14ac:dyDescent="0.15">
      <c r="A3169">
        <v>3169</v>
      </c>
      <c r="B3169" t="s">
        <v>35</v>
      </c>
      <c r="C3169" t="s">
        <v>31</v>
      </c>
      <c r="D3169" s="72" t="s">
        <v>5249</v>
      </c>
      <c r="E3169" t="s">
        <v>157</v>
      </c>
      <c r="F3169" t="s">
        <v>596</v>
      </c>
      <c r="G3169" s="92"/>
      <c r="H3169" s="92"/>
      <c r="I3169" s="92"/>
      <c r="J3169" s="92"/>
      <c r="K3169" s="92"/>
      <c r="L3169" s="9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9"/>
    </row>
    <row r="3170" spans="1:14" hidden="1" x14ac:dyDescent="0.15">
      <c r="A3170">
        <v>3170</v>
      </c>
      <c r="B3170" t="s">
        <v>35</v>
      </c>
      <c r="C3170" t="s">
        <v>31</v>
      </c>
      <c r="D3170" s="72" t="s">
        <v>5250</v>
      </c>
      <c r="E3170" t="s">
        <v>73</v>
      </c>
      <c r="F3170" t="s">
        <v>5251</v>
      </c>
      <c r="G3170" s="92"/>
      <c r="H3170" s="92"/>
      <c r="I3170" s="92"/>
      <c r="J3170" s="92"/>
      <c r="K3170" s="92"/>
      <c r="L3170" s="9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9"/>
    </row>
    <row r="3171" spans="1:14" hidden="1" x14ac:dyDescent="0.15">
      <c r="A3171">
        <v>3171</v>
      </c>
      <c r="B3171" t="s">
        <v>35</v>
      </c>
      <c r="C3171" t="s">
        <v>31</v>
      </c>
      <c r="D3171" s="72" t="s">
        <v>5252</v>
      </c>
      <c r="E3171" t="s">
        <v>1019</v>
      </c>
      <c r="F3171" t="s">
        <v>5253</v>
      </c>
      <c r="G3171" s="92"/>
      <c r="H3171" s="92"/>
      <c r="I3171" s="92"/>
      <c r="J3171" s="92"/>
      <c r="K3171" s="92"/>
      <c r="L3171" s="9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9"/>
    </row>
    <row r="3172" spans="1:14" hidden="1" x14ac:dyDescent="0.15">
      <c r="A3172">
        <v>3172</v>
      </c>
      <c r="B3172" t="s">
        <v>35</v>
      </c>
      <c r="C3172" t="s">
        <v>31</v>
      </c>
      <c r="D3172" s="72" t="s">
        <v>5254</v>
      </c>
      <c r="E3172" t="s">
        <v>36</v>
      </c>
      <c r="F3172" t="s">
        <v>5255</v>
      </c>
      <c r="G3172" s="92"/>
      <c r="H3172" s="92"/>
      <c r="I3172" s="92"/>
      <c r="J3172" s="92"/>
      <c r="K3172" s="92"/>
      <c r="L3172" s="9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9"/>
    </row>
    <row r="3173" spans="1:14" hidden="1" x14ac:dyDescent="0.15">
      <c r="A3173">
        <v>3173</v>
      </c>
      <c r="B3173" t="s">
        <v>35</v>
      </c>
      <c r="C3173" t="s">
        <v>31</v>
      </c>
      <c r="D3173" s="72" t="s">
        <v>5256</v>
      </c>
      <c r="E3173" t="s">
        <v>736</v>
      </c>
      <c r="F3173" t="s">
        <v>5257</v>
      </c>
      <c r="G3173" s="92"/>
      <c r="H3173" s="92"/>
      <c r="I3173" s="92"/>
      <c r="J3173" s="92"/>
      <c r="K3173" s="92"/>
      <c r="L3173" s="9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9"/>
    </row>
    <row r="3174" spans="1:14" hidden="1" x14ac:dyDescent="0.15">
      <c r="A3174">
        <v>3174</v>
      </c>
      <c r="B3174" t="s">
        <v>35</v>
      </c>
      <c r="C3174" t="s">
        <v>31</v>
      </c>
      <c r="D3174" s="72" t="s">
        <v>5258</v>
      </c>
      <c r="E3174" t="s">
        <v>702</v>
      </c>
      <c r="F3174" t="s">
        <v>5259</v>
      </c>
      <c r="G3174" s="92"/>
      <c r="H3174" s="92"/>
      <c r="I3174" s="92"/>
      <c r="J3174" s="92"/>
      <c r="K3174" s="92"/>
      <c r="L3174" s="9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9"/>
    </row>
    <row r="3175" spans="1:14" hidden="1" x14ac:dyDescent="0.15">
      <c r="A3175">
        <v>3175</v>
      </c>
      <c r="B3175" t="s">
        <v>35</v>
      </c>
      <c r="C3175" t="s">
        <v>31</v>
      </c>
      <c r="D3175" s="72" t="s">
        <v>5260</v>
      </c>
      <c r="E3175" t="s">
        <v>736</v>
      </c>
      <c r="F3175" t="s">
        <v>5261</v>
      </c>
      <c r="G3175" s="92"/>
      <c r="H3175" s="92"/>
      <c r="I3175" s="92"/>
      <c r="J3175" s="92"/>
      <c r="K3175" s="92"/>
      <c r="L3175" s="9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9"/>
    </row>
    <row r="3176" spans="1:14" hidden="1" x14ac:dyDescent="0.15">
      <c r="A3176">
        <v>3176</v>
      </c>
      <c r="B3176" t="s">
        <v>35</v>
      </c>
      <c r="C3176" t="s">
        <v>31</v>
      </c>
      <c r="D3176" s="72" t="s">
        <v>5262</v>
      </c>
      <c r="E3176" t="s">
        <v>61</v>
      </c>
      <c r="F3176" t="s">
        <v>5263</v>
      </c>
      <c r="G3176" s="92"/>
      <c r="H3176" s="92"/>
      <c r="I3176" s="92"/>
      <c r="J3176" s="92"/>
      <c r="K3176" s="92"/>
      <c r="L3176" s="9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9"/>
    </row>
    <row r="3177" spans="1:14" hidden="1" x14ac:dyDescent="0.15">
      <c r="A3177">
        <v>3177</v>
      </c>
      <c r="B3177" t="s">
        <v>35</v>
      </c>
      <c r="C3177" t="s">
        <v>31</v>
      </c>
      <c r="D3177" s="72" t="s">
        <v>682</v>
      </c>
      <c r="E3177" t="s">
        <v>36</v>
      </c>
      <c r="F3177" t="s">
        <v>683</v>
      </c>
      <c r="G3177" s="92"/>
      <c r="H3177" s="92"/>
      <c r="I3177" s="92"/>
      <c r="J3177" s="92"/>
      <c r="K3177" s="92"/>
      <c r="L3177" s="9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9"/>
    </row>
    <row r="3178" spans="1:14" hidden="1" x14ac:dyDescent="0.15">
      <c r="A3178">
        <v>3178</v>
      </c>
      <c r="B3178" t="s">
        <v>35</v>
      </c>
      <c r="C3178" t="s">
        <v>31</v>
      </c>
      <c r="D3178" s="72" t="s">
        <v>4650</v>
      </c>
      <c r="E3178" t="s">
        <v>73</v>
      </c>
      <c r="F3178" t="s">
        <v>5264</v>
      </c>
      <c r="G3178" s="92"/>
      <c r="H3178" s="92"/>
      <c r="I3178" s="92"/>
      <c r="J3178" s="92"/>
      <c r="K3178" s="92"/>
      <c r="L3178" s="9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9"/>
    </row>
    <row r="3179" spans="1:14" hidden="1" x14ac:dyDescent="0.15">
      <c r="A3179">
        <v>3179</v>
      </c>
      <c r="B3179" t="s">
        <v>35</v>
      </c>
      <c r="C3179" t="s">
        <v>31</v>
      </c>
      <c r="D3179" s="72" t="s">
        <v>5265</v>
      </c>
      <c r="E3179" t="s">
        <v>36</v>
      </c>
      <c r="F3179" t="s">
        <v>5624</v>
      </c>
      <c r="G3179" s="92"/>
      <c r="H3179" s="92"/>
      <c r="I3179" s="92"/>
      <c r="J3179" s="92"/>
      <c r="K3179" s="92"/>
      <c r="L3179" s="9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9"/>
    </row>
    <row r="3180" spans="1:14" hidden="1" x14ac:dyDescent="0.15">
      <c r="A3180">
        <v>3180</v>
      </c>
      <c r="B3180" t="s">
        <v>35</v>
      </c>
      <c r="C3180" t="s">
        <v>31</v>
      </c>
      <c r="D3180" s="72" t="s">
        <v>652</v>
      </c>
      <c r="E3180" t="s">
        <v>61</v>
      </c>
      <c r="F3180" t="s">
        <v>653</v>
      </c>
      <c r="G3180" s="92"/>
      <c r="H3180" s="92"/>
      <c r="I3180" s="92"/>
      <c r="J3180" s="92"/>
      <c r="K3180" s="92"/>
      <c r="L3180" s="9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9"/>
    </row>
    <row r="3181" spans="1:14" hidden="1" x14ac:dyDescent="0.15">
      <c r="A3181">
        <v>3181</v>
      </c>
      <c r="B3181" t="s">
        <v>35</v>
      </c>
      <c r="C3181" t="s">
        <v>31</v>
      </c>
      <c r="D3181" s="72" t="s">
        <v>5266</v>
      </c>
      <c r="E3181" t="s">
        <v>61</v>
      </c>
      <c r="F3181" t="s">
        <v>5267</v>
      </c>
      <c r="G3181" s="92"/>
      <c r="H3181" s="92"/>
      <c r="I3181" s="92"/>
      <c r="J3181" s="92"/>
      <c r="K3181" s="92"/>
      <c r="L3181" s="9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9"/>
    </row>
    <row r="3182" spans="1:14" hidden="1" x14ac:dyDescent="0.15">
      <c r="A3182">
        <v>3182</v>
      </c>
      <c r="B3182" t="s">
        <v>35</v>
      </c>
      <c r="C3182" t="s">
        <v>31</v>
      </c>
      <c r="D3182" s="72" t="s">
        <v>5268</v>
      </c>
      <c r="E3182" t="s">
        <v>36</v>
      </c>
      <c r="F3182" t="s">
        <v>5269</v>
      </c>
      <c r="G3182" s="92"/>
      <c r="H3182" s="92"/>
      <c r="I3182" s="92"/>
      <c r="J3182" s="92"/>
      <c r="K3182" s="92"/>
      <c r="L3182" s="9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9"/>
    </row>
    <row r="3183" spans="1:14" hidden="1" x14ac:dyDescent="0.15">
      <c r="A3183">
        <v>3183</v>
      </c>
      <c r="B3183" t="s">
        <v>35</v>
      </c>
      <c r="C3183" t="s">
        <v>31</v>
      </c>
      <c r="D3183" s="72" t="s">
        <v>2306</v>
      </c>
      <c r="E3183" t="s">
        <v>61</v>
      </c>
      <c r="F3183" t="s">
        <v>5270</v>
      </c>
      <c r="G3183" s="92"/>
      <c r="H3183" s="92"/>
      <c r="I3183" s="92"/>
      <c r="J3183" s="92"/>
      <c r="K3183" s="92"/>
      <c r="L3183" s="9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9"/>
    </row>
    <row r="3184" spans="1:14" hidden="1" x14ac:dyDescent="0.15">
      <c r="A3184">
        <v>3184</v>
      </c>
      <c r="B3184" t="s">
        <v>35</v>
      </c>
      <c r="C3184" t="s">
        <v>31</v>
      </c>
      <c r="D3184" s="72" t="s">
        <v>5271</v>
      </c>
      <c r="E3184" t="s">
        <v>736</v>
      </c>
      <c r="F3184" t="s">
        <v>5272</v>
      </c>
      <c r="G3184" s="92"/>
      <c r="H3184" s="92"/>
      <c r="I3184" s="92"/>
      <c r="J3184" s="92"/>
      <c r="K3184" s="92"/>
      <c r="L3184" s="9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9"/>
    </row>
    <row r="3185" spans="1:14" hidden="1" x14ac:dyDescent="0.15">
      <c r="A3185">
        <v>3185</v>
      </c>
      <c r="B3185" t="s">
        <v>35</v>
      </c>
      <c r="C3185" t="s">
        <v>31</v>
      </c>
      <c r="D3185" s="72" t="s">
        <v>1986</v>
      </c>
      <c r="E3185" t="s">
        <v>36</v>
      </c>
      <c r="F3185" t="s">
        <v>1987</v>
      </c>
      <c r="G3185" s="92"/>
      <c r="H3185" s="92"/>
      <c r="I3185" s="92"/>
      <c r="J3185" s="92"/>
      <c r="K3185" s="92"/>
      <c r="L3185" s="9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9"/>
    </row>
    <row r="3186" spans="1:14" hidden="1" x14ac:dyDescent="0.15">
      <c r="A3186">
        <v>3186</v>
      </c>
      <c r="B3186" t="s">
        <v>35</v>
      </c>
      <c r="C3186" t="s">
        <v>31</v>
      </c>
      <c r="D3186" s="72" t="s">
        <v>1404</v>
      </c>
      <c r="E3186" t="s">
        <v>36</v>
      </c>
      <c r="F3186" t="s">
        <v>5273</v>
      </c>
      <c r="G3186" s="92"/>
      <c r="H3186" s="92"/>
      <c r="I3186" s="92"/>
      <c r="J3186" s="92"/>
      <c r="K3186" s="92"/>
      <c r="L3186" s="9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9"/>
    </row>
    <row r="3187" spans="1:14" hidden="1" x14ac:dyDescent="0.15">
      <c r="A3187">
        <v>3187</v>
      </c>
      <c r="B3187" t="s">
        <v>35</v>
      </c>
      <c r="C3187" t="s">
        <v>31</v>
      </c>
      <c r="D3187" s="72" t="s">
        <v>5274</v>
      </c>
      <c r="E3187" t="s">
        <v>73</v>
      </c>
      <c r="F3187" t="s">
        <v>5275</v>
      </c>
      <c r="G3187" s="92"/>
      <c r="H3187" s="92"/>
      <c r="I3187" s="92"/>
      <c r="J3187" s="92"/>
      <c r="K3187" s="92"/>
      <c r="L3187" s="9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9"/>
    </row>
    <row r="3188" spans="1:14" hidden="1" x14ac:dyDescent="0.15">
      <c r="A3188">
        <v>3188</v>
      </c>
      <c r="B3188" t="s">
        <v>35</v>
      </c>
      <c r="C3188" t="s">
        <v>31</v>
      </c>
      <c r="D3188" s="72" t="s">
        <v>357</v>
      </c>
      <c r="E3188" t="s">
        <v>36</v>
      </c>
      <c r="F3188" t="s">
        <v>5276</v>
      </c>
      <c r="G3188" s="92"/>
      <c r="H3188" s="92"/>
      <c r="I3188" s="92"/>
      <c r="J3188" s="92"/>
      <c r="K3188" s="92"/>
      <c r="L3188" s="9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9"/>
    </row>
    <row r="3189" spans="1:14" hidden="1" x14ac:dyDescent="0.15">
      <c r="A3189">
        <v>3189</v>
      </c>
      <c r="B3189" t="s">
        <v>35</v>
      </c>
      <c r="C3189" t="s">
        <v>31</v>
      </c>
      <c r="D3189" s="72" t="s">
        <v>5277</v>
      </c>
      <c r="E3189" t="s">
        <v>73</v>
      </c>
      <c r="F3189" t="s">
        <v>5278</v>
      </c>
      <c r="G3189" s="92"/>
      <c r="H3189" s="92"/>
      <c r="I3189" s="92"/>
      <c r="J3189" s="92"/>
      <c r="K3189" s="92"/>
      <c r="L3189" s="9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9"/>
    </row>
    <row r="3190" spans="1:14" hidden="1" x14ac:dyDescent="0.15">
      <c r="A3190">
        <v>3190</v>
      </c>
      <c r="B3190" t="s">
        <v>35</v>
      </c>
      <c r="C3190" t="s">
        <v>31</v>
      </c>
      <c r="D3190" s="72" t="s">
        <v>196</v>
      </c>
      <c r="E3190" t="s">
        <v>73</v>
      </c>
      <c r="F3190" t="s">
        <v>5279</v>
      </c>
      <c r="G3190" s="92"/>
      <c r="H3190" s="92"/>
      <c r="I3190" s="92"/>
      <c r="J3190" s="92"/>
      <c r="K3190" s="92"/>
      <c r="L3190" s="9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9"/>
    </row>
    <row r="3191" spans="1:14" hidden="1" x14ac:dyDescent="0.15">
      <c r="A3191">
        <v>3191</v>
      </c>
      <c r="B3191" t="s">
        <v>35</v>
      </c>
      <c r="C3191" t="s">
        <v>31</v>
      </c>
      <c r="D3191" s="72" t="s">
        <v>5280</v>
      </c>
      <c r="E3191" t="s">
        <v>61</v>
      </c>
      <c r="F3191" t="s">
        <v>519</v>
      </c>
      <c r="G3191" s="92"/>
      <c r="H3191" s="92"/>
      <c r="I3191" s="92"/>
      <c r="J3191" s="92"/>
      <c r="K3191" s="92"/>
      <c r="L3191" s="9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9"/>
    </row>
    <row r="3192" spans="1:14" hidden="1" x14ac:dyDescent="0.15">
      <c r="A3192">
        <v>3192</v>
      </c>
      <c r="B3192" t="s">
        <v>35</v>
      </c>
      <c r="C3192" t="s">
        <v>31</v>
      </c>
      <c r="D3192" s="72" t="s">
        <v>5281</v>
      </c>
      <c r="E3192" t="s">
        <v>73</v>
      </c>
      <c r="F3192" t="s">
        <v>5282</v>
      </c>
      <c r="G3192" s="92"/>
      <c r="H3192" s="92"/>
      <c r="I3192" s="92"/>
      <c r="J3192" s="92"/>
      <c r="K3192" s="92"/>
      <c r="L3192" s="9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9"/>
    </row>
    <row r="3193" spans="1:14" hidden="1" x14ac:dyDescent="0.15">
      <c r="A3193">
        <v>3193</v>
      </c>
      <c r="B3193" t="s">
        <v>35</v>
      </c>
      <c r="C3193" t="s">
        <v>31</v>
      </c>
      <c r="D3193" s="72" t="s">
        <v>5283</v>
      </c>
      <c r="E3193" t="s">
        <v>702</v>
      </c>
      <c r="F3193" t="s">
        <v>5284</v>
      </c>
      <c r="G3193" s="92"/>
      <c r="H3193" s="92"/>
      <c r="I3193" s="92"/>
      <c r="J3193" s="92"/>
      <c r="K3193" s="92"/>
      <c r="L3193" s="9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9"/>
    </row>
    <row r="3194" spans="1:14" hidden="1" x14ac:dyDescent="0.15">
      <c r="A3194">
        <v>3194</v>
      </c>
      <c r="B3194" t="s">
        <v>35</v>
      </c>
      <c r="C3194" t="s">
        <v>31</v>
      </c>
      <c r="D3194" s="72" t="s">
        <v>5285</v>
      </c>
      <c r="E3194" t="s">
        <v>73</v>
      </c>
      <c r="F3194" t="s">
        <v>5286</v>
      </c>
      <c r="G3194" s="92"/>
      <c r="H3194" s="92"/>
      <c r="I3194" s="92"/>
      <c r="J3194" s="92"/>
      <c r="K3194" s="92"/>
      <c r="L3194" s="9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9"/>
    </row>
    <row r="3195" spans="1:14" hidden="1" x14ac:dyDescent="0.15">
      <c r="A3195">
        <v>3195</v>
      </c>
      <c r="B3195" t="s">
        <v>35</v>
      </c>
      <c r="C3195" t="s">
        <v>31</v>
      </c>
      <c r="D3195" s="72" t="s">
        <v>5287</v>
      </c>
      <c r="E3195" t="s">
        <v>1019</v>
      </c>
      <c r="F3195" t="s">
        <v>5288</v>
      </c>
      <c r="G3195" s="92"/>
      <c r="H3195" s="92"/>
      <c r="I3195" s="92"/>
      <c r="J3195" s="92"/>
      <c r="K3195" s="92"/>
      <c r="L3195" s="9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9"/>
    </row>
    <row r="3196" spans="1:14" hidden="1" x14ac:dyDescent="0.15">
      <c r="A3196">
        <v>3196</v>
      </c>
      <c r="B3196" t="s">
        <v>35</v>
      </c>
      <c r="C3196" t="s">
        <v>31</v>
      </c>
      <c r="D3196" s="72" t="s">
        <v>5289</v>
      </c>
      <c r="E3196" t="s">
        <v>73</v>
      </c>
      <c r="F3196" t="s">
        <v>5290</v>
      </c>
      <c r="G3196" s="92"/>
      <c r="H3196" s="92"/>
      <c r="I3196" s="92"/>
      <c r="J3196" s="92"/>
      <c r="K3196" s="92"/>
      <c r="L3196" s="9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9"/>
    </row>
    <row r="3197" spans="1:14" hidden="1" x14ac:dyDescent="0.15">
      <c r="A3197">
        <v>3197</v>
      </c>
      <c r="B3197" t="s">
        <v>35</v>
      </c>
      <c r="C3197" t="s">
        <v>31</v>
      </c>
      <c r="D3197" s="72" t="s">
        <v>5291</v>
      </c>
      <c r="E3197" t="s">
        <v>61</v>
      </c>
      <c r="F3197" t="s">
        <v>5292</v>
      </c>
      <c r="G3197" s="92"/>
      <c r="H3197" s="92"/>
      <c r="I3197" s="92"/>
      <c r="J3197" s="92"/>
      <c r="K3197" s="92"/>
      <c r="L3197" s="9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9"/>
    </row>
    <row r="3198" spans="1:14" hidden="1" x14ac:dyDescent="0.15">
      <c r="A3198">
        <v>3198</v>
      </c>
      <c r="B3198" t="s">
        <v>35</v>
      </c>
      <c r="C3198" t="s">
        <v>31</v>
      </c>
      <c r="D3198" s="72" t="s">
        <v>2419</v>
      </c>
      <c r="E3198" t="s">
        <v>36</v>
      </c>
      <c r="F3198" t="s">
        <v>5293</v>
      </c>
      <c r="G3198" s="92"/>
      <c r="H3198" s="92"/>
      <c r="I3198" s="92"/>
      <c r="J3198" s="92"/>
      <c r="K3198" s="92"/>
      <c r="L3198" s="9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9"/>
    </row>
    <row r="3199" spans="1:14" hidden="1" x14ac:dyDescent="0.15">
      <c r="A3199">
        <v>3199</v>
      </c>
      <c r="B3199" t="s">
        <v>35</v>
      </c>
      <c r="C3199" t="s">
        <v>31</v>
      </c>
      <c r="D3199" s="72" t="s">
        <v>5294</v>
      </c>
      <c r="E3199" t="s">
        <v>61</v>
      </c>
      <c r="F3199" t="s">
        <v>5295</v>
      </c>
      <c r="G3199" s="92"/>
      <c r="H3199" s="92"/>
      <c r="I3199" s="92"/>
      <c r="J3199" s="92"/>
      <c r="K3199" s="92"/>
      <c r="L3199" s="9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9"/>
    </row>
    <row r="3200" spans="1:14" hidden="1" x14ac:dyDescent="0.15">
      <c r="A3200">
        <v>3200</v>
      </c>
      <c r="B3200" t="s">
        <v>35</v>
      </c>
      <c r="C3200" t="s">
        <v>31</v>
      </c>
      <c r="D3200" s="72" t="s">
        <v>5296</v>
      </c>
      <c r="E3200" t="s">
        <v>73</v>
      </c>
      <c r="F3200" t="s">
        <v>5297</v>
      </c>
      <c r="G3200" s="92"/>
      <c r="H3200" s="92"/>
      <c r="I3200" s="92"/>
      <c r="J3200" s="92"/>
      <c r="K3200" s="92"/>
      <c r="L3200" s="9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9"/>
    </row>
    <row r="3201" spans="1:14" hidden="1" x14ac:dyDescent="0.15">
      <c r="A3201">
        <v>3201</v>
      </c>
      <c r="B3201" t="s">
        <v>35</v>
      </c>
      <c r="C3201" t="s">
        <v>31</v>
      </c>
      <c r="D3201" s="72" t="s">
        <v>5298</v>
      </c>
      <c r="E3201" t="s">
        <v>702</v>
      </c>
      <c r="F3201" t="s">
        <v>5299</v>
      </c>
      <c r="G3201" s="92"/>
      <c r="H3201" s="92"/>
      <c r="I3201" s="92"/>
      <c r="J3201" s="92"/>
      <c r="K3201" s="92"/>
      <c r="L3201" s="9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9"/>
    </row>
    <row r="3202" spans="1:14" hidden="1" x14ac:dyDescent="0.15">
      <c r="A3202">
        <v>3202</v>
      </c>
      <c r="B3202" t="s">
        <v>35</v>
      </c>
      <c r="C3202" t="s">
        <v>31</v>
      </c>
      <c r="D3202" s="72" t="s">
        <v>5300</v>
      </c>
      <c r="E3202" t="s">
        <v>36</v>
      </c>
      <c r="F3202" t="s">
        <v>5625</v>
      </c>
      <c r="G3202" s="92"/>
      <c r="H3202" s="92"/>
      <c r="I3202" s="92"/>
      <c r="J3202" s="92"/>
      <c r="K3202" s="92"/>
      <c r="L3202" s="9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9"/>
    </row>
    <row r="3203" spans="1:14" hidden="1" x14ac:dyDescent="0.15">
      <c r="A3203">
        <v>3203</v>
      </c>
      <c r="B3203" t="s">
        <v>35</v>
      </c>
      <c r="C3203" t="s">
        <v>31</v>
      </c>
      <c r="D3203" s="72" t="s">
        <v>793</v>
      </c>
      <c r="E3203" t="s">
        <v>73</v>
      </c>
      <c r="F3203" t="s">
        <v>5301</v>
      </c>
      <c r="G3203" s="92"/>
      <c r="H3203" s="92"/>
      <c r="I3203" s="92"/>
      <c r="J3203" s="92"/>
      <c r="K3203" s="92"/>
      <c r="L3203" s="9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9"/>
    </row>
    <row r="3204" spans="1:14" hidden="1" x14ac:dyDescent="0.15">
      <c r="A3204">
        <v>3204</v>
      </c>
      <c r="B3204" t="s">
        <v>35</v>
      </c>
      <c r="C3204" t="s">
        <v>31</v>
      </c>
      <c r="D3204" s="72" t="s">
        <v>5302</v>
      </c>
      <c r="E3204" t="s">
        <v>157</v>
      </c>
      <c r="F3204" t="s">
        <v>5303</v>
      </c>
      <c r="G3204" s="92"/>
      <c r="H3204" s="92"/>
      <c r="I3204" s="92"/>
      <c r="J3204" s="92"/>
      <c r="K3204" s="92"/>
      <c r="L3204" s="9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9"/>
    </row>
    <row r="3205" spans="1:14" hidden="1" x14ac:dyDescent="0.15">
      <c r="A3205">
        <v>3205</v>
      </c>
      <c r="B3205" t="s">
        <v>35</v>
      </c>
      <c r="C3205" t="s">
        <v>31</v>
      </c>
      <c r="D3205" s="72" t="s">
        <v>5304</v>
      </c>
      <c r="E3205" t="s">
        <v>36</v>
      </c>
      <c r="F3205" t="s">
        <v>5305</v>
      </c>
      <c r="G3205" s="92"/>
      <c r="H3205" s="92"/>
      <c r="I3205" s="92"/>
      <c r="J3205" s="92"/>
      <c r="K3205" s="92"/>
      <c r="L3205" s="9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9"/>
    </row>
    <row r="3206" spans="1:14" hidden="1" x14ac:dyDescent="0.15">
      <c r="A3206">
        <v>3206</v>
      </c>
      <c r="B3206" t="s">
        <v>35</v>
      </c>
      <c r="C3206" t="s">
        <v>31</v>
      </c>
      <c r="D3206" s="72" t="s">
        <v>843</v>
      </c>
      <c r="E3206" t="s">
        <v>36</v>
      </c>
      <c r="F3206" t="s">
        <v>844</v>
      </c>
      <c r="G3206" s="92"/>
      <c r="H3206" s="92"/>
      <c r="I3206" s="92"/>
      <c r="J3206" s="92"/>
      <c r="K3206" s="92"/>
      <c r="L3206" s="9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9"/>
    </row>
    <row r="3207" spans="1:14" hidden="1" x14ac:dyDescent="0.15">
      <c r="A3207">
        <v>3207</v>
      </c>
      <c r="B3207" t="s">
        <v>35</v>
      </c>
      <c r="C3207" t="s">
        <v>32</v>
      </c>
      <c r="D3207" s="72" t="s">
        <v>5306</v>
      </c>
      <c r="E3207" t="s">
        <v>36</v>
      </c>
      <c r="F3207" t="s">
        <v>5307</v>
      </c>
      <c r="G3207" s="92"/>
      <c r="H3207" s="92"/>
      <c r="I3207" s="92"/>
      <c r="J3207" s="92"/>
      <c r="K3207" s="92"/>
      <c r="L3207" s="9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9"/>
    </row>
    <row r="3208" spans="1:14" hidden="1" x14ac:dyDescent="0.15">
      <c r="A3208">
        <v>3208</v>
      </c>
      <c r="B3208" t="s">
        <v>35</v>
      </c>
      <c r="C3208" t="s">
        <v>32</v>
      </c>
      <c r="D3208" s="72" t="s">
        <v>5308</v>
      </c>
      <c r="E3208" t="s">
        <v>36</v>
      </c>
      <c r="F3208" t="s">
        <v>5309</v>
      </c>
      <c r="G3208" s="92"/>
      <c r="H3208" s="92"/>
      <c r="I3208" s="92"/>
      <c r="J3208" s="92"/>
      <c r="K3208" s="92"/>
      <c r="L3208" s="9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9"/>
    </row>
    <row r="3209" spans="1:14" hidden="1" x14ac:dyDescent="0.15">
      <c r="A3209">
        <v>3209</v>
      </c>
      <c r="B3209" t="s">
        <v>35</v>
      </c>
      <c r="C3209" t="s">
        <v>32</v>
      </c>
      <c r="D3209" s="72" t="s">
        <v>5310</v>
      </c>
      <c r="E3209" t="s">
        <v>61</v>
      </c>
      <c r="F3209" t="s">
        <v>5311</v>
      </c>
      <c r="G3209" s="92"/>
      <c r="H3209" s="92"/>
      <c r="I3209" s="92"/>
      <c r="J3209" s="92"/>
      <c r="K3209" s="92"/>
      <c r="L3209" s="9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9"/>
    </row>
    <row r="3210" spans="1:14" hidden="1" x14ac:dyDescent="0.15">
      <c r="A3210">
        <v>3210</v>
      </c>
      <c r="B3210" t="s">
        <v>35</v>
      </c>
      <c r="C3210" t="s">
        <v>32</v>
      </c>
      <c r="D3210" s="72" t="s">
        <v>5312</v>
      </c>
      <c r="E3210" t="s">
        <v>736</v>
      </c>
      <c r="F3210" t="s">
        <v>5313</v>
      </c>
      <c r="G3210" s="92"/>
      <c r="H3210" s="92"/>
      <c r="I3210" s="92"/>
      <c r="J3210" s="92"/>
      <c r="K3210" s="92"/>
      <c r="L3210" s="9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9"/>
    </row>
    <row r="3211" spans="1:14" hidden="1" x14ac:dyDescent="0.15">
      <c r="A3211">
        <v>3211</v>
      </c>
      <c r="B3211" t="s">
        <v>35</v>
      </c>
      <c r="C3211" t="s">
        <v>32</v>
      </c>
      <c r="D3211" s="72" t="s">
        <v>1580</v>
      </c>
      <c r="E3211" t="s">
        <v>36</v>
      </c>
      <c r="F3211" t="s">
        <v>4195</v>
      </c>
      <c r="G3211" s="92"/>
      <c r="H3211" s="92"/>
      <c r="I3211" s="92"/>
      <c r="J3211" s="92"/>
      <c r="K3211" s="92"/>
      <c r="L3211" s="9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9"/>
    </row>
    <row r="3212" spans="1:14" hidden="1" x14ac:dyDescent="0.15">
      <c r="A3212">
        <v>3212</v>
      </c>
      <c r="B3212" t="s">
        <v>35</v>
      </c>
      <c r="C3212" t="s">
        <v>32</v>
      </c>
      <c r="D3212" s="72" t="s">
        <v>5656</v>
      </c>
      <c r="E3212" t="s">
        <v>1019</v>
      </c>
      <c r="F3212" t="s">
        <v>5657</v>
      </c>
      <c r="G3212" s="92"/>
      <c r="H3212" s="92"/>
      <c r="I3212" s="92"/>
      <c r="J3212" s="92"/>
      <c r="K3212" s="92"/>
      <c r="L3212" s="9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9"/>
    </row>
    <row r="3213" spans="1:14" hidden="1" x14ac:dyDescent="0.15">
      <c r="A3213">
        <v>3213</v>
      </c>
      <c r="B3213" t="s">
        <v>35</v>
      </c>
      <c r="C3213" t="s">
        <v>32</v>
      </c>
      <c r="D3213" s="72" t="s">
        <v>5314</v>
      </c>
      <c r="E3213" t="s">
        <v>36</v>
      </c>
      <c r="F3213" t="s">
        <v>3149</v>
      </c>
      <c r="G3213" s="92"/>
      <c r="H3213" s="92"/>
      <c r="I3213" s="92"/>
      <c r="J3213" s="92"/>
      <c r="K3213" s="92"/>
      <c r="L3213" s="9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9"/>
    </row>
    <row r="3214" spans="1:14" hidden="1" x14ac:dyDescent="0.15">
      <c r="A3214">
        <v>3214</v>
      </c>
      <c r="B3214" t="s">
        <v>35</v>
      </c>
      <c r="C3214" t="s">
        <v>32</v>
      </c>
      <c r="D3214" s="72" t="s">
        <v>5315</v>
      </c>
      <c r="E3214" t="s">
        <v>1019</v>
      </c>
      <c r="F3214" t="s">
        <v>5316</v>
      </c>
      <c r="G3214" s="92"/>
      <c r="H3214" s="92"/>
      <c r="I3214" s="92"/>
      <c r="J3214" s="92"/>
      <c r="K3214" s="92"/>
      <c r="L3214" s="9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9"/>
    </row>
    <row r="3215" spans="1:14" hidden="1" x14ac:dyDescent="0.15">
      <c r="A3215">
        <v>3215</v>
      </c>
      <c r="B3215" t="s">
        <v>35</v>
      </c>
      <c r="C3215" t="s">
        <v>32</v>
      </c>
      <c r="D3215" s="72" t="s">
        <v>5317</v>
      </c>
      <c r="E3215" t="s">
        <v>1021</v>
      </c>
      <c r="F3215" t="s">
        <v>5318</v>
      </c>
      <c r="G3215" s="92"/>
      <c r="H3215" s="92"/>
      <c r="I3215" s="92"/>
      <c r="J3215" s="92"/>
      <c r="K3215" s="92"/>
      <c r="L3215" s="9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9"/>
    </row>
    <row r="3216" spans="1:14" hidden="1" x14ac:dyDescent="0.15">
      <c r="A3216">
        <v>3216</v>
      </c>
      <c r="B3216" t="s">
        <v>35</v>
      </c>
      <c r="C3216" t="s">
        <v>32</v>
      </c>
      <c r="D3216" s="72" t="s">
        <v>5319</v>
      </c>
      <c r="E3216" t="s">
        <v>1021</v>
      </c>
      <c r="F3216" t="s">
        <v>5320</v>
      </c>
      <c r="G3216" s="92"/>
      <c r="H3216" s="92"/>
      <c r="I3216" s="92"/>
      <c r="J3216" s="92"/>
      <c r="K3216" s="92"/>
      <c r="L3216" s="9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9"/>
    </row>
    <row r="3217" spans="1:14" hidden="1" x14ac:dyDescent="0.15">
      <c r="A3217">
        <v>3217</v>
      </c>
      <c r="B3217" t="s">
        <v>35</v>
      </c>
      <c r="C3217" t="s">
        <v>32</v>
      </c>
      <c r="D3217" s="72" t="s">
        <v>835</v>
      </c>
      <c r="E3217" t="s">
        <v>1019</v>
      </c>
      <c r="F3217" t="s">
        <v>5321</v>
      </c>
      <c r="G3217" s="92"/>
      <c r="H3217" s="92"/>
      <c r="I3217" s="92"/>
      <c r="J3217" s="92"/>
      <c r="K3217" s="92"/>
      <c r="L3217" s="9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9"/>
    </row>
    <row r="3218" spans="1:14" hidden="1" x14ac:dyDescent="0.15">
      <c r="A3218">
        <v>3218</v>
      </c>
      <c r="B3218" t="s">
        <v>35</v>
      </c>
      <c r="C3218" t="s">
        <v>32</v>
      </c>
      <c r="D3218" s="72" t="s">
        <v>1948</v>
      </c>
      <c r="E3218" t="s">
        <v>1019</v>
      </c>
      <c r="F3218" t="s">
        <v>5322</v>
      </c>
      <c r="G3218" s="92"/>
      <c r="H3218" s="92"/>
      <c r="I3218" s="92"/>
      <c r="J3218" s="92"/>
      <c r="K3218" s="92"/>
      <c r="L3218" s="9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9"/>
    </row>
    <row r="3219" spans="1:14" hidden="1" x14ac:dyDescent="0.15">
      <c r="A3219">
        <v>3219</v>
      </c>
      <c r="B3219" t="s">
        <v>35</v>
      </c>
      <c r="C3219" t="s">
        <v>32</v>
      </c>
      <c r="D3219" s="72" t="s">
        <v>5323</v>
      </c>
      <c r="E3219" t="s">
        <v>157</v>
      </c>
      <c r="F3219" t="s">
        <v>5324</v>
      </c>
      <c r="G3219" s="92"/>
      <c r="H3219" s="92"/>
      <c r="I3219" s="92"/>
      <c r="J3219" s="92"/>
      <c r="K3219" s="92"/>
      <c r="L3219" s="9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9"/>
    </row>
    <row r="3220" spans="1:14" hidden="1" x14ac:dyDescent="0.15">
      <c r="A3220">
        <v>3220</v>
      </c>
      <c r="B3220" t="s">
        <v>35</v>
      </c>
      <c r="C3220" t="s">
        <v>32</v>
      </c>
      <c r="D3220" s="72" t="s">
        <v>5325</v>
      </c>
      <c r="E3220" t="s">
        <v>157</v>
      </c>
      <c r="F3220" t="s">
        <v>5326</v>
      </c>
      <c r="G3220" s="92"/>
      <c r="H3220" s="92"/>
      <c r="I3220" s="92"/>
      <c r="J3220" s="92"/>
      <c r="K3220" s="92"/>
      <c r="L3220" s="9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9"/>
    </row>
    <row r="3221" spans="1:14" hidden="1" x14ac:dyDescent="0.15">
      <c r="A3221">
        <v>3221</v>
      </c>
      <c r="B3221" t="s">
        <v>35</v>
      </c>
      <c r="C3221" t="s">
        <v>32</v>
      </c>
      <c r="D3221" s="72" t="s">
        <v>5327</v>
      </c>
      <c r="E3221" t="s">
        <v>702</v>
      </c>
      <c r="F3221" t="s">
        <v>881</v>
      </c>
      <c r="G3221" s="92"/>
      <c r="H3221" s="92"/>
      <c r="I3221" s="92"/>
      <c r="J3221" s="92"/>
      <c r="K3221" s="92"/>
      <c r="L3221" s="9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9"/>
    </row>
    <row r="3222" spans="1:14" hidden="1" x14ac:dyDescent="0.15">
      <c r="A3222">
        <v>3222</v>
      </c>
      <c r="B3222" t="s">
        <v>35</v>
      </c>
      <c r="C3222" t="s">
        <v>32</v>
      </c>
      <c r="D3222" s="72" t="s">
        <v>5328</v>
      </c>
      <c r="E3222" t="s">
        <v>73</v>
      </c>
      <c r="F3222" t="s">
        <v>5329</v>
      </c>
      <c r="G3222" s="92"/>
      <c r="H3222" s="92"/>
      <c r="I3222" s="92"/>
      <c r="J3222" s="92"/>
      <c r="K3222" s="92"/>
      <c r="L3222" s="9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9"/>
    </row>
    <row r="3223" spans="1:14" hidden="1" x14ac:dyDescent="0.15">
      <c r="A3223">
        <v>3223</v>
      </c>
      <c r="B3223" t="s">
        <v>35</v>
      </c>
      <c r="C3223" t="s">
        <v>32</v>
      </c>
      <c r="D3223" s="72" t="s">
        <v>5330</v>
      </c>
      <c r="E3223" t="s">
        <v>702</v>
      </c>
      <c r="F3223" t="s">
        <v>5626</v>
      </c>
      <c r="G3223" s="92"/>
      <c r="H3223" s="92"/>
      <c r="I3223" s="92"/>
      <c r="J3223" s="92"/>
      <c r="K3223" s="92"/>
      <c r="L3223" s="9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9"/>
    </row>
    <row r="3224" spans="1:14" hidden="1" x14ac:dyDescent="0.15">
      <c r="A3224">
        <v>3224</v>
      </c>
      <c r="B3224" t="s">
        <v>35</v>
      </c>
      <c r="C3224" t="s">
        <v>32</v>
      </c>
      <c r="D3224" s="72" t="s">
        <v>322</v>
      </c>
      <c r="E3224" t="s">
        <v>61</v>
      </c>
      <c r="F3224" t="s">
        <v>3624</v>
      </c>
      <c r="G3224" s="92"/>
      <c r="H3224" s="92"/>
      <c r="I3224" s="92"/>
      <c r="J3224" s="92"/>
      <c r="K3224" s="92"/>
      <c r="L3224" s="9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9"/>
    </row>
    <row r="3225" spans="1:14" hidden="1" x14ac:dyDescent="0.15">
      <c r="A3225">
        <v>3225</v>
      </c>
      <c r="B3225" t="s">
        <v>35</v>
      </c>
      <c r="C3225" t="s">
        <v>32</v>
      </c>
      <c r="D3225" s="72" t="s">
        <v>5331</v>
      </c>
      <c r="E3225" t="s">
        <v>736</v>
      </c>
      <c r="F3225" t="s">
        <v>5332</v>
      </c>
      <c r="G3225" s="92"/>
      <c r="H3225" s="92"/>
      <c r="I3225" s="92"/>
      <c r="J3225" s="92"/>
      <c r="K3225" s="92"/>
      <c r="L3225" s="9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9"/>
    </row>
    <row r="3226" spans="1:14" hidden="1" x14ac:dyDescent="0.15">
      <c r="A3226">
        <v>3226</v>
      </c>
      <c r="B3226" t="s">
        <v>35</v>
      </c>
      <c r="C3226" t="s">
        <v>32</v>
      </c>
      <c r="D3226" s="72" t="s">
        <v>5333</v>
      </c>
      <c r="E3226" t="s">
        <v>736</v>
      </c>
      <c r="F3226" t="s">
        <v>5334</v>
      </c>
      <c r="G3226" s="92"/>
      <c r="H3226" s="92"/>
      <c r="I3226" s="92"/>
      <c r="J3226" s="92"/>
      <c r="K3226" s="92"/>
      <c r="L3226" s="9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9"/>
    </row>
    <row r="3227" spans="1:14" hidden="1" x14ac:dyDescent="0.15">
      <c r="A3227">
        <v>3227</v>
      </c>
      <c r="B3227" t="s">
        <v>35</v>
      </c>
      <c r="C3227" t="s">
        <v>32</v>
      </c>
      <c r="D3227" s="72" t="s">
        <v>533</v>
      </c>
      <c r="E3227" t="s">
        <v>1021</v>
      </c>
      <c r="F3227" t="s">
        <v>534</v>
      </c>
      <c r="G3227" s="92"/>
      <c r="H3227" s="92"/>
      <c r="I3227" s="92"/>
      <c r="J3227" s="92"/>
      <c r="K3227" s="92"/>
      <c r="L3227" s="9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9"/>
    </row>
    <row r="3228" spans="1:14" hidden="1" x14ac:dyDescent="0.15">
      <c r="A3228">
        <v>3228</v>
      </c>
      <c r="B3228" t="s">
        <v>35</v>
      </c>
      <c r="C3228" t="s">
        <v>32</v>
      </c>
      <c r="D3228" s="72" t="s">
        <v>5335</v>
      </c>
      <c r="E3228" t="s">
        <v>736</v>
      </c>
      <c r="F3228" t="s">
        <v>5336</v>
      </c>
      <c r="G3228" s="92"/>
      <c r="H3228" s="92"/>
      <c r="I3228" s="92"/>
      <c r="J3228" s="92"/>
      <c r="K3228" s="92"/>
      <c r="L3228" s="9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9"/>
    </row>
    <row r="3229" spans="1:14" hidden="1" x14ac:dyDescent="0.15">
      <c r="A3229">
        <v>3229</v>
      </c>
      <c r="B3229" t="s">
        <v>35</v>
      </c>
      <c r="C3229" t="s">
        <v>32</v>
      </c>
      <c r="D3229" s="72" t="s">
        <v>1891</v>
      </c>
      <c r="E3229" t="s">
        <v>73</v>
      </c>
      <c r="F3229" t="s">
        <v>1892</v>
      </c>
      <c r="G3229" s="92"/>
      <c r="H3229" s="92"/>
      <c r="I3229" s="92"/>
      <c r="J3229" s="92"/>
      <c r="K3229" s="92"/>
      <c r="L3229" s="9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9"/>
    </row>
    <row r="3230" spans="1:14" hidden="1" x14ac:dyDescent="0.15">
      <c r="A3230">
        <v>3230</v>
      </c>
      <c r="B3230" t="s">
        <v>35</v>
      </c>
      <c r="C3230" t="s">
        <v>32</v>
      </c>
      <c r="D3230" s="72" t="s">
        <v>5337</v>
      </c>
      <c r="E3230" t="s">
        <v>736</v>
      </c>
      <c r="F3230" t="s">
        <v>5627</v>
      </c>
      <c r="G3230" s="92"/>
      <c r="H3230" s="92"/>
      <c r="I3230" s="92"/>
      <c r="J3230" s="92"/>
      <c r="K3230" s="92"/>
      <c r="L3230" s="9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9"/>
    </row>
    <row r="3231" spans="1:14" hidden="1" x14ac:dyDescent="0.15">
      <c r="A3231">
        <v>3231</v>
      </c>
      <c r="B3231" t="s">
        <v>35</v>
      </c>
      <c r="C3231" t="s">
        <v>32</v>
      </c>
      <c r="D3231" s="72" t="s">
        <v>5338</v>
      </c>
      <c r="E3231" t="s">
        <v>702</v>
      </c>
      <c r="F3231" t="s">
        <v>5339</v>
      </c>
      <c r="G3231" s="92"/>
      <c r="H3231" s="92"/>
      <c r="I3231" s="92"/>
      <c r="J3231" s="92"/>
      <c r="K3231" s="92"/>
      <c r="L3231" s="9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9"/>
    </row>
    <row r="3232" spans="1:14" hidden="1" x14ac:dyDescent="0.15">
      <c r="A3232">
        <v>3232</v>
      </c>
      <c r="B3232" t="s">
        <v>35</v>
      </c>
      <c r="C3232" t="s">
        <v>32</v>
      </c>
      <c r="D3232" s="72" t="s">
        <v>5340</v>
      </c>
      <c r="E3232" t="s">
        <v>73</v>
      </c>
      <c r="F3232" t="s">
        <v>5341</v>
      </c>
      <c r="G3232" s="92"/>
      <c r="H3232" s="92"/>
      <c r="I3232" s="92"/>
      <c r="J3232" s="92"/>
      <c r="K3232" s="92"/>
      <c r="L3232" s="9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9"/>
    </row>
    <row r="3233" spans="1:14" hidden="1" x14ac:dyDescent="0.15">
      <c r="A3233">
        <v>3233</v>
      </c>
      <c r="B3233" t="s">
        <v>35</v>
      </c>
      <c r="C3233" t="s">
        <v>32</v>
      </c>
      <c r="D3233" s="72" t="s">
        <v>238</v>
      </c>
      <c r="E3233" t="s">
        <v>36</v>
      </c>
      <c r="F3233" t="s">
        <v>5342</v>
      </c>
      <c r="G3233" s="92"/>
      <c r="H3233" s="92"/>
      <c r="I3233" s="92"/>
      <c r="J3233" s="92"/>
      <c r="K3233" s="92"/>
      <c r="L3233" s="9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9"/>
    </row>
    <row r="3234" spans="1:14" hidden="1" x14ac:dyDescent="0.15">
      <c r="A3234">
        <v>3234</v>
      </c>
      <c r="B3234" t="s">
        <v>35</v>
      </c>
      <c r="C3234" t="s">
        <v>32</v>
      </c>
      <c r="D3234" s="72" t="s">
        <v>5343</v>
      </c>
      <c r="E3234" t="s">
        <v>36</v>
      </c>
      <c r="F3234" t="s">
        <v>5344</v>
      </c>
      <c r="G3234" s="92"/>
      <c r="H3234" s="92"/>
      <c r="I3234" s="92"/>
      <c r="J3234" s="92"/>
      <c r="K3234" s="92"/>
      <c r="L3234" s="9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9"/>
    </row>
    <row r="3235" spans="1:14" hidden="1" x14ac:dyDescent="0.15">
      <c r="A3235">
        <v>3235</v>
      </c>
      <c r="B3235" t="s">
        <v>35</v>
      </c>
      <c r="C3235" t="s">
        <v>32</v>
      </c>
      <c r="D3235" s="72" t="s">
        <v>1119</v>
      </c>
      <c r="E3235" t="s">
        <v>61</v>
      </c>
      <c r="F3235" t="s">
        <v>5345</v>
      </c>
      <c r="G3235" s="92"/>
      <c r="H3235" s="92"/>
      <c r="I3235" s="92"/>
      <c r="J3235" s="92"/>
      <c r="K3235" s="92"/>
      <c r="L3235" s="9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9"/>
    </row>
    <row r="3236" spans="1:14" hidden="1" x14ac:dyDescent="0.15">
      <c r="A3236">
        <v>3236</v>
      </c>
      <c r="B3236" t="s">
        <v>35</v>
      </c>
      <c r="C3236" t="s">
        <v>32</v>
      </c>
      <c r="D3236" s="72" t="s">
        <v>5346</v>
      </c>
      <c r="E3236" t="s">
        <v>36</v>
      </c>
      <c r="F3236" t="s">
        <v>5347</v>
      </c>
      <c r="G3236" s="92"/>
      <c r="H3236" s="92"/>
      <c r="I3236" s="92"/>
      <c r="J3236" s="92"/>
      <c r="K3236" s="92"/>
      <c r="L3236" s="9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9"/>
    </row>
    <row r="3237" spans="1:14" hidden="1" x14ac:dyDescent="0.15">
      <c r="A3237">
        <v>3237</v>
      </c>
      <c r="B3237" t="s">
        <v>35</v>
      </c>
      <c r="C3237" t="s">
        <v>32</v>
      </c>
      <c r="D3237" s="72" t="s">
        <v>776</v>
      </c>
      <c r="E3237" t="s">
        <v>61</v>
      </c>
      <c r="F3237" t="s">
        <v>777</v>
      </c>
      <c r="G3237" s="92"/>
      <c r="H3237" s="92"/>
      <c r="I3237" s="92"/>
      <c r="J3237" s="92"/>
      <c r="K3237" s="92"/>
      <c r="L3237" s="9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9"/>
    </row>
    <row r="3238" spans="1:14" hidden="1" x14ac:dyDescent="0.15">
      <c r="A3238">
        <v>3238</v>
      </c>
      <c r="B3238" t="s">
        <v>35</v>
      </c>
      <c r="C3238" t="s">
        <v>32</v>
      </c>
      <c r="D3238" s="72" t="s">
        <v>5348</v>
      </c>
      <c r="E3238" t="s">
        <v>1019</v>
      </c>
      <c r="F3238" t="s">
        <v>5349</v>
      </c>
      <c r="G3238" s="92"/>
      <c r="H3238" s="92"/>
      <c r="I3238" s="92"/>
      <c r="J3238" s="92"/>
      <c r="K3238" s="92"/>
      <c r="L3238" s="9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9"/>
    </row>
    <row r="3239" spans="1:14" hidden="1" x14ac:dyDescent="0.15">
      <c r="A3239">
        <v>3239</v>
      </c>
      <c r="B3239" t="s">
        <v>35</v>
      </c>
      <c r="C3239" t="s">
        <v>32</v>
      </c>
      <c r="D3239" s="72" t="s">
        <v>5350</v>
      </c>
      <c r="E3239" t="s">
        <v>36</v>
      </c>
      <c r="F3239" t="s">
        <v>5351</v>
      </c>
      <c r="G3239" s="92"/>
      <c r="H3239" s="92"/>
      <c r="I3239" s="92"/>
      <c r="J3239" s="92"/>
      <c r="K3239" s="92"/>
      <c r="L3239" s="9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9"/>
    </row>
    <row r="3240" spans="1:14" hidden="1" x14ac:dyDescent="0.15">
      <c r="A3240">
        <v>3240</v>
      </c>
      <c r="B3240" t="s">
        <v>35</v>
      </c>
      <c r="C3240" t="s">
        <v>32</v>
      </c>
      <c r="D3240" s="72" t="s">
        <v>5352</v>
      </c>
      <c r="E3240" t="s">
        <v>36</v>
      </c>
      <c r="F3240" t="s">
        <v>5353</v>
      </c>
      <c r="G3240" s="92"/>
      <c r="H3240" s="92"/>
      <c r="I3240" s="92"/>
      <c r="J3240" s="92"/>
      <c r="K3240" s="92"/>
      <c r="L3240" s="9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9"/>
    </row>
    <row r="3241" spans="1:14" hidden="1" x14ac:dyDescent="0.15">
      <c r="A3241">
        <v>3241</v>
      </c>
      <c r="B3241" t="s">
        <v>35</v>
      </c>
      <c r="C3241" t="s">
        <v>32</v>
      </c>
      <c r="D3241" s="72" t="s">
        <v>5354</v>
      </c>
      <c r="E3241" t="s">
        <v>36</v>
      </c>
      <c r="F3241" t="s">
        <v>5355</v>
      </c>
      <c r="G3241" s="92"/>
      <c r="H3241" s="92"/>
      <c r="I3241" s="92"/>
      <c r="J3241" s="92"/>
      <c r="K3241" s="92"/>
      <c r="L3241" s="9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9"/>
    </row>
    <row r="3242" spans="1:14" hidden="1" x14ac:dyDescent="0.15">
      <c r="A3242">
        <v>3242</v>
      </c>
      <c r="B3242" t="s">
        <v>35</v>
      </c>
      <c r="C3242" t="s">
        <v>32</v>
      </c>
      <c r="D3242" s="72" t="s">
        <v>5356</v>
      </c>
      <c r="E3242" t="s">
        <v>36</v>
      </c>
      <c r="F3242" t="s">
        <v>5357</v>
      </c>
      <c r="G3242" s="92"/>
      <c r="H3242" s="92"/>
      <c r="I3242" s="92"/>
      <c r="J3242" s="92"/>
      <c r="K3242" s="92"/>
      <c r="L3242" s="9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9"/>
    </row>
    <row r="3243" spans="1:14" hidden="1" x14ac:dyDescent="0.15">
      <c r="A3243">
        <v>3243</v>
      </c>
      <c r="B3243" t="s">
        <v>35</v>
      </c>
      <c r="C3243" t="s">
        <v>32</v>
      </c>
      <c r="D3243" s="72" t="s">
        <v>5358</v>
      </c>
      <c r="E3243" t="s">
        <v>36</v>
      </c>
      <c r="F3243" t="s">
        <v>5359</v>
      </c>
      <c r="G3243" s="92"/>
      <c r="H3243" s="92"/>
      <c r="I3243" s="92"/>
      <c r="J3243" s="92"/>
      <c r="K3243" s="92"/>
      <c r="L3243" s="9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9"/>
    </row>
    <row r="3244" spans="1:14" hidden="1" x14ac:dyDescent="0.15">
      <c r="A3244">
        <v>3244</v>
      </c>
      <c r="B3244" t="s">
        <v>35</v>
      </c>
      <c r="C3244" t="s">
        <v>33</v>
      </c>
      <c r="D3244" s="72" t="s">
        <v>5360</v>
      </c>
      <c r="E3244" t="s">
        <v>36</v>
      </c>
      <c r="F3244" t="s">
        <v>5361</v>
      </c>
      <c r="G3244" s="92"/>
      <c r="H3244" s="92"/>
      <c r="I3244" s="92"/>
      <c r="J3244" s="92"/>
      <c r="K3244" s="92"/>
      <c r="L3244" s="9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9"/>
    </row>
    <row r="3245" spans="1:14" hidden="1" x14ac:dyDescent="0.15">
      <c r="A3245">
        <v>3245</v>
      </c>
      <c r="B3245" t="s">
        <v>35</v>
      </c>
      <c r="C3245" t="s">
        <v>33</v>
      </c>
      <c r="D3245" s="72" t="s">
        <v>5362</v>
      </c>
      <c r="E3245" t="s">
        <v>702</v>
      </c>
      <c r="F3245" t="s">
        <v>5363</v>
      </c>
      <c r="G3245" s="92"/>
      <c r="H3245" s="92"/>
      <c r="I3245" s="92"/>
      <c r="J3245" s="92"/>
      <c r="K3245" s="92"/>
      <c r="L3245" s="9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9"/>
    </row>
    <row r="3246" spans="1:14" hidden="1" x14ac:dyDescent="0.15">
      <c r="A3246">
        <v>3246</v>
      </c>
      <c r="B3246" t="s">
        <v>35</v>
      </c>
      <c r="C3246" t="s">
        <v>33</v>
      </c>
      <c r="D3246" s="72" t="s">
        <v>5364</v>
      </c>
      <c r="E3246" t="s">
        <v>36</v>
      </c>
      <c r="F3246" t="s">
        <v>5365</v>
      </c>
      <c r="G3246" s="92"/>
      <c r="H3246" s="92"/>
      <c r="I3246" s="92"/>
      <c r="J3246" s="92"/>
      <c r="K3246" s="92"/>
      <c r="L3246" s="9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9"/>
    </row>
    <row r="3247" spans="1:14" hidden="1" x14ac:dyDescent="0.15">
      <c r="A3247">
        <v>3247</v>
      </c>
      <c r="B3247" t="s">
        <v>35</v>
      </c>
      <c r="C3247" t="s">
        <v>33</v>
      </c>
      <c r="D3247" s="72" t="s">
        <v>5366</v>
      </c>
      <c r="E3247" t="s">
        <v>36</v>
      </c>
      <c r="F3247" t="s">
        <v>5367</v>
      </c>
      <c r="G3247" s="92"/>
      <c r="H3247" s="92"/>
      <c r="I3247" s="92"/>
      <c r="J3247" s="92"/>
      <c r="K3247" s="92"/>
      <c r="L3247" s="9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9"/>
    </row>
    <row r="3248" spans="1:14" hidden="1" x14ac:dyDescent="0.15">
      <c r="A3248">
        <v>3248</v>
      </c>
      <c r="B3248" t="s">
        <v>35</v>
      </c>
      <c r="C3248" t="s">
        <v>33</v>
      </c>
      <c r="D3248" s="72" t="s">
        <v>5368</v>
      </c>
      <c r="E3248" t="s">
        <v>36</v>
      </c>
      <c r="F3248" t="s">
        <v>5369</v>
      </c>
      <c r="G3248" s="92"/>
      <c r="H3248" s="92"/>
      <c r="I3248" s="92"/>
      <c r="J3248" s="92"/>
      <c r="K3248" s="92"/>
      <c r="L3248" s="9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9"/>
    </row>
    <row r="3249" spans="1:14" hidden="1" x14ac:dyDescent="0.15">
      <c r="A3249">
        <v>3249</v>
      </c>
      <c r="B3249" t="s">
        <v>35</v>
      </c>
      <c r="C3249" t="s">
        <v>33</v>
      </c>
      <c r="D3249" s="72" t="s">
        <v>5370</v>
      </c>
      <c r="E3249" t="s">
        <v>36</v>
      </c>
      <c r="F3249" t="s">
        <v>5371</v>
      </c>
      <c r="G3249" s="92"/>
      <c r="H3249" s="92"/>
      <c r="I3249" s="92"/>
      <c r="J3249" s="92"/>
      <c r="K3249" s="92"/>
      <c r="L3249" s="9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9"/>
    </row>
    <row r="3250" spans="1:14" hidden="1" x14ac:dyDescent="0.15">
      <c r="A3250">
        <v>3250</v>
      </c>
      <c r="B3250" t="s">
        <v>35</v>
      </c>
      <c r="C3250" t="s">
        <v>33</v>
      </c>
      <c r="D3250" s="72" t="s">
        <v>5372</v>
      </c>
      <c r="E3250" t="s">
        <v>73</v>
      </c>
      <c r="F3250" t="s">
        <v>5373</v>
      </c>
      <c r="G3250" s="92"/>
      <c r="H3250" s="92"/>
      <c r="I3250" s="92"/>
      <c r="J3250" s="92"/>
      <c r="K3250" s="92"/>
      <c r="L3250" s="9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9"/>
    </row>
    <row r="3251" spans="1:14" hidden="1" x14ac:dyDescent="0.15">
      <c r="A3251">
        <v>3251</v>
      </c>
      <c r="B3251" t="s">
        <v>35</v>
      </c>
      <c r="C3251" t="s">
        <v>33</v>
      </c>
      <c r="D3251" s="72" t="s">
        <v>5374</v>
      </c>
      <c r="E3251" t="s">
        <v>73</v>
      </c>
      <c r="F3251" t="s">
        <v>5375</v>
      </c>
      <c r="G3251" s="92"/>
      <c r="H3251" s="92"/>
      <c r="I3251" s="92"/>
      <c r="J3251" s="92"/>
      <c r="K3251" s="92"/>
      <c r="L3251" s="9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9"/>
    </row>
    <row r="3252" spans="1:14" hidden="1" x14ac:dyDescent="0.15">
      <c r="A3252">
        <v>3252</v>
      </c>
      <c r="B3252" t="s">
        <v>35</v>
      </c>
      <c r="C3252" t="s">
        <v>33</v>
      </c>
      <c r="D3252" s="72" t="s">
        <v>5376</v>
      </c>
      <c r="E3252" t="s">
        <v>61</v>
      </c>
      <c r="F3252" t="s">
        <v>5377</v>
      </c>
      <c r="G3252" s="92"/>
      <c r="H3252" s="92"/>
      <c r="I3252" s="92"/>
      <c r="J3252" s="92"/>
      <c r="K3252" s="92"/>
      <c r="L3252" s="9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9"/>
    </row>
    <row r="3253" spans="1:14" hidden="1" x14ac:dyDescent="0.15">
      <c r="A3253">
        <v>3253</v>
      </c>
      <c r="B3253" t="s">
        <v>35</v>
      </c>
      <c r="C3253" t="s">
        <v>33</v>
      </c>
      <c r="D3253" s="72" t="s">
        <v>5378</v>
      </c>
      <c r="E3253" t="s">
        <v>36</v>
      </c>
      <c r="F3253" t="s">
        <v>5379</v>
      </c>
      <c r="G3253" s="92"/>
      <c r="H3253" s="92"/>
      <c r="I3253" s="92"/>
      <c r="J3253" s="92"/>
      <c r="K3253" s="92"/>
      <c r="L3253" s="9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9"/>
    </row>
    <row r="3254" spans="1:14" hidden="1" x14ac:dyDescent="0.15">
      <c r="A3254">
        <v>3254</v>
      </c>
      <c r="B3254" t="s">
        <v>35</v>
      </c>
      <c r="C3254" t="s">
        <v>33</v>
      </c>
      <c r="D3254" s="72" t="s">
        <v>5380</v>
      </c>
      <c r="E3254" t="s">
        <v>73</v>
      </c>
      <c r="F3254" t="s">
        <v>5381</v>
      </c>
      <c r="G3254" s="92"/>
      <c r="H3254" s="92"/>
      <c r="I3254" s="92"/>
      <c r="J3254" s="92"/>
      <c r="K3254" s="92"/>
      <c r="L3254" s="9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9"/>
    </row>
    <row r="3255" spans="1:14" hidden="1" x14ac:dyDescent="0.15">
      <c r="A3255">
        <v>3255</v>
      </c>
      <c r="B3255" t="s">
        <v>35</v>
      </c>
      <c r="C3255" t="s">
        <v>33</v>
      </c>
      <c r="D3255" s="72" t="s">
        <v>1470</v>
      </c>
      <c r="E3255" t="s">
        <v>73</v>
      </c>
      <c r="F3255" t="s">
        <v>5382</v>
      </c>
      <c r="G3255" s="92"/>
      <c r="H3255" s="92"/>
      <c r="I3255" s="92"/>
      <c r="J3255" s="92"/>
      <c r="K3255" s="92"/>
      <c r="L3255" s="9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9"/>
    </row>
    <row r="3256" spans="1:14" hidden="1" x14ac:dyDescent="0.15">
      <c r="A3256">
        <v>3256</v>
      </c>
      <c r="B3256" t="s">
        <v>35</v>
      </c>
      <c r="C3256" t="s">
        <v>33</v>
      </c>
      <c r="D3256" s="72" t="s">
        <v>5383</v>
      </c>
      <c r="E3256" t="s">
        <v>702</v>
      </c>
      <c r="F3256" t="s">
        <v>5384</v>
      </c>
      <c r="G3256" s="92"/>
      <c r="H3256" s="92"/>
      <c r="I3256" s="92"/>
      <c r="J3256" s="92"/>
      <c r="K3256" s="92"/>
      <c r="L3256" s="9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9"/>
    </row>
    <row r="3257" spans="1:14" hidden="1" x14ac:dyDescent="0.15">
      <c r="A3257">
        <v>3257</v>
      </c>
      <c r="B3257" t="s">
        <v>35</v>
      </c>
      <c r="C3257" t="s">
        <v>33</v>
      </c>
      <c r="D3257" s="72" t="s">
        <v>5385</v>
      </c>
      <c r="E3257" t="s">
        <v>73</v>
      </c>
      <c r="F3257" t="s">
        <v>5628</v>
      </c>
      <c r="G3257" s="92"/>
      <c r="H3257" s="92"/>
      <c r="I3257" s="92"/>
      <c r="J3257" s="92"/>
      <c r="K3257" s="92"/>
      <c r="L3257" s="9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9"/>
    </row>
    <row r="3258" spans="1:14" hidden="1" x14ac:dyDescent="0.15">
      <c r="A3258">
        <v>3258</v>
      </c>
      <c r="B3258" t="s">
        <v>35</v>
      </c>
      <c r="C3258" t="s">
        <v>33</v>
      </c>
      <c r="D3258" s="72" t="s">
        <v>5386</v>
      </c>
      <c r="E3258" t="s">
        <v>73</v>
      </c>
      <c r="F3258" t="s">
        <v>5629</v>
      </c>
      <c r="G3258" s="92"/>
      <c r="H3258" s="92"/>
      <c r="I3258" s="92"/>
      <c r="J3258" s="92"/>
      <c r="K3258" s="92"/>
      <c r="L3258" s="9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9"/>
    </row>
    <row r="3259" spans="1:14" hidden="1" x14ac:dyDescent="0.15">
      <c r="A3259">
        <v>3259</v>
      </c>
      <c r="B3259" t="s">
        <v>35</v>
      </c>
      <c r="C3259" t="s">
        <v>33</v>
      </c>
      <c r="D3259" s="72" t="s">
        <v>5387</v>
      </c>
      <c r="E3259" t="s">
        <v>1019</v>
      </c>
      <c r="F3259" t="s">
        <v>5388</v>
      </c>
      <c r="G3259" s="92"/>
      <c r="H3259" s="92"/>
      <c r="I3259" s="92"/>
      <c r="J3259" s="92"/>
      <c r="K3259" s="92"/>
      <c r="L3259" s="9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9"/>
    </row>
    <row r="3260" spans="1:14" hidden="1" x14ac:dyDescent="0.15">
      <c r="A3260">
        <v>3260</v>
      </c>
      <c r="B3260" t="s">
        <v>35</v>
      </c>
      <c r="C3260" t="s">
        <v>33</v>
      </c>
      <c r="D3260" s="72" t="s">
        <v>1006</v>
      </c>
      <c r="E3260" t="s">
        <v>36</v>
      </c>
      <c r="F3260" t="s">
        <v>5389</v>
      </c>
      <c r="G3260" s="92"/>
      <c r="H3260" s="92"/>
      <c r="I3260" s="92"/>
      <c r="J3260" s="92"/>
      <c r="K3260" s="92"/>
      <c r="L3260" s="9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9"/>
    </row>
    <row r="3261" spans="1:14" hidden="1" x14ac:dyDescent="0.15">
      <c r="A3261">
        <v>3261</v>
      </c>
      <c r="B3261" t="s">
        <v>35</v>
      </c>
      <c r="C3261" t="s">
        <v>33</v>
      </c>
      <c r="D3261" s="72" t="s">
        <v>404</v>
      </c>
      <c r="E3261" t="s">
        <v>36</v>
      </c>
      <c r="F3261" t="s">
        <v>5390</v>
      </c>
      <c r="G3261" s="92"/>
      <c r="H3261" s="92"/>
      <c r="I3261" s="92"/>
      <c r="J3261" s="92"/>
      <c r="K3261" s="92"/>
      <c r="L3261" s="9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9"/>
    </row>
    <row r="3262" spans="1:14" hidden="1" x14ac:dyDescent="0.15">
      <c r="A3262">
        <v>3262</v>
      </c>
      <c r="B3262" t="s">
        <v>35</v>
      </c>
      <c r="C3262" t="s">
        <v>33</v>
      </c>
      <c r="D3262" s="72" t="s">
        <v>5391</v>
      </c>
      <c r="E3262" t="s">
        <v>702</v>
      </c>
      <c r="F3262" t="s">
        <v>5392</v>
      </c>
      <c r="G3262" s="92"/>
      <c r="H3262" s="92"/>
      <c r="I3262" s="92"/>
      <c r="J3262" s="92"/>
      <c r="K3262" s="92"/>
      <c r="L3262" s="9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9"/>
    </row>
    <row r="3263" spans="1:14" hidden="1" x14ac:dyDescent="0.15">
      <c r="A3263">
        <v>3263</v>
      </c>
      <c r="B3263" t="s">
        <v>35</v>
      </c>
      <c r="C3263" t="s">
        <v>33</v>
      </c>
      <c r="D3263" s="72" t="s">
        <v>5393</v>
      </c>
      <c r="E3263" t="s">
        <v>36</v>
      </c>
      <c r="F3263" t="s">
        <v>5394</v>
      </c>
      <c r="G3263" s="92"/>
      <c r="H3263" s="92"/>
      <c r="I3263" s="92"/>
      <c r="J3263" s="92"/>
      <c r="K3263" s="92"/>
      <c r="L3263" s="9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9"/>
    </row>
    <row r="3264" spans="1:14" hidden="1" x14ac:dyDescent="0.15">
      <c r="A3264">
        <v>3264</v>
      </c>
      <c r="B3264" t="s">
        <v>35</v>
      </c>
      <c r="C3264" t="s">
        <v>33</v>
      </c>
      <c r="D3264" s="72" t="s">
        <v>5395</v>
      </c>
      <c r="E3264" t="s">
        <v>702</v>
      </c>
      <c r="F3264" t="s">
        <v>5396</v>
      </c>
      <c r="G3264" s="92"/>
      <c r="H3264" s="92"/>
      <c r="I3264" s="92"/>
      <c r="J3264" s="92"/>
      <c r="K3264" s="92"/>
      <c r="L3264" s="9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9"/>
    </row>
    <row r="3265" spans="1:14" hidden="1" x14ac:dyDescent="0.15">
      <c r="A3265">
        <v>3265</v>
      </c>
      <c r="B3265" t="s">
        <v>35</v>
      </c>
      <c r="C3265" t="s">
        <v>33</v>
      </c>
      <c r="D3265" s="72" t="s">
        <v>5397</v>
      </c>
      <c r="E3265" t="s">
        <v>73</v>
      </c>
      <c r="F3265" t="s">
        <v>5398</v>
      </c>
      <c r="G3265" s="92"/>
      <c r="H3265" s="92"/>
      <c r="I3265" s="92"/>
      <c r="J3265" s="92"/>
      <c r="K3265" s="92"/>
      <c r="L3265" s="9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9"/>
    </row>
    <row r="3266" spans="1:14" hidden="1" x14ac:dyDescent="0.15">
      <c r="A3266">
        <v>3266</v>
      </c>
      <c r="B3266" t="s">
        <v>35</v>
      </c>
      <c r="C3266" t="s">
        <v>33</v>
      </c>
      <c r="D3266" s="72" t="s">
        <v>1904</v>
      </c>
      <c r="E3266" t="s">
        <v>36</v>
      </c>
      <c r="F3266" t="s">
        <v>1905</v>
      </c>
      <c r="G3266" s="92"/>
      <c r="H3266" s="92"/>
      <c r="I3266" s="92"/>
      <c r="J3266" s="92"/>
      <c r="K3266" s="92"/>
      <c r="L3266" s="9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9"/>
    </row>
    <row r="3267" spans="1:14" hidden="1" x14ac:dyDescent="0.15">
      <c r="A3267">
        <v>3267</v>
      </c>
      <c r="B3267" t="s">
        <v>35</v>
      </c>
      <c r="C3267" t="s">
        <v>33</v>
      </c>
      <c r="D3267" s="72" t="s">
        <v>5399</v>
      </c>
      <c r="E3267" t="s">
        <v>73</v>
      </c>
      <c r="F3267" t="s">
        <v>5400</v>
      </c>
      <c r="G3267" s="92"/>
      <c r="H3267" s="92"/>
      <c r="I3267" s="92"/>
      <c r="J3267" s="92"/>
      <c r="K3267" s="92"/>
      <c r="L3267" s="9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9"/>
    </row>
    <row r="3268" spans="1:14" hidden="1" x14ac:dyDescent="0.15">
      <c r="A3268">
        <v>3268</v>
      </c>
      <c r="B3268" t="s">
        <v>35</v>
      </c>
      <c r="C3268" t="s">
        <v>33</v>
      </c>
      <c r="D3268" s="72" t="s">
        <v>1608</v>
      </c>
      <c r="E3268" t="s">
        <v>36</v>
      </c>
      <c r="F3268" t="s">
        <v>1609</v>
      </c>
      <c r="G3268" s="92"/>
      <c r="H3268" s="92"/>
      <c r="I3268" s="92"/>
      <c r="J3268" s="92"/>
      <c r="K3268" s="92"/>
      <c r="L3268" s="9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9"/>
    </row>
    <row r="3269" spans="1:14" hidden="1" x14ac:dyDescent="0.15">
      <c r="A3269">
        <v>3269</v>
      </c>
      <c r="B3269" t="s">
        <v>35</v>
      </c>
      <c r="C3269" t="s">
        <v>33</v>
      </c>
      <c r="D3269" s="72" t="s">
        <v>5401</v>
      </c>
      <c r="E3269" t="s">
        <v>36</v>
      </c>
      <c r="F3269" t="s">
        <v>5402</v>
      </c>
      <c r="G3269" s="92"/>
      <c r="H3269" s="92"/>
      <c r="I3269" s="92"/>
      <c r="J3269" s="92"/>
      <c r="K3269" s="92"/>
      <c r="L3269" s="9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9"/>
    </row>
    <row r="3270" spans="1:14" hidden="1" x14ac:dyDescent="0.15">
      <c r="A3270">
        <v>3270</v>
      </c>
      <c r="B3270" t="s">
        <v>35</v>
      </c>
      <c r="C3270" t="s">
        <v>33</v>
      </c>
      <c r="D3270" s="72" t="s">
        <v>5403</v>
      </c>
      <c r="E3270" t="s">
        <v>36</v>
      </c>
      <c r="F3270" t="s">
        <v>5404</v>
      </c>
      <c r="G3270" s="92"/>
      <c r="H3270" s="92"/>
      <c r="I3270" s="92"/>
      <c r="J3270" s="92"/>
      <c r="K3270" s="92"/>
      <c r="L3270" s="9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9"/>
    </row>
    <row r="3271" spans="1:14" hidden="1" x14ac:dyDescent="0.15">
      <c r="A3271">
        <v>3271</v>
      </c>
      <c r="B3271" t="s">
        <v>35</v>
      </c>
      <c r="C3271" t="s">
        <v>33</v>
      </c>
      <c r="D3271" s="72" t="s">
        <v>5405</v>
      </c>
      <c r="E3271" t="s">
        <v>36</v>
      </c>
      <c r="F3271" t="s">
        <v>5406</v>
      </c>
      <c r="G3271" s="92"/>
      <c r="H3271" s="92"/>
      <c r="I3271" s="92"/>
      <c r="J3271" s="92"/>
      <c r="K3271" s="92"/>
      <c r="L3271" s="9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9"/>
    </row>
    <row r="3272" spans="1:14" hidden="1" x14ac:dyDescent="0.15">
      <c r="A3272">
        <v>3272</v>
      </c>
      <c r="B3272" t="s">
        <v>35</v>
      </c>
      <c r="C3272" t="s">
        <v>33</v>
      </c>
      <c r="D3272" s="72" t="s">
        <v>1538</v>
      </c>
      <c r="E3272" t="s">
        <v>36</v>
      </c>
      <c r="F3272" t="s">
        <v>5407</v>
      </c>
      <c r="G3272" s="92"/>
      <c r="H3272" s="92"/>
      <c r="I3272" s="92"/>
      <c r="J3272" s="92"/>
      <c r="K3272" s="92"/>
      <c r="L3272" s="9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9"/>
    </row>
    <row r="3273" spans="1:14" hidden="1" x14ac:dyDescent="0.15">
      <c r="A3273">
        <v>3273</v>
      </c>
      <c r="B3273" t="s">
        <v>35</v>
      </c>
      <c r="C3273" t="s">
        <v>33</v>
      </c>
      <c r="D3273" s="72" t="s">
        <v>1612</v>
      </c>
      <c r="E3273" t="s">
        <v>36</v>
      </c>
      <c r="F3273" t="s">
        <v>1613</v>
      </c>
      <c r="G3273" s="92"/>
      <c r="H3273" s="92"/>
      <c r="I3273" s="92"/>
      <c r="J3273" s="92"/>
      <c r="K3273" s="92"/>
      <c r="L3273" s="9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9"/>
    </row>
    <row r="3274" spans="1:14" hidden="1" x14ac:dyDescent="0.15">
      <c r="A3274">
        <v>3274</v>
      </c>
      <c r="B3274" t="s">
        <v>35</v>
      </c>
      <c r="C3274" t="s">
        <v>33</v>
      </c>
      <c r="D3274" s="72" t="s">
        <v>5408</v>
      </c>
      <c r="E3274" t="s">
        <v>36</v>
      </c>
      <c r="F3274" t="s">
        <v>5409</v>
      </c>
      <c r="G3274" s="92"/>
      <c r="H3274" s="92"/>
      <c r="I3274" s="92"/>
      <c r="J3274" s="92"/>
      <c r="K3274" s="92"/>
      <c r="L3274" s="9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9"/>
    </row>
    <row r="3275" spans="1:14" hidden="1" x14ac:dyDescent="0.15">
      <c r="A3275">
        <v>3275</v>
      </c>
      <c r="B3275" t="s">
        <v>35</v>
      </c>
      <c r="C3275" t="s">
        <v>33</v>
      </c>
      <c r="D3275" s="72" t="s">
        <v>5410</v>
      </c>
      <c r="E3275" t="s">
        <v>36</v>
      </c>
      <c r="F3275" t="s">
        <v>5411</v>
      </c>
      <c r="G3275" s="92"/>
      <c r="H3275" s="92"/>
      <c r="I3275" s="92"/>
      <c r="J3275" s="92"/>
      <c r="K3275" s="92"/>
      <c r="L3275" s="9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9"/>
    </row>
    <row r="3276" spans="1:14" hidden="1" x14ac:dyDescent="0.15">
      <c r="A3276">
        <v>3276</v>
      </c>
      <c r="B3276" t="s">
        <v>35</v>
      </c>
      <c r="C3276" t="s">
        <v>33</v>
      </c>
      <c r="D3276" s="72" t="s">
        <v>5412</v>
      </c>
      <c r="E3276" t="s">
        <v>36</v>
      </c>
      <c r="F3276" t="s">
        <v>5413</v>
      </c>
      <c r="G3276" s="92"/>
      <c r="H3276" s="92"/>
      <c r="I3276" s="92"/>
      <c r="J3276" s="92"/>
      <c r="K3276" s="92"/>
      <c r="L3276" s="9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9"/>
    </row>
    <row r="3277" spans="1:14" hidden="1" x14ac:dyDescent="0.15">
      <c r="A3277">
        <v>3277</v>
      </c>
      <c r="B3277" t="s">
        <v>35</v>
      </c>
      <c r="C3277" t="s">
        <v>33</v>
      </c>
      <c r="D3277" s="72" t="s">
        <v>5414</v>
      </c>
      <c r="E3277" t="s">
        <v>36</v>
      </c>
      <c r="F3277" t="s">
        <v>5630</v>
      </c>
      <c r="G3277" s="92"/>
      <c r="H3277" s="92"/>
      <c r="I3277" s="92"/>
      <c r="J3277" s="92"/>
      <c r="K3277" s="92"/>
      <c r="L3277" s="9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9"/>
    </row>
    <row r="3278" spans="1:14" hidden="1" x14ac:dyDescent="0.15">
      <c r="A3278">
        <v>3278</v>
      </c>
      <c r="B3278" t="s">
        <v>35</v>
      </c>
      <c r="C3278" t="s">
        <v>33</v>
      </c>
      <c r="D3278" s="72" t="s">
        <v>6953</v>
      </c>
      <c r="E3278" t="s">
        <v>36</v>
      </c>
      <c r="F3278" t="s">
        <v>5415</v>
      </c>
      <c r="G3278" s="92"/>
      <c r="H3278" s="92"/>
      <c r="I3278" s="92"/>
      <c r="J3278" s="92"/>
      <c r="K3278" s="92"/>
      <c r="L3278" s="9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9"/>
    </row>
    <row r="3279" spans="1:14" hidden="1" x14ac:dyDescent="0.15">
      <c r="A3279">
        <v>3279</v>
      </c>
      <c r="B3279" t="s">
        <v>35</v>
      </c>
      <c r="C3279" t="s">
        <v>33</v>
      </c>
      <c r="D3279" s="72" t="s">
        <v>5416</v>
      </c>
      <c r="E3279" t="s">
        <v>36</v>
      </c>
      <c r="F3279" t="s">
        <v>5417</v>
      </c>
      <c r="G3279" s="92"/>
      <c r="H3279" s="92"/>
      <c r="I3279" s="92"/>
      <c r="J3279" s="92"/>
      <c r="K3279" s="92"/>
      <c r="L3279" s="9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9"/>
    </row>
    <row r="3280" spans="1:14" hidden="1" x14ac:dyDescent="0.15">
      <c r="A3280">
        <v>3280</v>
      </c>
      <c r="B3280" t="s">
        <v>35</v>
      </c>
      <c r="C3280" t="s">
        <v>33</v>
      </c>
      <c r="D3280" s="72" t="s">
        <v>5418</v>
      </c>
      <c r="E3280" t="s">
        <v>36</v>
      </c>
      <c r="F3280" t="s">
        <v>5419</v>
      </c>
      <c r="G3280" s="92"/>
      <c r="H3280" s="92"/>
      <c r="I3280" s="92"/>
      <c r="J3280" s="92"/>
      <c r="K3280" s="92"/>
      <c r="L3280" s="9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9"/>
    </row>
    <row r="3281" spans="1:14" hidden="1" x14ac:dyDescent="0.15">
      <c r="A3281">
        <v>3281</v>
      </c>
      <c r="B3281" t="s">
        <v>35</v>
      </c>
      <c r="C3281" t="s">
        <v>33</v>
      </c>
      <c r="D3281" s="72" t="s">
        <v>5420</v>
      </c>
      <c r="E3281" t="s">
        <v>36</v>
      </c>
      <c r="F3281" t="s">
        <v>5421</v>
      </c>
      <c r="G3281" s="92"/>
      <c r="H3281" s="92"/>
      <c r="I3281" s="92"/>
      <c r="J3281" s="92"/>
      <c r="K3281" s="92"/>
      <c r="L3281" s="9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9"/>
    </row>
    <row r="3282" spans="1:14" hidden="1" x14ac:dyDescent="0.15">
      <c r="A3282">
        <v>3282</v>
      </c>
      <c r="B3282" t="s">
        <v>35</v>
      </c>
      <c r="C3282" t="s">
        <v>33</v>
      </c>
      <c r="D3282" s="72" t="s">
        <v>5422</v>
      </c>
      <c r="E3282" t="s">
        <v>61</v>
      </c>
      <c r="F3282" t="s">
        <v>5423</v>
      </c>
      <c r="G3282" s="92"/>
      <c r="H3282" s="92"/>
      <c r="I3282" s="92"/>
      <c r="J3282" s="92"/>
      <c r="K3282" s="92"/>
      <c r="L3282" s="9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9"/>
    </row>
    <row r="3283" spans="1:14" hidden="1" x14ac:dyDescent="0.15">
      <c r="A3283">
        <v>3283</v>
      </c>
      <c r="B3283" t="s">
        <v>35</v>
      </c>
      <c r="C3283" t="s">
        <v>33</v>
      </c>
      <c r="D3283" s="72" t="s">
        <v>5424</v>
      </c>
      <c r="E3283" t="s">
        <v>1021</v>
      </c>
      <c r="F3283" t="s">
        <v>5631</v>
      </c>
      <c r="G3283" s="92"/>
      <c r="H3283" s="92"/>
      <c r="I3283" s="92"/>
      <c r="J3283" s="92"/>
      <c r="K3283" s="92"/>
      <c r="L3283" s="9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9"/>
    </row>
    <row r="3284" spans="1:14" hidden="1" x14ac:dyDescent="0.15">
      <c r="A3284">
        <v>3284</v>
      </c>
      <c r="B3284" t="s">
        <v>35</v>
      </c>
      <c r="C3284" t="s">
        <v>33</v>
      </c>
      <c r="D3284" s="72" t="s">
        <v>5425</v>
      </c>
      <c r="E3284" t="s">
        <v>157</v>
      </c>
      <c r="F3284" t="s">
        <v>5426</v>
      </c>
      <c r="G3284" s="92"/>
      <c r="H3284" s="92"/>
      <c r="I3284" s="92"/>
      <c r="J3284" s="92"/>
      <c r="K3284" s="92"/>
      <c r="L3284" s="9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9"/>
    </row>
    <row r="3285" spans="1:14" hidden="1" x14ac:dyDescent="0.15">
      <c r="A3285">
        <v>3285</v>
      </c>
      <c r="B3285" t="s">
        <v>35</v>
      </c>
      <c r="C3285" t="s">
        <v>33</v>
      </c>
      <c r="D3285" s="72" t="s">
        <v>5427</v>
      </c>
      <c r="E3285" t="s">
        <v>73</v>
      </c>
      <c r="F3285" t="s">
        <v>5428</v>
      </c>
      <c r="G3285" s="92"/>
      <c r="H3285" s="92"/>
      <c r="I3285" s="92"/>
      <c r="J3285" s="92"/>
      <c r="K3285" s="92"/>
      <c r="L3285" s="9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9"/>
    </row>
    <row r="3286" spans="1:14" hidden="1" x14ac:dyDescent="0.15">
      <c r="A3286">
        <v>3286</v>
      </c>
      <c r="B3286" t="s">
        <v>35</v>
      </c>
      <c r="C3286" t="s">
        <v>33</v>
      </c>
      <c r="D3286" s="72" t="s">
        <v>3119</v>
      </c>
      <c r="E3286" t="s">
        <v>36</v>
      </c>
      <c r="F3286" t="s">
        <v>3120</v>
      </c>
      <c r="G3286" s="92"/>
      <c r="H3286" s="92"/>
      <c r="I3286" s="92"/>
      <c r="J3286" s="92"/>
      <c r="K3286" s="92"/>
      <c r="L3286" s="9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9"/>
    </row>
    <row r="3287" spans="1:14" hidden="1" x14ac:dyDescent="0.15">
      <c r="A3287">
        <v>3287</v>
      </c>
      <c r="B3287" t="s">
        <v>35</v>
      </c>
      <c r="C3287" t="s">
        <v>33</v>
      </c>
      <c r="D3287" s="72" t="s">
        <v>5429</v>
      </c>
      <c r="E3287" t="s">
        <v>36</v>
      </c>
      <c r="F3287" t="s">
        <v>5430</v>
      </c>
      <c r="G3287" s="92"/>
      <c r="H3287" s="92"/>
      <c r="I3287" s="92"/>
      <c r="J3287" s="92"/>
      <c r="K3287" s="92"/>
      <c r="L3287" s="9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9"/>
    </row>
    <row r="3288" spans="1:14" hidden="1" x14ac:dyDescent="0.15">
      <c r="A3288">
        <v>3288</v>
      </c>
      <c r="B3288" t="s">
        <v>35</v>
      </c>
      <c r="C3288" t="s">
        <v>33</v>
      </c>
      <c r="D3288" s="72" t="s">
        <v>5431</v>
      </c>
      <c r="E3288" t="s">
        <v>36</v>
      </c>
      <c r="F3288" t="s">
        <v>5432</v>
      </c>
      <c r="G3288" s="92"/>
      <c r="H3288" s="92"/>
      <c r="I3288" s="92"/>
      <c r="J3288" s="92"/>
      <c r="K3288" s="92"/>
      <c r="L3288" s="9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9"/>
    </row>
    <row r="3289" spans="1:14" hidden="1" x14ac:dyDescent="0.15">
      <c r="A3289">
        <v>3289</v>
      </c>
      <c r="B3289" t="s">
        <v>35</v>
      </c>
      <c r="C3289" t="s">
        <v>33</v>
      </c>
      <c r="D3289" s="72" t="s">
        <v>5433</v>
      </c>
      <c r="E3289" t="s">
        <v>1019</v>
      </c>
      <c r="F3289" t="s">
        <v>5434</v>
      </c>
      <c r="G3289" s="92"/>
      <c r="H3289" s="92"/>
      <c r="I3289" s="92"/>
      <c r="J3289" s="92"/>
      <c r="K3289" s="92"/>
      <c r="L3289" s="9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9"/>
    </row>
    <row r="3290" spans="1:14" hidden="1" x14ac:dyDescent="0.15">
      <c r="A3290">
        <v>3290</v>
      </c>
      <c r="B3290" t="s">
        <v>35</v>
      </c>
      <c r="C3290" t="s">
        <v>33</v>
      </c>
      <c r="D3290" s="72" t="s">
        <v>1578</v>
      </c>
      <c r="E3290" t="s">
        <v>36</v>
      </c>
      <c r="F3290" t="s">
        <v>1579</v>
      </c>
      <c r="G3290" s="92"/>
      <c r="H3290" s="92"/>
      <c r="I3290" s="92"/>
      <c r="J3290" s="92"/>
      <c r="K3290" s="92"/>
      <c r="L3290" s="9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9"/>
    </row>
    <row r="3291" spans="1:14" hidden="1" x14ac:dyDescent="0.15">
      <c r="A3291">
        <v>3291</v>
      </c>
      <c r="B3291" t="s">
        <v>35</v>
      </c>
      <c r="C3291" t="s">
        <v>33</v>
      </c>
      <c r="D3291" s="72" t="s">
        <v>5435</v>
      </c>
      <c r="E3291" t="s">
        <v>36</v>
      </c>
      <c r="F3291" t="s">
        <v>5436</v>
      </c>
      <c r="G3291" s="92"/>
      <c r="H3291" s="92"/>
      <c r="I3291" s="92"/>
      <c r="J3291" s="92"/>
      <c r="K3291" s="92"/>
      <c r="L3291" s="9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9"/>
    </row>
    <row r="3292" spans="1:14" hidden="1" x14ac:dyDescent="0.15">
      <c r="A3292">
        <v>3292</v>
      </c>
      <c r="B3292" t="s">
        <v>35</v>
      </c>
      <c r="C3292" t="s">
        <v>33</v>
      </c>
      <c r="D3292" s="72" t="s">
        <v>5437</v>
      </c>
      <c r="E3292" t="s">
        <v>736</v>
      </c>
      <c r="F3292" t="s">
        <v>5438</v>
      </c>
      <c r="G3292" s="92"/>
      <c r="H3292" s="92"/>
      <c r="I3292" s="92"/>
      <c r="J3292" s="92"/>
      <c r="K3292" s="92"/>
      <c r="L3292" s="9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9"/>
    </row>
    <row r="3293" spans="1:14" hidden="1" x14ac:dyDescent="0.15">
      <c r="A3293">
        <v>3293</v>
      </c>
      <c r="B3293" t="s">
        <v>35</v>
      </c>
      <c r="C3293" t="s">
        <v>33</v>
      </c>
      <c r="D3293" s="72" t="s">
        <v>5439</v>
      </c>
      <c r="E3293" t="s">
        <v>36</v>
      </c>
      <c r="F3293" t="s">
        <v>5440</v>
      </c>
      <c r="G3293" s="92"/>
      <c r="H3293" s="92"/>
      <c r="I3293" s="92"/>
      <c r="J3293" s="92"/>
      <c r="K3293" s="92"/>
      <c r="L3293" s="9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9"/>
    </row>
    <row r="3294" spans="1:14" hidden="1" x14ac:dyDescent="0.15">
      <c r="A3294">
        <v>3294</v>
      </c>
      <c r="B3294" t="s">
        <v>35</v>
      </c>
      <c r="C3294" t="s">
        <v>33</v>
      </c>
      <c r="D3294" s="72" t="s">
        <v>5441</v>
      </c>
      <c r="E3294" t="s">
        <v>73</v>
      </c>
      <c r="F3294" t="s">
        <v>5442</v>
      </c>
      <c r="G3294" s="92"/>
      <c r="H3294" s="92"/>
      <c r="I3294" s="92"/>
      <c r="J3294" s="92"/>
      <c r="K3294" s="92"/>
      <c r="L3294" s="9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9"/>
    </row>
    <row r="3295" spans="1:14" hidden="1" x14ac:dyDescent="0.15">
      <c r="A3295">
        <v>3295</v>
      </c>
      <c r="B3295" t="s">
        <v>35</v>
      </c>
      <c r="C3295" t="s">
        <v>33</v>
      </c>
      <c r="D3295" s="72" t="s">
        <v>5443</v>
      </c>
      <c r="E3295" t="s">
        <v>36</v>
      </c>
      <c r="F3295" t="s">
        <v>5444</v>
      </c>
      <c r="G3295" s="92"/>
      <c r="H3295" s="92"/>
      <c r="I3295" s="92"/>
      <c r="J3295" s="92"/>
      <c r="K3295" s="92"/>
      <c r="L3295" s="9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9"/>
    </row>
    <row r="3296" spans="1:14" hidden="1" x14ac:dyDescent="0.15">
      <c r="A3296">
        <v>3296</v>
      </c>
      <c r="B3296" t="s">
        <v>35</v>
      </c>
      <c r="C3296" t="s">
        <v>34</v>
      </c>
      <c r="D3296" s="72" t="s">
        <v>1718</v>
      </c>
      <c r="E3296" t="s">
        <v>73</v>
      </c>
      <c r="F3296" t="s">
        <v>1719</v>
      </c>
      <c r="G3296" s="92"/>
      <c r="H3296" s="92"/>
      <c r="I3296" s="92"/>
      <c r="J3296" s="92"/>
      <c r="K3296" s="92"/>
      <c r="L3296" s="9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9"/>
    </row>
    <row r="3297" spans="1:14" hidden="1" x14ac:dyDescent="0.15">
      <c r="A3297">
        <v>3297</v>
      </c>
      <c r="B3297" t="s">
        <v>35</v>
      </c>
      <c r="C3297" t="s">
        <v>34</v>
      </c>
      <c r="D3297" s="72" t="s">
        <v>5445</v>
      </c>
      <c r="E3297" t="s">
        <v>36</v>
      </c>
      <c r="F3297" t="s">
        <v>5446</v>
      </c>
      <c r="G3297" s="92"/>
      <c r="H3297" s="92"/>
      <c r="I3297" s="92"/>
      <c r="J3297" s="92"/>
      <c r="K3297" s="92"/>
      <c r="L3297" s="9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9"/>
    </row>
    <row r="3298" spans="1:14" hidden="1" x14ac:dyDescent="0.15">
      <c r="A3298">
        <v>3298</v>
      </c>
      <c r="B3298" t="s">
        <v>35</v>
      </c>
      <c r="C3298" t="s">
        <v>34</v>
      </c>
      <c r="D3298" s="72" t="s">
        <v>5447</v>
      </c>
      <c r="E3298" t="s">
        <v>73</v>
      </c>
      <c r="F3298" t="s">
        <v>5448</v>
      </c>
      <c r="G3298" s="92"/>
      <c r="H3298" s="92"/>
      <c r="I3298" s="92"/>
      <c r="J3298" s="92"/>
      <c r="K3298" s="92"/>
      <c r="L3298" s="9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9"/>
    </row>
    <row r="3299" spans="1:14" hidden="1" x14ac:dyDescent="0.15">
      <c r="A3299">
        <v>3299</v>
      </c>
      <c r="B3299" t="s">
        <v>35</v>
      </c>
      <c r="C3299" t="s">
        <v>34</v>
      </c>
      <c r="D3299" s="72" t="s">
        <v>588</v>
      </c>
      <c r="E3299" t="s">
        <v>73</v>
      </c>
      <c r="F3299" t="s">
        <v>589</v>
      </c>
      <c r="G3299" s="92"/>
      <c r="H3299" s="92"/>
      <c r="I3299" s="92"/>
      <c r="J3299" s="92"/>
      <c r="K3299" s="92"/>
      <c r="L3299" s="9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9"/>
    </row>
    <row r="3300" spans="1:14" hidden="1" x14ac:dyDescent="0.15">
      <c r="A3300">
        <v>3300</v>
      </c>
      <c r="B3300" t="s">
        <v>35</v>
      </c>
      <c r="C3300" t="s">
        <v>34</v>
      </c>
      <c r="D3300" s="72" t="s">
        <v>5449</v>
      </c>
      <c r="E3300" t="s">
        <v>36</v>
      </c>
      <c r="F3300" t="s">
        <v>5450</v>
      </c>
      <c r="G3300" s="92"/>
      <c r="H3300" s="92"/>
      <c r="I3300" s="92"/>
      <c r="J3300" s="92"/>
      <c r="K3300" s="92"/>
      <c r="L3300" s="9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9"/>
    </row>
    <row r="3301" spans="1:14" hidden="1" x14ac:dyDescent="0.15">
      <c r="A3301">
        <v>3301</v>
      </c>
      <c r="B3301" t="s">
        <v>35</v>
      </c>
      <c r="C3301" t="s">
        <v>34</v>
      </c>
      <c r="D3301" s="72" t="s">
        <v>5451</v>
      </c>
      <c r="E3301" t="s">
        <v>73</v>
      </c>
      <c r="F3301" t="s">
        <v>5452</v>
      </c>
      <c r="G3301" s="92"/>
      <c r="H3301" s="92"/>
      <c r="I3301" s="92"/>
      <c r="J3301" s="92"/>
      <c r="K3301" s="92"/>
      <c r="L3301" s="9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9"/>
    </row>
    <row r="3302" spans="1:14" hidden="1" x14ac:dyDescent="0.15">
      <c r="A3302">
        <v>3302</v>
      </c>
      <c r="B3302" t="s">
        <v>35</v>
      </c>
      <c r="C3302" t="s">
        <v>34</v>
      </c>
      <c r="D3302" s="72" t="s">
        <v>5655</v>
      </c>
      <c r="E3302" t="s">
        <v>1019</v>
      </c>
      <c r="F3302" t="s">
        <v>5453</v>
      </c>
      <c r="G3302" s="92"/>
      <c r="H3302" s="92"/>
      <c r="I3302" s="92"/>
      <c r="J3302" s="92"/>
      <c r="K3302" s="92"/>
      <c r="L3302" s="9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9"/>
    </row>
    <row r="3303" spans="1:14" hidden="1" x14ac:dyDescent="0.15">
      <c r="A3303">
        <v>3303</v>
      </c>
      <c r="B3303" t="s">
        <v>35</v>
      </c>
      <c r="C3303" t="s">
        <v>34</v>
      </c>
      <c r="D3303" s="72" t="s">
        <v>5454</v>
      </c>
      <c r="E3303" t="s">
        <v>157</v>
      </c>
      <c r="F3303" t="s">
        <v>5154</v>
      </c>
      <c r="G3303" s="92"/>
      <c r="H3303" s="92"/>
      <c r="I3303" s="92"/>
      <c r="J3303" s="92"/>
      <c r="K3303" s="92"/>
      <c r="L3303" s="9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9"/>
    </row>
    <row r="3304" spans="1:14" hidden="1" x14ac:dyDescent="0.15">
      <c r="A3304">
        <v>3304</v>
      </c>
      <c r="B3304" t="s">
        <v>35</v>
      </c>
      <c r="C3304" t="s">
        <v>34</v>
      </c>
      <c r="D3304" s="72" t="s">
        <v>5455</v>
      </c>
      <c r="E3304" t="s">
        <v>36</v>
      </c>
      <c r="F3304" t="s">
        <v>5456</v>
      </c>
      <c r="G3304" s="92"/>
      <c r="H3304" s="92"/>
      <c r="I3304" s="92"/>
      <c r="J3304" s="92"/>
      <c r="K3304" s="92"/>
      <c r="L3304" s="9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9"/>
    </row>
    <row r="3305" spans="1:14" hidden="1" x14ac:dyDescent="0.15">
      <c r="A3305">
        <v>3305</v>
      </c>
      <c r="B3305" t="s">
        <v>35</v>
      </c>
      <c r="C3305" t="s">
        <v>34</v>
      </c>
      <c r="D3305" s="72" t="s">
        <v>5457</v>
      </c>
      <c r="E3305" t="s">
        <v>36</v>
      </c>
      <c r="F3305" t="s">
        <v>5458</v>
      </c>
      <c r="G3305" s="92"/>
      <c r="H3305" s="92"/>
      <c r="I3305" s="92"/>
      <c r="J3305" s="92"/>
      <c r="K3305" s="92"/>
      <c r="L3305" s="9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9"/>
    </row>
    <row r="3306" spans="1:14" hidden="1" x14ac:dyDescent="0.15">
      <c r="A3306">
        <v>3306</v>
      </c>
      <c r="B3306" t="s">
        <v>35</v>
      </c>
      <c r="C3306" t="s">
        <v>34</v>
      </c>
      <c r="D3306" s="72" t="s">
        <v>5459</v>
      </c>
      <c r="E3306" t="s">
        <v>36</v>
      </c>
      <c r="F3306" t="s">
        <v>5460</v>
      </c>
      <c r="G3306" s="92"/>
      <c r="H3306" s="92"/>
      <c r="I3306" s="92"/>
      <c r="J3306" s="92"/>
      <c r="K3306" s="92"/>
      <c r="L3306" s="9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9"/>
    </row>
    <row r="3307" spans="1:14" hidden="1" x14ac:dyDescent="0.15">
      <c r="A3307">
        <v>3307</v>
      </c>
      <c r="B3307" t="s">
        <v>35</v>
      </c>
      <c r="C3307" t="s">
        <v>34</v>
      </c>
      <c r="D3307" s="72" t="s">
        <v>5461</v>
      </c>
      <c r="E3307" t="s">
        <v>157</v>
      </c>
      <c r="F3307" t="s">
        <v>5462</v>
      </c>
      <c r="G3307" s="92"/>
      <c r="H3307" s="92"/>
      <c r="I3307" s="92"/>
      <c r="J3307" s="92"/>
      <c r="K3307" s="92"/>
      <c r="L3307" s="9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9"/>
    </row>
    <row r="3308" spans="1:14" hidden="1" x14ac:dyDescent="0.15">
      <c r="A3308">
        <v>3308</v>
      </c>
      <c r="B3308" t="s">
        <v>35</v>
      </c>
      <c r="C3308" t="s">
        <v>34</v>
      </c>
      <c r="D3308" s="72" t="s">
        <v>5463</v>
      </c>
      <c r="E3308" t="s">
        <v>61</v>
      </c>
      <c r="F3308" t="s">
        <v>5464</v>
      </c>
      <c r="G3308" s="92"/>
      <c r="H3308" s="92"/>
      <c r="I3308" s="92"/>
      <c r="J3308" s="92"/>
      <c r="K3308" s="92"/>
      <c r="L3308" s="9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9"/>
    </row>
    <row r="3309" spans="1:14" hidden="1" x14ac:dyDescent="0.15">
      <c r="A3309">
        <v>3309</v>
      </c>
      <c r="B3309" t="s">
        <v>35</v>
      </c>
      <c r="C3309" t="s">
        <v>34</v>
      </c>
      <c r="D3309" s="72" t="s">
        <v>5465</v>
      </c>
      <c r="E3309" t="s">
        <v>73</v>
      </c>
      <c r="F3309" t="s">
        <v>5466</v>
      </c>
      <c r="G3309" s="92"/>
      <c r="H3309" s="92"/>
      <c r="I3309" s="92"/>
      <c r="J3309" s="92"/>
      <c r="K3309" s="92"/>
      <c r="L3309" s="9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9"/>
    </row>
    <row r="3310" spans="1:14" hidden="1" x14ac:dyDescent="0.15">
      <c r="A3310">
        <v>3310</v>
      </c>
      <c r="B3310" t="s">
        <v>35</v>
      </c>
      <c r="C3310" t="s">
        <v>34</v>
      </c>
      <c r="D3310" s="72" t="s">
        <v>5654</v>
      </c>
      <c r="E3310" t="s">
        <v>736</v>
      </c>
      <c r="F3310" t="s">
        <v>5467</v>
      </c>
      <c r="G3310" s="92"/>
      <c r="H3310" s="92"/>
      <c r="I3310" s="92"/>
      <c r="J3310" s="92"/>
      <c r="K3310" s="92"/>
      <c r="L3310" s="9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9"/>
    </row>
    <row r="3311" spans="1:14" hidden="1" x14ac:dyDescent="0.15">
      <c r="A3311">
        <v>3311</v>
      </c>
      <c r="B3311" t="s">
        <v>35</v>
      </c>
      <c r="C3311" t="s">
        <v>34</v>
      </c>
      <c r="D3311" s="72" t="s">
        <v>5468</v>
      </c>
      <c r="E3311" t="s">
        <v>36</v>
      </c>
      <c r="F3311" t="s">
        <v>5469</v>
      </c>
      <c r="G3311" s="92"/>
      <c r="H3311" s="92"/>
      <c r="I3311" s="92"/>
      <c r="J3311" s="92"/>
      <c r="K3311" s="92"/>
      <c r="L3311" s="9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9"/>
    </row>
    <row r="3312" spans="1:14" hidden="1" x14ac:dyDescent="0.15">
      <c r="A3312">
        <v>3312</v>
      </c>
      <c r="B3312" t="s">
        <v>35</v>
      </c>
      <c r="C3312" t="s">
        <v>34</v>
      </c>
      <c r="D3312" s="72" t="s">
        <v>5470</v>
      </c>
      <c r="E3312" t="s">
        <v>36</v>
      </c>
      <c r="F3312" t="s">
        <v>5471</v>
      </c>
      <c r="G3312" s="92"/>
      <c r="H3312" s="92"/>
      <c r="I3312" s="92"/>
      <c r="J3312" s="92"/>
      <c r="K3312" s="92"/>
      <c r="L3312" s="9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9"/>
    </row>
    <row r="3313" spans="1:14" hidden="1" x14ac:dyDescent="0.15">
      <c r="A3313">
        <v>3313</v>
      </c>
      <c r="B3313" t="s">
        <v>35</v>
      </c>
      <c r="C3313" t="s">
        <v>34</v>
      </c>
      <c r="D3313" s="72" t="s">
        <v>5472</v>
      </c>
      <c r="E3313" t="s">
        <v>73</v>
      </c>
      <c r="F3313" t="s">
        <v>5473</v>
      </c>
      <c r="G3313" s="92"/>
      <c r="H3313" s="92"/>
      <c r="I3313" s="92"/>
      <c r="J3313" s="92"/>
      <c r="K3313" s="92"/>
      <c r="L3313" s="9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9"/>
    </row>
    <row r="3314" spans="1:14" hidden="1" x14ac:dyDescent="0.15">
      <c r="A3314">
        <v>3314</v>
      </c>
      <c r="B3314" t="s">
        <v>35</v>
      </c>
      <c r="C3314" t="s">
        <v>34</v>
      </c>
      <c r="D3314" s="72" t="s">
        <v>5653</v>
      </c>
      <c r="E3314" t="s">
        <v>736</v>
      </c>
      <c r="F3314" t="s">
        <v>3624</v>
      </c>
      <c r="G3314" s="92"/>
      <c r="H3314" s="92"/>
      <c r="I3314" s="92"/>
      <c r="J3314" s="92"/>
      <c r="K3314" s="92"/>
      <c r="L3314" s="9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9"/>
    </row>
    <row r="3315" spans="1:14" hidden="1" x14ac:dyDescent="0.15">
      <c r="A3315">
        <v>3315</v>
      </c>
      <c r="B3315" t="s">
        <v>35</v>
      </c>
      <c r="C3315" t="s">
        <v>34</v>
      </c>
      <c r="D3315" s="72" t="s">
        <v>5474</v>
      </c>
      <c r="E3315" t="s">
        <v>36</v>
      </c>
      <c r="F3315" t="s">
        <v>5475</v>
      </c>
      <c r="G3315" s="92"/>
      <c r="H3315" s="92"/>
      <c r="I3315" s="92"/>
      <c r="J3315" s="92"/>
      <c r="K3315" s="92"/>
      <c r="L3315" s="9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9"/>
    </row>
    <row r="3316" spans="1:14" hidden="1" x14ac:dyDescent="0.15">
      <c r="A3316">
        <v>3316</v>
      </c>
      <c r="B3316" t="s">
        <v>35</v>
      </c>
      <c r="C3316" t="s">
        <v>34</v>
      </c>
      <c r="D3316" s="72" t="s">
        <v>5476</v>
      </c>
      <c r="E3316" t="s">
        <v>36</v>
      </c>
      <c r="F3316" t="s">
        <v>5477</v>
      </c>
      <c r="G3316" s="92"/>
      <c r="H3316" s="92"/>
      <c r="I3316" s="92"/>
      <c r="J3316" s="92"/>
      <c r="K3316" s="92"/>
      <c r="L3316" s="9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9"/>
    </row>
    <row r="3317" spans="1:14" hidden="1" x14ac:dyDescent="0.15">
      <c r="A3317">
        <v>3317</v>
      </c>
      <c r="B3317" t="s">
        <v>35</v>
      </c>
      <c r="C3317" t="s">
        <v>34</v>
      </c>
      <c r="D3317" s="72" t="s">
        <v>5652</v>
      </c>
      <c r="E3317" t="s">
        <v>702</v>
      </c>
      <c r="F3317" t="s">
        <v>5478</v>
      </c>
      <c r="G3317" s="92"/>
      <c r="H3317" s="92"/>
      <c r="I3317" s="92"/>
      <c r="J3317" s="92"/>
      <c r="K3317" s="92"/>
      <c r="L3317" s="9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9"/>
    </row>
    <row r="3318" spans="1:14" hidden="1" x14ac:dyDescent="0.15">
      <c r="A3318">
        <v>3318</v>
      </c>
      <c r="B3318" t="s">
        <v>35</v>
      </c>
      <c r="C3318" t="s">
        <v>34</v>
      </c>
      <c r="D3318" s="72" t="s">
        <v>5651</v>
      </c>
      <c r="E3318" t="s">
        <v>1019</v>
      </c>
      <c r="F3318" t="s">
        <v>5479</v>
      </c>
      <c r="G3318" s="92"/>
      <c r="H3318" s="92"/>
      <c r="I3318" s="92"/>
      <c r="J3318" s="92"/>
      <c r="K3318" s="92"/>
      <c r="L3318" s="9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9"/>
    </row>
    <row r="3319" spans="1:14" hidden="1" x14ac:dyDescent="0.15">
      <c r="A3319">
        <v>3319</v>
      </c>
      <c r="B3319" t="s">
        <v>35</v>
      </c>
      <c r="C3319" t="s">
        <v>34</v>
      </c>
      <c r="D3319" s="72" t="s">
        <v>5661</v>
      </c>
      <c r="E3319" t="s">
        <v>736</v>
      </c>
      <c r="F3319" t="s">
        <v>5480</v>
      </c>
      <c r="G3319" s="92"/>
      <c r="H3319" s="92"/>
      <c r="I3319" s="92"/>
      <c r="J3319" s="92"/>
      <c r="K3319" s="92"/>
      <c r="L3319" s="9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9"/>
    </row>
    <row r="3320" spans="1:14" hidden="1" x14ac:dyDescent="0.15">
      <c r="A3320">
        <v>3320</v>
      </c>
      <c r="B3320" t="s">
        <v>35</v>
      </c>
      <c r="C3320" t="s">
        <v>34</v>
      </c>
      <c r="D3320" s="72" t="s">
        <v>5650</v>
      </c>
      <c r="E3320" t="s">
        <v>736</v>
      </c>
      <c r="F3320" t="s">
        <v>5481</v>
      </c>
      <c r="G3320" s="92"/>
      <c r="H3320" s="92"/>
      <c r="I3320" s="92"/>
      <c r="J3320" s="92"/>
      <c r="K3320" s="92"/>
      <c r="L3320" s="9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9"/>
    </row>
    <row r="3321" spans="1:14" hidden="1" x14ac:dyDescent="0.15">
      <c r="A3321">
        <v>3321</v>
      </c>
      <c r="B3321" t="s">
        <v>35</v>
      </c>
      <c r="C3321" t="s">
        <v>34</v>
      </c>
      <c r="D3321" s="72" t="s">
        <v>600</v>
      </c>
      <c r="E3321" t="s">
        <v>61</v>
      </c>
      <c r="F3321" t="s">
        <v>5632</v>
      </c>
      <c r="G3321" s="92"/>
      <c r="H3321" s="92"/>
      <c r="I3321" s="92"/>
      <c r="J3321" s="92"/>
      <c r="K3321" s="92"/>
      <c r="L3321" s="9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9"/>
    </row>
    <row r="3322" spans="1:14" hidden="1" x14ac:dyDescent="0.15">
      <c r="A3322">
        <v>3322</v>
      </c>
      <c r="B3322" t="s">
        <v>35</v>
      </c>
      <c r="C3322" t="s">
        <v>34</v>
      </c>
      <c r="D3322" s="72" t="s">
        <v>64</v>
      </c>
      <c r="E3322" t="s">
        <v>36</v>
      </c>
      <c r="F3322" t="s">
        <v>5482</v>
      </c>
      <c r="G3322" s="92"/>
      <c r="H3322" s="92"/>
      <c r="I3322" s="92"/>
      <c r="J3322" s="92"/>
      <c r="K3322" s="92"/>
      <c r="L3322" s="9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9"/>
    </row>
    <row r="3323" spans="1:14" hidden="1" x14ac:dyDescent="0.15">
      <c r="A3323">
        <v>3323</v>
      </c>
      <c r="B3323" t="s">
        <v>35</v>
      </c>
      <c r="C3323" t="s">
        <v>34</v>
      </c>
      <c r="D3323" s="72" t="s">
        <v>5649</v>
      </c>
      <c r="E3323" t="s">
        <v>702</v>
      </c>
      <c r="F3323" t="s">
        <v>5483</v>
      </c>
      <c r="G3323" s="92"/>
      <c r="H3323" s="92"/>
      <c r="I3323" s="92"/>
      <c r="J3323" s="92"/>
      <c r="K3323" s="92"/>
      <c r="L3323" s="9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9"/>
    </row>
    <row r="3324" spans="1:14" hidden="1" x14ac:dyDescent="0.15">
      <c r="A3324">
        <v>3324</v>
      </c>
      <c r="B3324" t="s">
        <v>35</v>
      </c>
      <c r="C3324" t="s">
        <v>34</v>
      </c>
      <c r="D3324" s="72" t="s">
        <v>2683</v>
      </c>
      <c r="E3324" t="s">
        <v>36</v>
      </c>
      <c r="F3324" t="s">
        <v>2684</v>
      </c>
      <c r="G3324" s="92"/>
      <c r="H3324" s="92"/>
      <c r="I3324" s="92"/>
      <c r="J3324" s="92"/>
      <c r="K3324" s="92"/>
      <c r="L3324" s="9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9"/>
    </row>
    <row r="3325" spans="1:14" hidden="1" x14ac:dyDescent="0.15">
      <c r="A3325">
        <v>3325</v>
      </c>
      <c r="B3325" t="s">
        <v>35</v>
      </c>
      <c r="C3325" t="s">
        <v>34</v>
      </c>
      <c r="D3325" s="72" t="s">
        <v>5484</v>
      </c>
      <c r="E3325" t="s">
        <v>36</v>
      </c>
      <c r="F3325" t="s">
        <v>5485</v>
      </c>
      <c r="G3325" s="92"/>
      <c r="H3325" s="92"/>
      <c r="I3325" s="92"/>
      <c r="J3325" s="92"/>
      <c r="K3325" s="92"/>
      <c r="L3325" s="9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9"/>
    </row>
    <row r="3326" spans="1:14" hidden="1" x14ac:dyDescent="0.15">
      <c r="A3326">
        <v>3326</v>
      </c>
      <c r="B3326" t="s">
        <v>35</v>
      </c>
      <c r="C3326" t="s">
        <v>34</v>
      </c>
      <c r="D3326" s="72" t="s">
        <v>5486</v>
      </c>
      <c r="E3326" t="s">
        <v>36</v>
      </c>
      <c r="F3326" t="s">
        <v>5633</v>
      </c>
      <c r="G3326" s="92"/>
      <c r="H3326" s="92"/>
      <c r="I3326" s="92"/>
      <c r="J3326" s="92"/>
      <c r="K3326" s="92"/>
      <c r="L3326" s="9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9"/>
    </row>
    <row r="3327" spans="1:14" hidden="1" x14ac:dyDescent="0.15">
      <c r="A3327">
        <v>3327</v>
      </c>
      <c r="B3327" t="s">
        <v>35</v>
      </c>
      <c r="C3327" t="s">
        <v>34</v>
      </c>
      <c r="D3327" s="72" t="s">
        <v>5487</v>
      </c>
      <c r="E3327" t="s">
        <v>36</v>
      </c>
      <c r="F3327" t="s">
        <v>5488</v>
      </c>
      <c r="G3327" s="92"/>
      <c r="H3327" s="92"/>
      <c r="I3327" s="92"/>
      <c r="J3327" s="92"/>
      <c r="K3327" s="92"/>
      <c r="L3327" s="9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9"/>
    </row>
    <row r="3328" spans="1:14" hidden="1" x14ac:dyDescent="0.15">
      <c r="A3328">
        <v>3328</v>
      </c>
      <c r="B3328" t="s">
        <v>5674</v>
      </c>
      <c r="C3328" t="s">
        <v>5675</v>
      </c>
      <c r="D3328" s="78" t="s">
        <v>5677</v>
      </c>
      <c r="E3328" t="s">
        <v>5678</v>
      </c>
      <c r="F3328" t="s">
        <v>5679</v>
      </c>
      <c r="G3328" s="92">
        <v>42675.702384259261</v>
      </c>
      <c r="H3328" s="92">
        <v>42675.880381944444</v>
      </c>
      <c r="I3328" s="92">
        <v>42675.880370370367</v>
      </c>
      <c r="J3328" s="92"/>
      <c r="K3328" s="92">
        <v>42675.884120370371</v>
      </c>
      <c r="L3328" s="92">
        <f>IF(AND(单词表[[#This Row],[学英]]&lt;&gt;"",单词表[[#This Row],[学中]]&lt;&gt;"",单词表[[#This Row],[学词]]&lt;&gt;""),MAX(单词表[[#This Row],[学英]:[学词]]),"")</f>
        <v>42675.880381944444</v>
      </c>
      <c r="M3328" s="2" t="str">
        <f>IF(AND(单词表[[#This Row],[考英]]&lt;&gt;"",单词表[[#This Row],[考中]]&lt;&gt;""),MAX(单词表[[#This Row],[考英]:[考中]]),"")</f>
        <v/>
      </c>
      <c r="N3328" s="86"/>
    </row>
    <row r="3329" spans="1:14" hidden="1" x14ac:dyDescent="0.15">
      <c r="A3329">
        <v>3329</v>
      </c>
      <c r="B3329" t="s">
        <v>5674</v>
      </c>
      <c r="C3329" t="s">
        <v>5675</v>
      </c>
      <c r="D3329" s="78" t="s">
        <v>5680</v>
      </c>
      <c r="E3329" t="s">
        <v>38</v>
      </c>
      <c r="F3329" t="s">
        <v>5679</v>
      </c>
      <c r="G3329" s="92">
        <v>42675.702430555553</v>
      </c>
      <c r="H3329" s="92">
        <v>42675.880416666667</v>
      </c>
      <c r="I3329" s="92">
        <v>42675.880416666667</v>
      </c>
      <c r="J3329" s="92"/>
      <c r="K3329" s="92">
        <v>42675.884155092594</v>
      </c>
      <c r="L3329" s="92">
        <f>IF(AND(单词表[[#This Row],[学英]]&lt;&gt;"",单词表[[#This Row],[学中]]&lt;&gt;"",单词表[[#This Row],[学词]]&lt;&gt;""),MAX(单词表[[#This Row],[学英]:[学词]]),"")</f>
        <v>42675.880416666667</v>
      </c>
      <c r="M3329" s="2" t="str">
        <f>IF(AND(单词表[[#This Row],[考英]]&lt;&gt;"",单词表[[#This Row],[考中]]&lt;&gt;""),MAX(单词表[[#This Row],[考英]:[考中]]),"")</f>
        <v/>
      </c>
      <c r="N3329" s="86"/>
    </row>
    <row r="3330" spans="1:14" hidden="1" x14ac:dyDescent="0.15">
      <c r="A3330">
        <v>3330</v>
      </c>
      <c r="B3330" t="s">
        <v>5674</v>
      </c>
      <c r="C3330" t="s">
        <v>5675</v>
      </c>
      <c r="D3330" s="78" t="s">
        <v>5681</v>
      </c>
      <c r="E3330" t="s">
        <v>5682</v>
      </c>
      <c r="F3330" t="s">
        <v>5683</v>
      </c>
      <c r="G3330" s="92">
        <v>42675.702476851853</v>
      </c>
      <c r="H3330" s="92">
        <v>42675.857395833336</v>
      </c>
      <c r="I3330" s="92">
        <v>42675.857395833336</v>
      </c>
      <c r="J3330" s="92"/>
      <c r="K3330" s="92">
        <v>42675.868483796294</v>
      </c>
      <c r="L3330" s="92">
        <f>IF(AND(单词表[[#This Row],[学英]]&lt;&gt;"",单词表[[#This Row],[学中]]&lt;&gt;"",单词表[[#This Row],[学词]]&lt;&gt;""),MAX(单词表[[#This Row],[学英]:[学词]]),"")</f>
        <v>42675.857395833336</v>
      </c>
      <c r="M3330" s="2" t="str">
        <f>IF(AND(单词表[[#This Row],[考英]]&lt;&gt;"",单词表[[#This Row],[考中]]&lt;&gt;""),MAX(单词表[[#This Row],[考英]:[考中]]),"")</f>
        <v/>
      </c>
      <c r="N3330" s="86"/>
    </row>
    <row r="3331" spans="1:14" hidden="1" x14ac:dyDescent="0.15">
      <c r="A3331">
        <v>3331</v>
      </c>
      <c r="B3331" t="s">
        <v>5674</v>
      </c>
      <c r="C3331" t="s">
        <v>5675</v>
      </c>
      <c r="D3331" s="78" t="s">
        <v>5684</v>
      </c>
      <c r="E3331" t="s">
        <v>5678</v>
      </c>
      <c r="F3331" t="s">
        <v>5685</v>
      </c>
      <c r="G3331" s="92">
        <v>42675.702499999999</v>
      </c>
      <c r="H3331" s="92">
        <v>42675.867118055554</v>
      </c>
      <c r="I3331" s="92">
        <v>42675.867118055554</v>
      </c>
      <c r="J3331" s="92"/>
      <c r="K3331" s="92">
        <v>42675.868518518517</v>
      </c>
      <c r="L3331" s="92">
        <f>IF(AND(单词表[[#This Row],[学英]]&lt;&gt;"",单词表[[#This Row],[学中]]&lt;&gt;"",单词表[[#This Row],[学词]]&lt;&gt;""),MAX(单词表[[#This Row],[学英]:[学词]]),"")</f>
        <v>42675.867118055554</v>
      </c>
      <c r="M3331" s="2" t="str">
        <f>IF(AND(单词表[[#This Row],[考英]]&lt;&gt;"",单词表[[#This Row],[考中]]&lt;&gt;""),MAX(单词表[[#This Row],[考英]:[考中]]),"")</f>
        <v/>
      </c>
      <c r="N3331" s="86"/>
    </row>
    <row r="3332" spans="1:14" hidden="1" x14ac:dyDescent="0.15">
      <c r="A3332">
        <v>3332</v>
      </c>
      <c r="B3332" t="s">
        <v>5674</v>
      </c>
      <c r="C3332" t="s">
        <v>5675</v>
      </c>
      <c r="D3332" s="78" t="s">
        <v>5686</v>
      </c>
      <c r="E3332" t="s">
        <v>38</v>
      </c>
      <c r="F3332" t="s">
        <v>5687</v>
      </c>
      <c r="G3332" s="92">
        <v>42675.702523148146</v>
      </c>
      <c r="H3332" s="92">
        <v>42675.868321759262</v>
      </c>
      <c r="I3332" s="92">
        <v>42675.868321759262</v>
      </c>
      <c r="J3332" s="92"/>
      <c r="K3332" s="92">
        <v>42675.868622685186</v>
      </c>
      <c r="L3332" s="92">
        <f>IF(AND(单词表[[#This Row],[学英]]&lt;&gt;"",单词表[[#This Row],[学中]]&lt;&gt;"",单词表[[#This Row],[学词]]&lt;&gt;""),MAX(单词表[[#This Row],[学英]:[学词]]),"")</f>
        <v>42675.868321759262</v>
      </c>
      <c r="M3332" s="2" t="str">
        <f>IF(AND(单词表[[#This Row],[考英]]&lt;&gt;"",单词表[[#This Row],[考中]]&lt;&gt;""),MAX(单词表[[#This Row],[考英]:[考中]]),"")</f>
        <v/>
      </c>
      <c r="N3332" s="86"/>
    </row>
    <row r="3333" spans="1:14" hidden="1" x14ac:dyDescent="0.15">
      <c r="A3333">
        <v>3333</v>
      </c>
      <c r="B3333" t="s">
        <v>5674</v>
      </c>
      <c r="C3333" t="s">
        <v>5675</v>
      </c>
      <c r="D3333" s="78" t="s">
        <v>5688</v>
      </c>
      <c r="E3333" t="s">
        <v>5682</v>
      </c>
      <c r="F3333" t="s">
        <v>5689</v>
      </c>
      <c r="G3333" s="92">
        <v>42675.702534722222</v>
      </c>
      <c r="H3333" s="92">
        <v>42675.702534722222</v>
      </c>
      <c r="I3333" s="92">
        <v>42675.702534722222</v>
      </c>
      <c r="J3333" s="92"/>
      <c r="K3333" s="92">
        <v>42675.733391203707</v>
      </c>
      <c r="L3333" s="92">
        <f>IF(AND(单词表[[#This Row],[学英]]&lt;&gt;"",单词表[[#This Row],[学中]]&lt;&gt;"",单词表[[#This Row],[学词]]&lt;&gt;""),MAX(单词表[[#This Row],[学英]:[学词]]),"")</f>
        <v>42675.702534722222</v>
      </c>
      <c r="M3333" s="2" t="str">
        <f>IF(AND(单词表[[#This Row],[考英]]&lt;&gt;"",单词表[[#This Row],[考中]]&lt;&gt;""),MAX(单词表[[#This Row],[考英]:[考中]]),"")</f>
        <v/>
      </c>
      <c r="N3333" s="86"/>
    </row>
    <row r="3334" spans="1:14" hidden="1" x14ac:dyDescent="0.15">
      <c r="A3334">
        <v>3334</v>
      </c>
      <c r="B3334" t="s">
        <v>5674</v>
      </c>
      <c r="C3334" t="s">
        <v>5675</v>
      </c>
      <c r="D3334" s="78" t="s">
        <v>5690</v>
      </c>
      <c r="E3334" t="s">
        <v>5678</v>
      </c>
      <c r="F3334" t="s">
        <v>5691</v>
      </c>
      <c r="G3334" s="92">
        <v>42675.702569444446</v>
      </c>
      <c r="H3334" s="92">
        <v>42675.702569444446</v>
      </c>
      <c r="I3334" s="92">
        <v>42675.702569444446</v>
      </c>
      <c r="J3334" s="92"/>
      <c r="K3334" s="92">
        <v>42675.733437499999</v>
      </c>
      <c r="L3334" s="92">
        <f>IF(AND(单词表[[#This Row],[学英]]&lt;&gt;"",单词表[[#This Row],[学中]]&lt;&gt;"",单词表[[#This Row],[学词]]&lt;&gt;""),MAX(单词表[[#This Row],[学英]:[学词]]),"")</f>
        <v>42675.702569444446</v>
      </c>
      <c r="M3334" s="2" t="str">
        <f>IF(AND(单词表[[#This Row],[考英]]&lt;&gt;"",单词表[[#This Row],[考中]]&lt;&gt;""),MAX(单词表[[#This Row],[考英]:[考中]]),"")</f>
        <v/>
      </c>
      <c r="N3334" s="86"/>
    </row>
    <row r="3335" spans="1:14" hidden="1" x14ac:dyDescent="0.15">
      <c r="A3335">
        <v>3335</v>
      </c>
      <c r="B3335" t="s">
        <v>5674</v>
      </c>
      <c r="C3335" t="s">
        <v>5675</v>
      </c>
      <c r="D3335" s="78" t="s">
        <v>5692</v>
      </c>
      <c r="E3335" t="s">
        <v>5678</v>
      </c>
      <c r="F3335" t="s">
        <v>5693</v>
      </c>
      <c r="G3335" s="92">
        <v>42675.702592592592</v>
      </c>
      <c r="H3335" s="92">
        <v>42675.880532407406</v>
      </c>
      <c r="I3335" s="92">
        <v>42675.880532407406</v>
      </c>
      <c r="J3335" s="92"/>
      <c r="K3335" s="92">
        <v>42675.884189814817</v>
      </c>
      <c r="L3335" s="92">
        <f>IF(AND(单词表[[#This Row],[学英]]&lt;&gt;"",单词表[[#This Row],[学中]]&lt;&gt;"",单词表[[#This Row],[学词]]&lt;&gt;""),MAX(单词表[[#This Row],[学英]:[学词]]),"")</f>
        <v>42675.880532407406</v>
      </c>
      <c r="M3335" s="2" t="str">
        <f>IF(AND(单词表[[#This Row],[考英]]&lt;&gt;"",单词表[[#This Row],[考中]]&lt;&gt;""),MAX(单词表[[#This Row],[考英]:[考中]]),"")</f>
        <v/>
      </c>
      <c r="N3335" s="86"/>
    </row>
    <row r="3336" spans="1:14" hidden="1" x14ac:dyDescent="0.15">
      <c r="A3336">
        <v>3336</v>
      </c>
      <c r="B3336" t="s">
        <v>5674</v>
      </c>
      <c r="C3336" t="s">
        <v>5675</v>
      </c>
      <c r="D3336" s="78" t="s">
        <v>5694</v>
      </c>
      <c r="E3336" t="s">
        <v>38</v>
      </c>
      <c r="F3336" t="s">
        <v>5693</v>
      </c>
      <c r="G3336" s="92">
        <v>42675.702604166669</v>
      </c>
      <c r="H3336" s="92">
        <v>42675.880601851852</v>
      </c>
      <c r="I3336" s="92">
        <v>42675.880567129629</v>
      </c>
      <c r="J3336" s="92"/>
      <c r="K3336" s="92">
        <v>42675.88422453704</v>
      </c>
      <c r="L3336" s="92">
        <f>IF(AND(单词表[[#This Row],[学英]]&lt;&gt;"",单词表[[#This Row],[学中]]&lt;&gt;"",单词表[[#This Row],[学词]]&lt;&gt;""),MAX(单词表[[#This Row],[学英]:[学词]]),"")</f>
        <v>42675.880601851852</v>
      </c>
      <c r="M3336" s="2" t="str">
        <f>IF(AND(单词表[[#This Row],[考英]]&lt;&gt;"",单词表[[#This Row],[考中]]&lt;&gt;""),MAX(单词表[[#This Row],[考英]:[考中]]),"")</f>
        <v/>
      </c>
      <c r="N3336" s="86"/>
    </row>
    <row r="3337" spans="1:14" hidden="1" x14ac:dyDescent="0.15">
      <c r="A3337">
        <v>3337</v>
      </c>
      <c r="B3337" t="s">
        <v>5674</v>
      </c>
      <c r="C3337" t="s">
        <v>5675</v>
      </c>
      <c r="D3337" s="78" t="s">
        <v>5695</v>
      </c>
      <c r="E3337" t="s">
        <v>5682</v>
      </c>
      <c r="F3337" t="s">
        <v>5696</v>
      </c>
      <c r="G3337" s="92">
        <v>42675.702627314815</v>
      </c>
      <c r="H3337" s="92">
        <v>42675.880752314813</v>
      </c>
      <c r="I3337" s="92">
        <v>42675.880740740744</v>
      </c>
      <c r="J3337" s="92"/>
      <c r="K3337" s="92">
        <v>42675.884259259263</v>
      </c>
      <c r="L3337" s="92">
        <f>IF(AND(单词表[[#This Row],[学英]]&lt;&gt;"",单词表[[#This Row],[学中]]&lt;&gt;"",单词表[[#This Row],[学词]]&lt;&gt;""),MAX(单词表[[#This Row],[学英]:[学词]]),"")</f>
        <v>42675.880752314813</v>
      </c>
      <c r="M3337" s="2" t="str">
        <f>IF(AND(单词表[[#This Row],[考英]]&lt;&gt;"",单词表[[#This Row],[考中]]&lt;&gt;""),MAX(单词表[[#This Row],[考英]:[考中]]),"")</f>
        <v/>
      </c>
      <c r="N3337" s="86"/>
    </row>
    <row r="3338" spans="1:14" hidden="1" x14ac:dyDescent="0.15">
      <c r="A3338">
        <v>3338</v>
      </c>
      <c r="B3338" t="s">
        <v>5674</v>
      </c>
      <c r="C3338" t="s">
        <v>5675</v>
      </c>
      <c r="D3338" s="78" t="s">
        <v>5853</v>
      </c>
      <c r="E3338" t="s">
        <v>736</v>
      </c>
      <c r="F3338" t="s">
        <v>5854</v>
      </c>
      <c r="G3338" s="92">
        <v>42675.702650462961</v>
      </c>
      <c r="H3338" s="92">
        <v>42675.880810185183</v>
      </c>
      <c r="I3338" s="92">
        <v>42675.880810185183</v>
      </c>
      <c r="J3338" s="92"/>
      <c r="K3338" s="92">
        <v>42675.884293981479</v>
      </c>
      <c r="L3338" s="92">
        <f>IF(AND(单词表[[#This Row],[学英]]&lt;&gt;"",单词表[[#This Row],[学中]]&lt;&gt;"",单词表[[#This Row],[学词]]&lt;&gt;""),MAX(单词表[[#This Row],[学英]:[学词]]),"")</f>
        <v>42675.880810185183</v>
      </c>
      <c r="M3338" s="2" t="str">
        <f>IF(AND(单词表[[#This Row],[考英]]&lt;&gt;"",单词表[[#This Row],[考中]]&lt;&gt;""),MAX(单词表[[#This Row],[考英]:[考中]]),"")</f>
        <v/>
      </c>
      <c r="N3338" s="86"/>
    </row>
    <row r="3339" spans="1:14" hidden="1" x14ac:dyDescent="0.15">
      <c r="A3339">
        <v>3339</v>
      </c>
      <c r="B3339" t="s">
        <v>5674</v>
      </c>
      <c r="C3339" t="s">
        <v>5675</v>
      </c>
      <c r="D3339" s="78" t="s">
        <v>5697</v>
      </c>
      <c r="E3339" t="s">
        <v>5682</v>
      </c>
      <c r="F3339" t="s">
        <v>5698</v>
      </c>
      <c r="G3339" s="92">
        <v>42715.830729166664</v>
      </c>
      <c r="H3339" s="92">
        <v>42715.830729166664</v>
      </c>
      <c r="I3339" s="92">
        <v>42715.830729166664</v>
      </c>
      <c r="J3339" s="92"/>
      <c r="K3339" s="92">
        <v>42715.838923611111</v>
      </c>
      <c r="L3339" s="92">
        <f>IF(AND(单词表[[#This Row],[学英]]&lt;&gt;"",单词表[[#This Row],[学中]]&lt;&gt;"",单词表[[#This Row],[学词]]&lt;&gt;""),MAX(单词表[[#This Row],[学英]:[学词]]),"")</f>
        <v>42715.830729166664</v>
      </c>
      <c r="M3339" s="2" t="str">
        <f>IF(AND(单词表[[#This Row],[考英]]&lt;&gt;"",单词表[[#This Row],[考中]]&lt;&gt;""),MAX(单词表[[#This Row],[考英]:[考中]]),"")</f>
        <v/>
      </c>
      <c r="N3339" s="86"/>
    </row>
    <row r="3340" spans="1:14" hidden="1" x14ac:dyDescent="0.15">
      <c r="A3340">
        <v>3340</v>
      </c>
      <c r="B3340" t="s">
        <v>5674</v>
      </c>
      <c r="C3340" t="s">
        <v>5675</v>
      </c>
      <c r="D3340" s="78" t="s">
        <v>5699</v>
      </c>
      <c r="E3340" t="s">
        <v>5700</v>
      </c>
      <c r="F3340" t="s">
        <v>5701</v>
      </c>
      <c r="G3340" s="92">
        <v>42675.703738425924</v>
      </c>
      <c r="H3340" s="92">
        <v>42675.881099537037</v>
      </c>
      <c r="I3340" s="92">
        <v>42675.881099537037</v>
      </c>
      <c r="J3340" s="92"/>
      <c r="K3340" s="92">
        <v>42675.884375000001</v>
      </c>
      <c r="L3340" s="92">
        <f>IF(AND(单词表[[#This Row],[学英]]&lt;&gt;"",单词表[[#This Row],[学中]]&lt;&gt;"",单词表[[#This Row],[学词]]&lt;&gt;""),MAX(单词表[[#This Row],[学英]:[学词]]),"")</f>
        <v>42675.881099537037</v>
      </c>
      <c r="M3340" s="2" t="str">
        <f>IF(AND(单词表[[#This Row],[考英]]&lt;&gt;"",单词表[[#This Row],[考中]]&lt;&gt;""),MAX(单词表[[#This Row],[考英]:[考中]]),"")</f>
        <v/>
      </c>
      <c r="N3340" s="86"/>
    </row>
    <row r="3341" spans="1:14" hidden="1" x14ac:dyDescent="0.15">
      <c r="A3341">
        <v>3341</v>
      </c>
      <c r="B3341" t="s">
        <v>5674</v>
      </c>
      <c r="C3341" t="s">
        <v>5675</v>
      </c>
      <c r="D3341" s="78" t="s">
        <v>5702</v>
      </c>
      <c r="E3341" t="s">
        <v>5682</v>
      </c>
      <c r="F3341" t="s">
        <v>5703</v>
      </c>
      <c r="G3341" s="92">
        <v>42675.703761574077</v>
      </c>
      <c r="H3341" s="92">
        <v>42675.881215277775</v>
      </c>
      <c r="I3341" s="92">
        <v>42675.881215277775</v>
      </c>
      <c r="J3341" s="92"/>
      <c r="K3341" s="92">
        <v>42675.884409722225</v>
      </c>
      <c r="L3341" s="92">
        <f>IF(AND(单词表[[#This Row],[学英]]&lt;&gt;"",单词表[[#This Row],[学中]]&lt;&gt;"",单词表[[#This Row],[学词]]&lt;&gt;""),MAX(单词表[[#This Row],[学英]:[学词]]),"")</f>
        <v>42675.881215277775</v>
      </c>
      <c r="M3341" s="2" t="str">
        <f>IF(AND(单词表[[#This Row],[考英]]&lt;&gt;"",单词表[[#This Row],[考中]]&lt;&gt;""),MAX(单词表[[#This Row],[考英]:[考中]]),"")</f>
        <v/>
      </c>
      <c r="N3341" s="86"/>
    </row>
    <row r="3342" spans="1:14" hidden="1" x14ac:dyDescent="0.15">
      <c r="A3342">
        <v>3342</v>
      </c>
      <c r="B3342" t="s">
        <v>5674</v>
      </c>
      <c r="C3342" t="s">
        <v>5675</v>
      </c>
      <c r="D3342" s="78" t="s">
        <v>5704</v>
      </c>
      <c r="E3342" t="s">
        <v>5682</v>
      </c>
      <c r="F3342" t="s">
        <v>5705</v>
      </c>
      <c r="G3342" s="92">
        <v>42715.830775462964</v>
      </c>
      <c r="H3342" s="92">
        <v>42715.830775462964</v>
      </c>
      <c r="I3342" s="92">
        <v>42715.830775462964</v>
      </c>
      <c r="J3342" s="92"/>
      <c r="K3342" s="92">
        <v>42715.838969907411</v>
      </c>
      <c r="L3342" s="92">
        <f>IF(AND(单词表[[#This Row],[学英]]&lt;&gt;"",单词表[[#This Row],[学中]]&lt;&gt;"",单词表[[#This Row],[学词]]&lt;&gt;""),MAX(单词表[[#This Row],[学英]:[学词]]),"")</f>
        <v>42715.830775462964</v>
      </c>
      <c r="M3342" s="2" t="str">
        <f>IF(AND(单词表[[#This Row],[考英]]&lt;&gt;"",单词表[[#This Row],[考中]]&lt;&gt;""),MAX(单词表[[#This Row],[考英]:[考中]]),"")</f>
        <v/>
      </c>
      <c r="N3342" s="86"/>
    </row>
    <row r="3343" spans="1:14" hidden="1" x14ac:dyDescent="0.15">
      <c r="A3343">
        <v>3343</v>
      </c>
      <c r="B3343" t="s">
        <v>5674</v>
      </c>
      <c r="C3343" t="s">
        <v>5675</v>
      </c>
      <c r="D3343" s="78" t="s">
        <v>5706</v>
      </c>
      <c r="E3343" t="s">
        <v>5682</v>
      </c>
      <c r="F3343" t="s">
        <v>5707</v>
      </c>
      <c r="G3343" s="92">
        <v>42715.83084490741</v>
      </c>
      <c r="H3343" s="92">
        <v>42715.83084490741</v>
      </c>
      <c r="I3343" s="92">
        <v>42715.83084490741</v>
      </c>
      <c r="J3343" s="92"/>
      <c r="K3343" s="92">
        <v>42715.838993055557</v>
      </c>
      <c r="L3343" s="92">
        <f>IF(AND(单词表[[#This Row],[学英]]&lt;&gt;"",单词表[[#This Row],[学中]]&lt;&gt;"",单词表[[#This Row],[学词]]&lt;&gt;""),MAX(单词表[[#This Row],[学英]:[学词]]),"")</f>
        <v>42715.83084490741</v>
      </c>
      <c r="M3343" s="2" t="str">
        <f>IF(AND(单词表[[#This Row],[考英]]&lt;&gt;"",单词表[[#This Row],[考中]]&lt;&gt;""),MAX(单词表[[#This Row],[考英]:[考中]]),"")</f>
        <v/>
      </c>
      <c r="N3343" s="86"/>
    </row>
    <row r="3344" spans="1:14" hidden="1" x14ac:dyDescent="0.15">
      <c r="A3344">
        <v>3344</v>
      </c>
      <c r="B3344" t="s">
        <v>5674</v>
      </c>
      <c r="C3344" t="s">
        <v>5675</v>
      </c>
      <c r="D3344" s="78" t="s">
        <v>5708</v>
      </c>
      <c r="E3344" t="s">
        <v>5682</v>
      </c>
      <c r="F3344" t="s">
        <v>5852</v>
      </c>
      <c r="G3344" s="92">
        <v>42715.830937500003</v>
      </c>
      <c r="H3344" s="92">
        <v>42715.830937500003</v>
      </c>
      <c r="I3344" s="92">
        <v>42715.830937500003</v>
      </c>
      <c r="J3344" s="92"/>
      <c r="K3344" s="92">
        <v>42715.839050925926</v>
      </c>
      <c r="L3344" s="92">
        <f>IF(AND(单词表[[#This Row],[学英]]&lt;&gt;"",单词表[[#This Row],[学中]]&lt;&gt;"",单词表[[#This Row],[学词]]&lt;&gt;""),MAX(单词表[[#This Row],[学英]:[学词]]),"")</f>
        <v>42715.830937500003</v>
      </c>
      <c r="M3344" s="2" t="str">
        <f>IF(AND(单词表[[#This Row],[考英]]&lt;&gt;"",单词表[[#This Row],[考中]]&lt;&gt;""),MAX(单词表[[#This Row],[考英]:[考中]]),"")</f>
        <v/>
      </c>
      <c r="N3344" s="86"/>
    </row>
    <row r="3345" spans="1:14" hidden="1" x14ac:dyDescent="0.15">
      <c r="A3345">
        <v>3345</v>
      </c>
      <c r="B3345" t="s">
        <v>5674</v>
      </c>
      <c r="C3345" t="s">
        <v>5675</v>
      </c>
      <c r="D3345" s="78" t="s">
        <v>5709</v>
      </c>
      <c r="E3345" t="s">
        <v>5700</v>
      </c>
      <c r="F3345" t="s">
        <v>5710</v>
      </c>
      <c r="G3345" s="92">
        <v>42715.831041666665</v>
      </c>
      <c r="H3345" s="92">
        <v>42715.831041666665</v>
      </c>
      <c r="I3345" s="92">
        <v>42715.831041666665</v>
      </c>
      <c r="J3345" s="92"/>
      <c r="K3345" s="92">
        <v>42715.839201388888</v>
      </c>
      <c r="L3345" s="92">
        <f>IF(AND(单词表[[#This Row],[学英]]&lt;&gt;"",单词表[[#This Row],[学中]]&lt;&gt;"",单词表[[#This Row],[学词]]&lt;&gt;""),MAX(单词表[[#This Row],[学英]:[学词]]),"")</f>
        <v>42715.831041666665</v>
      </c>
      <c r="M3345" s="2" t="str">
        <f>IF(AND(单词表[[#This Row],[考英]]&lt;&gt;"",单词表[[#This Row],[考中]]&lt;&gt;""),MAX(单词表[[#This Row],[考英]:[考中]]),"")</f>
        <v/>
      </c>
      <c r="N3345" s="86"/>
    </row>
    <row r="3346" spans="1:14" hidden="1" x14ac:dyDescent="0.15">
      <c r="A3346">
        <v>3346</v>
      </c>
      <c r="B3346" t="s">
        <v>5674</v>
      </c>
      <c r="C3346" t="s">
        <v>5675</v>
      </c>
      <c r="D3346" s="78" t="s">
        <v>5846</v>
      </c>
      <c r="E3346" t="s">
        <v>5700</v>
      </c>
      <c r="F3346" t="s">
        <v>5847</v>
      </c>
      <c r="G3346" s="92">
        <v>42675.703877314816</v>
      </c>
      <c r="H3346" s="92">
        <v>42675.886643518519</v>
      </c>
      <c r="I3346" s="92">
        <v>42675.886643518519</v>
      </c>
      <c r="J3346" s="92"/>
      <c r="K3346" s="92">
        <v>42675.895219907405</v>
      </c>
      <c r="L3346" s="92">
        <f>IF(AND(单词表[[#This Row],[学英]]&lt;&gt;"",单词表[[#This Row],[学中]]&lt;&gt;"",单词表[[#This Row],[学词]]&lt;&gt;""),MAX(单词表[[#This Row],[学英]:[学词]]),"")</f>
        <v>42675.886643518519</v>
      </c>
      <c r="M3346" s="2" t="str">
        <f>IF(AND(单词表[[#This Row],[考英]]&lt;&gt;"",单词表[[#This Row],[考中]]&lt;&gt;""),MAX(单词表[[#This Row],[考英]:[考中]]),"")</f>
        <v/>
      </c>
      <c r="N3346" s="86"/>
    </row>
    <row r="3347" spans="1:14" hidden="1" x14ac:dyDescent="0.15">
      <c r="A3347">
        <v>3347</v>
      </c>
      <c r="B3347" t="s">
        <v>5674</v>
      </c>
      <c r="C3347" t="s">
        <v>5675</v>
      </c>
      <c r="D3347" s="78" t="s">
        <v>5712</v>
      </c>
      <c r="E3347" t="s">
        <v>5700</v>
      </c>
      <c r="F3347" t="s">
        <v>5711</v>
      </c>
      <c r="G3347" s="92">
        <v>42675.703900462962</v>
      </c>
      <c r="H3347" s="92">
        <v>42675.886689814812</v>
      </c>
      <c r="I3347" s="92">
        <v>42675.886689814812</v>
      </c>
      <c r="J3347" s="92"/>
      <c r="K3347" s="92">
        <v>42675.895254629628</v>
      </c>
      <c r="L3347" s="92">
        <f>IF(AND(单词表[[#This Row],[学英]]&lt;&gt;"",单词表[[#This Row],[学中]]&lt;&gt;"",单词表[[#This Row],[学词]]&lt;&gt;""),MAX(单词表[[#This Row],[学英]:[学词]]),"")</f>
        <v>42675.886689814812</v>
      </c>
      <c r="M3347" s="2" t="str">
        <f>IF(AND(单词表[[#This Row],[考英]]&lt;&gt;"",单词表[[#This Row],[考中]]&lt;&gt;""),MAX(单词表[[#This Row],[考英]:[考中]]),"")</f>
        <v/>
      </c>
      <c r="N3347" s="86"/>
    </row>
    <row r="3348" spans="1:14" hidden="1" x14ac:dyDescent="0.15">
      <c r="A3348">
        <v>3348</v>
      </c>
      <c r="B3348" t="s">
        <v>5674</v>
      </c>
      <c r="C3348" t="s">
        <v>5675</v>
      </c>
      <c r="D3348" s="78" t="s">
        <v>5713</v>
      </c>
      <c r="E3348" t="s">
        <v>5700</v>
      </c>
      <c r="F3348" t="s">
        <v>5714</v>
      </c>
      <c r="G3348" s="92">
        <v>42715.83116898148</v>
      </c>
      <c r="H3348" s="92">
        <v>42715.83116898148</v>
      </c>
      <c r="I3348" s="92">
        <v>42715.83116898148</v>
      </c>
      <c r="J3348" s="92"/>
      <c r="K3348" s="92">
        <v>42715.839224537034</v>
      </c>
      <c r="L3348" s="92">
        <f>IF(AND(单词表[[#This Row],[学英]]&lt;&gt;"",单词表[[#This Row],[学中]]&lt;&gt;"",单词表[[#This Row],[学词]]&lt;&gt;""),MAX(单词表[[#This Row],[学英]:[学词]]),"")</f>
        <v>42715.83116898148</v>
      </c>
      <c r="M3348" s="2" t="str">
        <f>IF(AND(单词表[[#This Row],[考英]]&lt;&gt;"",单词表[[#This Row],[考中]]&lt;&gt;""),MAX(单词表[[#This Row],[考英]:[考中]]),"")</f>
        <v/>
      </c>
      <c r="N3348" s="86"/>
    </row>
    <row r="3349" spans="1:14" hidden="1" x14ac:dyDescent="0.15">
      <c r="A3349">
        <v>3349</v>
      </c>
      <c r="B3349" t="s">
        <v>5674</v>
      </c>
      <c r="C3349" t="s">
        <v>5675</v>
      </c>
      <c r="D3349" s="78" t="s">
        <v>5715</v>
      </c>
      <c r="E3349" t="s">
        <v>5700</v>
      </c>
      <c r="F3349" t="s">
        <v>5716</v>
      </c>
      <c r="G3349" s="92">
        <v>42675.703946759262</v>
      </c>
      <c r="H3349" s="92">
        <v>42675.88689814815</v>
      </c>
      <c r="I3349" s="92">
        <v>42675.88689814815</v>
      </c>
      <c r="J3349" s="92"/>
      <c r="K3349" s="92">
        <v>42675.895312499997</v>
      </c>
      <c r="L3349" s="92">
        <f>IF(AND(单词表[[#This Row],[学英]]&lt;&gt;"",单词表[[#This Row],[学中]]&lt;&gt;"",单词表[[#This Row],[学词]]&lt;&gt;""),MAX(单词表[[#This Row],[学英]:[学词]]),"")</f>
        <v>42675.88689814815</v>
      </c>
      <c r="M3349" s="2" t="str">
        <f>IF(AND(单词表[[#This Row],[考英]]&lt;&gt;"",单词表[[#This Row],[考中]]&lt;&gt;""),MAX(单词表[[#This Row],[考英]:[考中]]),"")</f>
        <v/>
      </c>
      <c r="N3349" s="86"/>
    </row>
    <row r="3350" spans="1:14" hidden="1" x14ac:dyDescent="0.15">
      <c r="A3350">
        <v>3350</v>
      </c>
      <c r="B3350" t="s">
        <v>5674</v>
      </c>
      <c r="C3350" t="s">
        <v>5676</v>
      </c>
      <c r="D3350" s="78" t="s">
        <v>5717</v>
      </c>
      <c r="E3350" t="s">
        <v>5700</v>
      </c>
      <c r="F3350" t="s">
        <v>5718</v>
      </c>
      <c r="G3350" s="92">
        <v>42676.805775462963</v>
      </c>
      <c r="H3350" s="92">
        <v>42676.805775462963</v>
      </c>
      <c r="I3350" s="92">
        <v>42676.805775462963</v>
      </c>
      <c r="J3350" s="92"/>
      <c r="K3350" s="92">
        <v>42676.843773148146</v>
      </c>
      <c r="L3350" s="92">
        <f>IF(AND(单词表[[#This Row],[学英]]&lt;&gt;"",单词表[[#This Row],[学中]]&lt;&gt;"",单词表[[#This Row],[学词]]&lt;&gt;""),MAX(单词表[[#This Row],[学英]:[学词]]),"")</f>
        <v>42676.805775462963</v>
      </c>
      <c r="M3350" s="2" t="str">
        <f>IF(AND(单词表[[#This Row],[考英]]&lt;&gt;"",单词表[[#This Row],[考中]]&lt;&gt;""),MAX(单词表[[#This Row],[考英]:[考中]]),"")</f>
        <v/>
      </c>
      <c r="N3350" s="86"/>
    </row>
    <row r="3351" spans="1:14" hidden="1" x14ac:dyDescent="0.15">
      <c r="A3351">
        <v>3351</v>
      </c>
      <c r="B3351" t="s">
        <v>5674</v>
      </c>
      <c r="C3351" t="s">
        <v>5676</v>
      </c>
      <c r="D3351" s="78" t="s">
        <v>5850</v>
      </c>
      <c r="E3351" t="s">
        <v>5700</v>
      </c>
      <c r="F3351" t="s">
        <v>5719</v>
      </c>
      <c r="G3351" s="92">
        <v>42676.805798611109</v>
      </c>
      <c r="H3351" s="92">
        <v>42676.805798611109</v>
      </c>
      <c r="I3351" s="92">
        <v>42676.805798611109</v>
      </c>
      <c r="J3351" s="92"/>
      <c r="K3351" s="92">
        <v>42676.8437962963</v>
      </c>
      <c r="L3351" s="92">
        <f>IF(AND(单词表[[#This Row],[学英]]&lt;&gt;"",单词表[[#This Row],[学中]]&lt;&gt;"",单词表[[#This Row],[学词]]&lt;&gt;""),MAX(单词表[[#This Row],[学英]:[学词]]),"")</f>
        <v>42676.805798611109</v>
      </c>
      <c r="M3351" s="2" t="str">
        <f>IF(AND(单词表[[#This Row],[考英]]&lt;&gt;"",单词表[[#This Row],[考中]]&lt;&gt;""),MAX(单词表[[#This Row],[考英]:[考中]]),"")</f>
        <v/>
      </c>
      <c r="N3351" s="86"/>
    </row>
    <row r="3352" spans="1:14" hidden="1" x14ac:dyDescent="0.15">
      <c r="A3352">
        <v>3352</v>
      </c>
      <c r="B3352" t="s">
        <v>5674</v>
      </c>
      <c r="C3352" t="s">
        <v>5676</v>
      </c>
      <c r="D3352" s="78" t="s">
        <v>5721</v>
      </c>
      <c r="E3352" t="s">
        <v>5682</v>
      </c>
      <c r="F3352" s="78" t="s">
        <v>5720</v>
      </c>
      <c r="G3352" s="92">
        <v>42676.820462962962</v>
      </c>
      <c r="H3352" s="92">
        <v>42676.820462962962</v>
      </c>
      <c r="I3352" s="92">
        <v>42676.820462962962</v>
      </c>
      <c r="J3352" s="92"/>
      <c r="K3352" s="92">
        <v>42676.843842592592</v>
      </c>
      <c r="L3352" s="92">
        <f>IF(AND(单词表[[#This Row],[学英]]&lt;&gt;"",单词表[[#This Row],[学中]]&lt;&gt;"",单词表[[#This Row],[学词]]&lt;&gt;""),MAX(单词表[[#This Row],[学英]:[学词]]),"")</f>
        <v>42676.820462962962</v>
      </c>
      <c r="M3352" s="2" t="str">
        <f>IF(AND(单词表[[#This Row],[考英]]&lt;&gt;"",单词表[[#This Row],[考中]]&lt;&gt;""),MAX(单词表[[#This Row],[考英]:[考中]]),"")</f>
        <v/>
      </c>
      <c r="N3352" s="86"/>
    </row>
    <row r="3353" spans="1:14" hidden="1" x14ac:dyDescent="0.15">
      <c r="A3353">
        <v>3353</v>
      </c>
      <c r="B3353" t="s">
        <v>5674</v>
      </c>
      <c r="C3353" t="s">
        <v>5676</v>
      </c>
      <c r="D3353" s="78" t="s">
        <v>5722</v>
      </c>
      <c r="E3353" t="s">
        <v>5682</v>
      </c>
      <c r="F3353" t="s">
        <v>5723</v>
      </c>
      <c r="G3353" s="92">
        <v>42676.820486111108</v>
      </c>
      <c r="H3353" s="92">
        <v>42676.844317129631</v>
      </c>
      <c r="I3353" s="92">
        <v>42676.844317129631</v>
      </c>
      <c r="J3353" s="92"/>
      <c r="K3353" s="92">
        <v>42676.844490740739</v>
      </c>
      <c r="L3353" s="92">
        <f>IF(AND(单词表[[#This Row],[学英]]&lt;&gt;"",单词表[[#This Row],[学中]]&lt;&gt;"",单词表[[#This Row],[学词]]&lt;&gt;""),MAX(单词表[[#This Row],[学英]:[学词]]),"")</f>
        <v>42676.844317129631</v>
      </c>
      <c r="M3353" s="2" t="str">
        <f>IF(AND(单词表[[#This Row],[考英]]&lt;&gt;"",单词表[[#This Row],[考中]]&lt;&gt;""),MAX(单词表[[#This Row],[考英]:[考中]]),"")</f>
        <v/>
      </c>
      <c r="N3353" s="86"/>
    </row>
    <row r="3354" spans="1:14" hidden="1" x14ac:dyDescent="0.15">
      <c r="A3354">
        <v>3354</v>
      </c>
      <c r="B3354" t="s">
        <v>5674</v>
      </c>
      <c r="C3354" t="s">
        <v>5675</v>
      </c>
      <c r="D3354" s="78" t="s">
        <v>5724</v>
      </c>
      <c r="E3354" t="s">
        <v>5682</v>
      </c>
      <c r="F3354" t="s">
        <v>5725</v>
      </c>
      <c r="G3354" s="92">
        <v>42675.703969907408</v>
      </c>
      <c r="H3354" s="92">
        <v>42675.703969907408</v>
      </c>
      <c r="I3354" s="92">
        <v>42675.703969907408</v>
      </c>
      <c r="J3354" s="92"/>
      <c r="K3354" s="92">
        <v>42675.733483796299</v>
      </c>
      <c r="L3354" s="92">
        <f>IF(AND(单词表[[#This Row],[学英]]&lt;&gt;"",单词表[[#This Row],[学中]]&lt;&gt;"",单词表[[#This Row],[学词]]&lt;&gt;""),MAX(单词表[[#This Row],[学英]:[学词]]),"")</f>
        <v>42675.703969907408</v>
      </c>
      <c r="M3354" s="2" t="str">
        <f>IF(AND(单词表[[#This Row],[考英]]&lt;&gt;"",单词表[[#This Row],[考中]]&lt;&gt;""),MAX(单词表[[#This Row],[考英]:[考中]]),"")</f>
        <v/>
      </c>
      <c r="N3354" s="86"/>
    </row>
    <row r="3355" spans="1:14" hidden="1" x14ac:dyDescent="0.15">
      <c r="A3355">
        <v>3355</v>
      </c>
      <c r="B3355" t="s">
        <v>5674</v>
      </c>
      <c r="C3355" t="s">
        <v>5675</v>
      </c>
      <c r="D3355" s="78" t="s">
        <v>5726</v>
      </c>
      <c r="E3355" t="s">
        <v>5682</v>
      </c>
      <c r="F3355" t="s">
        <v>5727</v>
      </c>
      <c r="G3355" s="92">
        <v>42715.838275462964</v>
      </c>
      <c r="H3355" s="92">
        <v>42715.838275462964</v>
      </c>
      <c r="I3355" s="92">
        <v>42715.838275462964</v>
      </c>
      <c r="J3355" s="92"/>
      <c r="K3355" s="92">
        <v>42715.839270833334</v>
      </c>
      <c r="L3355" s="92">
        <f>IF(AND(单词表[[#This Row],[学英]]&lt;&gt;"",单词表[[#This Row],[学中]]&lt;&gt;"",单词表[[#This Row],[学词]]&lt;&gt;""),MAX(单词表[[#This Row],[学英]:[学词]]),"")</f>
        <v>42715.838275462964</v>
      </c>
      <c r="M3355" s="2" t="str">
        <f>IF(AND(单词表[[#This Row],[考英]]&lt;&gt;"",单词表[[#This Row],[考中]]&lt;&gt;""),MAX(单词表[[#This Row],[考英]:[考中]]),"")</f>
        <v/>
      </c>
      <c r="N3355" s="86"/>
    </row>
    <row r="3356" spans="1:14" hidden="1" x14ac:dyDescent="0.15">
      <c r="A3356">
        <v>3356</v>
      </c>
      <c r="B3356" t="s">
        <v>5674</v>
      </c>
      <c r="C3356" t="s">
        <v>5675</v>
      </c>
      <c r="D3356" s="78" t="s">
        <v>5728</v>
      </c>
      <c r="E3356" t="s">
        <v>5682</v>
      </c>
      <c r="F3356" t="s">
        <v>5729</v>
      </c>
      <c r="G3356" s="92">
        <v>42715.83829861111</v>
      </c>
      <c r="H3356" s="92">
        <v>42715.83829861111</v>
      </c>
      <c r="I3356" s="92">
        <v>42715.83829861111</v>
      </c>
      <c r="J3356" s="92"/>
      <c r="K3356" s="92">
        <v>42715.839317129627</v>
      </c>
      <c r="L3356" s="92">
        <f>IF(AND(单词表[[#This Row],[学英]]&lt;&gt;"",单词表[[#This Row],[学中]]&lt;&gt;"",单词表[[#This Row],[学词]]&lt;&gt;""),MAX(单词表[[#This Row],[学英]:[学词]]),"")</f>
        <v>42715.83829861111</v>
      </c>
      <c r="M3356" s="2" t="str">
        <f>IF(AND(单词表[[#This Row],[考英]]&lt;&gt;"",单词表[[#This Row],[考中]]&lt;&gt;""),MAX(单词表[[#This Row],[考英]:[考中]]),"")</f>
        <v/>
      </c>
      <c r="N3356" s="86"/>
    </row>
    <row r="3357" spans="1:14" hidden="1" x14ac:dyDescent="0.15">
      <c r="A3357">
        <v>3357</v>
      </c>
      <c r="B3357" t="s">
        <v>5674</v>
      </c>
      <c r="C3357" t="s">
        <v>5675</v>
      </c>
      <c r="D3357" s="78" t="s">
        <v>5730</v>
      </c>
      <c r="E3357" t="s">
        <v>5682</v>
      </c>
      <c r="F3357" t="s">
        <v>5731</v>
      </c>
      <c r="G3357" s="92">
        <v>42715.838425925926</v>
      </c>
      <c r="H3357" s="92">
        <v>42715.838425925926</v>
      </c>
      <c r="I3357" s="92">
        <v>42715.838437500002</v>
      </c>
      <c r="J3357" s="92"/>
      <c r="K3357" s="92">
        <v>42715.83934027778</v>
      </c>
      <c r="L3357" s="92">
        <f>IF(AND(单词表[[#This Row],[学英]]&lt;&gt;"",单词表[[#This Row],[学中]]&lt;&gt;"",单词表[[#This Row],[学词]]&lt;&gt;""),MAX(单词表[[#This Row],[学英]:[学词]]),"")</f>
        <v>42715.838437500002</v>
      </c>
      <c r="M3357" s="2" t="str">
        <f>IF(AND(单词表[[#This Row],[考英]]&lt;&gt;"",单词表[[#This Row],[考中]]&lt;&gt;""),MAX(单词表[[#This Row],[考英]:[考中]]),"")</f>
        <v/>
      </c>
      <c r="N3357" s="86"/>
    </row>
    <row r="3358" spans="1:14" hidden="1" x14ac:dyDescent="0.15">
      <c r="A3358">
        <v>3358</v>
      </c>
      <c r="B3358" t="s">
        <v>5674</v>
      </c>
      <c r="C3358" t="s">
        <v>5675</v>
      </c>
      <c r="D3358" s="78" t="s">
        <v>5732</v>
      </c>
      <c r="E3358" t="s">
        <v>61</v>
      </c>
      <c r="F3358" t="s">
        <v>5855</v>
      </c>
      <c r="G3358" s="92">
        <v>42715.838460648149</v>
      </c>
      <c r="H3358" s="92">
        <v>42715.838460648149</v>
      </c>
      <c r="I3358" s="92">
        <v>42715.838460648149</v>
      </c>
      <c r="J3358" s="92"/>
      <c r="K3358" s="92">
        <v>42715.839375000003</v>
      </c>
      <c r="L3358" s="92">
        <f>IF(AND(单词表[[#This Row],[学英]]&lt;&gt;"",单词表[[#This Row],[学中]]&lt;&gt;"",单词表[[#This Row],[学词]]&lt;&gt;""),MAX(单词表[[#This Row],[学英]:[学词]]),"")</f>
        <v>42715.838460648149</v>
      </c>
      <c r="M3358" s="2" t="str">
        <f>IF(AND(单词表[[#This Row],[考英]]&lt;&gt;"",单词表[[#This Row],[考中]]&lt;&gt;""),MAX(单词表[[#This Row],[考英]:[考中]]),"")</f>
        <v/>
      </c>
      <c r="N3358" s="86"/>
    </row>
    <row r="3359" spans="1:14" hidden="1" x14ac:dyDescent="0.15">
      <c r="A3359">
        <v>3359</v>
      </c>
      <c r="B3359" t="s">
        <v>5674</v>
      </c>
      <c r="C3359" t="s">
        <v>5675</v>
      </c>
      <c r="D3359" s="78" t="s">
        <v>5735</v>
      </c>
      <c r="E3359" t="s">
        <v>5682</v>
      </c>
      <c r="F3359" t="s">
        <v>5736</v>
      </c>
      <c r="G3359" s="92">
        <v>42715.808310185188</v>
      </c>
      <c r="H3359" s="92">
        <v>42715.808310185188</v>
      </c>
      <c r="I3359" s="92">
        <v>42715.808310185188</v>
      </c>
      <c r="J3359" s="92"/>
      <c r="K3359" s="92">
        <v>42715.839432870373</v>
      </c>
      <c r="L3359" s="92">
        <f>IF(AND(单词表[[#This Row],[学英]]&lt;&gt;"",单词表[[#This Row],[学中]]&lt;&gt;"",单词表[[#This Row],[学词]]&lt;&gt;""),MAX(单词表[[#This Row],[学英]:[学词]]),"")</f>
        <v>42715.808310185188</v>
      </c>
      <c r="M3359" s="2" t="str">
        <f>IF(AND(单词表[[#This Row],[考英]]&lt;&gt;"",单词表[[#This Row],[考中]]&lt;&gt;""),MAX(单词表[[#This Row],[考英]:[考中]]),"")</f>
        <v/>
      </c>
      <c r="N3359" s="86"/>
    </row>
    <row r="3360" spans="1:14" hidden="1" x14ac:dyDescent="0.15">
      <c r="A3360">
        <v>3360</v>
      </c>
      <c r="B3360" t="s">
        <v>5674</v>
      </c>
      <c r="C3360" t="s">
        <v>5675</v>
      </c>
      <c r="D3360" s="78" t="s">
        <v>5733</v>
      </c>
      <c r="E3360" t="s">
        <v>5700</v>
      </c>
      <c r="F3360" t="s">
        <v>5734</v>
      </c>
      <c r="G3360" s="92">
        <v>42715.840671296297</v>
      </c>
      <c r="H3360" s="92">
        <v>42715.840671296297</v>
      </c>
      <c r="I3360" s="92">
        <v>42715.840671296297</v>
      </c>
      <c r="J3360" s="92"/>
      <c r="K3360" s="92"/>
      <c r="L3360" s="92">
        <f>IF(AND(单词表[[#This Row],[学英]]&lt;&gt;"",单词表[[#This Row],[学中]]&lt;&gt;"",单词表[[#This Row],[学词]]&lt;&gt;""),MAX(单词表[[#This Row],[学英]:[学词]]),"")</f>
        <v>42715.840671296297</v>
      </c>
      <c r="M3360" s="2" t="str">
        <f>IF(AND(单词表[[#This Row],[考英]]&lt;&gt;"",单词表[[#This Row],[考中]]&lt;&gt;""),MAX(单词表[[#This Row],[考英]:[考中]]),"")</f>
        <v/>
      </c>
      <c r="N3360" s="86"/>
    </row>
    <row r="3361" spans="1:14" hidden="1" x14ac:dyDescent="0.15">
      <c r="A3361">
        <v>3361</v>
      </c>
      <c r="B3361" t="s">
        <v>5674</v>
      </c>
      <c r="C3361" t="s">
        <v>5676</v>
      </c>
      <c r="D3361" s="78" t="s">
        <v>5737</v>
      </c>
      <c r="E3361" t="s">
        <v>5700</v>
      </c>
      <c r="F3361" t="s">
        <v>5738</v>
      </c>
      <c r="G3361" s="92">
        <v>42676.820497685185</v>
      </c>
      <c r="H3361" s="92">
        <v>42676.843657407408</v>
      </c>
      <c r="I3361" s="92">
        <v>42676.843657407408</v>
      </c>
      <c r="J3361" s="92"/>
      <c r="K3361" s="92">
        <v>42676.843912037039</v>
      </c>
      <c r="L3361" s="92">
        <f>IF(AND(单词表[[#This Row],[学英]]&lt;&gt;"",单词表[[#This Row],[学中]]&lt;&gt;"",单词表[[#This Row],[学词]]&lt;&gt;""),MAX(单词表[[#This Row],[学英]:[学词]]),"")</f>
        <v>42676.843657407408</v>
      </c>
      <c r="M3361" s="2" t="str">
        <f>IF(AND(单词表[[#This Row],[考英]]&lt;&gt;"",单词表[[#This Row],[考中]]&lt;&gt;""),MAX(单词表[[#This Row],[考英]:[考中]]),"")</f>
        <v/>
      </c>
      <c r="N3361" s="86"/>
    </row>
    <row r="3362" spans="1:14" hidden="1" x14ac:dyDescent="0.15">
      <c r="A3362">
        <v>3362</v>
      </c>
      <c r="B3362" t="s">
        <v>5674</v>
      </c>
      <c r="C3362" t="s">
        <v>5676</v>
      </c>
      <c r="D3362" s="78" t="s">
        <v>5739</v>
      </c>
      <c r="E3362" t="s">
        <v>5700</v>
      </c>
      <c r="F3362" t="s">
        <v>5740</v>
      </c>
      <c r="G3362" s="92">
        <v>42676.820520833331</v>
      </c>
      <c r="H3362" s="92">
        <v>42676.820520833331</v>
      </c>
      <c r="I3362" s="92">
        <v>42676.820520833331</v>
      </c>
      <c r="J3362" s="92"/>
      <c r="K3362" s="92">
        <v>42676.8440162037</v>
      </c>
      <c r="L3362" s="92">
        <f>IF(AND(单词表[[#This Row],[学英]]&lt;&gt;"",单词表[[#This Row],[学中]]&lt;&gt;"",单词表[[#This Row],[学词]]&lt;&gt;""),MAX(单词表[[#This Row],[学英]:[学词]]),"")</f>
        <v>42676.820520833331</v>
      </c>
      <c r="M3362" s="2" t="str">
        <f>IF(AND(单词表[[#This Row],[考英]]&lt;&gt;"",单词表[[#This Row],[考中]]&lt;&gt;""),MAX(单词表[[#This Row],[考英]:[考中]]),"")</f>
        <v/>
      </c>
      <c r="N3362" s="86"/>
    </row>
    <row r="3363" spans="1:14" hidden="1" x14ac:dyDescent="0.15">
      <c r="A3363">
        <v>3363</v>
      </c>
      <c r="B3363" t="s">
        <v>5674</v>
      </c>
      <c r="C3363" t="s">
        <v>5675</v>
      </c>
      <c r="D3363" s="78" t="s">
        <v>5741</v>
      </c>
      <c r="E3363" t="s">
        <v>5742</v>
      </c>
      <c r="F3363" t="s">
        <v>5743</v>
      </c>
      <c r="G3363" s="92">
        <v>42675.70412037037</v>
      </c>
      <c r="H3363" s="92">
        <v>42675.894560185188</v>
      </c>
      <c r="I3363" s="92">
        <v>42675.894560185188</v>
      </c>
      <c r="J3363" s="92"/>
      <c r="K3363" s="92">
        <v>42675.895381944443</v>
      </c>
      <c r="L3363" s="92">
        <f>IF(AND(单词表[[#This Row],[学英]]&lt;&gt;"",单词表[[#This Row],[学中]]&lt;&gt;"",单词表[[#This Row],[学词]]&lt;&gt;""),MAX(单词表[[#This Row],[学英]:[学词]]),"")</f>
        <v>42675.894560185188</v>
      </c>
      <c r="M3363" s="2" t="str">
        <f>IF(AND(单词表[[#This Row],[考英]]&lt;&gt;"",单词表[[#This Row],[考中]]&lt;&gt;""),MAX(单词表[[#This Row],[考英]:[考中]]),"")</f>
        <v/>
      </c>
      <c r="N3363" s="86"/>
    </row>
    <row r="3364" spans="1:14" hidden="1" x14ac:dyDescent="0.15">
      <c r="A3364">
        <v>3364</v>
      </c>
      <c r="B3364" t="s">
        <v>5674</v>
      </c>
      <c r="C3364" t="s">
        <v>5675</v>
      </c>
      <c r="D3364" s="78" t="s">
        <v>5744</v>
      </c>
      <c r="E3364" t="s">
        <v>5700</v>
      </c>
      <c r="F3364" t="s">
        <v>5745</v>
      </c>
      <c r="G3364" s="92"/>
      <c r="H3364" s="92"/>
      <c r="I3364" s="92"/>
      <c r="J3364" s="92"/>
      <c r="K3364" s="92"/>
      <c r="L3364" s="9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6"/>
    </row>
    <row r="3365" spans="1:14" hidden="1" x14ac:dyDescent="0.15">
      <c r="A3365">
        <v>3365</v>
      </c>
      <c r="B3365" t="s">
        <v>5674</v>
      </c>
      <c r="C3365" t="s">
        <v>5675</v>
      </c>
      <c r="D3365" s="78" t="s">
        <v>5746</v>
      </c>
      <c r="E3365" t="s">
        <v>5742</v>
      </c>
      <c r="F3365" t="s">
        <v>5865</v>
      </c>
      <c r="G3365" s="92">
        <v>42715.810266203705</v>
      </c>
      <c r="H3365" s="92">
        <v>42715.840069444443</v>
      </c>
      <c r="I3365" s="92">
        <v>42715.840069444443</v>
      </c>
      <c r="J3365" s="92"/>
      <c r="K3365" s="92">
        <v>42715.840208333335</v>
      </c>
      <c r="L3365" s="92">
        <f>IF(AND(单词表[[#This Row],[学英]]&lt;&gt;"",单词表[[#This Row],[学中]]&lt;&gt;"",单词表[[#This Row],[学词]]&lt;&gt;""),MAX(单词表[[#This Row],[学英]:[学词]]),"")</f>
        <v>42715.840069444443</v>
      </c>
      <c r="M3365" s="2" t="str">
        <f>IF(AND(单词表[[#This Row],[考英]]&lt;&gt;"",单词表[[#This Row],[考中]]&lt;&gt;""),MAX(单词表[[#This Row],[考英]:[考中]]),"")</f>
        <v/>
      </c>
      <c r="N3365" s="86"/>
    </row>
    <row r="3366" spans="1:14" hidden="1" x14ac:dyDescent="0.15">
      <c r="A3366">
        <v>3366</v>
      </c>
      <c r="B3366" t="s">
        <v>5674</v>
      </c>
      <c r="C3366" t="s">
        <v>5675</v>
      </c>
      <c r="D3366" s="78" t="s">
        <v>5747</v>
      </c>
      <c r="E3366" t="s">
        <v>5700</v>
      </c>
      <c r="F3366" t="s">
        <v>5748</v>
      </c>
      <c r="G3366" s="92"/>
      <c r="H3366" s="92"/>
      <c r="I3366" s="92"/>
      <c r="J3366" s="92"/>
      <c r="K3366" s="92"/>
      <c r="L3366" s="9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6"/>
    </row>
    <row r="3367" spans="1:14" hidden="1" x14ac:dyDescent="0.15">
      <c r="A3367">
        <v>3367</v>
      </c>
      <c r="B3367" t="s">
        <v>5674</v>
      </c>
      <c r="C3367" t="s">
        <v>5675</v>
      </c>
      <c r="D3367" s="78" t="s">
        <v>5749</v>
      </c>
      <c r="E3367" t="s">
        <v>5682</v>
      </c>
      <c r="F3367" t="s">
        <v>5750</v>
      </c>
      <c r="G3367" s="92"/>
      <c r="H3367" s="92"/>
      <c r="I3367" s="92"/>
      <c r="J3367" s="92"/>
      <c r="K3367" s="92">
        <v>42675.895462962966</v>
      </c>
      <c r="L3367" s="9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6"/>
    </row>
    <row r="3368" spans="1:14" hidden="1" x14ac:dyDescent="0.15">
      <c r="A3368">
        <v>3368</v>
      </c>
      <c r="B3368" t="s">
        <v>5674</v>
      </c>
      <c r="C3368" t="s">
        <v>5676</v>
      </c>
      <c r="D3368" s="78" t="s">
        <v>5751</v>
      </c>
      <c r="E3368" t="s">
        <v>5700</v>
      </c>
      <c r="F3368" t="s">
        <v>5752</v>
      </c>
      <c r="G3368" s="92">
        <v>42676.820532407408</v>
      </c>
      <c r="H3368" s="92">
        <v>42676.820532407408</v>
      </c>
      <c r="I3368" s="92">
        <v>42676.820532407408</v>
      </c>
      <c r="J3368" s="92"/>
      <c r="K3368" s="92">
        <v>42676.8440625</v>
      </c>
      <c r="L3368" s="92">
        <f>IF(AND(单词表[[#This Row],[学英]]&lt;&gt;"",单词表[[#This Row],[学中]]&lt;&gt;"",单词表[[#This Row],[学词]]&lt;&gt;""),MAX(单词表[[#This Row],[学英]:[学词]]),"")</f>
        <v>42676.820532407408</v>
      </c>
      <c r="M3368" s="2" t="str">
        <f>IF(AND(单词表[[#This Row],[考英]]&lt;&gt;"",单词表[[#This Row],[考中]]&lt;&gt;""),MAX(单词表[[#This Row],[考英]:[考中]]),"")</f>
        <v/>
      </c>
      <c r="N3368" s="86"/>
    </row>
    <row r="3369" spans="1:14" hidden="1" x14ac:dyDescent="0.15">
      <c r="A3369">
        <v>3369</v>
      </c>
      <c r="B3369" t="s">
        <v>5674</v>
      </c>
      <c r="C3369" t="s">
        <v>5675</v>
      </c>
      <c r="D3369" s="78" t="s">
        <v>5753</v>
      </c>
      <c r="E3369" t="s">
        <v>5682</v>
      </c>
      <c r="F3369" t="s">
        <v>5754</v>
      </c>
      <c r="G3369" s="92"/>
      <c r="H3369" s="92"/>
      <c r="I3369" s="92"/>
      <c r="J3369" s="92"/>
      <c r="K3369" s="92">
        <v>42675.7340625</v>
      </c>
      <c r="L3369" s="9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6"/>
    </row>
    <row r="3370" spans="1:14" hidden="1" x14ac:dyDescent="0.15">
      <c r="A3370">
        <v>3370</v>
      </c>
      <c r="B3370" t="s">
        <v>5674</v>
      </c>
      <c r="C3370" t="s">
        <v>5675</v>
      </c>
      <c r="D3370" s="78" t="s">
        <v>5755</v>
      </c>
      <c r="E3370" t="s">
        <v>5682</v>
      </c>
      <c r="F3370" t="s">
        <v>5756</v>
      </c>
      <c r="G3370" s="92"/>
      <c r="H3370" s="92"/>
      <c r="I3370" s="92"/>
      <c r="J3370" s="92"/>
      <c r="K3370" s="92">
        <v>42675.895497685182</v>
      </c>
      <c r="L3370" s="9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6"/>
    </row>
    <row r="3371" spans="1:14" hidden="1" x14ac:dyDescent="0.15">
      <c r="A3371">
        <v>3371</v>
      </c>
      <c r="B3371" t="s">
        <v>5674</v>
      </c>
      <c r="C3371" t="s">
        <v>5675</v>
      </c>
      <c r="D3371" s="78" t="s">
        <v>5757</v>
      </c>
      <c r="E3371" t="s">
        <v>5682</v>
      </c>
      <c r="F3371" t="s">
        <v>5760</v>
      </c>
      <c r="G3371" s="92"/>
      <c r="H3371" s="92"/>
      <c r="I3371" s="92"/>
      <c r="J3371" s="92"/>
      <c r="K3371" s="92">
        <v>42675.734305555554</v>
      </c>
      <c r="L3371" s="9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6"/>
    </row>
    <row r="3372" spans="1:14" hidden="1" x14ac:dyDescent="0.15">
      <c r="A3372">
        <v>3372</v>
      </c>
      <c r="B3372" t="s">
        <v>5674</v>
      </c>
      <c r="C3372" t="s">
        <v>5675</v>
      </c>
      <c r="D3372" s="78" t="s">
        <v>5759</v>
      </c>
      <c r="E3372" t="s">
        <v>5682</v>
      </c>
      <c r="F3372" t="s">
        <v>5758</v>
      </c>
      <c r="G3372" s="92"/>
      <c r="H3372" s="92"/>
      <c r="I3372" s="92"/>
      <c r="J3372" s="92"/>
      <c r="K3372" s="92">
        <v>42675.734351851854</v>
      </c>
      <c r="L3372" s="9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6"/>
    </row>
    <row r="3373" spans="1:14" hidden="1" x14ac:dyDescent="0.15">
      <c r="A3373">
        <v>3373</v>
      </c>
      <c r="B3373" t="s">
        <v>5674</v>
      </c>
      <c r="C3373" t="s">
        <v>5675</v>
      </c>
      <c r="D3373" s="78" t="s">
        <v>5761</v>
      </c>
      <c r="E3373" t="s">
        <v>5682</v>
      </c>
      <c r="F3373" t="s">
        <v>5762</v>
      </c>
      <c r="G3373" s="92"/>
      <c r="H3373" s="92"/>
      <c r="I3373" s="92"/>
      <c r="J3373" s="92"/>
      <c r="K3373" s="92">
        <v>42675.900729166664</v>
      </c>
      <c r="L3373" s="9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6"/>
    </row>
    <row r="3374" spans="1:14" hidden="1" x14ac:dyDescent="0.15">
      <c r="A3374">
        <v>3374</v>
      </c>
      <c r="B3374" t="s">
        <v>5674</v>
      </c>
      <c r="C3374" t="s">
        <v>5675</v>
      </c>
      <c r="D3374" s="78" t="s">
        <v>5763</v>
      </c>
      <c r="E3374" t="s">
        <v>5700</v>
      </c>
      <c r="F3374" t="s">
        <v>5764</v>
      </c>
      <c r="G3374" s="92">
        <v>42675.704317129632</v>
      </c>
      <c r="H3374" s="92">
        <v>42675.899618055555</v>
      </c>
      <c r="I3374" s="92">
        <v>42675.899618055555</v>
      </c>
      <c r="J3374" s="92"/>
      <c r="K3374" s="92">
        <v>42675.900752314818</v>
      </c>
      <c r="L3374" s="92">
        <f>IF(AND(单词表[[#This Row],[学英]]&lt;&gt;"",单词表[[#This Row],[学中]]&lt;&gt;"",单词表[[#This Row],[学词]]&lt;&gt;""),MAX(单词表[[#This Row],[学英]:[学词]]),"")</f>
        <v>42675.899618055555</v>
      </c>
      <c r="M3374" s="2" t="str">
        <f>IF(AND(单词表[[#This Row],[考英]]&lt;&gt;"",单词表[[#This Row],[考中]]&lt;&gt;""),MAX(单词表[[#This Row],[考英]:[考中]]),"")</f>
        <v/>
      </c>
      <c r="N3374" s="86"/>
    </row>
    <row r="3375" spans="1:14" hidden="1" x14ac:dyDescent="0.15">
      <c r="A3375">
        <v>3375</v>
      </c>
      <c r="B3375" t="s">
        <v>5674</v>
      </c>
      <c r="C3375" t="s">
        <v>5675</v>
      </c>
      <c r="D3375" s="78" t="s">
        <v>5765</v>
      </c>
      <c r="E3375" t="s">
        <v>5700</v>
      </c>
      <c r="F3375" t="s">
        <v>5766</v>
      </c>
      <c r="G3375" s="92">
        <v>42675.704328703701</v>
      </c>
      <c r="H3375" s="92">
        <v>42675.899641203701</v>
      </c>
      <c r="I3375" s="92">
        <v>42675.899641203701</v>
      </c>
      <c r="J3375" s="92"/>
      <c r="K3375" s="92">
        <v>42675.90079861111</v>
      </c>
      <c r="L3375" s="92">
        <f>IF(AND(单词表[[#This Row],[学英]]&lt;&gt;"",单词表[[#This Row],[学中]]&lt;&gt;"",单词表[[#This Row],[学词]]&lt;&gt;""),MAX(单词表[[#This Row],[学英]:[学词]]),"")</f>
        <v>42675.899641203701</v>
      </c>
      <c r="M3375" s="2" t="str">
        <f>IF(AND(单词表[[#This Row],[考英]]&lt;&gt;"",单词表[[#This Row],[考中]]&lt;&gt;""),MAX(单词表[[#This Row],[考英]:[考中]]),"")</f>
        <v/>
      </c>
      <c r="N3375" s="86"/>
    </row>
    <row r="3376" spans="1:14" hidden="1" x14ac:dyDescent="0.15">
      <c r="A3376">
        <v>3376</v>
      </c>
      <c r="B3376" t="s">
        <v>5674</v>
      </c>
      <c r="C3376" t="s">
        <v>5675</v>
      </c>
      <c r="D3376" s="78" t="s">
        <v>5767</v>
      </c>
      <c r="E3376" t="s">
        <v>5700</v>
      </c>
      <c r="F3376" t="s">
        <v>5768</v>
      </c>
      <c r="G3376" s="92">
        <v>42675.704351851855</v>
      </c>
      <c r="H3376" s="92">
        <v>42675.704351851855</v>
      </c>
      <c r="I3376" s="92">
        <v>42675.704351851855</v>
      </c>
      <c r="J3376" s="92"/>
      <c r="K3376" s="92">
        <v>42675.734675925924</v>
      </c>
      <c r="L3376" s="92">
        <f>IF(AND(单词表[[#This Row],[学英]]&lt;&gt;"",单词表[[#This Row],[学中]]&lt;&gt;"",单词表[[#This Row],[学词]]&lt;&gt;""),MAX(单词表[[#This Row],[学英]:[学词]]),"")</f>
        <v>42675.704351851855</v>
      </c>
      <c r="M3376" s="2" t="str">
        <f>IF(AND(单词表[[#This Row],[考英]]&lt;&gt;"",单词表[[#This Row],[考中]]&lt;&gt;""),MAX(单词表[[#This Row],[考英]:[考中]]),"")</f>
        <v/>
      </c>
      <c r="N3376" s="86"/>
    </row>
    <row r="3377" spans="1:14" hidden="1" x14ac:dyDescent="0.15">
      <c r="A3377">
        <v>3377</v>
      </c>
      <c r="B3377" t="s">
        <v>5674</v>
      </c>
      <c r="C3377" t="s">
        <v>5676</v>
      </c>
      <c r="D3377" s="78" t="s">
        <v>5769</v>
      </c>
      <c r="E3377" t="s">
        <v>5700</v>
      </c>
      <c r="F3377" t="s">
        <v>5770</v>
      </c>
      <c r="G3377" s="92">
        <v>42676.822418981479</v>
      </c>
      <c r="H3377" s="92">
        <v>42676.822418981479</v>
      </c>
      <c r="I3377" s="92">
        <v>42676.822418981479</v>
      </c>
      <c r="J3377" s="92"/>
      <c r="K3377" s="92">
        <v>42676.844097222223</v>
      </c>
      <c r="L3377" s="92">
        <f>IF(AND(单词表[[#This Row],[学英]]&lt;&gt;"",单词表[[#This Row],[学中]]&lt;&gt;"",单词表[[#This Row],[学词]]&lt;&gt;""),MAX(单词表[[#This Row],[学英]:[学词]]),"")</f>
        <v>42676.822418981479</v>
      </c>
      <c r="M3377" s="2" t="str">
        <f>IF(AND(单词表[[#This Row],[考英]]&lt;&gt;"",单词表[[#This Row],[考中]]&lt;&gt;""),MAX(单词表[[#This Row],[考英]:[考中]]),"")</f>
        <v/>
      </c>
      <c r="N3377" s="86"/>
    </row>
    <row r="3378" spans="1:14" hidden="1" x14ac:dyDescent="0.15">
      <c r="A3378">
        <v>3378</v>
      </c>
      <c r="B3378" t="s">
        <v>5674</v>
      </c>
      <c r="C3378" t="s">
        <v>5676</v>
      </c>
      <c r="D3378" s="78" t="s">
        <v>5771</v>
      </c>
      <c r="E3378" t="s">
        <v>5700</v>
      </c>
      <c r="F3378" t="s">
        <v>5770</v>
      </c>
      <c r="G3378" s="92">
        <v>42676.842939814815</v>
      </c>
      <c r="H3378" s="92">
        <v>42676.842939814815</v>
      </c>
      <c r="I3378" s="92">
        <v>42676.842939814815</v>
      </c>
      <c r="J3378" s="92"/>
      <c r="K3378" s="92">
        <v>42676.844131944446</v>
      </c>
      <c r="L3378" s="92">
        <f>IF(AND(单词表[[#This Row],[学英]]&lt;&gt;"",单词表[[#This Row],[学中]]&lt;&gt;"",单词表[[#This Row],[学词]]&lt;&gt;""),MAX(单词表[[#This Row],[学英]:[学词]]),"")</f>
        <v>42676.842939814815</v>
      </c>
      <c r="M3378" s="2" t="str">
        <f>IF(AND(单词表[[#This Row],[考英]]&lt;&gt;"",单词表[[#This Row],[考中]]&lt;&gt;""),MAX(单词表[[#This Row],[考英]:[考中]]),"")</f>
        <v/>
      </c>
      <c r="N3378" s="86"/>
    </row>
    <row r="3379" spans="1:14" hidden="1" x14ac:dyDescent="0.15">
      <c r="A3379">
        <v>3379</v>
      </c>
      <c r="B3379" t="s">
        <v>5674</v>
      </c>
      <c r="C3379" t="s">
        <v>5676</v>
      </c>
      <c r="D3379" s="78" t="s">
        <v>5772</v>
      </c>
      <c r="E3379" t="s">
        <v>5682</v>
      </c>
      <c r="F3379" t="s">
        <v>5773</v>
      </c>
      <c r="G3379" s="92">
        <v>42676.844594907408</v>
      </c>
      <c r="H3379" s="92">
        <v>42676.844594907408</v>
      </c>
      <c r="I3379" s="92">
        <v>42676.844594907408</v>
      </c>
      <c r="J3379" s="92"/>
      <c r="K3379" s="92">
        <v>42676.847696759258</v>
      </c>
      <c r="L3379" s="92">
        <f>IF(AND(单词表[[#This Row],[学英]]&lt;&gt;"",单词表[[#This Row],[学中]]&lt;&gt;"",单词表[[#This Row],[学词]]&lt;&gt;""),MAX(单词表[[#This Row],[学英]:[学词]]),"")</f>
        <v>42676.844594907408</v>
      </c>
      <c r="M3379" s="2" t="str">
        <f>IF(AND(单词表[[#This Row],[考英]]&lt;&gt;"",单词表[[#This Row],[考中]]&lt;&gt;""),MAX(单词表[[#This Row],[考英]:[考中]]),"")</f>
        <v/>
      </c>
      <c r="N3379" s="86"/>
    </row>
    <row r="3380" spans="1:14" hidden="1" x14ac:dyDescent="0.15">
      <c r="A3380">
        <v>3380</v>
      </c>
      <c r="B3380" t="s">
        <v>5674</v>
      </c>
      <c r="C3380" t="s">
        <v>5675</v>
      </c>
      <c r="D3380" s="78" t="s">
        <v>5774</v>
      </c>
      <c r="E3380" t="s">
        <v>5682</v>
      </c>
      <c r="F3380" t="s">
        <v>5775</v>
      </c>
      <c r="G3380" s="92"/>
      <c r="H3380" s="92"/>
      <c r="I3380" s="92"/>
      <c r="J3380" s="92"/>
      <c r="K3380" s="92">
        <v>42675.734733796293</v>
      </c>
      <c r="L3380" s="9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6"/>
    </row>
    <row r="3381" spans="1:14" hidden="1" x14ac:dyDescent="0.15">
      <c r="A3381">
        <v>3381</v>
      </c>
      <c r="B3381" t="s">
        <v>5674</v>
      </c>
      <c r="C3381" t="s">
        <v>5675</v>
      </c>
      <c r="D3381" s="78" t="s">
        <v>5776</v>
      </c>
      <c r="E3381" t="s">
        <v>5700</v>
      </c>
      <c r="F3381" t="s">
        <v>5777</v>
      </c>
      <c r="G3381" s="92"/>
      <c r="H3381" s="92"/>
      <c r="I3381" s="92"/>
      <c r="J3381" s="92"/>
      <c r="K3381" s="92">
        <v>42675.732870370368</v>
      </c>
      <c r="L3381" s="9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6"/>
    </row>
    <row r="3382" spans="1:14" hidden="1" x14ac:dyDescent="0.15">
      <c r="A3382">
        <v>3382</v>
      </c>
      <c r="B3382" t="s">
        <v>5674</v>
      </c>
      <c r="C3382" t="s">
        <v>5675</v>
      </c>
      <c r="D3382" s="78" t="s">
        <v>5848</v>
      </c>
      <c r="E3382" t="s">
        <v>5700</v>
      </c>
      <c r="F3382" t="s">
        <v>5778</v>
      </c>
      <c r="G3382" s="92"/>
      <c r="H3382" s="92"/>
      <c r="I3382" s="92"/>
      <c r="J3382" s="92"/>
      <c r="K3382" s="92">
        <v>42675.732916666668</v>
      </c>
      <c r="L3382" s="9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6"/>
    </row>
    <row r="3383" spans="1:14" hidden="1" x14ac:dyDescent="0.15">
      <c r="A3383">
        <v>3383</v>
      </c>
      <c r="B3383" t="s">
        <v>5674</v>
      </c>
      <c r="C3383" t="s">
        <v>5675</v>
      </c>
      <c r="D3383" s="78" t="s">
        <v>5779</v>
      </c>
      <c r="E3383" t="s">
        <v>5742</v>
      </c>
      <c r="F3383" t="s">
        <v>5780</v>
      </c>
      <c r="G3383" s="92"/>
      <c r="H3383" s="92"/>
      <c r="I3383" s="92"/>
      <c r="J3383" s="92"/>
      <c r="K3383" s="92">
        <v>42675.901747685188</v>
      </c>
      <c r="L3383" s="9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6"/>
    </row>
    <row r="3384" spans="1:14" hidden="1" x14ac:dyDescent="0.15">
      <c r="A3384">
        <v>3384</v>
      </c>
      <c r="B3384" t="s">
        <v>5674</v>
      </c>
      <c r="C3384" t="s">
        <v>5675</v>
      </c>
      <c r="D3384" s="78" t="s">
        <v>5781</v>
      </c>
      <c r="E3384" t="s">
        <v>5742</v>
      </c>
      <c r="F3384" t="s">
        <v>5782</v>
      </c>
      <c r="G3384" s="92"/>
      <c r="H3384" s="92"/>
      <c r="I3384" s="92"/>
      <c r="J3384" s="92"/>
      <c r="K3384" s="92">
        <v>42675.900879629633</v>
      </c>
      <c r="L3384" s="9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6"/>
    </row>
    <row r="3385" spans="1:14" hidden="1" x14ac:dyDescent="0.15">
      <c r="A3385">
        <v>3385</v>
      </c>
      <c r="B3385" t="s">
        <v>5674</v>
      </c>
      <c r="C3385" t="s">
        <v>5675</v>
      </c>
      <c r="D3385" s="78" t="s">
        <v>5783</v>
      </c>
      <c r="E3385" t="s">
        <v>5682</v>
      </c>
      <c r="F3385" t="s">
        <v>5784</v>
      </c>
      <c r="G3385" s="92">
        <v>42715.811620370368</v>
      </c>
      <c r="H3385" s="92">
        <v>42715.811620370368</v>
      </c>
      <c r="I3385" s="92">
        <v>42715.811620370368</v>
      </c>
      <c r="J3385" s="92"/>
      <c r="K3385" s="92">
        <v>42715.839548611111</v>
      </c>
      <c r="L3385" s="92">
        <f>IF(AND(单词表[[#This Row],[学英]]&lt;&gt;"",单词表[[#This Row],[学中]]&lt;&gt;"",单词表[[#This Row],[学词]]&lt;&gt;""),MAX(单词表[[#This Row],[学英]:[学词]]),"")</f>
        <v>42715.811620370368</v>
      </c>
      <c r="M3385" s="2" t="str">
        <f>IF(AND(单词表[[#This Row],[考英]]&lt;&gt;"",单词表[[#This Row],[考中]]&lt;&gt;""),MAX(单词表[[#This Row],[考英]:[考中]]),"")</f>
        <v/>
      </c>
      <c r="N3385" s="86"/>
    </row>
    <row r="3386" spans="1:14" hidden="1" x14ac:dyDescent="0.15">
      <c r="A3386">
        <v>3386</v>
      </c>
      <c r="B3386" t="s">
        <v>5674</v>
      </c>
      <c r="C3386" t="s">
        <v>5675</v>
      </c>
      <c r="D3386" s="78" t="s">
        <v>5785</v>
      </c>
      <c r="E3386" t="s">
        <v>5700</v>
      </c>
      <c r="F3386" t="s">
        <v>5786</v>
      </c>
      <c r="G3386" s="92"/>
      <c r="H3386" s="92"/>
      <c r="I3386" s="92"/>
      <c r="J3386" s="92"/>
      <c r="K3386" s="92">
        <v>42675.733067129629</v>
      </c>
      <c r="L3386" s="9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6"/>
    </row>
    <row r="3387" spans="1:14" hidden="1" x14ac:dyDescent="0.15">
      <c r="A3387">
        <v>3387</v>
      </c>
      <c r="B3387" t="s">
        <v>5674</v>
      </c>
      <c r="C3387" t="s">
        <v>5675</v>
      </c>
      <c r="D3387" s="78" t="s">
        <v>5787</v>
      </c>
      <c r="E3387" t="s">
        <v>5700</v>
      </c>
      <c r="F3387" t="s">
        <v>5788</v>
      </c>
      <c r="G3387" s="92"/>
      <c r="H3387" s="92"/>
      <c r="I3387" s="92"/>
      <c r="J3387" s="92"/>
      <c r="K3387" s="92">
        <v>42675.718368055554</v>
      </c>
      <c r="L3387" s="9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6"/>
    </row>
    <row r="3388" spans="1:14" hidden="1" x14ac:dyDescent="0.15">
      <c r="A3388">
        <v>3388</v>
      </c>
      <c r="B3388" t="s">
        <v>5674</v>
      </c>
      <c r="C3388" t="s">
        <v>5675</v>
      </c>
      <c r="D3388" s="78" t="s">
        <v>5789</v>
      </c>
      <c r="E3388" t="s">
        <v>5682</v>
      </c>
      <c r="F3388" t="s">
        <v>5790</v>
      </c>
      <c r="G3388" s="92">
        <v>42715.811956018515</v>
      </c>
      <c r="H3388" s="92">
        <v>42715.811956018515</v>
      </c>
      <c r="I3388" s="92">
        <v>42715.811956018515</v>
      </c>
      <c r="J3388" s="92"/>
      <c r="K3388" s="92">
        <v>42715.83966435185</v>
      </c>
      <c r="L3388" s="92">
        <f>IF(AND(单词表[[#This Row],[学英]]&lt;&gt;"",单词表[[#This Row],[学中]]&lt;&gt;"",单词表[[#This Row],[学词]]&lt;&gt;""),MAX(单词表[[#This Row],[学英]:[学词]]),"")</f>
        <v>42715.811956018515</v>
      </c>
      <c r="M3388" s="2" t="str">
        <f>IF(AND(单词表[[#This Row],[考英]]&lt;&gt;"",单词表[[#This Row],[考中]]&lt;&gt;""),MAX(单词表[[#This Row],[考英]:[考中]]),"")</f>
        <v/>
      </c>
      <c r="N3388" s="86"/>
    </row>
    <row r="3389" spans="1:14" hidden="1" x14ac:dyDescent="0.15">
      <c r="A3389">
        <v>3389</v>
      </c>
      <c r="B3389" t="s">
        <v>5674</v>
      </c>
      <c r="C3389" t="s">
        <v>5675</v>
      </c>
      <c r="D3389" s="78" t="s">
        <v>5791</v>
      </c>
      <c r="E3389" t="s">
        <v>5700</v>
      </c>
      <c r="F3389" t="s">
        <v>5792</v>
      </c>
      <c r="G3389" s="92">
        <v>42715.812106481484</v>
      </c>
      <c r="H3389" s="92">
        <v>42715.812106481484</v>
      </c>
      <c r="I3389" s="92">
        <v>42715.812106481484</v>
      </c>
      <c r="J3389" s="92"/>
      <c r="K3389" s="92">
        <v>42715.83971064815</v>
      </c>
      <c r="L3389" s="92">
        <f>IF(AND(单词表[[#This Row],[学英]]&lt;&gt;"",单词表[[#This Row],[学中]]&lt;&gt;"",单词表[[#This Row],[学词]]&lt;&gt;""),MAX(单词表[[#This Row],[学英]:[学词]]),"")</f>
        <v>42715.812106481484</v>
      </c>
      <c r="M3389" s="2" t="str">
        <f>IF(AND(单词表[[#This Row],[考英]]&lt;&gt;"",单词表[[#This Row],[考中]]&lt;&gt;""),MAX(单词表[[#This Row],[考英]:[考中]]),"")</f>
        <v/>
      </c>
      <c r="N3389" s="86"/>
    </row>
    <row r="3390" spans="1:14" hidden="1" x14ac:dyDescent="0.15">
      <c r="A3390">
        <v>3390</v>
      </c>
      <c r="B3390" t="s">
        <v>5674</v>
      </c>
      <c r="C3390" t="s">
        <v>5675</v>
      </c>
      <c r="D3390" s="78" t="s">
        <v>5793</v>
      </c>
      <c r="E3390" t="s">
        <v>5700</v>
      </c>
      <c r="F3390" t="s">
        <v>5794</v>
      </c>
      <c r="G3390" s="92"/>
      <c r="H3390" s="92"/>
      <c r="I3390" s="92"/>
      <c r="J3390" s="92"/>
      <c r="K3390" s="92">
        <v>42675.718506944446</v>
      </c>
      <c r="L3390" s="9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6"/>
    </row>
    <row r="3391" spans="1:14" hidden="1" x14ac:dyDescent="0.15">
      <c r="A3391">
        <v>3391</v>
      </c>
      <c r="B3391" t="s">
        <v>5674</v>
      </c>
      <c r="C3391" t="s">
        <v>5675</v>
      </c>
      <c r="D3391" s="78" t="s">
        <v>5795</v>
      </c>
      <c r="E3391" t="s">
        <v>5700</v>
      </c>
      <c r="F3391" t="s">
        <v>5796</v>
      </c>
      <c r="G3391" s="92">
        <v>42715.812210648146</v>
      </c>
      <c r="H3391" s="92">
        <v>42675.706504629627</v>
      </c>
      <c r="I3391" s="92">
        <v>42715.812210648146</v>
      </c>
      <c r="J3391" s="92"/>
      <c r="K3391" s="92">
        <v>42715.839733796296</v>
      </c>
      <c r="L3391" s="92">
        <f>IF(AND(单词表[[#This Row],[学英]]&lt;&gt;"",单词表[[#This Row],[学中]]&lt;&gt;"",单词表[[#This Row],[学词]]&lt;&gt;""),MAX(单词表[[#This Row],[学英]:[学词]]),"")</f>
        <v>42715.812210648146</v>
      </c>
      <c r="M3391" s="2" t="str">
        <f>IF(AND(单词表[[#This Row],[考英]]&lt;&gt;"",单词表[[#This Row],[考中]]&lt;&gt;""),MAX(单词表[[#This Row],[考英]:[考中]]),"")</f>
        <v/>
      </c>
      <c r="N3391" s="86"/>
    </row>
    <row r="3392" spans="1:14" hidden="1" x14ac:dyDescent="0.15">
      <c r="A3392">
        <v>3392</v>
      </c>
      <c r="B3392" t="s">
        <v>5674</v>
      </c>
      <c r="C3392" t="s">
        <v>5675</v>
      </c>
      <c r="D3392" s="78" t="s">
        <v>5797</v>
      </c>
      <c r="E3392" t="s">
        <v>5700</v>
      </c>
      <c r="F3392" t="s">
        <v>5798</v>
      </c>
      <c r="G3392" s="92"/>
      <c r="H3392" s="92"/>
      <c r="I3392" s="92"/>
      <c r="J3392" s="92"/>
      <c r="K3392" s="92">
        <v>42675.718576388892</v>
      </c>
      <c r="L3392" s="9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6"/>
    </row>
    <row r="3393" spans="1:14" hidden="1" x14ac:dyDescent="0.15">
      <c r="A3393">
        <v>3393</v>
      </c>
      <c r="B3393" t="s">
        <v>5674</v>
      </c>
      <c r="C3393" t="s">
        <v>5675</v>
      </c>
      <c r="D3393" s="78" t="s">
        <v>5799</v>
      </c>
      <c r="E3393" t="s">
        <v>5742</v>
      </c>
      <c r="F3393" t="s">
        <v>5800</v>
      </c>
      <c r="G3393" s="92"/>
      <c r="H3393" s="92"/>
      <c r="I3393" s="92"/>
      <c r="J3393" s="92"/>
      <c r="K3393" s="92">
        <v>42675.901875000003</v>
      </c>
      <c r="L3393" s="9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6"/>
    </row>
    <row r="3394" spans="1:14" hidden="1" x14ac:dyDescent="0.15">
      <c r="A3394">
        <v>3394</v>
      </c>
      <c r="B3394" t="s">
        <v>5674</v>
      </c>
      <c r="C3394" t="s">
        <v>5675</v>
      </c>
      <c r="D3394" s="78" t="s">
        <v>5801</v>
      </c>
      <c r="E3394" t="s">
        <v>5742</v>
      </c>
      <c r="F3394" t="s">
        <v>5802</v>
      </c>
      <c r="G3394" s="92"/>
      <c r="H3394" s="92"/>
      <c r="I3394" s="92"/>
      <c r="J3394" s="92"/>
      <c r="K3394" s="92">
        <v>42675.718680555554</v>
      </c>
      <c r="L3394" s="9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6"/>
    </row>
    <row r="3395" spans="1:14" hidden="1" x14ac:dyDescent="0.15">
      <c r="A3395">
        <v>3395</v>
      </c>
      <c r="B3395" t="s">
        <v>5674</v>
      </c>
      <c r="C3395" t="s">
        <v>5675</v>
      </c>
      <c r="D3395" s="78" t="s">
        <v>5803</v>
      </c>
      <c r="E3395" t="s">
        <v>5682</v>
      </c>
      <c r="F3395" t="s">
        <v>5804</v>
      </c>
      <c r="G3395" s="92"/>
      <c r="H3395" s="92"/>
      <c r="I3395" s="92"/>
      <c r="J3395" s="92"/>
      <c r="K3395" s="92">
        <v>42675.901898148149</v>
      </c>
      <c r="L3395" s="9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6"/>
    </row>
    <row r="3396" spans="1:14" hidden="1" x14ac:dyDescent="0.15">
      <c r="A3396">
        <v>3396</v>
      </c>
      <c r="B3396" t="s">
        <v>5674</v>
      </c>
      <c r="C3396" t="s">
        <v>5676</v>
      </c>
      <c r="D3396" s="78" t="s">
        <v>5805</v>
      </c>
      <c r="E3396" t="s">
        <v>5682</v>
      </c>
      <c r="F3396" t="s">
        <v>5806</v>
      </c>
      <c r="G3396" s="92">
        <v>42676.844606481478</v>
      </c>
      <c r="H3396" s="92">
        <v>42676.844606481478</v>
      </c>
      <c r="I3396" s="92">
        <v>42676.844606481478</v>
      </c>
      <c r="J3396" s="92"/>
      <c r="K3396" s="92">
        <v>42676.847743055558</v>
      </c>
      <c r="L3396" s="92">
        <f>IF(AND(单词表[[#This Row],[学英]]&lt;&gt;"",单词表[[#This Row],[学中]]&lt;&gt;"",单词表[[#This Row],[学词]]&lt;&gt;""),MAX(单词表[[#This Row],[学英]:[学词]]),"")</f>
        <v>42676.844606481478</v>
      </c>
      <c r="M3396" s="2" t="str">
        <f>IF(AND(单词表[[#This Row],[考英]]&lt;&gt;"",单词表[[#This Row],[考中]]&lt;&gt;""),MAX(单词表[[#This Row],[考英]:[考中]]),"")</f>
        <v/>
      </c>
      <c r="N3396" s="86"/>
    </row>
    <row r="3397" spans="1:14" hidden="1" x14ac:dyDescent="0.15">
      <c r="A3397">
        <v>3397</v>
      </c>
      <c r="B3397" t="s">
        <v>5674</v>
      </c>
      <c r="C3397" t="s">
        <v>5676</v>
      </c>
      <c r="D3397" s="78" t="s">
        <v>5807</v>
      </c>
      <c r="E3397" t="s">
        <v>5682</v>
      </c>
      <c r="F3397" t="s">
        <v>5808</v>
      </c>
      <c r="G3397" s="92">
        <v>42676.844629629632</v>
      </c>
      <c r="H3397" s="92">
        <v>42676.845370370371</v>
      </c>
      <c r="I3397" s="92">
        <v>42676.845370370371</v>
      </c>
      <c r="J3397" s="92"/>
      <c r="K3397" s="92">
        <v>42676.847766203704</v>
      </c>
      <c r="L3397" s="92">
        <f>IF(AND(单词表[[#This Row],[学英]]&lt;&gt;"",单词表[[#This Row],[学中]]&lt;&gt;"",单词表[[#This Row],[学词]]&lt;&gt;""),MAX(单词表[[#This Row],[学英]:[学词]]),"")</f>
        <v>42676.845370370371</v>
      </c>
      <c r="M3397" s="2" t="str">
        <f>IF(AND(单词表[[#This Row],[考英]]&lt;&gt;"",单词表[[#This Row],[考中]]&lt;&gt;""),MAX(单词表[[#This Row],[考英]:[考中]]),"")</f>
        <v/>
      </c>
      <c r="N3397" s="86"/>
    </row>
    <row r="3398" spans="1:14" hidden="1" x14ac:dyDescent="0.15">
      <c r="A3398">
        <v>3398</v>
      </c>
      <c r="B3398" t="s">
        <v>5674</v>
      </c>
      <c r="C3398" t="s">
        <v>5676</v>
      </c>
      <c r="D3398" s="78" t="s">
        <v>5809</v>
      </c>
      <c r="E3398" t="s">
        <v>5682</v>
      </c>
      <c r="F3398" t="s">
        <v>5810</v>
      </c>
      <c r="G3398" s="92">
        <v>42676.844641203701</v>
      </c>
      <c r="H3398" s="92">
        <v>42676.84746527778</v>
      </c>
      <c r="I3398" s="92">
        <v>42676.84746527778</v>
      </c>
      <c r="J3398" s="92"/>
      <c r="K3398" s="92">
        <v>42676.847800925927</v>
      </c>
      <c r="L3398" s="92">
        <f>IF(AND(单词表[[#This Row],[学英]]&lt;&gt;"",单词表[[#This Row],[学中]]&lt;&gt;"",单词表[[#This Row],[学词]]&lt;&gt;""),MAX(单词表[[#This Row],[学英]:[学词]]),"")</f>
        <v>42676.84746527778</v>
      </c>
      <c r="M3398" s="2" t="str">
        <f>IF(AND(单词表[[#This Row],[考英]]&lt;&gt;"",单词表[[#This Row],[考中]]&lt;&gt;""),MAX(单词表[[#This Row],[考英]:[考中]]),"")</f>
        <v/>
      </c>
      <c r="N3398" s="86"/>
    </row>
    <row r="3399" spans="1:14" hidden="1" x14ac:dyDescent="0.15">
      <c r="A3399">
        <v>3399</v>
      </c>
      <c r="B3399" t="s">
        <v>5674</v>
      </c>
      <c r="C3399" t="s">
        <v>5676</v>
      </c>
      <c r="D3399" s="78" t="s">
        <v>5811</v>
      </c>
      <c r="E3399" t="s">
        <v>5700</v>
      </c>
      <c r="F3399" t="s">
        <v>5812</v>
      </c>
      <c r="G3399" s="92">
        <v>42676.844664351855</v>
      </c>
      <c r="H3399" s="92">
        <v>42676.844664351855</v>
      </c>
      <c r="I3399" s="92">
        <v>42676.844664351855</v>
      </c>
      <c r="J3399" s="92"/>
      <c r="K3399" s="92">
        <v>42676.84784722222</v>
      </c>
      <c r="L3399" s="92">
        <f>IF(AND(单词表[[#This Row],[学英]]&lt;&gt;"",单词表[[#This Row],[学中]]&lt;&gt;"",单词表[[#This Row],[学词]]&lt;&gt;""),MAX(单词表[[#This Row],[学英]:[学词]]),"")</f>
        <v>42676.844664351855</v>
      </c>
      <c r="M3399" s="2" t="str">
        <f>IF(AND(单词表[[#This Row],[考英]]&lt;&gt;"",单词表[[#This Row],[考中]]&lt;&gt;""),MAX(单词表[[#This Row],[考英]:[考中]]),"")</f>
        <v/>
      </c>
      <c r="N3399" s="86"/>
    </row>
    <row r="3400" spans="1:14" hidden="1" x14ac:dyDescent="0.15">
      <c r="A3400">
        <v>3400</v>
      </c>
      <c r="B3400" t="s">
        <v>5674</v>
      </c>
      <c r="C3400" t="s">
        <v>5676</v>
      </c>
      <c r="D3400" s="78" t="s">
        <v>5813</v>
      </c>
      <c r="E3400" t="s">
        <v>5700</v>
      </c>
      <c r="F3400" t="s">
        <v>5814</v>
      </c>
      <c r="G3400" s="92">
        <v>42676.844675925924</v>
      </c>
      <c r="H3400" s="92">
        <v>42676.844675925924</v>
      </c>
      <c r="I3400" s="92">
        <v>42676.844675925924</v>
      </c>
      <c r="J3400" s="92"/>
      <c r="K3400" s="92">
        <v>42676.847881944443</v>
      </c>
      <c r="L3400" s="92">
        <f>IF(AND(单词表[[#This Row],[学英]]&lt;&gt;"",单词表[[#This Row],[学中]]&lt;&gt;"",单词表[[#This Row],[学词]]&lt;&gt;""),MAX(单词表[[#This Row],[学英]:[学词]]),"")</f>
        <v>42676.844675925924</v>
      </c>
      <c r="M3400" s="2" t="str">
        <f>IF(AND(单词表[[#This Row],[考英]]&lt;&gt;"",单词表[[#This Row],[考中]]&lt;&gt;""),MAX(单词表[[#This Row],[考英]:[考中]]),"")</f>
        <v/>
      </c>
      <c r="N3400" s="86"/>
    </row>
    <row r="3401" spans="1:14" hidden="1" x14ac:dyDescent="0.15">
      <c r="A3401">
        <v>3401</v>
      </c>
      <c r="B3401" t="s">
        <v>5674</v>
      </c>
      <c r="C3401" t="s">
        <v>5675</v>
      </c>
      <c r="D3401" s="78" t="s">
        <v>5815</v>
      </c>
      <c r="E3401" t="s">
        <v>5682</v>
      </c>
      <c r="F3401" t="s">
        <v>5816</v>
      </c>
      <c r="G3401" s="92"/>
      <c r="H3401" s="92"/>
      <c r="I3401" s="92"/>
      <c r="J3401" s="92"/>
      <c r="K3401" s="92">
        <v>42675.718784722223</v>
      </c>
      <c r="L3401" s="9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6"/>
    </row>
    <row r="3402" spans="1:14" hidden="1" x14ac:dyDescent="0.15">
      <c r="A3402">
        <v>3402</v>
      </c>
      <c r="B3402" t="s">
        <v>5674</v>
      </c>
      <c r="C3402" t="s">
        <v>5676</v>
      </c>
      <c r="D3402" s="78" t="s">
        <v>5817</v>
      </c>
      <c r="E3402" t="s">
        <v>5682</v>
      </c>
      <c r="F3402" t="s">
        <v>5818</v>
      </c>
      <c r="G3402" s="92">
        <v>42676.844710648147</v>
      </c>
      <c r="H3402" s="92">
        <v>42676.847581018519</v>
      </c>
      <c r="I3402" s="92">
        <v>42676.847581018519</v>
      </c>
      <c r="J3402" s="92"/>
      <c r="K3402" s="92">
        <v>42676.847916666666</v>
      </c>
      <c r="L3402" s="92">
        <f>IF(AND(单词表[[#This Row],[学英]]&lt;&gt;"",单词表[[#This Row],[学中]]&lt;&gt;"",单词表[[#This Row],[学词]]&lt;&gt;""),MAX(单词表[[#This Row],[学英]:[学词]]),"")</f>
        <v>42676.847581018519</v>
      </c>
      <c r="M3402" s="2" t="str">
        <f>IF(AND(单词表[[#This Row],[考英]]&lt;&gt;"",单词表[[#This Row],[考中]]&lt;&gt;""),MAX(单词表[[#This Row],[考英]:[考中]]),"")</f>
        <v/>
      </c>
      <c r="N3402" s="86"/>
    </row>
    <row r="3403" spans="1:14" hidden="1" x14ac:dyDescent="0.15">
      <c r="A3403">
        <v>3403</v>
      </c>
      <c r="B3403" t="s">
        <v>5674</v>
      </c>
      <c r="C3403" t="s">
        <v>5676</v>
      </c>
      <c r="D3403" s="78" t="s">
        <v>5819</v>
      </c>
      <c r="E3403" t="s">
        <v>5682</v>
      </c>
      <c r="F3403" t="s">
        <v>5820</v>
      </c>
      <c r="G3403" s="92">
        <v>42676.844733796293</v>
      </c>
      <c r="H3403" s="92">
        <v>42676.844733796293</v>
      </c>
      <c r="I3403" s="92">
        <v>42676.844733796293</v>
      </c>
      <c r="J3403" s="92"/>
      <c r="K3403" s="92">
        <v>42676.847962962966</v>
      </c>
      <c r="L3403" s="92">
        <f>IF(AND(单词表[[#This Row],[学英]]&lt;&gt;"",单词表[[#This Row],[学中]]&lt;&gt;"",单词表[[#This Row],[学词]]&lt;&gt;""),MAX(单词表[[#This Row],[学英]:[学词]]),"")</f>
        <v>42676.844733796293</v>
      </c>
      <c r="M3403" s="2" t="str">
        <f>IF(AND(单词表[[#This Row],[考英]]&lt;&gt;"",单词表[[#This Row],[考中]]&lt;&gt;""),MAX(单词表[[#This Row],[考英]:[考中]]),"")</f>
        <v/>
      </c>
      <c r="N3403" s="86"/>
    </row>
    <row r="3404" spans="1:14" hidden="1" x14ac:dyDescent="0.15">
      <c r="A3404">
        <v>3404</v>
      </c>
      <c r="B3404" t="s">
        <v>5674</v>
      </c>
      <c r="C3404" t="s">
        <v>5676</v>
      </c>
      <c r="D3404" s="78" t="s">
        <v>5821</v>
      </c>
      <c r="E3404" t="s">
        <v>5682</v>
      </c>
      <c r="F3404" t="s">
        <v>5822</v>
      </c>
      <c r="G3404" s="92">
        <v>42676.844756944447</v>
      </c>
      <c r="H3404" s="92">
        <v>42676.844756944447</v>
      </c>
      <c r="I3404" s="92">
        <v>42676.844756944447</v>
      </c>
      <c r="J3404" s="92"/>
      <c r="K3404" s="92">
        <v>42676.847997685189</v>
      </c>
      <c r="L3404" s="92">
        <f>IF(AND(单词表[[#This Row],[学英]]&lt;&gt;"",单词表[[#This Row],[学中]]&lt;&gt;"",单词表[[#This Row],[学词]]&lt;&gt;""),MAX(单词表[[#This Row],[学英]:[学词]]),"")</f>
        <v>42676.844756944447</v>
      </c>
      <c r="M3404" s="2" t="str">
        <f>IF(AND(单词表[[#This Row],[考英]]&lt;&gt;"",单词表[[#This Row],[考中]]&lt;&gt;""),MAX(单词表[[#This Row],[考英]:[考中]]),"")</f>
        <v/>
      </c>
      <c r="N3404" s="86"/>
    </row>
    <row r="3405" spans="1:14" hidden="1" x14ac:dyDescent="0.15">
      <c r="A3405">
        <v>3405</v>
      </c>
      <c r="B3405" t="s">
        <v>5674</v>
      </c>
      <c r="C3405" t="s">
        <v>5676</v>
      </c>
      <c r="D3405" s="78" t="s">
        <v>5823</v>
      </c>
      <c r="E3405" t="s">
        <v>5682</v>
      </c>
      <c r="F3405" t="s">
        <v>5824</v>
      </c>
      <c r="G3405" s="92">
        <v>42676.844780092593</v>
      </c>
      <c r="H3405" s="92">
        <v>42676.844780092593</v>
      </c>
      <c r="I3405" s="92">
        <v>42676.844780092593</v>
      </c>
      <c r="J3405" s="92"/>
      <c r="K3405" s="92">
        <v>42676.848032407404</v>
      </c>
      <c r="L3405" s="92">
        <f>IF(AND(单词表[[#This Row],[学英]]&lt;&gt;"",单词表[[#This Row],[学中]]&lt;&gt;"",单词表[[#This Row],[学词]]&lt;&gt;""),MAX(单词表[[#This Row],[学英]:[学词]]),"")</f>
        <v>42676.844780092593</v>
      </c>
      <c r="M3405" s="2" t="str">
        <f>IF(AND(单词表[[#This Row],[考英]]&lt;&gt;"",单词表[[#This Row],[考中]]&lt;&gt;""),MAX(单词表[[#This Row],[考英]:[考中]]),"")</f>
        <v/>
      </c>
      <c r="N3405" s="86"/>
    </row>
    <row r="3406" spans="1:14" hidden="1" x14ac:dyDescent="0.15">
      <c r="A3406">
        <v>3406</v>
      </c>
      <c r="B3406" t="s">
        <v>5674</v>
      </c>
      <c r="C3406" t="s">
        <v>5675</v>
      </c>
      <c r="D3406" s="78" t="s">
        <v>5826</v>
      </c>
      <c r="E3406" t="s">
        <v>5682</v>
      </c>
      <c r="F3406" s="78" t="s">
        <v>5825</v>
      </c>
      <c r="G3406" s="92"/>
      <c r="H3406" s="92"/>
      <c r="I3406" s="92"/>
      <c r="J3406" s="92"/>
      <c r="K3406" s="92">
        <v>42675.901944444442</v>
      </c>
      <c r="L3406" s="9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6"/>
    </row>
    <row r="3407" spans="1:14" hidden="1" x14ac:dyDescent="0.15">
      <c r="A3407">
        <v>3407</v>
      </c>
      <c r="B3407" t="s">
        <v>5674</v>
      </c>
      <c r="C3407" t="s">
        <v>5675</v>
      </c>
      <c r="D3407" s="78" t="s">
        <v>5827</v>
      </c>
      <c r="E3407" t="s">
        <v>5700</v>
      </c>
      <c r="F3407" t="s">
        <v>5828</v>
      </c>
      <c r="G3407" s="92"/>
      <c r="H3407" s="92"/>
      <c r="I3407" s="92"/>
      <c r="J3407" s="92"/>
      <c r="K3407" s="92">
        <v>42675.718900462962</v>
      </c>
      <c r="L3407" s="9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6"/>
    </row>
    <row r="3408" spans="1:14" hidden="1" x14ac:dyDescent="0.15">
      <c r="A3408">
        <v>3408</v>
      </c>
      <c r="B3408" t="s">
        <v>5674</v>
      </c>
      <c r="C3408" t="s">
        <v>5675</v>
      </c>
      <c r="D3408" s="78" t="s">
        <v>5849</v>
      </c>
      <c r="E3408" t="s">
        <v>5700</v>
      </c>
      <c r="F3408" t="s">
        <v>5829</v>
      </c>
      <c r="G3408" s="92"/>
      <c r="H3408" s="92"/>
      <c r="I3408" s="92"/>
      <c r="J3408" s="92"/>
      <c r="K3408" s="92">
        <v>42675.718935185185</v>
      </c>
      <c r="L3408" s="9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6"/>
    </row>
    <row r="3409" spans="1:14" hidden="1" x14ac:dyDescent="0.15">
      <c r="A3409">
        <v>3409</v>
      </c>
      <c r="B3409" t="s">
        <v>5674</v>
      </c>
      <c r="C3409" t="s">
        <v>5675</v>
      </c>
      <c r="D3409" s="78" t="s">
        <v>5830</v>
      </c>
      <c r="E3409" t="s">
        <v>5682</v>
      </c>
      <c r="F3409" t="s">
        <v>5831</v>
      </c>
      <c r="G3409" s="92">
        <v>42675.706701388888</v>
      </c>
      <c r="H3409" s="92">
        <v>42675.706701388888</v>
      </c>
      <c r="I3409" s="92">
        <v>42675.706701388888</v>
      </c>
      <c r="J3409" s="92"/>
      <c r="K3409" s="92">
        <v>42675.718981481485</v>
      </c>
      <c r="L3409" s="92">
        <f>IF(AND(单词表[[#This Row],[学英]]&lt;&gt;"",单词表[[#This Row],[学中]]&lt;&gt;"",单词表[[#This Row],[学词]]&lt;&gt;""),MAX(单词表[[#This Row],[学英]:[学词]]),"")</f>
        <v>42675.706701388888</v>
      </c>
      <c r="M3409" s="2" t="str">
        <f>IF(AND(单词表[[#This Row],[考英]]&lt;&gt;"",单词表[[#This Row],[考中]]&lt;&gt;""),MAX(单词表[[#This Row],[考英]:[考中]]),"")</f>
        <v/>
      </c>
      <c r="N3409" s="86"/>
    </row>
    <row r="3410" spans="1:14" hidden="1" x14ac:dyDescent="0.15">
      <c r="A3410">
        <v>3410</v>
      </c>
      <c r="B3410" t="s">
        <v>5674</v>
      </c>
      <c r="C3410" t="s">
        <v>5675</v>
      </c>
      <c r="D3410" s="78" t="s">
        <v>5832</v>
      </c>
      <c r="E3410" t="s">
        <v>5700</v>
      </c>
      <c r="F3410" t="s">
        <v>5833</v>
      </c>
      <c r="G3410" s="92">
        <v>42715.81349537037</v>
      </c>
      <c r="H3410" s="92">
        <v>42715.81349537037</v>
      </c>
      <c r="I3410" s="92">
        <v>42715.81349537037</v>
      </c>
      <c r="J3410" s="92"/>
      <c r="K3410" s="92">
        <v>42715.839780092596</v>
      </c>
      <c r="L3410" s="92">
        <f>IF(AND(单词表[[#This Row],[学英]]&lt;&gt;"",单词表[[#This Row],[学中]]&lt;&gt;"",单词表[[#This Row],[学词]]&lt;&gt;""),MAX(单词表[[#This Row],[学英]:[学词]]),"")</f>
        <v>42715.81349537037</v>
      </c>
      <c r="M3410" s="2" t="str">
        <f>IF(AND(单词表[[#This Row],[考英]]&lt;&gt;"",单词表[[#This Row],[考中]]&lt;&gt;""),MAX(单词表[[#This Row],[考英]:[考中]]),"")</f>
        <v/>
      </c>
      <c r="N3410" s="86"/>
    </row>
    <row r="3411" spans="1:14" hidden="1" x14ac:dyDescent="0.15">
      <c r="A3411">
        <v>3411</v>
      </c>
      <c r="B3411" t="s">
        <v>5674</v>
      </c>
      <c r="C3411" t="s">
        <v>5675</v>
      </c>
      <c r="D3411" s="78" t="s">
        <v>5834</v>
      </c>
      <c r="E3411" t="s">
        <v>5700</v>
      </c>
      <c r="F3411" t="s">
        <v>5835</v>
      </c>
      <c r="G3411" s="92"/>
      <c r="H3411" s="92"/>
      <c r="I3411" s="92"/>
      <c r="J3411" s="92"/>
      <c r="K3411" s="92">
        <v>42675.7190625</v>
      </c>
      <c r="L3411" s="9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6"/>
    </row>
    <row r="3412" spans="1:14" hidden="1" x14ac:dyDescent="0.15">
      <c r="A3412">
        <v>3412</v>
      </c>
      <c r="B3412" t="s">
        <v>5674</v>
      </c>
      <c r="C3412" t="s">
        <v>5675</v>
      </c>
      <c r="D3412" s="78" t="s">
        <v>5836</v>
      </c>
      <c r="E3412" t="s">
        <v>5682</v>
      </c>
      <c r="F3412" t="s">
        <v>5837</v>
      </c>
      <c r="G3412" s="92"/>
      <c r="H3412" s="92"/>
      <c r="I3412" s="92"/>
      <c r="J3412" s="92"/>
      <c r="K3412" s="92">
        <v>42675.719085648147</v>
      </c>
      <c r="L3412" s="9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6"/>
    </row>
    <row r="3413" spans="1:14" hidden="1" x14ac:dyDescent="0.15">
      <c r="A3413">
        <v>3413</v>
      </c>
      <c r="B3413" t="s">
        <v>5674</v>
      </c>
      <c r="C3413" t="s">
        <v>5675</v>
      </c>
      <c r="D3413" s="78" t="s">
        <v>5838</v>
      </c>
      <c r="E3413" t="s">
        <v>5700</v>
      </c>
      <c r="F3413" t="s">
        <v>5839</v>
      </c>
      <c r="G3413" s="92"/>
      <c r="H3413" s="92"/>
      <c r="I3413" s="92"/>
      <c r="J3413" s="92"/>
      <c r="K3413" s="92">
        <v>42675.71912037037</v>
      </c>
      <c r="L3413" s="9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6"/>
    </row>
    <row r="3414" spans="1:14" hidden="1" x14ac:dyDescent="0.15">
      <c r="A3414">
        <v>3414</v>
      </c>
      <c r="B3414" t="s">
        <v>5674</v>
      </c>
      <c r="C3414" t="s">
        <v>5675</v>
      </c>
      <c r="D3414" s="78" t="s">
        <v>5840</v>
      </c>
      <c r="E3414" t="s">
        <v>5682</v>
      </c>
      <c r="F3414" t="s">
        <v>5841</v>
      </c>
      <c r="G3414" s="92"/>
      <c r="H3414" s="92"/>
      <c r="I3414" s="92"/>
      <c r="J3414" s="92"/>
      <c r="K3414" s="92">
        <v>42675.719166666669</v>
      </c>
      <c r="L3414" s="9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6"/>
    </row>
    <row r="3415" spans="1:14" hidden="1" x14ac:dyDescent="0.15">
      <c r="A3415">
        <v>3415</v>
      </c>
      <c r="B3415" t="s">
        <v>5674</v>
      </c>
      <c r="C3415" t="s">
        <v>5675</v>
      </c>
      <c r="D3415" s="78" t="s">
        <v>5842</v>
      </c>
      <c r="E3415" t="s">
        <v>5742</v>
      </c>
      <c r="F3415" t="s">
        <v>5843</v>
      </c>
      <c r="G3415" s="92"/>
      <c r="H3415" s="92"/>
      <c r="I3415" s="92"/>
      <c r="J3415" s="92"/>
      <c r="K3415" s="92">
        <v>42675.719212962962</v>
      </c>
      <c r="L3415" s="9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6"/>
    </row>
    <row r="3416" spans="1:14" hidden="1" x14ac:dyDescent="0.15">
      <c r="A3416">
        <v>3416</v>
      </c>
      <c r="B3416" t="s">
        <v>5674</v>
      </c>
      <c r="C3416" t="s">
        <v>5675</v>
      </c>
      <c r="D3416" s="78" t="s">
        <v>5844</v>
      </c>
      <c r="E3416" t="s">
        <v>5682</v>
      </c>
      <c r="F3416" t="s">
        <v>5845</v>
      </c>
      <c r="G3416" s="92"/>
      <c r="H3416" s="92"/>
      <c r="I3416" s="92"/>
      <c r="J3416" s="92"/>
      <c r="K3416" s="92">
        <v>42675.902013888888</v>
      </c>
      <c r="L3416" s="9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6"/>
    </row>
    <row r="3417" spans="1:14" hidden="1" x14ac:dyDescent="0.15">
      <c r="A3417">
        <v>3417</v>
      </c>
      <c r="B3417" t="s">
        <v>5933</v>
      </c>
      <c r="C3417" t="s">
        <v>5936</v>
      </c>
      <c r="D3417" s="78" t="s">
        <v>5938</v>
      </c>
      <c r="E3417" t="s">
        <v>5939</v>
      </c>
      <c r="F3417" t="s">
        <v>5940</v>
      </c>
      <c r="G3417" s="92"/>
      <c r="H3417" s="92"/>
      <c r="I3417" s="92"/>
      <c r="J3417" s="92">
        <v>43271.859085648146</v>
      </c>
      <c r="K3417" s="92"/>
      <c r="L3417" s="9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6"/>
    </row>
    <row r="3418" spans="1:14" hidden="1" x14ac:dyDescent="0.15">
      <c r="A3418">
        <v>3418</v>
      </c>
      <c r="B3418" t="s">
        <v>5933</v>
      </c>
      <c r="C3418" t="s">
        <v>5936</v>
      </c>
      <c r="D3418" s="78" t="s">
        <v>5941</v>
      </c>
      <c r="E3418" t="s">
        <v>5939</v>
      </c>
      <c r="F3418" t="s">
        <v>5942</v>
      </c>
      <c r="G3418" s="92"/>
      <c r="H3418" s="92"/>
      <c r="I3418" s="92"/>
      <c r="J3418" s="92">
        <v>43271.859131944446</v>
      </c>
      <c r="K3418" s="92"/>
      <c r="L3418" s="9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6"/>
    </row>
    <row r="3419" spans="1:14" hidden="1" x14ac:dyDescent="0.15">
      <c r="A3419">
        <v>3419</v>
      </c>
      <c r="B3419" t="s">
        <v>5933</v>
      </c>
      <c r="C3419" t="s">
        <v>5936</v>
      </c>
      <c r="D3419" s="78" t="s">
        <v>5943</v>
      </c>
      <c r="E3419" t="s">
        <v>5939</v>
      </c>
      <c r="F3419" t="s">
        <v>5944</v>
      </c>
      <c r="G3419" s="92"/>
      <c r="H3419" s="92"/>
      <c r="I3419" s="92"/>
      <c r="J3419" s="92">
        <v>43271.859247685185</v>
      </c>
      <c r="K3419" s="92"/>
      <c r="L3419" s="9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6"/>
    </row>
    <row r="3420" spans="1:14" hidden="1" x14ac:dyDescent="0.15">
      <c r="A3420">
        <v>3420</v>
      </c>
      <c r="B3420" t="s">
        <v>5933</v>
      </c>
      <c r="C3420" t="s">
        <v>5936</v>
      </c>
      <c r="D3420" s="78" t="s">
        <v>5945</v>
      </c>
      <c r="E3420" t="s">
        <v>5946</v>
      </c>
      <c r="F3420" t="s">
        <v>5947</v>
      </c>
      <c r="G3420" s="92"/>
      <c r="H3420" s="92"/>
      <c r="I3420" s="92"/>
      <c r="J3420" s="92">
        <v>43271.859340277777</v>
      </c>
      <c r="K3420" s="92"/>
      <c r="L3420" s="9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6"/>
    </row>
    <row r="3421" spans="1:14" hidden="1" x14ac:dyDescent="0.15">
      <c r="A3421">
        <v>3421</v>
      </c>
      <c r="B3421" t="s">
        <v>5933</v>
      </c>
      <c r="C3421" t="s">
        <v>5936</v>
      </c>
      <c r="D3421" s="78" t="s">
        <v>5948</v>
      </c>
      <c r="E3421" t="s">
        <v>5949</v>
      </c>
      <c r="F3421" t="s">
        <v>5950</v>
      </c>
      <c r="G3421" s="92"/>
      <c r="H3421" s="92"/>
      <c r="I3421" s="92"/>
      <c r="J3421" s="92">
        <v>43271.859456018516</v>
      </c>
      <c r="K3421" s="92"/>
      <c r="L3421" s="9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6"/>
    </row>
    <row r="3422" spans="1:14" hidden="1" x14ac:dyDescent="0.15">
      <c r="A3422">
        <v>3422</v>
      </c>
      <c r="B3422" t="s">
        <v>5933</v>
      </c>
      <c r="C3422" t="s">
        <v>5936</v>
      </c>
      <c r="D3422" s="78" t="s">
        <v>5951</v>
      </c>
      <c r="E3422" t="s">
        <v>5949</v>
      </c>
      <c r="F3422" t="s">
        <v>5952</v>
      </c>
      <c r="G3422" s="92"/>
      <c r="H3422" s="92"/>
      <c r="I3422" s="92"/>
      <c r="J3422" s="92">
        <v>43271.859525462962</v>
      </c>
      <c r="K3422" s="92"/>
      <c r="L3422" s="9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6"/>
    </row>
    <row r="3423" spans="1:14" hidden="1" x14ac:dyDescent="0.15">
      <c r="A3423">
        <v>3423</v>
      </c>
      <c r="B3423" t="s">
        <v>5933</v>
      </c>
      <c r="C3423" t="s">
        <v>5936</v>
      </c>
      <c r="D3423" s="78" t="s">
        <v>5953</v>
      </c>
      <c r="E3423" t="s">
        <v>5949</v>
      </c>
      <c r="F3423" t="s">
        <v>5954</v>
      </c>
      <c r="G3423" s="92"/>
      <c r="H3423" s="92"/>
      <c r="I3423" s="92"/>
      <c r="J3423" s="92">
        <v>43271.859606481485</v>
      </c>
      <c r="K3423" s="92"/>
      <c r="L3423" s="9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6"/>
    </row>
    <row r="3424" spans="1:14" hidden="1" x14ac:dyDescent="0.15">
      <c r="A3424">
        <v>3424</v>
      </c>
      <c r="B3424" t="s">
        <v>5933</v>
      </c>
      <c r="C3424" t="s">
        <v>5936</v>
      </c>
      <c r="D3424" s="78" t="s">
        <v>5955</v>
      </c>
      <c r="E3424" t="s">
        <v>5939</v>
      </c>
      <c r="F3424" t="s">
        <v>5956</v>
      </c>
      <c r="G3424" s="92"/>
      <c r="H3424" s="92"/>
      <c r="I3424" s="92"/>
      <c r="J3424" s="92">
        <v>43271.859733796293</v>
      </c>
      <c r="K3424" s="92"/>
      <c r="L3424" s="9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6"/>
    </row>
    <row r="3425" spans="1:14" hidden="1" x14ac:dyDescent="0.15">
      <c r="A3425">
        <v>3425</v>
      </c>
      <c r="B3425" t="s">
        <v>5933</v>
      </c>
      <c r="C3425" t="s">
        <v>5936</v>
      </c>
      <c r="D3425" s="78" t="s">
        <v>5957</v>
      </c>
      <c r="E3425" t="s">
        <v>5958</v>
      </c>
      <c r="F3425" t="s">
        <v>5959</v>
      </c>
      <c r="G3425" s="92"/>
      <c r="H3425" s="92"/>
      <c r="I3425" s="92"/>
      <c r="J3425" s="92">
        <v>43271.859756944446</v>
      </c>
      <c r="K3425" s="92"/>
      <c r="L3425" s="9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6"/>
    </row>
    <row r="3426" spans="1:14" hidden="1" x14ac:dyDescent="0.15">
      <c r="A3426">
        <v>3426</v>
      </c>
      <c r="B3426" t="s">
        <v>5933</v>
      </c>
      <c r="C3426" t="s">
        <v>5936</v>
      </c>
      <c r="D3426" s="78" t="s">
        <v>5960</v>
      </c>
      <c r="E3426" t="s">
        <v>5961</v>
      </c>
      <c r="F3426" t="s">
        <v>5962</v>
      </c>
      <c r="G3426" s="92"/>
      <c r="H3426" s="92"/>
      <c r="I3426" s="92"/>
      <c r="J3426" s="92">
        <v>43271.859791666669</v>
      </c>
      <c r="K3426" s="92"/>
      <c r="L3426" s="9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6"/>
    </row>
    <row r="3427" spans="1:14" hidden="1" x14ac:dyDescent="0.15">
      <c r="A3427">
        <v>3427</v>
      </c>
      <c r="B3427" t="s">
        <v>5933</v>
      </c>
      <c r="C3427" t="s">
        <v>5936</v>
      </c>
      <c r="D3427" s="78" t="s">
        <v>5963</v>
      </c>
      <c r="E3427" t="s">
        <v>5961</v>
      </c>
      <c r="F3427" t="s">
        <v>5964</v>
      </c>
      <c r="G3427" s="92"/>
      <c r="H3427" s="92"/>
      <c r="I3427" s="92"/>
      <c r="J3427" s="92">
        <v>43271.859872685185</v>
      </c>
      <c r="K3427" s="92"/>
      <c r="L3427" s="9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6"/>
    </row>
    <row r="3428" spans="1:14" hidden="1" x14ac:dyDescent="0.15">
      <c r="A3428">
        <v>3428</v>
      </c>
      <c r="B3428" t="s">
        <v>5933</v>
      </c>
      <c r="C3428" t="s">
        <v>5936</v>
      </c>
      <c r="D3428" s="78" t="s">
        <v>5965</v>
      </c>
      <c r="E3428" t="s">
        <v>5966</v>
      </c>
      <c r="F3428" t="s">
        <v>5967</v>
      </c>
      <c r="G3428" s="92"/>
      <c r="H3428" s="92"/>
      <c r="I3428" s="92"/>
      <c r="J3428" s="92">
        <v>43271.859918981485</v>
      </c>
      <c r="K3428" s="92"/>
      <c r="L3428" s="9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6"/>
    </row>
    <row r="3429" spans="1:14" hidden="1" x14ac:dyDescent="0.15">
      <c r="A3429">
        <v>3429</v>
      </c>
      <c r="B3429" t="s">
        <v>5933</v>
      </c>
      <c r="C3429" t="s">
        <v>5936</v>
      </c>
      <c r="D3429" s="78" t="s">
        <v>5968</v>
      </c>
      <c r="E3429" t="s">
        <v>5949</v>
      </c>
      <c r="F3429" t="s">
        <v>5969</v>
      </c>
      <c r="G3429" s="92"/>
      <c r="H3429" s="92"/>
      <c r="I3429" s="92"/>
      <c r="J3429" s="92">
        <v>43271.860023148147</v>
      </c>
      <c r="K3429" s="92"/>
      <c r="L3429" s="9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6"/>
    </row>
    <row r="3430" spans="1:14" hidden="1" x14ac:dyDescent="0.15">
      <c r="A3430">
        <v>3430</v>
      </c>
      <c r="B3430" t="s">
        <v>5933</v>
      </c>
      <c r="C3430" t="s">
        <v>5936</v>
      </c>
      <c r="D3430" s="78" t="s">
        <v>5970</v>
      </c>
      <c r="E3430" t="s">
        <v>5949</v>
      </c>
      <c r="F3430" t="s">
        <v>5952</v>
      </c>
      <c r="G3430" s="92"/>
      <c r="H3430" s="92"/>
      <c r="I3430" s="92"/>
      <c r="J3430" s="92"/>
      <c r="K3430" s="92"/>
      <c r="L3430" s="9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6"/>
    </row>
    <row r="3431" spans="1:14" hidden="1" x14ac:dyDescent="0.15">
      <c r="A3431">
        <v>3431</v>
      </c>
      <c r="B3431" t="s">
        <v>5933</v>
      </c>
      <c r="C3431" t="s">
        <v>5936</v>
      </c>
      <c r="D3431" s="78" t="s">
        <v>5971</v>
      </c>
      <c r="E3431" t="s">
        <v>5949</v>
      </c>
      <c r="F3431" t="s">
        <v>5972</v>
      </c>
      <c r="G3431" s="92"/>
      <c r="H3431" s="92"/>
      <c r="I3431" s="92"/>
      <c r="J3431" s="92">
        <v>43271.860173611109</v>
      </c>
      <c r="K3431" s="92"/>
      <c r="L3431" s="9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6"/>
    </row>
    <row r="3432" spans="1:14" hidden="1" x14ac:dyDescent="0.15">
      <c r="A3432">
        <v>3432</v>
      </c>
      <c r="B3432" t="s">
        <v>5933</v>
      </c>
      <c r="C3432" t="s">
        <v>5936</v>
      </c>
      <c r="D3432" s="78" t="s">
        <v>5973</v>
      </c>
      <c r="E3432" t="s">
        <v>5974</v>
      </c>
      <c r="F3432" t="s">
        <v>5975</v>
      </c>
      <c r="G3432" s="92"/>
      <c r="H3432" s="92"/>
      <c r="I3432" s="92"/>
      <c r="J3432" s="92">
        <v>43271.860243055555</v>
      </c>
      <c r="K3432" s="92"/>
      <c r="L3432" s="9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6"/>
    </row>
    <row r="3433" spans="1:14" hidden="1" x14ac:dyDescent="0.15">
      <c r="A3433">
        <v>3433</v>
      </c>
      <c r="B3433" t="s">
        <v>5933</v>
      </c>
      <c r="C3433" t="s">
        <v>5936</v>
      </c>
      <c r="D3433" s="78" t="s">
        <v>5976</v>
      </c>
      <c r="E3433" t="s">
        <v>5949</v>
      </c>
      <c r="F3433" t="s">
        <v>5977</v>
      </c>
      <c r="G3433" s="92"/>
      <c r="H3433" s="92"/>
      <c r="I3433" s="92"/>
      <c r="J3433" s="92">
        <v>43271.854641203703</v>
      </c>
      <c r="K3433" s="92"/>
      <c r="L3433" s="9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6"/>
    </row>
    <row r="3434" spans="1:14" hidden="1" x14ac:dyDescent="0.15">
      <c r="A3434">
        <v>3434</v>
      </c>
      <c r="B3434" t="s">
        <v>5933</v>
      </c>
      <c r="C3434" t="s">
        <v>5936</v>
      </c>
      <c r="D3434" s="78" t="s">
        <v>5978</v>
      </c>
      <c r="E3434" t="s">
        <v>5949</v>
      </c>
      <c r="F3434" t="s">
        <v>5979</v>
      </c>
      <c r="G3434" s="92"/>
      <c r="H3434" s="92"/>
      <c r="I3434" s="92"/>
      <c r="J3434" s="92">
        <v>43271.854687500003</v>
      </c>
      <c r="K3434" s="92"/>
      <c r="L3434" s="9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6"/>
    </row>
    <row r="3435" spans="1:14" hidden="1" x14ac:dyDescent="0.15">
      <c r="A3435">
        <v>3435</v>
      </c>
      <c r="B3435" t="s">
        <v>5933</v>
      </c>
      <c r="C3435" t="s">
        <v>5936</v>
      </c>
      <c r="D3435" s="78" t="s">
        <v>5980</v>
      </c>
      <c r="E3435" t="s">
        <v>5946</v>
      </c>
      <c r="F3435" t="s">
        <v>5981</v>
      </c>
      <c r="G3435" s="92"/>
      <c r="H3435" s="92"/>
      <c r="I3435" s="92"/>
      <c r="J3435" s="92">
        <v>43271.860590277778</v>
      </c>
      <c r="K3435" s="92"/>
      <c r="L3435" s="9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6"/>
    </row>
    <row r="3436" spans="1:14" hidden="1" x14ac:dyDescent="0.15">
      <c r="A3436">
        <v>3436</v>
      </c>
      <c r="B3436" t="s">
        <v>5933</v>
      </c>
      <c r="C3436" t="s">
        <v>5936</v>
      </c>
      <c r="D3436" s="78" t="s">
        <v>5982</v>
      </c>
      <c r="E3436" t="s">
        <v>5946</v>
      </c>
      <c r="F3436" t="s">
        <v>5983</v>
      </c>
      <c r="G3436" s="92"/>
      <c r="H3436" s="92"/>
      <c r="I3436" s="92"/>
      <c r="J3436" s="92">
        <v>43271.860717592594</v>
      </c>
      <c r="K3436" s="92"/>
      <c r="L3436" s="9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6"/>
    </row>
    <row r="3437" spans="1:14" hidden="1" x14ac:dyDescent="0.15">
      <c r="A3437">
        <v>3437</v>
      </c>
      <c r="B3437" t="s">
        <v>5933</v>
      </c>
      <c r="C3437" t="s">
        <v>5936</v>
      </c>
      <c r="D3437" s="78" t="s">
        <v>5984</v>
      </c>
      <c r="E3437" t="s">
        <v>5949</v>
      </c>
      <c r="F3437" t="s">
        <v>5985</v>
      </c>
      <c r="G3437" s="92"/>
      <c r="H3437" s="92"/>
      <c r="I3437" s="92"/>
      <c r="J3437" s="92">
        <v>43271.86078703704</v>
      </c>
      <c r="K3437" s="92"/>
      <c r="L3437" s="9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6"/>
    </row>
    <row r="3438" spans="1:14" hidden="1" x14ac:dyDescent="0.15">
      <c r="A3438">
        <v>3438</v>
      </c>
      <c r="B3438" t="s">
        <v>5933</v>
      </c>
      <c r="C3438" t="s">
        <v>5936</v>
      </c>
      <c r="D3438" s="78" t="s">
        <v>5986</v>
      </c>
      <c r="E3438" t="s">
        <v>5949</v>
      </c>
      <c r="F3438" t="s">
        <v>5987</v>
      </c>
      <c r="G3438" s="92"/>
      <c r="H3438" s="92"/>
      <c r="I3438" s="92"/>
      <c r="J3438" s="92">
        <v>43271.860879629632</v>
      </c>
      <c r="K3438" s="92"/>
      <c r="L3438" s="9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6"/>
    </row>
    <row r="3439" spans="1:14" hidden="1" x14ac:dyDescent="0.15">
      <c r="A3439">
        <v>3439</v>
      </c>
      <c r="B3439" t="s">
        <v>5933</v>
      </c>
      <c r="C3439" t="s">
        <v>5936</v>
      </c>
      <c r="D3439" s="78" t="s">
        <v>5988</v>
      </c>
      <c r="E3439" t="s">
        <v>5939</v>
      </c>
      <c r="F3439" t="s">
        <v>5989</v>
      </c>
      <c r="G3439" s="92"/>
      <c r="H3439" s="92"/>
      <c r="I3439" s="92"/>
      <c r="J3439" s="92">
        <v>43271.860925925925</v>
      </c>
      <c r="K3439" s="92"/>
      <c r="L3439" s="9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6"/>
    </row>
    <row r="3440" spans="1:14" hidden="1" x14ac:dyDescent="0.15">
      <c r="A3440">
        <v>3440</v>
      </c>
      <c r="B3440" t="s">
        <v>5933</v>
      </c>
      <c r="C3440" t="s">
        <v>5936</v>
      </c>
      <c r="D3440" s="78" t="s">
        <v>5990</v>
      </c>
      <c r="E3440" t="s">
        <v>5949</v>
      </c>
      <c r="F3440" t="s">
        <v>5991</v>
      </c>
      <c r="G3440" s="92"/>
      <c r="H3440" s="92"/>
      <c r="I3440" s="92"/>
      <c r="J3440" s="92">
        <v>43271.860995370371</v>
      </c>
      <c r="K3440" s="92"/>
      <c r="L3440" s="9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6"/>
    </row>
    <row r="3441" spans="1:14" hidden="1" x14ac:dyDescent="0.15">
      <c r="A3441">
        <v>3441</v>
      </c>
      <c r="B3441" t="s">
        <v>5933</v>
      </c>
      <c r="C3441" t="s">
        <v>5936</v>
      </c>
      <c r="D3441" s="78" t="s">
        <v>5992</v>
      </c>
      <c r="E3441" t="s">
        <v>5993</v>
      </c>
      <c r="F3441" t="s">
        <v>5994</v>
      </c>
      <c r="G3441" s="92"/>
      <c r="H3441" s="92"/>
      <c r="I3441" s="92"/>
      <c r="J3441" s="92">
        <v>43271.861076388886</v>
      </c>
      <c r="K3441" s="92"/>
      <c r="L3441" s="9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6"/>
    </row>
    <row r="3442" spans="1:14" hidden="1" x14ac:dyDescent="0.15">
      <c r="A3442">
        <v>3442</v>
      </c>
      <c r="B3442" t="s">
        <v>5933</v>
      </c>
      <c r="C3442" t="s">
        <v>5936</v>
      </c>
      <c r="D3442" s="78" t="s">
        <v>5995</v>
      </c>
      <c r="E3442" t="s">
        <v>5966</v>
      </c>
      <c r="F3442" t="s">
        <v>5996</v>
      </c>
      <c r="G3442" s="92"/>
      <c r="H3442" s="92"/>
      <c r="I3442" s="92"/>
      <c r="J3442" s="92">
        <v>43271.861122685186</v>
      </c>
      <c r="K3442" s="92"/>
      <c r="L3442" s="9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6"/>
    </row>
    <row r="3443" spans="1:14" hidden="1" x14ac:dyDescent="0.15">
      <c r="A3443">
        <v>3443</v>
      </c>
      <c r="B3443" t="s">
        <v>5933</v>
      </c>
      <c r="C3443" t="s">
        <v>5936</v>
      </c>
      <c r="D3443" s="78" t="s">
        <v>5997</v>
      </c>
      <c r="E3443" t="s">
        <v>5949</v>
      </c>
      <c r="F3443" t="s">
        <v>5998</v>
      </c>
      <c r="G3443" s="92"/>
      <c r="H3443" s="92"/>
      <c r="I3443" s="92"/>
      <c r="J3443" s="92">
        <v>43271.861180555556</v>
      </c>
      <c r="K3443" s="92"/>
      <c r="L3443" s="9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6"/>
    </row>
    <row r="3444" spans="1:14" hidden="1" x14ac:dyDescent="0.15">
      <c r="A3444">
        <v>3444</v>
      </c>
      <c r="B3444" t="s">
        <v>5933</v>
      </c>
      <c r="C3444" t="s">
        <v>5936</v>
      </c>
      <c r="D3444" s="78" t="s">
        <v>5999</v>
      </c>
      <c r="E3444" t="s">
        <v>5939</v>
      </c>
      <c r="F3444" t="s">
        <v>6000</v>
      </c>
      <c r="G3444" s="92"/>
      <c r="H3444" s="92"/>
      <c r="I3444" s="92"/>
      <c r="J3444" s="92">
        <v>43271.861226851855</v>
      </c>
      <c r="K3444" s="92"/>
      <c r="L3444" s="9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6"/>
    </row>
    <row r="3445" spans="1:14" hidden="1" x14ac:dyDescent="0.15">
      <c r="A3445">
        <v>3445</v>
      </c>
      <c r="B3445" t="s">
        <v>5933</v>
      </c>
      <c r="C3445" t="s">
        <v>5936</v>
      </c>
      <c r="D3445" s="78" t="s">
        <v>6001</v>
      </c>
      <c r="E3445" t="s">
        <v>5939</v>
      </c>
      <c r="F3445" t="s">
        <v>6002</v>
      </c>
      <c r="G3445" s="92"/>
      <c r="H3445" s="92"/>
      <c r="I3445" s="92"/>
      <c r="J3445" s="92">
        <v>43271.861296296294</v>
      </c>
      <c r="K3445" s="92"/>
      <c r="L3445" s="9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6"/>
    </row>
    <row r="3446" spans="1:14" hidden="1" x14ac:dyDescent="0.15">
      <c r="A3446">
        <v>3446</v>
      </c>
      <c r="B3446" t="s">
        <v>5933</v>
      </c>
      <c r="C3446" t="s">
        <v>5936</v>
      </c>
      <c r="D3446" s="78" t="s">
        <v>6003</v>
      </c>
      <c r="E3446" t="s">
        <v>5946</v>
      </c>
      <c r="F3446" t="s">
        <v>6004</v>
      </c>
      <c r="G3446" s="92"/>
      <c r="H3446" s="92"/>
      <c r="I3446" s="92"/>
      <c r="J3446" s="92">
        <v>43271.861319444448</v>
      </c>
      <c r="K3446" s="92"/>
      <c r="L3446" s="9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6"/>
    </row>
    <row r="3447" spans="1:14" hidden="1" x14ac:dyDescent="0.15">
      <c r="A3447">
        <v>3447</v>
      </c>
      <c r="B3447" t="s">
        <v>5933</v>
      </c>
      <c r="C3447" t="s">
        <v>6010</v>
      </c>
      <c r="D3447" s="78" t="s">
        <v>6007</v>
      </c>
      <c r="E3447" t="s">
        <v>6008</v>
      </c>
      <c r="F3447" t="s">
        <v>6009</v>
      </c>
      <c r="G3447" s="92"/>
      <c r="H3447" s="92"/>
      <c r="I3447" s="92"/>
      <c r="J3447" s="92"/>
      <c r="K3447" s="92"/>
      <c r="L3447" s="9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6"/>
    </row>
    <row r="3448" spans="1:14" hidden="1" x14ac:dyDescent="0.15">
      <c r="A3448">
        <v>3448</v>
      </c>
      <c r="B3448" t="s">
        <v>5933</v>
      </c>
      <c r="C3448" t="s">
        <v>6010</v>
      </c>
      <c r="D3448" s="78" t="s">
        <v>6011</v>
      </c>
      <c r="E3448" t="s">
        <v>6008</v>
      </c>
      <c r="F3448" t="s">
        <v>6012</v>
      </c>
      <c r="G3448" s="92"/>
      <c r="H3448" s="92"/>
      <c r="I3448" s="92"/>
      <c r="J3448" s="92"/>
      <c r="K3448" s="92"/>
      <c r="L3448" s="9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6"/>
    </row>
    <row r="3449" spans="1:14" hidden="1" x14ac:dyDescent="0.15">
      <c r="A3449">
        <v>3449</v>
      </c>
      <c r="B3449" t="s">
        <v>5933</v>
      </c>
      <c r="C3449" t="s">
        <v>6010</v>
      </c>
      <c r="D3449" s="78" t="s">
        <v>6011</v>
      </c>
      <c r="E3449" t="s">
        <v>6013</v>
      </c>
      <c r="F3449" t="s">
        <v>6012</v>
      </c>
      <c r="G3449" s="92"/>
      <c r="H3449" s="92"/>
      <c r="I3449" s="92"/>
      <c r="J3449" s="92"/>
      <c r="K3449" s="92"/>
      <c r="L3449" s="9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6"/>
    </row>
    <row r="3450" spans="1:14" hidden="1" x14ac:dyDescent="0.15">
      <c r="A3450">
        <v>3450</v>
      </c>
      <c r="B3450" t="s">
        <v>5933</v>
      </c>
      <c r="C3450" t="s">
        <v>6010</v>
      </c>
      <c r="D3450" s="78" t="s">
        <v>6014</v>
      </c>
      <c r="E3450" t="s">
        <v>6008</v>
      </c>
      <c r="F3450" t="s">
        <v>6015</v>
      </c>
      <c r="G3450" s="92"/>
      <c r="H3450" s="92"/>
      <c r="I3450" s="92"/>
      <c r="J3450" s="92"/>
      <c r="K3450" s="92"/>
      <c r="L3450" s="9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6"/>
    </row>
    <row r="3451" spans="1:14" hidden="1" x14ac:dyDescent="0.15">
      <c r="A3451">
        <v>3451</v>
      </c>
      <c r="B3451" t="s">
        <v>5933</v>
      </c>
      <c r="C3451" t="s">
        <v>6010</v>
      </c>
      <c r="D3451" s="78" t="s">
        <v>6016</v>
      </c>
      <c r="E3451" t="s">
        <v>6017</v>
      </c>
      <c r="F3451" t="s">
        <v>6018</v>
      </c>
      <c r="G3451" s="92"/>
      <c r="H3451" s="92"/>
      <c r="I3451" s="92"/>
      <c r="J3451" s="92"/>
      <c r="K3451" s="92"/>
      <c r="L3451" s="9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6"/>
    </row>
    <row r="3452" spans="1:14" hidden="1" x14ac:dyDescent="0.15">
      <c r="A3452">
        <v>3452</v>
      </c>
      <c r="B3452" t="s">
        <v>5933</v>
      </c>
      <c r="C3452" t="s">
        <v>6010</v>
      </c>
      <c r="D3452" s="78" t="s">
        <v>6019</v>
      </c>
      <c r="E3452" t="s">
        <v>6008</v>
      </c>
      <c r="F3452" t="s">
        <v>6020</v>
      </c>
      <c r="G3452" s="92"/>
      <c r="H3452" s="92"/>
      <c r="I3452" s="92"/>
      <c r="J3452" s="92"/>
      <c r="K3452" s="92"/>
      <c r="L3452" s="9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6"/>
    </row>
    <row r="3453" spans="1:14" hidden="1" x14ac:dyDescent="0.15">
      <c r="A3453">
        <v>3453</v>
      </c>
      <c r="B3453" t="s">
        <v>5933</v>
      </c>
      <c r="C3453" t="s">
        <v>6010</v>
      </c>
      <c r="D3453" s="78" t="s">
        <v>6019</v>
      </c>
      <c r="E3453" t="s">
        <v>6013</v>
      </c>
      <c r="F3453" t="s">
        <v>6020</v>
      </c>
      <c r="G3453" s="92"/>
      <c r="H3453" s="92"/>
      <c r="I3453" s="92"/>
      <c r="J3453" s="92"/>
      <c r="K3453" s="92"/>
      <c r="L3453" s="9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6"/>
    </row>
    <row r="3454" spans="1:14" hidden="1" x14ac:dyDescent="0.15">
      <c r="A3454">
        <v>3454</v>
      </c>
      <c r="B3454" t="s">
        <v>5933</v>
      </c>
      <c r="C3454" t="s">
        <v>6010</v>
      </c>
      <c r="D3454" s="78" t="s">
        <v>6021</v>
      </c>
      <c r="E3454" t="s">
        <v>6022</v>
      </c>
      <c r="F3454" t="s">
        <v>6023</v>
      </c>
      <c r="G3454" s="92"/>
      <c r="H3454" s="92"/>
      <c r="I3454" s="92"/>
      <c r="J3454" s="92"/>
      <c r="K3454" s="92"/>
      <c r="L3454" s="9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6"/>
    </row>
    <row r="3455" spans="1:14" hidden="1" x14ac:dyDescent="0.15">
      <c r="A3455">
        <v>3455</v>
      </c>
      <c r="B3455" t="s">
        <v>5933</v>
      </c>
      <c r="C3455" t="s">
        <v>6010</v>
      </c>
      <c r="D3455" s="78" t="s">
        <v>6024</v>
      </c>
      <c r="E3455" t="s">
        <v>6013</v>
      </c>
      <c r="F3455" t="s">
        <v>6025</v>
      </c>
      <c r="G3455" s="92"/>
      <c r="H3455" s="92"/>
      <c r="I3455" s="92"/>
      <c r="J3455" s="92"/>
      <c r="K3455" s="92"/>
      <c r="L3455" s="9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6"/>
    </row>
    <row r="3456" spans="1:14" hidden="1" x14ac:dyDescent="0.15">
      <c r="A3456">
        <v>3456</v>
      </c>
      <c r="B3456" t="s">
        <v>5933</v>
      </c>
      <c r="C3456" t="s">
        <v>6010</v>
      </c>
      <c r="D3456" s="78" t="s">
        <v>6024</v>
      </c>
      <c r="E3456" t="s">
        <v>6022</v>
      </c>
      <c r="F3456" t="s">
        <v>6026</v>
      </c>
      <c r="G3456" s="92"/>
      <c r="H3456" s="92"/>
      <c r="I3456" s="92"/>
      <c r="J3456" s="92"/>
      <c r="K3456" s="92"/>
      <c r="L3456" s="9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6"/>
    </row>
    <row r="3457" spans="1:14" hidden="1" x14ac:dyDescent="0.15">
      <c r="A3457">
        <v>3457</v>
      </c>
      <c r="B3457" t="s">
        <v>5933</v>
      </c>
      <c r="C3457" t="s">
        <v>6010</v>
      </c>
      <c r="D3457" s="78" t="s">
        <v>6027</v>
      </c>
      <c r="E3457" t="s">
        <v>6013</v>
      </c>
      <c r="F3457" t="s">
        <v>6028</v>
      </c>
      <c r="G3457" s="92"/>
      <c r="H3457" s="92"/>
      <c r="I3457" s="92"/>
      <c r="J3457" s="92"/>
      <c r="K3457" s="92"/>
      <c r="L3457" s="9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6"/>
    </row>
    <row r="3458" spans="1:14" hidden="1" x14ac:dyDescent="0.15">
      <c r="A3458">
        <v>3458</v>
      </c>
      <c r="B3458" t="s">
        <v>5933</v>
      </c>
      <c r="C3458" t="s">
        <v>6010</v>
      </c>
      <c r="D3458" s="78" t="s">
        <v>6027</v>
      </c>
      <c r="E3458" t="s">
        <v>6029</v>
      </c>
      <c r="F3458" t="s">
        <v>6030</v>
      </c>
      <c r="G3458" s="92"/>
      <c r="H3458" s="92"/>
      <c r="I3458" s="92"/>
      <c r="J3458" s="92"/>
      <c r="K3458" s="92"/>
      <c r="L3458" s="9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6"/>
    </row>
    <row r="3459" spans="1:14" hidden="1" x14ac:dyDescent="0.15">
      <c r="A3459">
        <v>3459</v>
      </c>
      <c r="B3459" t="s">
        <v>5933</v>
      </c>
      <c r="C3459" t="s">
        <v>6010</v>
      </c>
      <c r="D3459" s="78" t="s">
        <v>6031</v>
      </c>
      <c r="E3459" t="s">
        <v>6013</v>
      </c>
      <c r="F3459" t="s">
        <v>6032</v>
      </c>
      <c r="G3459" s="92"/>
      <c r="H3459" s="92"/>
      <c r="I3459" s="92"/>
      <c r="J3459" s="92"/>
      <c r="K3459" s="92"/>
      <c r="L3459" s="9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6"/>
    </row>
    <row r="3460" spans="1:14" hidden="1" x14ac:dyDescent="0.15">
      <c r="A3460">
        <v>3460</v>
      </c>
      <c r="B3460" t="s">
        <v>5933</v>
      </c>
      <c r="C3460" t="s">
        <v>6010</v>
      </c>
      <c r="D3460" s="78" t="s">
        <v>6031</v>
      </c>
      <c r="E3460" t="s">
        <v>6029</v>
      </c>
      <c r="F3460" t="s">
        <v>6033</v>
      </c>
      <c r="G3460" s="92"/>
      <c r="H3460" s="92"/>
      <c r="I3460" s="92"/>
      <c r="J3460" s="92"/>
      <c r="K3460" s="92"/>
      <c r="L3460" s="9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6"/>
    </row>
    <row r="3461" spans="1:14" hidden="1" x14ac:dyDescent="0.15">
      <c r="A3461">
        <v>3461</v>
      </c>
      <c r="B3461" t="s">
        <v>5933</v>
      </c>
      <c r="C3461" t="s">
        <v>6010</v>
      </c>
      <c r="D3461" s="78" t="s">
        <v>6034</v>
      </c>
      <c r="E3461" t="s">
        <v>6013</v>
      </c>
      <c r="F3461" t="s">
        <v>6035</v>
      </c>
      <c r="G3461" s="92"/>
      <c r="H3461" s="92"/>
      <c r="I3461" s="92"/>
      <c r="J3461" s="92"/>
      <c r="K3461" s="92"/>
      <c r="L3461" s="9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6"/>
    </row>
    <row r="3462" spans="1:14" hidden="1" x14ac:dyDescent="0.15">
      <c r="A3462">
        <v>3462</v>
      </c>
      <c r="B3462" t="s">
        <v>5933</v>
      </c>
      <c r="C3462" t="s">
        <v>6010</v>
      </c>
      <c r="D3462" s="78" t="s">
        <v>6036</v>
      </c>
      <c r="E3462" t="s">
        <v>6013</v>
      </c>
      <c r="F3462" t="s">
        <v>6037</v>
      </c>
      <c r="G3462" s="92"/>
      <c r="H3462" s="92"/>
      <c r="I3462" s="92"/>
      <c r="J3462" s="92"/>
      <c r="K3462" s="92"/>
      <c r="L3462" s="9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6"/>
    </row>
    <row r="3463" spans="1:14" hidden="1" x14ac:dyDescent="0.15">
      <c r="A3463">
        <v>3463</v>
      </c>
      <c r="B3463" t="s">
        <v>5933</v>
      </c>
      <c r="C3463" t="s">
        <v>6010</v>
      </c>
      <c r="D3463" s="78" t="s">
        <v>6038</v>
      </c>
      <c r="E3463" t="s">
        <v>6039</v>
      </c>
      <c r="F3463" t="s">
        <v>6040</v>
      </c>
      <c r="G3463" s="92"/>
      <c r="H3463" s="92"/>
      <c r="I3463" s="92"/>
      <c r="J3463" s="92"/>
      <c r="K3463" s="92"/>
      <c r="L3463" s="9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6"/>
    </row>
    <row r="3464" spans="1:14" hidden="1" x14ac:dyDescent="0.15">
      <c r="A3464">
        <v>3464</v>
      </c>
      <c r="B3464" t="s">
        <v>5933</v>
      </c>
      <c r="C3464" t="s">
        <v>6010</v>
      </c>
      <c r="D3464" s="78" t="s">
        <v>6041</v>
      </c>
      <c r="E3464" t="s">
        <v>6008</v>
      </c>
      <c r="F3464" t="s">
        <v>6042</v>
      </c>
      <c r="G3464" s="92"/>
      <c r="H3464" s="92"/>
      <c r="I3464" s="92"/>
      <c r="J3464" s="92"/>
      <c r="K3464" s="92"/>
      <c r="L3464" s="9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6"/>
    </row>
    <row r="3465" spans="1:14" hidden="1" x14ac:dyDescent="0.15">
      <c r="A3465">
        <v>3465</v>
      </c>
      <c r="B3465" t="s">
        <v>5933</v>
      </c>
      <c r="C3465" t="s">
        <v>6010</v>
      </c>
      <c r="D3465" s="78" t="s">
        <v>6043</v>
      </c>
      <c r="E3465" t="s">
        <v>6013</v>
      </c>
      <c r="F3465" t="s">
        <v>6044</v>
      </c>
      <c r="G3465" s="92"/>
      <c r="H3465" s="92"/>
      <c r="I3465" s="92"/>
      <c r="J3465" s="92"/>
      <c r="K3465" s="92"/>
      <c r="L3465" s="9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6"/>
    </row>
    <row r="3466" spans="1:14" hidden="1" x14ac:dyDescent="0.15">
      <c r="A3466">
        <v>3466</v>
      </c>
      <c r="B3466" t="s">
        <v>5933</v>
      </c>
      <c r="C3466" t="s">
        <v>6010</v>
      </c>
      <c r="D3466" s="78" t="s">
        <v>6045</v>
      </c>
      <c r="E3466" t="s">
        <v>6008</v>
      </c>
      <c r="F3466" t="s">
        <v>6046</v>
      </c>
      <c r="G3466" s="92"/>
      <c r="H3466" s="92"/>
      <c r="I3466" s="92"/>
      <c r="J3466" s="92"/>
      <c r="K3466" s="92"/>
      <c r="L3466" s="9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6"/>
    </row>
    <row r="3467" spans="1:14" hidden="1" x14ac:dyDescent="0.15">
      <c r="A3467">
        <v>3467</v>
      </c>
      <c r="B3467" t="s">
        <v>5933</v>
      </c>
      <c r="C3467" t="s">
        <v>6010</v>
      </c>
      <c r="D3467" s="78" t="s">
        <v>6047</v>
      </c>
      <c r="E3467" t="s">
        <v>6048</v>
      </c>
      <c r="F3467" t="s">
        <v>6049</v>
      </c>
      <c r="G3467" s="92"/>
      <c r="H3467" s="92"/>
      <c r="I3467" s="92"/>
      <c r="J3467" s="92"/>
      <c r="K3467" s="92"/>
      <c r="L3467" s="9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6"/>
    </row>
    <row r="3468" spans="1:14" hidden="1" x14ac:dyDescent="0.15">
      <c r="A3468">
        <v>3468</v>
      </c>
      <c r="B3468" t="s">
        <v>5933</v>
      </c>
      <c r="C3468" t="s">
        <v>6010</v>
      </c>
      <c r="D3468" s="78" t="s">
        <v>6050</v>
      </c>
      <c r="E3468" t="s">
        <v>1019</v>
      </c>
      <c r="F3468" t="s">
        <v>6051</v>
      </c>
      <c r="G3468" s="92"/>
      <c r="H3468" s="92"/>
      <c r="I3468" s="92"/>
      <c r="J3468" s="92"/>
      <c r="K3468" s="92"/>
      <c r="L3468" s="9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6"/>
    </row>
    <row r="3469" spans="1:14" hidden="1" x14ac:dyDescent="0.15">
      <c r="A3469">
        <v>3469</v>
      </c>
      <c r="B3469" t="s">
        <v>5933</v>
      </c>
      <c r="C3469" t="s">
        <v>6010</v>
      </c>
      <c r="D3469" s="78" t="s">
        <v>6052</v>
      </c>
      <c r="E3469" t="s">
        <v>6013</v>
      </c>
      <c r="F3469" t="s">
        <v>6053</v>
      </c>
      <c r="G3469" s="92"/>
      <c r="H3469" s="92"/>
      <c r="I3469" s="92"/>
      <c r="J3469" s="92"/>
      <c r="K3469" s="92"/>
      <c r="L3469" s="9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6"/>
    </row>
    <row r="3470" spans="1:14" hidden="1" x14ac:dyDescent="0.15">
      <c r="A3470">
        <v>3470</v>
      </c>
      <c r="B3470" t="s">
        <v>5933</v>
      </c>
      <c r="C3470" t="s">
        <v>6010</v>
      </c>
      <c r="D3470" s="78" t="s">
        <v>6054</v>
      </c>
      <c r="E3470" t="s">
        <v>6055</v>
      </c>
      <c r="F3470" t="s">
        <v>6056</v>
      </c>
      <c r="G3470" s="92"/>
      <c r="H3470" s="92"/>
      <c r="I3470" s="92"/>
      <c r="J3470" s="92"/>
      <c r="K3470" s="92"/>
      <c r="L3470" s="9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6"/>
    </row>
    <row r="3471" spans="1:14" hidden="1" x14ac:dyDescent="0.15">
      <c r="A3471">
        <v>3471</v>
      </c>
      <c r="B3471" t="s">
        <v>5933</v>
      </c>
      <c r="C3471" t="s">
        <v>6010</v>
      </c>
      <c r="D3471" s="78" t="s">
        <v>6057</v>
      </c>
      <c r="E3471" t="s">
        <v>6029</v>
      </c>
      <c r="F3471" t="s">
        <v>6058</v>
      </c>
      <c r="G3471" s="92"/>
      <c r="H3471" s="92"/>
      <c r="I3471" s="92"/>
      <c r="J3471" s="92"/>
      <c r="K3471" s="92"/>
      <c r="L3471" s="9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6"/>
    </row>
    <row r="3472" spans="1:14" hidden="1" x14ac:dyDescent="0.15">
      <c r="A3472">
        <v>3472</v>
      </c>
      <c r="B3472" t="s">
        <v>5933</v>
      </c>
      <c r="C3472" t="s">
        <v>6010</v>
      </c>
      <c r="D3472" s="78" t="s">
        <v>6059</v>
      </c>
      <c r="E3472" t="s">
        <v>6008</v>
      </c>
      <c r="F3472" t="s">
        <v>6060</v>
      </c>
      <c r="G3472" s="92"/>
      <c r="H3472" s="92"/>
      <c r="I3472" s="92"/>
      <c r="J3472" s="92"/>
      <c r="K3472" s="92"/>
      <c r="L3472" s="9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6"/>
    </row>
    <row r="3473" spans="1:14" hidden="1" x14ac:dyDescent="0.15">
      <c r="A3473">
        <v>3473</v>
      </c>
      <c r="B3473" t="s">
        <v>5933</v>
      </c>
      <c r="C3473" t="s">
        <v>6010</v>
      </c>
      <c r="D3473" s="78" t="s">
        <v>6061</v>
      </c>
      <c r="E3473" t="s">
        <v>6013</v>
      </c>
      <c r="F3473" t="s">
        <v>6062</v>
      </c>
      <c r="G3473" s="92"/>
      <c r="H3473" s="92"/>
      <c r="I3473" s="92"/>
      <c r="J3473" s="92"/>
      <c r="K3473" s="92"/>
      <c r="L3473" s="9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6"/>
    </row>
    <row r="3474" spans="1:14" hidden="1" x14ac:dyDescent="0.15">
      <c r="A3474">
        <v>3474</v>
      </c>
      <c r="B3474" t="s">
        <v>5933</v>
      </c>
      <c r="C3474" t="s">
        <v>6010</v>
      </c>
      <c r="D3474" s="78" t="s">
        <v>6063</v>
      </c>
      <c r="E3474" t="s">
        <v>6013</v>
      </c>
      <c r="F3474" t="s">
        <v>6064</v>
      </c>
      <c r="G3474" s="92"/>
      <c r="H3474" s="92"/>
      <c r="I3474" s="92"/>
      <c r="J3474" s="92"/>
      <c r="K3474" s="92"/>
      <c r="L3474" s="9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6"/>
    </row>
    <row r="3475" spans="1:14" hidden="1" x14ac:dyDescent="0.15">
      <c r="A3475">
        <v>3475</v>
      </c>
      <c r="B3475" t="s">
        <v>5933</v>
      </c>
      <c r="C3475" t="s">
        <v>6010</v>
      </c>
      <c r="D3475" s="78" t="s">
        <v>6065</v>
      </c>
      <c r="E3475" t="s">
        <v>6013</v>
      </c>
      <c r="F3475" t="s">
        <v>6066</v>
      </c>
      <c r="G3475" s="92"/>
      <c r="H3475" s="92"/>
      <c r="I3475" s="92"/>
      <c r="J3475" s="92"/>
      <c r="K3475" s="92"/>
      <c r="L3475" s="9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6"/>
    </row>
    <row r="3476" spans="1:14" hidden="1" x14ac:dyDescent="0.15">
      <c r="A3476">
        <v>3476</v>
      </c>
      <c r="B3476" t="s">
        <v>5933</v>
      </c>
      <c r="C3476" t="s">
        <v>6010</v>
      </c>
      <c r="D3476" s="78" t="s">
        <v>6067</v>
      </c>
      <c r="E3476" t="s">
        <v>6013</v>
      </c>
      <c r="F3476" t="s">
        <v>6068</v>
      </c>
      <c r="G3476" s="92"/>
      <c r="H3476" s="92"/>
      <c r="I3476" s="92"/>
      <c r="J3476" s="92"/>
      <c r="K3476" s="92"/>
      <c r="L3476" s="9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6"/>
    </row>
    <row r="3477" spans="1:14" hidden="1" x14ac:dyDescent="0.15">
      <c r="A3477">
        <v>3477</v>
      </c>
      <c r="B3477" t="s">
        <v>5933</v>
      </c>
      <c r="C3477" t="s">
        <v>6010</v>
      </c>
      <c r="D3477" s="78" t="s">
        <v>6069</v>
      </c>
      <c r="E3477" t="s">
        <v>6013</v>
      </c>
      <c r="F3477" t="s">
        <v>6070</v>
      </c>
      <c r="G3477" s="92"/>
      <c r="H3477" s="92"/>
      <c r="I3477" s="92"/>
      <c r="J3477" s="92"/>
      <c r="K3477" s="92"/>
      <c r="L3477" s="9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6"/>
    </row>
    <row r="3478" spans="1:14" hidden="1" x14ac:dyDescent="0.15">
      <c r="A3478">
        <v>3478</v>
      </c>
      <c r="B3478" t="s">
        <v>5933</v>
      </c>
      <c r="C3478" t="s">
        <v>6010</v>
      </c>
      <c r="D3478" s="78" t="s">
        <v>6071</v>
      </c>
      <c r="E3478" t="s">
        <v>6013</v>
      </c>
      <c r="F3478" t="s">
        <v>6072</v>
      </c>
      <c r="G3478" s="92"/>
      <c r="H3478" s="92"/>
      <c r="I3478" s="92"/>
      <c r="J3478" s="92"/>
      <c r="K3478" s="92"/>
      <c r="L3478" s="9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6"/>
    </row>
    <row r="3479" spans="1:14" hidden="1" x14ac:dyDescent="0.15">
      <c r="A3479">
        <v>3479</v>
      </c>
      <c r="B3479" t="s">
        <v>5933</v>
      </c>
      <c r="C3479" t="s">
        <v>6010</v>
      </c>
      <c r="D3479" s="78" t="s">
        <v>6073</v>
      </c>
      <c r="E3479" t="s">
        <v>6013</v>
      </c>
      <c r="F3479" t="s">
        <v>6074</v>
      </c>
      <c r="G3479" s="92"/>
      <c r="H3479" s="92"/>
      <c r="I3479" s="92"/>
      <c r="J3479" s="92"/>
      <c r="K3479" s="92"/>
      <c r="L3479" s="9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6"/>
    </row>
    <row r="3480" spans="1:14" hidden="1" x14ac:dyDescent="0.15">
      <c r="A3480">
        <v>3480</v>
      </c>
      <c r="B3480" t="s">
        <v>5933</v>
      </c>
      <c r="C3480" t="s">
        <v>6010</v>
      </c>
      <c r="D3480" s="78" t="s">
        <v>6075</v>
      </c>
      <c r="E3480" t="s">
        <v>6029</v>
      </c>
      <c r="F3480" t="s">
        <v>6076</v>
      </c>
      <c r="G3480" s="92"/>
      <c r="H3480" s="92"/>
      <c r="I3480" s="92"/>
      <c r="J3480" s="92"/>
      <c r="K3480" s="92"/>
      <c r="L3480" s="9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6"/>
    </row>
    <row r="3481" spans="1:14" hidden="1" x14ac:dyDescent="0.15">
      <c r="A3481">
        <v>3481</v>
      </c>
      <c r="B3481" t="s">
        <v>5933</v>
      </c>
      <c r="C3481" t="s">
        <v>6010</v>
      </c>
      <c r="D3481" s="78" t="s">
        <v>6077</v>
      </c>
      <c r="E3481" t="s">
        <v>6078</v>
      </c>
      <c r="F3481" t="s">
        <v>6079</v>
      </c>
      <c r="G3481" s="92"/>
      <c r="H3481" s="92"/>
      <c r="I3481" s="92"/>
      <c r="J3481" s="92"/>
      <c r="K3481" s="92"/>
      <c r="L3481" s="9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6"/>
    </row>
    <row r="3482" spans="1:14" hidden="1" x14ac:dyDescent="0.15">
      <c r="A3482">
        <v>3482</v>
      </c>
      <c r="B3482" t="s">
        <v>5933</v>
      </c>
      <c r="C3482" t="s">
        <v>6010</v>
      </c>
      <c r="D3482" s="78" t="s">
        <v>6080</v>
      </c>
      <c r="E3482" t="s">
        <v>6029</v>
      </c>
      <c r="F3482" t="s">
        <v>6081</v>
      </c>
      <c r="G3482" s="92"/>
      <c r="H3482" s="92"/>
      <c r="I3482" s="92"/>
      <c r="J3482" s="92"/>
      <c r="K3482" s="92"/>
      <c r="L3482" s="9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6"/>
    </row>
    <row r="3483" spans="1:14" hidden="1" x14ac:dyDescent="0.15">
      <c r="A3483">
        <v>3483</v>
      </c>
      <c r="B3483" t="s">
        <v>5933</v>
      </c>
      <c r="C3483" t="s">
        <v>6010</v>
      </c>
      <c r="D3483" s="78" t="s">
        <v>6082</v>
      </c>
      <c r="E3483" t="s">
        <v>6013</v>
      </c>
      <c r="F3483" t="s">
        <v>6083</v>
      </c>
      <c r="G3483" s="92"/>
      <c r="H3483" s="92"/>
      <c r="I3483" s="92"/>
      <c r="J3483" s="92"/>
      <c r="K3483" s="92"/>
      <c r="L3483" s="9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6"/>
    </row>
    <row r="3484" spans="1:14" hidden="1" x14ac:dyDescent="0.15">
      <c r="A3484">
        <v>3484</v>
      </c>
      <c r="B3484" t="s">
        <v>5933</v>
      </c>
      <c r="C3484" t="s">
        <v>6010</v>
      </c>
      <c r="D3484" s="78" t="s">
        <v>6084</v>
      </c>
      <c r="E3484" t="s">
        <v>6078</v>
      </c>
      <c r="F3484" t="s">
        <v>6085</v>
      </c>
      <c r="G3484" s="92"/>
      <c r="H3484" s="92"/>
      <c r="I3484" s="92"/>
      <c r="J3484" s="92"/>
      <c r="K3484" s="92"/>
      <c r="L3484" s="9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6"/>
    </row>
    <row r="3485" spans="1:14" hidden="1" x14ac:dyDescent="0.15">
      <c r="A3485">
        <v>3485</v>
      </c>
      <c r="B3485" t="s">
        <v>5933</v>
      </c>
      <c r="C3485" t="s">
        <v>6010</v>
      </c>
      <c r="D3485" s="78" t="s">
        <v>6086</v>
      </c>
      <c r="E3485" t="s">
        <v>6078</v>
      </c>
      <c r="F3485" t="s">
        <v>6087</v>
      </c>
      <c r="G3485" s="92"/>
      <c r="H3485" s="92"/>
      <c r="I3485" s="92"/>
      <c r="J3485" s="92"/>
      <c r="K3485" s="92"/>
      <c r="L3485" s="9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6"/>
    </row>
    <row r="3486" spans="1:14" hidden="1" x14ac:dyDescent="0.15">
      <c r="A3486">
        <v>3486</v>
      </c>
      <c r="B3486" t="s">
        <v>5933</v>
      </c>
      <c r="C3486" t="s">
        <v>6010</v>
      </c>
      <c r="D3486" s="78" t="s">
        <v>6088</v>
      </c>
      <c r="E3486" t="s">
        <v>6008</v>
      </c>
      <c r="F3486" t="s">
        <v>6089</v>
      </c>
      <c r="G3486" s="92"/>
      <c r="H3486" s="92"/>
      <c r="I3486" s="92"/>
      <c r="J3486" s="92"/>
      <c r="K3486" s="92"/>
      <c r="L3486" s="9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6"/>
    </row>
    <row r="3487" spans="1:14" hidden="1" x14ac:dyDescent="0.15">
      <c r="A3487">
        <v>3487</v>
      </c>
      <c r="B3487" t="s">
        <v>5933</v>
      </c>
      <c r="C3487" t="s">
        <v>6010</v>
      </c>
      <c r="D3487" s="78" t="s">
        <v>6090</v>
      </c>
      <c r="E3487" t="s">
        <v>6008</v>
      </c>
      <c r="F3487" t="s">
        <v>6091</v>
      </c>
      <c r="G3487" s="92"/>
      <c r="H3487" s="92"/>
      <c r="I3487" s="92"/>
      <c r="J3487" s="92"/>
      <c r="K3487" s="92"/>
      <c r="L3487" s="9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6"/>
    </row>
    <row r="3488" spans="1:14" hidden="1" x14ac:dyDescent="0.15">
      <c r="A3488">
        <v>3488</v>
      </c>
      <c r="B3488" t="s">
        <v>5933</v>
      </c>
      <c r="C3488" t="s">
        <v>6010</v>
      </c>
      <c r="D3488" s="78" t="s">
        <v>6092</v>
      </c>
      <c r="E3488" t="s">
        <v>6013</v>
      </c>
      <c r="F3488" t="s">
        <v>6093</v>
      </c>
      <c r="G3488" s="92"/>
      <c r="H3488" s="92"/>
      <c r="I3488" s="92"/>
      <c r="J3488" s="92"/>
      <c r="K3488" s="92"/>
      <c r="L3488" s="9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6"/>
    </row>
    <row r="3489" spans="1:14" hidden="1" x14ac:dyDescent="0.15">
      <c r="A3489">
        <v>3489</v>
      </c>
      <c r="B3489" t="s">
        <v>5933</v>
      </c>
      <c r="C3489" t="s">
        <v>6010</v>
      </c>
      <c r="D3489" s="78" t="s">
        <v>6094</v>
      </c>
      <c r="E3489" t="s">
        <v>6078</v>
      </c>
      <c r="F3489" t="s">
        <v>6095</v>
      </c>
      <c r="G3489" s="92"/>
      <c r="H3489" s="92"/>
      <c r="I3489" s="92"/>
      <c r="J3489" s="92"/>
      <c r="K3489" s="92"/>
      <c r="L3489" s="9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6"/>
    </row>
    <row r="3490" spans="1:14" hidden="1" x14ac:dyDescent="0.15">
      <c r="A3490">
        <v>3490</v>
      </c>
      <c r="B3490" t="s">
        <v>5933</v>
      </c>
      <c r="C3490" t="s">
        <v>6010</v>
      </c>
      <c r="D3490" s="78" t="s">
        <v>6096</v>
      </c>
      <c r="E3490" t="s">
        <v>6029</v>
      </c>
      <c r="F3490" t="s">
        <v>6097</v>
      </c>
      <c r="G3490" s="92"/>
      <c r="H3490" s="92"/>
      <c r="I3490" s="92"/>
      <c r="J3490" s="92"/>
      <c r="K3490" s="92"/>
      <c r="L3490" s="9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6"/>
    </row>
    <row r="3491" spans="1:14" hidden="1" x14ac:dyDescent="0.15">
      <c r="A3491">
        <v>3491</v>
      </c>
      <c r="B3491" t="s">
        <v>5933</v>
      </c>
      <c r="C3491" t="s">
        <v>6010</v>
      </c>
      <c r="D3491" s="78" t="s">
        <v>6098</v>
      </c>
      <c r="E3491" t="s">
        <v>6055</v>
      </c>
      <c r="F3491" t="s">
        <v>6099</v>
      </c>
      <c r="G3491" s="92"/>
      <c r="H3491" s="92"/>
      <c r="I3491" s="92"/>
      <c r="J3491" s="92"/>
      <c r="K3491" s="92"/>
      <c r="L3491" s="9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6"/>
    </row>
    <row r="3492" spans="1:14" hidden="1" x14ac:dyDescent="0.15">
      <c r="A3492">
        <v>3492</v>
      </c>
      <c r="B3492" t="s">
        <v>5933</v>
      </c>
      <c r="C3492" t="s">
        <v>6010</v>
      </c>
      <c r="D3492" s="78" t="s">
        <v>6100</v>
      </c>
      <c r="E3492" t="s">
        <v>6008</v>
      </c>
      <c r="F3492" t="s">
        <v>6101</v>
      </c>
      <c r="G3492" s="92"/>
      <c r="H3492" s="92"/>
      <c r="I3492" s="92"/>
      <c r="J3492" s="92"/>
      <c r="K3492" s="92"/>
      <c r="L3492" s="9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6"/>
    </row>
    <row r="3493" spans="1:14" hidden="1" x14ac:dyDescent="0.15">
      <c r="A3493">
        <v>3493</v>
      </c>
      <c r="B3493" t="s">
        <v>5933</v>
      </c>
      <c r="C3493" t="s">
        <v>6010</v>
      </c>
      <c r="D3493" s="78" t="s">
        <v>6102</v>
      </c>
      <c r="E3493" t="s">
        <v>6013</v>
      </c>
      <c r="F3493" t="s">
        <v>6103</v>
      </c>
      <c r="G3493" s="92"/>
      <c r="H3493" s="92"/>
      <c r="I3493" s="92"/>
      <c r="J3493" s="92"/>
      <c r="K3493" s="92"/>
      <c r="L3493" s="9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6"/>
    </row>
    <row r="3494" spans="1:14" hidden="1" x14ac:dyDescent="0.15">
      <c r="A3494">
        <v>3494</v>
      </c>
      <c r="B3494" t="s">
        <v>5933</v>
      </c>
      <c r="C3494" t="s">
        <v>6010</v>
      </c>
      <c r="D3494" s="78" t="s">
        <v>6104</v>
      </c>
      <c r="E3494" t="s">
        <v>6078</v>
      </c>
      <c r="F3494" t="s">
        <v>6105</v>
      </c>
      <c r="G3494" s="92"/>
      <c r="H3494" s="92"/>
      <c r="I3494" s="92"/>
      <c r="J3494" s="92"/>
      <c r="K3494" s="92"/>
      <c r="L3494" s="9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6"/>
    </row>
    <row r="3495" spans="1:14" hidden="1" x14ac:dyDescent="0.15">
      <c r="A3495">
        <v>3495</v>
      </c>
      <c r="B3495" t="s">
        <v>5933</v>
      </c>
      <c r="C3495" t="s">
        <v>6010</v>
      </c>
      <c r="D3495" s="78" t="s">
        <v>6106</v>
      </c>
      <c r="E3495" t="s">
        <v>6022</v>
      </c>
      <c r="F3495" t="s">
        <v>6107</v>
      </c>
      <c r="G3495" s="92"/>
      <c r="H3495" s="92"/>
      <c r="I3495" s="92"/>
      <c r="J3495" s="92"/>
      <c r="K3495" s="92"/>
      <c r="L3495" s="9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6"/>
    </row>
    <row r="3496" spans="1:14" hidden="1" x14ac:dyDescent="0.15">
      <c r="A3496">
        <v>3496</v>
      </c>
      <c r="B3496" t="s">
        <v>5933</v>
      </c>
      <c r="C3496" t="s">
        <v>6010</v>
      </c>
      <c r="D3496" s="78" t="s">
        <v>6108</v>
      </c>
      <c r="E3496" t="s">
        <v>6008</v>
      </c>
      <c r="F3496" t="s">
        <v>6109</v>
      </c>
      <c r="G3496" s="92"/>
      <c r="H3496" s="92"/>
      <c r="I3496" s="92"/>
      <c r="J3496" s="92"/>
      <c r="K3496" s="92"/>
      <c r="L3496" s="9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6"/>
    </row>
    <row r="3497" spans="1:14" hidden="1" x14ac:dyDescent="0.15">
      <c r="A3497">
        <v>3497</v>
      </c>
      <c r="B3497" t="s">
        <v>5933</v>
      </c>
      <c r="C3497" t="s">
        <v>6144</v>
      </c>
      <c r="D3497" s="78" t="s">
        <v>6110</v>
      </c>
      <c r="E3497" t="s">
        <v>6022</v>
      </c>
      <c r="F3497" t="s">
        <v>6111</v>
      </c>
      <c r="G3497" s="92"/>
      <c r="H3497" s="92"/>
      <c r="I3497" s="92"/>
      <c r="J3497" s="92"/>
      <c r="K3497" s="92"/>
      <c r="L3497" s="9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6"/>
    </row>
    <row r="3498" spans="1:14" hidden="1" x14ac:dyDescent="0.15">
      <c r="A3498">
        <v>3498</v>
      </c>
      <c r="B3498" t="s">
        <v>5933</v>
      </c>
      <c r="C3498" t="s">
        <v>6144</v>
      </c>
      <c r="D3498" s="78" t="s">
        <v>6112</v>
      </c>
      <c r="E3498" t="s">
        <v>6055</v>
      </c>
      <c r="F3498" t="s">
        <v>6113</v>
      </c>
      <c r="G3498" s="92"/>
      <c r="H3498" s="92"/>
      <c r="I3498" s="92"/>
      <c r="J3498" s="92"/>
      <c r="K3498" s="92"/>
      <c r="L3498" s="9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6"/>
    </row>
    <row r="3499" spans="1:14" hidden="1" x14ac:dyDescent="0.15">
      <c r="A3499">
        <v>3499</v>
      </c>
      <c r="B3499" t="s">
        <v>5933</v>
      </c>
      <c r="C3499" t="s">
        <v>6144</v>
      </c>
      <c r="D3499" s="78" t="s">
        <v>6114</v>
      </c>
      <c r="E3499" t="s">
        <v>6008</v>
      </c>
      <c r="F3499" t="s">
        <v>6115</v>
      </c>
      <c r="G3499" s="92"/>
      <c r="H3499" s="92"/>
      <c r="I3499" s="92"/>
      <c r="J3499" s="92"/>
      <c r="K3499" s="92"/>
      <c r="L3499" s="9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6"/>
    </row>
    <row r="3500" spans="1:14" hidden="1" x14ac:dyDescent="0.15">
      <c r="A3500">
        <v>3500</v>
      </c>
      <c r="B3500" t="s">
        <v>5933</v>
      </c>
      <c r="C3500" t="s">
        <v>6144</v>
      </c>
      <c r="D3500" s="78" t="s">
        <v>6116</v>
      </c>
      <c r="E3500" t="s">
        <v>6029</v>
      </c>
      <c r="F3500" t="s">
        <v>6130</v>
      </c>
      <c r="G3500" s="92"/>
      <c r="H3500" s="92"/>
      <c r="I3500" s="92"/>
      <c r="J3500" s="92"/>
      <c r="K3500" s="92"/>
      <c r="L3500" s="9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6"/>
    </row>
    <row r="3501" spans="1:14" hidden="1" x14ac:dyDescent="0.15">
      <c r="A3501">
        <v>3501</v>
      </c>
      <c r="B3501" t="s">
        <v>5933</v>
      </c>
      <c r="C3501" t="s">
        <v>6144</v>
      </c>
      <c r="D3501" s="78" t="s">
        <v>6117</v>
      </c>
      <c r="E3501" t="s">
        <v>6039</v>
      </c>
      <c r="F3501" t="s">
        <v>6131</v>
      </c>
      <c r="G3501" s="92"/>
      <c r="H3501" s="92"/>
      <c r="I3501" s="92"/>
      <c r="J3501" s="92"/>
      <c r="K3501" s="92"/>
      <c r="L3501" s="9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6"/>
    </row>
    <row r="3502" spans="1:14" hidden="1" x14ac:dyDescent="0.15">
      <c r="A3502">
        <v>3502</v>
      </c>
      <c r="B3502" t="s">
        <v>5933</v>
      </c>
      <c r="C3502" t="s">
        <v>6144</v>
      </c>
      <c r="D3502" s="78" t="s">
        <v>6118</v>
      </c>
      <c r="E3502" t="s">
        <v>6008</v>
      </c>
      <c r="F3502" t="s">
        <v>6132</v>
      </c>
      <c r="G3502" s="92"/>
      <c r="H3502" s="92"/>
      <c r="I3502" s="92"/>
      <c r="J3502" s="92"/>
      <c r="K3502" s="92"/>
      <c r="L3502" s="9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6"/>
    </row>
    <row r="3503" spans="1:14" hidden="1" x14ac:dyDescent="0.15">
      <c r="A3503">
        <v>3503</v>
      </c>
      <c r="B3503" t="s">
        <v>5933</v>
      </c>
      <c r="C3503" t="s">
        <v>6144</v>
      </c>
      <c r="D3503" s="78" t="s">
        <v>6119</v>
      </c>
      <c r="E3503" t="s">
        <v>6008</v>
      </c>
      <c r="F3503" t="s">
        <v>6133</v>
      </c>
      <c r="G3503" s="92"/>
      <c r="H3503" s="92"/>
      <c r="I3503" s="92"/>
      <c r="J3503" s="92"/>
      <c r="K3503" s="92"/>
      <c r="L3503" s="9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6"/>
    </row>
    <row r="3504" spans="1:14" hidden="1" x14ac:dyDescent="0.15">
      <c r="A3504">
        <v>3504</v>
      </c>
      <c r="B3504" t="s">
        <v>5933</v>
      </c>
      <c r="C3504" t="s">
        <v>6144</v>
      </c>
      <c r="D3504" s="78" t="s">
        <v>6120</v>
      </c>
      <c r="E3504" t="s">
        <v>6029</v>
      </c>
      <c r="F3504" t="s">
        <v>6134</v>
      </c>
      <c r="G3504" s="92"/>
      <c r="H3504" s="92"/>
      <c r="I3504" s="92"/>
      <c r="J3504" s="92"/>
      <c r="K3504" s="92"/>
      <c r="L3504" s="9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6"/>
    </row>
    <row r="3505" spans="1:14" hidden="1" x14ac:dyDescent="0.15">
      <c r="A3505">
        <v>3505</v>
      </c>
      <c r="B3505" t="s">
        <v>5933</v>
      </c>
      <c r="C3505" t="s">
        <v>6144</v>
      </c>
      <c r="D3505" s="78" t="s">
        <v>6121</v>
      </c>
      <c r="E3505" t="s">
        <v>6029</v>
      </c>
      <c r="F3505" t="s">
        <v>6135</v>
      </c>
      <c r="G3505" s="92"/>
      <c r="H3505" s="92"/>
      <c r="I3505" s="92"/>
      <c r="J3505" s="92"/>
      <c r="K3505" s="92"/>
      <c r="L3505" s="9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6"/>
    </row>
    <row r="3506" spans="1:14" hidden="1" x14ac:dyDescent="0.15">
      <c r="A3506">
        <v>3506</v>
      </c>
      <c r="B3506" t="s">
        <v>5933</v>
      </c>
      <c r="C3506" t="s">
        <v>6144</v>
      </c>
      <c r="D3506" s="78" t="s">
        <v>6121</v>
      </c>
      <c r="E3506" t="s">
        <v>6013</v>
      </c>
      <c r="F3506" t="s">
        <v>6136</v>
      </c>
      <c r="G3506" s="92"/>
      <c r="H3506" s="92"/>
      <c r="I3506" s="92"/>
      <c r="J3506" s="92"/>
      <c r="K3506" s="92"/>
      <c r="L3506" s="9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6"/>
    </row>
    <row r="3507" spans="1:14" hidden="1" x14ac:dyDescent="0.15">
      <c r="A3507">
        <v>3507</v>
      </c>
      <c r="B3507" t="s">
        <v>5933</v>
      </c>
      <c r="C3507" t="s">
        <v>6144</v>
      </c>
      <c r="D3507" s="78" t="s">
        <v>6123</v>
      </c>
      <c r="E3507" t="s">
        <v>6008</v>
      </c>
      <c r="F3507" t="s">
        <v>6137</v>
      </c>
      <c r="G3507" s="92"/>
      <c r="H3507" s="92"/>
      <c r="I3507" s="92"/>
      <c r="J3507" s="92"/>
      <c r="K3507" s="92"/>
      <c r="L3507" s="9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6"/>
    </row>
    <row r="3508" spans="1:14" hidden="1" x14ac:dyDescent="0.15">
      <c r="A3508">
        <v>3508</v>
      </c>
      <c r="B3508" t="s">
        <v>5933</v>
      </c>
      <c r="C3508" t="s">
        <v>6144</v>
      </c>
      <c r="D3508" s="78" t="s">
        <v>6122</v>
      </c>
      <c r="E3508" t="s">
        <v>6013</v>
      </c>
      <c r="F3508" t="s">
        <v>6138</v>
      </c>
      <c r="G3508" s="92"/>
      <c r="H3508" s="92"/>
      <c r="I3508" s="92"/>
      <c r="J3508" s="92"/>
      <c r="K3508" s="92"/>
      <c r="L3508" s="9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6"/>
    </row>
    <row r="3509" spans="1:14" hidden="1" x14ac:dyDescent="0.15">
      <c r="A3509">
        <v>3509</v>
      </c>
      <c r="B3509" t="s">
        <v>5933</v>
      </c>
      <c r="C3509" t="s">
        <v>6144</v>
      </c>
      <c r="D3509" s="78" t="s">
        <v>6124</v>
      </c>
      <c r="E3509" t="s">
        <v>6129</v>
      </c>
      <c r="F3509" t="s">
        <v>6139</v>
      </c>
      <c r="G3509" s="92"/>
      <c r="H3509" s="92"/>
      <c r="I3509" s="92"/>
      <c r="J3509" s="92"/>
      <c r="K3509" s="92"/>
      <c r="L3509" s="9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6"/>
    </row>
    <row r="3510" spans="1:14" hidden="1" x14ac:dyDescent="0.15">
      <c r="A3510">
        <v>3510</v>
      </c>
      <c r="B3510" t="s">
        <v>5933</v>
      </c>
      <c r="C3510" t="s">
        <v>6144</v>
      </c>
      <c r="D3510" s="78" t="s">
        <v>6125</v>
      </c>
      <c r="E3510" t="s">
        <v>6013</v>
      </c>
      <c r="F3510" t="s">
        <v>6140</v>
      </c>
      <c r="G3510" s="92"/>
      <c r="H3510" s="92"/>
      <c r="I3510" s="92"/>
      <c r="J3510" s="92"/>
      <c r="K3510" s="92"/>
      <c r="L3510" s="9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6"/>
    </row>
    <row r="3511" spans="1:14" hidden="1" x14ac:dyDescent="0.15">
      <c r="A3511">
        <v>3511</v>
      </c>
      <c r="B3511" t="s">
        <v>5933</v>
      </c>
      <c r="C3511" t="s">
        <v>6144</v>
      </c>
      <c r="D3511" s="78" t="s">
        <v>6126</v>
      </c>
      <c r="E3511" t="s">
        <v>6055</v>
      </c>
      <c r="F3511" t="s">
        <v>6141</v>
      </c>
      <c r="G3511" s="92"/>
      <c r="H3511" s="92"/>
      <c r="I3511" s="92"/>
      <c r="J3511" s="92"/>
      <c r="K3511" s="92"/>
      <c r="L3511" s="9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6"/>
    </row>
    <row r="3512" spans="1:14" hidden="1" x14ac:dyDescent="0.15">
      <c r="A3512">
        <v>3512</v>
      </c>
      <c r="B3512" t="s">
        <v>5933</v>
      </c>
      <c r="C3512" t="s">
        <v>6144</v>
      </c>
      <c r="D3512" s="78" t="s">
        <v>6127</v>
      </c>
      <c r="E3512" t="s">
        <v>6029</v>
      </c>
      <c r="F3512" t="s">
        <v>6142</v>
      </c>
      <c r="G3512" s="92"/>
      <c r="H3512" s="92"/>
      <c r="I3512" s="92"/>
      <c r="J3512" s="92"/>
      <c r="K3512" s="92"/>
      <c r="L3512" s="9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6"/>
    </row>
    <row r="3513" spans="1:14" hidden="1" x14ac:dyDescent="0.15">
      <c r="A3513">
        <v>3513</v>
      </c>
      <c r="B3513" t="s">
        <v>5933</v>
      </c>
      <c r="C3513" t="s">
        <v>6144</v>
      </c>
      <c r="D3513" s="78" t="s">
        <v>6128</v>
      </c>
      <c r="E3513" t="s">
        <v>6013</v>
      </c>
      <c r="F3513" t="s">
        <v>6143</v>
      </c>
      <c r="G3513" s="92"/>
      <c r="H3513" s="92"/>
      <c r="I3513" s="92"/>
      <c r="J3513" s="92"/>
      <c r="K3513" s="92"/>
      <c r="L3513" s="9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6"/>
    </row>
    <row r="3514" spans="1:14" hidden="1" x14ac:dyDescent="0.15">
      <c r="A3514">
        <v>3514</v>
      </c>
      <c r="B3514" t="s">
        <v>5933</v>
      </c>
      <c r="C3514" t="s">
        <v>6860</v>
      </c>
      <c r="D3514" s="78" t="s">
        <v>6145</v>
      </c>
      <c r="E3514" t="s">
        <v>6013</v>
      </c>
      <c r="F3514" t="s">
        <v>6179</v>
      </c>
      <c r="G3514" s="92"/>
      <c r="H3514" s="92"/>
      <c r="I3514" s="92"/>
      <c r="J3514" s="92"/>
      <c r="K3514" s="92"/>
      <c r="L3514" s="9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6"/>
    </row>
    <row r="3515" spans="1:14" hidden="1" x14ac:dyDescent="0.15">
      <c r="A3515">
        <v>3515</v>
      </c>
      <c r="B3515" t="s">
        <v>5933</v>
      </c>
      <c r="C3515" t="s">
        <v>6860</v>
      </c>
      <c r="D3515" s="78" t="s">
        <v>6146</v>
      </c>
      <c r="E3515" t="s">
        <v>6013</v>
      </c>
      <c r="F3515" t="s">
        <v>6180</v>
      </c>
      <c r="G3515" s="92"/>
      <c r="H3515" s="92"/>
      <c r="I3515" s="92"/>
      <c r="J3515" s="92"/>
      <c r="K3515" s="92"/>
      <c r="L3515" s="9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6"/>
    </row>
    <row r="3516" spans="1:14" hidden="1" x14ac:dyDescent="0.15">
      <c r="A3516">
        <v>3516</v>
      </c>
      <c r="B3516" t="s">
        <v>5933</v>
      </c>
      <c r="C3516" t="s">
        <v>6860</v>
      </c>
      <c r="D3516" s="78" t="s">
        <v>6147</v>
      </c>
      <c r="E3516" t="s">
        <v>6013</v>
      </c>
      <c r="F3516" t="s">
        <v>6181</v>
      </c>
      <c r="G3516" s="92"/>
      <c r="H3516" s="92"/>
      <c r="I3516" s="92"/>
      <c r="J3516" s="92"/>
      <c r="K3516" s="92"/>
      <c r="L3516" s="9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6"/>
    </row>
    <row r="3517" spans="1:14" hidden="1" x14ac:dyDescent="0.15">
      <c r="A3517">
        <v>3517</v>
      </c>
      <c r="B3517" t="s">
        <v>5933</v>
      </c>
      <c r="C3517" t="s">
        <v>6860</v>
      </c>
      <c r="D3517" s="78" t="s">
        <v>6148</v>
      </c>
      <c r="E3517" t="s">
        <v>6078</v>
      </c>
      <c r="F3517" t="s">
        <v>6182</v>
      </c>
      <c r="G3517" s="92"/>
      <c r="H3517" s="92"/>
      <c r="I3517" s="92"/>
      <c r="J3517" s="92"/>
      <c r="K3517" s="92"/>
      <c r="L3517" s="9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6"/>
    </row>
    <row r="3518" spans="1:14" hidden="1" x14ac:dyDescent="0.15">
      <c r="A3518">
        <v>3518</v>
      </c>
      <c r="B3518" t="s">
        <v>5933</v>
      </c>
      <c r="C3518" t="s">
        <v>6860</v>
      </c>
      <c r="D3518" s="78" t="s">
        <v>6149</v>
      </c>
      <c r="E3518" t="s">
        <v>6078</v>
      </c>
      <c r="F3518" t="s">
        <v>6183</v>
      </c>
      <c r="G3518" s="92"/>
      <c r="H3518" s="92"/>
      <c r="I3518" s="92"/>
      <c r="J3518" s="92"/>
      <c r="K3518" s="92"/>
      <c r="L3518" s="9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6"/>
    </row>
    <row r="3519" spans="1:14" hidden="1" x14ac:dyDescent="0.15">
      <c r="A3519">
        <v>3519</v>
      </c>
      <c r="B3519" t="s">
        <v>5933</v>
      </c>
      <c r="C3519" t="s">
        <v>6860</v>
      </c>
      <c r="D3519" s="78" t="s">
        <v>6150</v>
      </c>
      <c r="E3519" t="s">
        <v>6078</v>
      </c>
      <c r="F3519" t="s">
        <v>6184</v>
      </c>
      <c r="G3519" s="92"/>
      <c r="H3519" s="92"/>
      <c r="I3519" s="92"/>
      <c r="J3519" s="92"/>
      <c r="K3519" s="92"/>
      <c r="L3519" s="9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6"/>
    </row>
    <row r="3520" spans="1:14" hidden="1" x14ac:dyDescent="0.15">
      <c r="A3520">
        <v>3520</v>
      </c>
      <c r="B3520" t="s">
        <v>5933</v>
      </c>
      <c r="C3520" t="s">
        <v>6860</v>
      </c>
      <c r="D3520" s="78" t="s">
        <v>6151</v>
      </c>
      <c r="E3520" t="s">
        <v>6013</v>
      </c>
      <c r="F3520" t="s">
        <v>6185</v>
      </c>
      <c r="G3520" s="92"/>
      <c r="H3520" s="92"/>
      <c r="I3520" s="92"/>
      <c r="J3520" s="92"/>
      <c r="K3520" s="92"/>
      <c r="L3520" s="9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6"/>
    </row>
    <row r="3521" spans="1:14" hidden="1" x14ac:dyDescent="0.15">
      <c r="A3521">
        <v>3521</v>
      </c>
      <c r="B3521" t="s">
        <v>5933</v>
      </c>
      <c r="C3521" t="s">
        <v>6860</v>
      </c>
      <c r="D3521" s="78" t="s">
        <v>6152</v>
      </c>
      <c r="E3521" t="s">
        <v>6013</v>
      </c>
      <c r="F3521" t="s">
        <v>6186</v>
      </c>
      <c r="G3521" s="92"/>
      <c r="H3521" s="92"/>
      <c r="I3521" s="92"/>
      <c r="J3521" s="92"/>
      <c r="K3521" s="92"/>
      <c r="L3521" s="9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6"/>
    </row>
    <row r="3522" spans="1:14" hidden="1" x14ac:dyDescent="0.15">
      <c r="A3522">
        <v>3522</v>
      </c>
      <c r="B3522" t="s">
        <v>5933</v>
      </c>
      <c r="C3522" t="s">
        <v>6860</v>
      </c>
      <c r="D3522" s="78" t="s">
        <v>6153</v>
      </c>
      <c r="E3522" t="s">
        <v>6013</v>
      </c>
      <c r="F3522" t="s">
        <v>6187</v>
      </c>
      <c r="G3522" s="92"/>
      <c r="H3522" s="92"/>
      <c r="I3522" s="92"/>
      <c r="J3522" s="92"/>
      <c r="K3522" s="92"/>
      <c r="L3522" s="9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6"/>
    </row>
    <row r="3523" spans="1:14" hidden="1" x14ac:dyDescent="0.15">
      <c r="A3523">
        <v>3523</v>
      </c>
      <c r="B3523" t="s">
        <v>5933</v>
      </c>
      <c r="C3523" t="s">
        <v>6860</v>
      </c>
      <c r="D3523" s="78" t="s">
        <v>6154</v>
      </c>
      <c r="E3523" t="s">
        <v>6013</v>
      </c>
      <c r="F3523" t="s">
        <v>6188</v>
      </c>
      <c r="G3523" s="92"/>
      <c r="H3523" s="92"/>
      <c r="I3523" s="92"/>
      <c r="J3523" s="92"/>
      <c r="K3523" s="92"/>
      <c r="L3523" s="9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6"/>
    </row>
    <row r="3524" spans="1:14" hidden="1" x14ac:dyDescent="0.15">
      <c r="A3524">
        <v>3524</v>
      </c>
      <c r="B3524" t="s">
        <v>5933</v>
      </c>
      <c r="C3524" t="s">
        <v>6860</v>
      </c>
      <c r="D3524" s="78" t="s">
        <v>6155</v>
      </c>
      <c r="E3524" t="s">
        <v>6013</v>
      </c>
      <c r="F3524" t="s">
        <v>6189</v>
      </c>
      <c r="G3524" s="92"/>
      <c r="H3524" s="92"/>
      <c r="I3524" s="92"/>
      <c r="J3524" s="92"/>
      <c r="K3524" s="92"/>
      <c r="L3524" s="9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6"/>
    </row>
    <row r="3525" spans="1:14" hidden="1" x14ac:dyDescent="0.15">
      <c r="A3525">
        <v>3525</v>
      </c>
      <c r="B3525" t="s">
        <v>5933</v>
      </c>
      <c r="C3525" t="s">
        <v>6860</v>
      </c>
      <c r="D3525" s="78" t="s">
        <v>6156</v>
      </c>
      <c r="E3525" t="s">
        <v>6013</v>
      </c>
      <c r="F3525" t="s">
        <v>6190</v>
      </c>
      <c r="G3525" s="92"/>
      <c r="H3525" s="92"/>
      <c r="I3525" s="92"/>
      <c r="J3525" s="92"/>
      <c r="K3525" s="92"/>
      <c r="L3525" s="9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6"/>
    </row>
    <row r="3526" spans="1:14" hidden="1" x14ac:dyDescent="0.15">
      <c r="A3526">
        <v>3526</v>
      </c>
      <c r="B3526" t="s">
        <v>5933</v>
      </c>
      <c r="C3526" t="s">
        <v>6860</v>
      </c>
      <c r="D3526" s="78" t="s">
        <v>6157</v>
      </c>
      <c r="E3526" t="s">
        <v>6013</v>
      </c>
      <c r="F3526" t="s">
        <v>6191</v>
      </c>
      <c r="G3526" s="92"/>
      <c r="H3526" s="92"/>
      <c r="I3526" s="92"/>
      <c r="J3526" s="92"/>
      <c r="K3526" s="92"/>
      <c r="L3526" s="9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6"/>
    </row>
    <row r="3527" spans="1:14" hidden="1" x14ac:dyDescent="0.15">
      <c r="A3527">
        <v>3527</v>
      </c>
      <c r="B3527" t="s">
        <v>5933</v>
      </c>
      <c r="C3527" t="s">
        <v>6860</v>
      </c>
      <c r="D3527" s="78" t="s">
        <v>6158</v>
      </c>
      <c r="E3527" t="s">
        <v>6017</v>
      </c>
      <c r="F3527" t="s">
        <v>6192</v>
      </c>
      <c r="G3527" s="92"/>
      <c r="H3527" s="92"/>
      <c r="I3527" s="92"/>
      <c r="J3527" s="92"/>
      <c r="K3527" s="92"/>
      <c r="L3527" s="9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6"/>
    </row>
    <row r="3528" spans="1:14" hidden="1" x14ac:dyDescent="0.15">
      <c r="A3528">
        <v>3528</v>
      </c>
      <c r="B3528" t="s">
        <v>5933</v>
      </c>
      <c r="C3528" t="s">
        <v>6860</v>
      </c>
      <c r="D3528" s="78" t="s">
        <v>6159</v>
      </c>
      <c r="E3528" t="s">
        <v>6022</v>
      </c>
      <c r="F3528" t="s">
        <v>6193</v>
      </c>
      <c r="G3528" s="92"/>
      <c r="H3528" s="92"/>
      <c r="I3528" s="92"/>
      <c r="J3528" s="92"/>
      <c r="K3528" s="92"/>
      <c r="L3528" s="9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6"/>
    </row>
    <row r="3529" spans="1:14" hidden="1" x14ac:dyDescent="0.15">
      <c r="A3529">
        <v>3529</v>
      </c>
      <c r="B3529" t="s">
        <v>5933</v>
      </c>
      <c r="C3529" t="s">
        <v>6860</v>
      </c>
      <c r="D3529" s="78" t="s">
        <v>6160</v>
      </c>
      <c r="E3529" t="s">
        <v>6078</v>
      </c>
      <c r="F3529" t="s">
        <v>6194</v>
      </c>
      <c r="G3529" s="92"/>
      <c r="H3529" s="92"/>
      <c r="I3529" s="92"/>
      <c r="J3529" s="92"/>
      <c r="K3529" s="92"/>
      <c r="L3529" s="9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6"/>
    </row>
    <row r="3530" spans="1:14" hidden="1" x14ac:dyDescent="0.15">
      <c r="A3530">
        <v>3530</v>
      </c>
      <c r="B3530" t="s">
        <v>5933</v>
      </c>
      <c r="C3530" t="s">
        <v>6860</v>
      </c>
      <c r="D3530" s="78" t="s">
        <v>6161</v>
      </c>
      <c r="E3530" t="s">
        <v>6013</v>
      </c>
      <c r="F3530" t="s">
        <v>6195</v>
      </c>
      <c r="G3530" s="92"/>
      <c r="H3530" s="92"/>
      <c r="I3530" s="92"/>
      <c r="J3530" s="92"/>
      <c r="K3530" s="92"/>
      <c r="L3530" s="9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6"/>
    </row>
    <row r="3531" spans="1:14" hidden="1" x14ac:dyDescent="0.15">
      <c r="A3531">
        <v>3531</v>
      </c>
      <c r="B3531" t="s">
        <v>5933</v>
      </c>
      <c r="C3531" t="s">
        <v>6860</v>
      </c>
      <c r="D3531" s="78" t="s">
        <v>6162</v>
      </c>
      <c r="E3531" t="s">
        <v>6029</v>
      </c>
      <c r="F3531" t="s">
        <v>6196</v>
      </c>
      <c r="G3531" s="92"/>
      <c r="H3531" s="92"/>
      <c r="I3531" s="92"/>
      <c r="J3531" s="92"/>
      <c r="K3531" s="92"/>
      <c r="L3531" s="9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6"/>
    </row>
    <row r="3532" spans="1:14" hidden="1" x14ac:dyDescent="0.15">
      <c r="A3532">
        <v>3532</v>
      </c>
      <c r="B3532" t="s">
        <v>5933</v>
      </c>
      <c r="C3532" t="s">
        <v>6860</v>
      </c>
      <c r="D3532" s="78" t="s">
        <v>6163</v>
      </c>
      <c r="E3532" t="s">
        <v>6013</v>
      </c>
      <c r="F3532" t="s">
        <v>6197</v>
      </c>
      <c r="G3532" s="92"/>
      <c r="H3532" s="92"/>
      <c r="I3532" s="92"/>
      <c r="J3532" s="92"/>
      <c r="K3532" s="92"/>
      <c r="L3532" s="9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6"/>
    </row>
    <row r="3533" spans="1:14" hidden="1" x14ac:dyDescent="0.15">
      <c r="A3533">
        <v>3533</v>
      </c>
      <c r="B3533" t="s">
        <v>5933</v>
      </c>
      <c r="C3533" t="s">
        <v>6860</v>
      </c>
      <c r="D3533" s="78" t="s">
        <v>6164</v>
      </c>
      <c r="E3533" t="s">
        <v>6008</v>
      </c>
      <c r="F3533" t="s">
        <v>6198</v>
      </c>
      <c r="G3533" s="92"/>
      <c r="H3533" s="92"/>
      <c r="I3533" s="92"/>
      <c r="J3533" s="92"/>
      <c r="K3533" s="92"/>
      <c r="L3533" s="9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6"/>
    </row>
    <row r="3534" spans="1:14" hidden="1" x14ac:dyDescent="0.15">
      <c r="A3534">
        <v>3534</v>
      </c>
      <c r="B3534" t="s">
        <v>5933</v>
      </c>
      <c r="C3534" t="s">
        <v>6860</v>
      </c>
      <c r="D3534" s="78" t="s">
        <v>6165</v>
      </c>
      <c r="E3534" t="s">
        <v>6078</v>
      </c>
      <c r="F3534" t="s">
        <v>6199</v>
      </c>
      <c r="G3534" s="92"/>
      <c r="H3534" s="92"/>
      <c r="I3534" s="92"/>
      <c r="J3534" s="92"/>
      <c r="K3534" s="92"/>
      <c r="L3534" s="9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6"/>
    </row>
    <row r="3535" spans="1:14" hidden="1" x14ac:dyDescent="0.15">
      <c r="A3535">
        <v>3535</v>
      </c>
      <c r="B3535" t="s">
        <v>5933</v>
      </c>
      <c r="C3535" t="s">
        <v>6860</v>
      </c>
      <c r="D3535" s="78" t="s">
        <v>6166</v>
      </c>
      <c r="E3535" t="s">
        <v>6013</v>
      </c>
      <c r="F3535" t="s">
        <v>6200</v>
      </c>
      <c r="G3535" s="92"/>
      <c r="H3535" s="92"/>
      <c r="I3535" s="92"/>
      <c r="J3535" s="92"/>
      <c r="K3535" s="92"/>
      <c r="L3535" s="9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6"/>
    </row>
    <row r="3536" spans="1:14" hidden="1" x14ac:dyDescent="0.15">
      <c r="A3536">
        <v>3536</v>
      </c>
      <c r="B3536" t="s">
        <v>5933</v>
      </c>
      <c r="C3536" t="s">
        <v>6860</v>
      </c>
      <c r="D3536" s="78" t="s">
        <v>6167</v>
      </c>
      <c r="E3536" t="s">
        <v>6013</v>
      </c>
      <c r="F3536" t="s">
        <v>6201</v>
      </c>
      <c r="G3536" s="92"/>
      <c r="H3536" s="92"/>
      <c r="I3536" s="92"/>
      <c r="J3536" s="92"/>
      <c r="K3536" s="92"/>
      <c r="L3536" s="9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6"/>
    </row>
    <row r="3537" spans="1:14" hidden="1" x14ac:dyDescent="0.15">
      <c r="A3537">
        <v>3537</v>
      </c>
      <c r="B3537" t="s">
        <v>5933</v>
      </c>
      <c r="C3537" t="s">
        <v>6860</v>
      </c>
      <c r="D3537" s="78" t="s">
        <v>6168</v>
      </c>
      <c r="E3537" t="s">
        <v>6008</v>
      </c>
      <c r="F3537" t="s">
        <v>6202</v>
      </c>
      <c r="G3537" s="92"/>
      <c r="H3537" s="92"/>
      <c r="I3537" s="92"/>
      <c r="J3537" s="92"/>
      <c r="K3537" s="92"/>
      <c r="L3537" s="9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6"/>
    </row>
    <row r="3538" spans="1:14" hidden="1" x14ac:dyDescent="0.15">
      <c r="A3538">
        <v>3538</v>
      </c>
      <c r="B3538" t="s">
        <v>5933</v>
      </c>
      <c r="C3538" t="s">
        <v>6860</v>
      </c>
      <c r="D3538" s="78" t="s">
        <v>6169</v>
      </c>
      <c r="E3538" t="s">
        <v>6029</v>
      </c>
      <c r="F3538" t="s">
        <v>6203</v>
      </c>
      <c r="G3538" s="92"/>
      <c r="H3538" s="92"/>
      <c r="I3538" s="92"/>
      <c r="J3538" s="92"/>
      <c r="K3538" s="92"/>
      <c r="L3538" s="9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6"/>
    </row>
    <row r="3539" spans="1:14" hidden="1" x14ac:dyDescent="0.15">
      <c r="A3539">
        <v>3539</v>
      </c>
      <c r="B3539" t="s">
        <v>5933</v>
      </c>
      <c r="C3539" t="s">
        <v>6860</v>
      </c>
      <c r="D3539" s="78" t="s">
        <v>6170</v>
      </c>
      <c r="E3539" t="s">
        <v>6013</v>
      </c>
      <c r="F3539" t="s">
        <v>6204</v>
      </c>
      <c r="G3539" s="92"/>
      <c r="H3539" s="92"/>
      <c r="I3539" s="92"/>
      <c r="J3539" s="92"/>
      <c r="K3539" s="92"/>
      <c r="L3539" s="9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6"/>
    </row>
    <row r="3540" spans="1:14" hidden="1" x14ac:dyDescent="0.15">
      <c r="A3540">
        <v>3540</v>
      </c>
      <c r="B3540" t="s">
        <v>5933</v>
      </c>
      <c r="C3540" t="s">
        <v>6860</v>
      </c>
      <c r="D3540" s="78" t="s">
        <v>6171</v>
      </c>
      <c r="E3540" t="s">
        <v>6008</v>
      </c>
      <c r="F3540" t="s">
        <v>6205</v>
      </c>
      <c r="G3540" s="92"/>
      <c r="H3540" s="92"/>
      <c r="I3540" s="92"/>
      <c r="J3540" s="92"/>
      <c r="K3540" s="92"/>
      <c r="L3540" s="9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6"/>
    </row>
    <row r="3541" spans="1:14" hidden="1" x14ac:dyDescent="0.15">
      <c r="A3541">
        <v>3541</v>
      </c>
      <c r="B3541" t="s">
        <v>5933</v>
      </c>
      <c r="C3541" t="s">
        <v>6860</v>
      </c>
      <c r="D3541" s="78" t="s">
        <v>6126</v>
      </c>
      <c r="E3541" t="s">
        <v>6178</v>
      </c>
      <c r="F3541" t="s">
        <v>6206</v>
      </c>
      <c r="G3541" s="92"/>
      <c r="H3541" s="92"/>
      <c r="I3541" s="92"/>
      <c r="J3541" s="92"/>
      <c r="K3541" s="92"/>
      <c r="L3541" s="9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6"/>
    </row>
    <row r="3542" spans="1:14" hidden="1" x14ac:dyDescent="0.15">
      <c r="A3542">
        <v>3542</v>
      </c>
      <c r="B3542" t="s">
        <v>5933</v>
      </c>
      <c r="C3542" t="s">
        <v>6860</v>
      </c>
      <c r="D3542" s="78" t="s">
        <v>6172</v>
      </c>
      <c r="E3542" t="s">
        <v>6013</v>
      </c>
      <c r="F3542" t="s">
        <v>6207</v>
      </c>
      <c r="G3542" s="92"/>
      <c r="H3542" s="92"/>
      <c r="I3542" s="92"/>
      <c r="J3542" s="92"/>
      <c r="K3542" s="92"/>
      <c r="L3542" s="9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6"/>
    </row>
    <row r="3543" spans="1:14" hidden="1" x14ac:dyDescent="0.15">
      <c r="A3543">
        <v>3543</v>
      </c>
      <c r="B3543" t="s">
        <v>5933</v>
      </c>
      <c r="C3543" t="s">
        <v>6860</v>
      </c>
      <c r="D3543" s="78" t="s">
        <v>6173</v>
      </c>
      <c r="E3543" t="s">
        <v>6008</v>
      </c>
      <c r="F3543" t="s">
        <v>6208</v>
      </c>
      <c r="G3543" s="92"/>
      <c r="H3543" s="92"/>
      <c r="I3543" s="92"/>
      <c r="J3543" s="92"/>
      <c r="K3543" s="92"/>
      <c r="L3543" s="9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6"/>
    </row>
    <row r="3544" spans="1:14" hidden="1" x14ac:dyDescent="0.15">
      <c r="A3544">
        <v>3544</v>
      </c>
      <c r="B3544" t="s">
        <v>5933</v>
      </c>
      <c r="C3544" t="s">
        <v>6860</v>
      </c>
      <c r="D3544" s="78" t="s">
        <v>6174</v>
      </c>
      <c r="E3544" t="s">
        <v>6029</v>
      </c>
      <c r="F3544" t="s">
        <v>6209</v>
      </c>
      <c r="G3544" s="92"/>
      <c r="H3544" s="92"/>
      <c r="I3544" s="92"/>
      <c r="J3544" s="92"/>
      <c r="K3544" s="92"/>
      <c r="L3544" s="9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6"/>
    </row>
    <row r="3545" spans="1:14" hidden="1" x14ac:dyDescent="0.15">
      <c r="A3545">
        <v>3545</v>
      </c>
      <c r="B3545" t="s">
        <v>5933</v>
      </c>
      <c r="C3545" t="s">
        <v>6860</v>
      </c>
      <c r="D3545" s="78" t="s">
        <v>6175</v>
      </c>
      <c r="E3545" t="s">
        <v>6013</v>
      </c>
      <c r="F3545" t="s">
        <v>6210</v>
      </c>
      <c r="G3545" s="92"/>
      <c r="H3545" s="92"/>
      <c r="I3545" s="92"/>
      <c r="J3545" s="92"/>
      <c r="K3545" s="92"/>
      <c r="L3545" s="9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6"/>
    </row>
    <row r="3546" spans="1:14" hidden="1" x14ac:dyDescent="0.15">
      <c r="A3546">
        <v>3546</v>
      </c>
      <c r="B3546" t="s">
        <v>5933</v>
      </c>
      <c r="C3546" t="s">
        <v>6860</v>
      </c>
      <c r="D3546" s="78" t="s">
        <v>6176</v>
      </c>
      <c r="E3546" t="s">
        <v>6078</v>
      </c>
      <c r="F3546" t="s">
        <v>6211</v>
      </c>
      <c r="G3546" s="92"/>
      <c r="H3546" s="92"/>
      <c r="I3546" s="92"/>
      <c r="J3546" s="92"/>
      <c r="K3546" s="92"/>
      <c r="L3546" s="9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6"/>
    </row>
    <row r="3547" spans="1:14" hidden="1" x14ac:dyDescent="0.15">
      <c r="A3547">
        <v>3547</v>
      </c>
      <c r="B3547" t="s">
        <v>5933</v>
      </c>
      <c r="C3547" t="s">
        <v>6860</v>
      </c>
      <c r="D3547" s="78" t="s">
        <v>6177</v>
      </c>
      <c r="E3547" t="s">
        <v>6029</v>
      </c>
      <c r="F3547" t="s">
        <v>6212</v>
      </c>
      <c r="G3547" s="92"/>
      <c r="H3547" s="92"/>
      <c r="I3547" s="92"/>
      <c r="J3547" s="92"/>
      <c r="K3547" s="92"/>
      <c r="L3547" s="9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6"/>
    </row>
    <row r="3548" spans="1:14" hidden="1" x14ac:dyDescent="0.15">
      <c r="A3548">
        <v>3548</v>
      </c>
      <c r="B3548" t="s">
        <v>5933</v>
      </c>
      <c r="C3548" t="s">
        <v>6859</v>
      </c>
      <c r="D3548" s="78" t="s">
        <v>6213</v>
      </c>
      <c r="E3548" t="s">
        <v>6013</v>
      </c>
      <c r="F3548" t="s">
        <v>6254</v>
      </c>
      <c r="G3548" s="92"/>
      <c r="H3548" s="92"/>
      <c r="I3548" s="92"/>
      <c r="J3548" s="92"/>
      <c r="K3548" s="92"/>
      <c r="L3548" s="9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6"/>
    </row>
    <row r="3549" spans="1:14" hidden="1" x14ac:dyDescent="0.15">
      <c r="A3549">
        <v>3549</v>
      </c>
      <c r="B3549" t="s">
        <v>5933</v>
      </c>
      <c r="C3549" t="s">
        <v>6859</v>
      </c>
      <c r="D3549" s="78" t="s">
        <v>6214</v>
      </c>
      <c r="E3549" t="s">
        <v>6013</v>
      </c>
      <c r="F3549" t="s">
        <v>6255</v>
      </c>
      <c r="G3549" s="92"/>
      <c r="H3549" s="92"/>
      <c r="I3549" s="92"/>
      <c r="J3549" s="92"/>
      <c r="K3549" s="92"/>
      <c r="L3549" s="9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6"/>
    </row>
    <row r="3550" spans="1:14" hidden="1" x14ac:dyDescent="0.15">
      <c r="A3550">
        <v>3550</v>
      </c>
      <c r="B3550" t="s">
        <v>5933</v>
      </c>
      <c r="C3550" t="s">
        <v>6859</v>
      </c>
      <c r="D3550" s="78" t="s">
        <v>6215</v>
      </c>
      <c r="E3550" t="s">
        <v>6013</v>
      </c>
      <c r="F3550" t="s">
        <v>6256</v>
      </c>
      <c r="G3550" s="92"/>
      <c r="H3550" s="92"/>
      <c r="I3550" s="92"/>
      <c r="J3550" s="92"/>
      <c r="K3550" s="92"/>
      <c r="L3550" s="9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6"/>
    </row>
    <row r="3551" spans="1:14" hidden="1" x14ac:dyDescent="0.15">
      <c r="A3551">
        <v>3551</v>
      </c>
      <c r="B3551" t="s">
        <v>5933</v>
      </c>
      <c r="C3551" t="s">
        <v>6859</v>
      </c>
      <c r="D3551" s="78" t="s">
        <v>6216</v>
      </c>
      <c r="E3551" t="s">
        <v>6055</v>
      </c>
      <c r="F3551" t="s">
        <v>6257</v>
      </c>
      <c r="G3551" s="92"/>
      <c r="H3551" s="92"/>
      <c r="I3551" s="92"/>
      <c r="J3551" s="92"/>
      <c r="K3551" s="92"/>
      <c r="L3551" s="9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6"/>
    </row>
    <row r="3552" spans="1:14" hidden="1" x14ac:dyDescent="0.15">
      <c r="A3552">
        <v>3552</v>
      </c>
      <c r="B3552" t="s">
        <v>5933</v>
      </c>
      <c r="C3552" t="s">
        <v>6859</v>
      </c>
      <c r="D3552" s="78" t="s">
        <v>6217</v>
      </c>
      <c r="E3552" t="s">
        <v>6178</v>
      </c>
      <c r="F3552" t="s">
        <v>6258</v>
      </c>
      <c r="G3552" s="92"/>
      <c r="H3552" s="92"/>
      <c r="I3552" s="92"/>
      <c r="J3552" s="92"/>
      <c r="K3552" s="92"/>
      <c r="L3552" s="9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6"/>
    </row>
    <row r="3553" spans="1:14" hidden="1" x14ac:dyDescent="0.15">
      <c r="A3553">
        <v>3553</v>
      </c>
      <c r="B3553" t="s">
        <v>5933</v>
      </c>
      <c r="C3553" t="s">
        <v>6859</v>
      </c>
      <c r="D3553" s="78" t="s">
        <v>6218</v>
      </c>
      <c r="E3553" t="s">
        <v>6078</v>
      </c>
      <c r="F3553" t="s">
        <v>6259</v>
      </c>
      <c r="G3553" s="92"/>
      <c r="H3553" s="92"/>
      <c r="I3553" s="92"/>
      <c r="J3553" s="92"/>
      <c r="K3553" s="92"/>
      <c r="L3553" s="9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6"/>
    </row>
    <row r="3554" spans="1:14" hidden="1" x14ac:dyDescent="0.15">
      <c r="A3554">
        <v>3554</v>
      </c>
      <c r="B3554" t="s">
        <v>5933</v>
      </c>
      <c r="C3554" t="s">
        <v>6859</v>
      </c>
      <c r="D3554" s="78" t="s">
        <v>6219</v>
      </c>
      <c r="E3554" t="s">
        <v>6008</v>
      </c>
      <c r="F3554" t="s">
        <v>6260</v>
      </c>
      <c r="G3554" s="92"/>
      <c r="H3554" s="92"/>
      <c r="I3554" s="92"/>
      <c r="J3554" s="92"/>
      <c r="K3554" s="92"/>
      <c r="L3554" s="9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6"/>
    </row>
    <row r="3555" spans="1:14" hidden="1" x14ac:dyDescent="0.15">
      <c r="A3555">
        <v>3555</v>
      </c>
      <c r="B3555" t="s">
        <v>5933</v>
      </c>
      <c r="C3555" t="s">
        <v>6859</v>
      </c>
      <c r="D3555" s="78" t="s">
        <v>6220</v>
      </c>
      <c r="E3555" t="s">
        <v>6078</v>
      </c>
      <c r="F3555" t="s">
        <v>6261</v>
      </c>
      <c r="G3555" s="92"/>
      <c r="H3555" s="92"/>
      <c r="I3555" s="92"/>
      <c r="J3555" s="92"/>
      <c r="K3555" s="92"/>
      <c r="L3555" s="9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6"/>
    </row>
    <row r="3556" spans="1:14" hidden="1" x14ac:dyDescent="0.15">
      <c r="A3556">
        <v>3556</v>
      </c>
      <c r="B3556" t="s">
        <v>5933</v>
      </c>
      <c r="C3556" t="s">
        <v>6859</v>
      </c>
      <c r="D3556" s="78" t="s">
        <v>6221</v>
      </c>
      <c r="E3556" t="s">
        <v>6013</v>
      </c>
      <c r="F3556" t="s">
        <v>6262</v>
      </c>
      <c r="G3556" s="92"/>
      <c r="H3556" s="92"/>
      <c r="I3556" s="92"/>
      <c r="J3556" s="92"/>
      <c r="K3556" s="92"/>
      <c r="L3556" s="9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6"/>
    </row>
    <row r="3557" spans="1:14" hidden="1" x14ac:dyDescent="0.15">
      <c r="A3557">
        <v>3557</v>
      </c>
      <c r="B3557" t="s">
        <v>5933</v>
      </c>
      <c r="C3557" t="s">
        <v>6859</v>
      </c>
      <c r="D3557" s="78" t="s">
        <v>6222</v>
      </c>
      <c r="E3557" t="s">
        <v>6008</v>
      </c>
      <c r="F3557" t="s">
        <v>6263</v>
      </c>
      <c r="G3557" s="92"/>
      <c r="H3557" s="92"/>
      <c r="I3557" s="92"/>
      <c r="J3557" s="92"/>
      <c r="K3557" s="92"/>
      <c r="L3557" s="9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6"/>
    </row>
    <row r="3558" spans="1:14" hidden="1" x14ac:dyDescent="0.15">
      <c r="A3558">
        <v>3558</v>
      </c>
      <c r="B3558" t="s">
        <v>5933</v>
      </c>
      <c r="C3558" t="s">
        <v>6859</v>
      </c>
      <c r="D3558" s="78" t="s">
        <v>6223</v>
      </c>
      <c r="E3558" t="s">
        <v>6078</v>
      </c>
      <c r="F3558" t="s">
        <v>6264</v>
      </c>
      <c r="G3558" s="92"/>
      <c r="H3558" s="92"/>
      <c r="I3558" s="92"/>
      <c r="J3558" s="92"/>
      <c r="K3558" s="92"/>
      <c r="L3558" s="9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6"/>
    </row>
    <row r="3559" spans="1:14" hidden="1" x14ac:dyDescent="0.15">
      <c r="A3559">
        <v>3559</v>
      </c>
      <c r="B3559" t="s">
        <v>5933</v>
      </c>
      <c r="C3559" t="s">
        <v>6859</v>
      </c>
      <c r="D3559" s="78" t="s">
        <v>6224</v>
      </c>
      <c r="E3559" t="s">
        <v>6029</v>
      </c>
      <c r="F3559" t="s">
        <v>6265</v>
      </c>
      <c r="G3559" s="92"/>
      <c r="H3559" s="92"/>
      <c r="I3559" s="92"/>
      <c r="J3559" s="92"/>
      <c r="K3559" s="92"/>
      <c r="L3559" s="9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6"/>
    </row>
    <row r="3560" spans="1:14" hidden="1" x14ac:dyDescent="0.15">
      <c r="A3560">
        <v>3560</v>
      </c>
      <c r="B3560" t="s">
        <v>5933</v>
      </c>
      <c r="C3560" t="s">
        <v>6859</v>
      </c>
      <c r="D3560" s="78" t="s">
        <v>6225</v>
      </c>
      <c r="E3560" t="s">
        <v>6008</v>
      </c>
      <c r="F3560" t="s">
        <v>6266</v>
      </c>
      <c r="G3560" s="92"/>
      <c r="H3560" s="92"/>
      <c r="I3560" s="92"/>
      <c r="J3560" s="92"/>
      <c r="K3560" s="92"/>
      <c r="L3560" s="9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6"/>
    </row>
    <row r="3561" spans="1:14" hidden="1" x14ac:dyDescent="0.15">
      <c r="A3561">
        <v>3561</v>
      </c>
      <c r="B3561" t="s">
        <v>5933</v>
      </c>
      <c r="C3561" t="s">
        <v>6859</v>
      </c>
      <c r="D3561" s="78" t="s">
        <v>6226</v>
      </c>
      <c r="E3561" t="s">
        <v>6078</v>
      </c>
      <c r="F3561" t="s">
        <v>6267</v>
      </c>
      <c r="G3561" s="92"/>
      <c r="H3561" s="92"/>
      <c r="I3561" s="92"/>
      <c r="J3561" s="92"/>
      <c r="K3561" s="92"/>
      <c r="L3561" s="9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6"/>
    </row>
    <row r="3562" spans="1:14" hidden="1" x14ac:dyDescent="0.15">
      <c r="A3562">
        <v>3562</v>
      </c>
      <c r="B3562" t="s">
        <v>5933</v>
      </c>
      <c r="C3562" t="s">
        <v>6859</v>
      </c>
      <c r="D3562" s="78" t="s">
        <v>6227</v>
      </c>
      <c r="E3562" t="s">
        <v>6055</v>
      </c>
      <c r="F3562" t="s">
        <v>6268</v>
      </c>
      <c r="G3562" s="92"/>
      <c r="H3562" s="92"/>
      <c r="I3562" s="92"/>
      <c r="J3562" s="92"/>
      <c r="K3562" s="92"/>
      <c r="L3562" s="9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6"/>
    </row>
    <row r="3563" spans="1:14" hidden="1" x14ac:dyDescent="0.15">
      <c r="A3563">
        <v>3563</v>
      </c>
      <c r="B3563" t="s">
        <v>5933</v>
      </c>
      <c r="C3563" t="s">
        <v>6859</v>
      </c>
      <c r="D3563" s="78" t="s">
        <v>6228</v>
      </c>
      <c r="E3563" t="s">
        <v>6029</v>
      </c>
      <c r="F3563" t="s">
        <v>6269</v>
      </c>
      <c r="G3563" s="92"/>
      <c r="H3563" s="92"/>
      <c r="I3563" s="92"/>
      <c r="J3563" s="92"/>
      <c r="K3563" s="92"/>
      <c r="L3563" s="9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6"/>
    </row>
    <row r="3564" spans="1:14" hidden="1" x14ac:dyDescent="0.15">
      <c r="A3564">
        <v>3564</v>
      </c>
      <c r="B3564" t="s">
        <v>5933</v>
      </c>
      <c r="C3564" t="s">
        <v>6859</v>
      </c>
      <c r="D3564" s="78" t="s">
        <v>6230</v>
      </c>
      <c r="E3564" t="s">
        <v>6178</v>
      </c>
      <c r="F3564" t="s">
        <v>6270</v>
      </c>
      <c r="G3564" s="92"/>
      <c r="H3564" s="92"/>
      <c r="I3564" s="92"/>
      <c r="J3564" s="92"/>
      <c r="K3564" s="92"/>
      <c r="L3564" s="9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6"/>
    </row>
    <row r="3565" spans="1:14" hidden="1" x14ac:dyDescent="0.15">
      <c r="A3565">
        <v>3565</v>
      </c>
      <c r="B3565" t="s">
        <v>5933</v>
      </c>
      <c r="C3565" t="s">
        <v>6859</v>
      </c>
      <c r="D3565" s="78" t="s">
        <v>6229</v>
      </c>
      <c r="E3565" t="s">
        <v>6029</v>
      </c>
      <c r="F3565" t="s">
        <v>6271</v>
      </c>
      <c r="G3565" s="92"/>
      <c r="H3565" s="92"/>
      <c r="I3565" s="92"/>
      <c r="J3565" s="92"/>
      <c r="K3565" s="92"/>
      <c r="L3565" s="9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6"/>
    </row>
    <row r="3566" spans="1:14" hidden="1" x14ac:dyDescent="0.15">
      <c r="A3566">
        <v>3566</v>
      </c>
      <c r="B3566" t="s">
        <v>5933</v>
      </c>
      <c r="C3566" t="s">
        <v>6859</v>
      </c>
      <c r="D3566" s="78" t="s">
        <v>6231</v>
      </c>
      <c r="E3566" t="s">
        <v>6178</v>
      </c>
      <c r="F3566" t="s">
        <v>6272</v>
      </c>
      <c r="G3566" s="92"/>
      <c r="H3566" s="92"/>
      <c r="I3566" s="92"/>
      <c r="J3566" s="92"/>
      <c r="K3566" s="92"/>
      <c r="L3566" s="9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6"/>
    </row>
    <row r="3567" spans="1:14" hidden="1" x14ac:dyDescent="0.15">
      <c r="A3567">
        <v>3567</v>
      </c>
      <c r="B3567" t="s">
        <v>5933</v>
      </c>
      <c r="C3567" t="s">
        <v>6859</v>
      </c>
      <c r="D3567" s="78" t="s">
        <v>6232</v>
      </c>
      <c r="E3567" t="s">
        <v>6008</v>
      </c>
      <c r="F3567" t="s">
        <v>6273</v>
      </c>
      <c r="G3567" s="92"/>
      <c r="H3567" s="92"/>
      <c r="I3567" s="92"/>
      <c r="J3567" s="92"/>
      <c r="K3567" s="92"/>
      <c r="L3567" s="9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6"/>
    </row>
    <row r="3568" spans="1:14" hidden="1" x14ac:dyDescent="0.15">
      <c r="A3568">
        <v>3568</v>
      </c>
      <c r="B3568" t="s">
        <v>5933</v>
      </c>
      <c r="C3568" t="s">
        <v>6859</v>
      </c>
      <c r="D3568" s="78" t="s">
        <v>6233</v>
      </c>
      <c r="E3568" t="s">
        <v>6013</v>
      </c>
      <c r="F3568" t="s">
        <v>6274</v>
      </c>
      <c r="G3568" s="92"/>
      <c r="H3568" s="92"/>
      <c r="I3568" s="92"/>
      <c r="J3568" s="92"/>
      <c r="K3568" s="92"/>
      <c r="L3568" s="9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6"/>
    </row>
    <row r="3569" spans="1:14" hidden="1" x14ac:dyDescent="0.15">
      <c r="A3569">
        <v>3569</v>
      </c>
      <c r="B3569" t="s">
        <v>5933</v>
      </c>
      <c r="C3569" t="s">
        <v>6859</v>
      </c>
      <c r="D3569" s="78" t="s">
        <v>6234</v>
      </c>
      <c r="E3569" t="s">
        <v>6008</v>
      </c>
      <c r="F3569" t="s">
        <v>6275</v>
      </c>
      <c r="G3569" s="92"/>
      <c r="H3569" s="92"/>
      <c r="I3569" s="92"/>
      <c r="J3569" s="92"/>
      <c r="K3569" s="92"/>
      <c r="L3569" s="9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6"/>
    </row>
    <row r="3570" spans="1:14" hidden="1" x14ac:dyDescent="0.15">
      <c r="A3570">
        <v>3570</v>
      </c>
      <c r="B3570" t="s">
        <v>5933</v>
      </c>
      <c r="C3570" t="s">
        <v>6859</v>
      </c>
      <c r="D3570" s="78" t="s">
        <v>6235</v>
      </c>
      <c r="E3570" t="s">
        <v>6008</v>
      </c>
      <c r="F3570" t="s">
        <v>6276</v>
      </c>
      <c r="G3570" s="92"/>
      <c r="H3570" s="92"/>
      <c r="I3570" s="92"/>
      <c r="J3570" s="92"/>
      <c r="K3570" s="92"/>
      <c r="L3570" s="9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6"/>
    </row>
    <row r="3571" spans="1:14" hidden="1" x14ac:dyDescent="0.15">
      <c r="A3571">
        <v>3571</v>
      </c>
      <c r="B3571" t="s">
        <v>5933</v>
      </c>
      <c r="C3571" t="s">
        <v>6859</v>
      </c>
      <c r="D3571" s="78" t="s">
        <v>6236</v>
      </c>
      <c r="E3571" t="s">
        <v>6008</v>
      </c>
      <c r="F3571" t="s">
        <v>6277</v>
      </c>
      <c r="G3571" s="92"/>
      <c r="H3571" s="92"/>
      <c r="I3571" s="92"/>
      <c r="J3571" s="92"/>
      <c r="K3571" s="92"/>
      <c r="L3571" s="9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6"/>
    </row>
    <row r="3572" spans="1:14" hidden="1" x14ac:dyDescent="0.15">
      <c r="A3572">
        <v>3572</v>
      </c>
      <c r="B3572" t="s">
        <v>5933</v>
      </c>
      <c r="C3572" t="s">
        <v>6859</v>
      </c>
      <c r="D3572" s="78" t="s">
        <v>6237</v>
      </c>
      <c r="E3572" t="s">
        <v>6013</v>
      </c>
      <c r="F3572" t="s">
        <v>6278</v>
      </c>
      <c r="G3572" s="92"/>
      <c r="H3572" s="92"/>
      <c r="I3572" s="92"/>
      <c r="J3572" s="92"/>
      <c r="K3572" s="92"/>
      <c r="L3572" s="9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6"/>
    </row>
    <row r="3573" spans="1:14" hidden="1" x14ac:dyDescent="0.15">
      <c r="A3573">
        <v>3573</v>
      </c>
      <c r="B3573" t="s">
        <v>5933</v>
      </c>
      <c r="C3573" t="s">
        <v>6859</v>
      </c>
      <c r="D3573" s="78" t="s">
        <v>6238</v>
      </c>
      <c r="E3573" t="s">
        <v>6029</v>
      </c>
      <c r="F3573" t="s">
        <v>6279</v>
      </c>
      <c r="G3573" s="92"/>
      <c r="H3573" s="92"/>
      <c r="I3573" s="92"/>
      <c r="J3573" s="92"/>
      <c r="K3573" s="92"/>
      <c r="L3573" s="9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6"/>
    </row>
    <row r="3574" spans="1:14" hidden="1" x14ac:dyDescent="0.15">
      <c r="A3574">
        <v>3574</v>
      </c>
      <c r="B3574" t="s">
        <v>5933</v>
      </c>
      <c r="C3574" t="s">
        <v>6859</v>
      </c>
      <c r="D3574" s="78" t="s">
        <v>6239</v>
      </c>
      <c r="E3574" t="s">
        <v>6029</v>
      </c>
      <c r="F3574" t="s">
        <v>6280</v>
      </c>
      <c r="G3574" s="92"/>
      <c r="H3574" s="92"/>
      <c r="I3574" s="92"/>
      <c r="J3574" s="92"/>
      <c r="K3574" s="92"/>
      <c r="L3574" s="9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6"/>
    </row>
    <row r="3575" spans="1:14" hidden="1" x14ac:dyDescent="0.15">
      <c r="A3575">
        <v>3575</v>
      </c>
      <c r="B3575" t="s">
        <v>5933</v>
      </c>
      <c r="C3575" t="s">
        <v>6859</v>
      </c>
      <c r="D3575" s="78" t="s">
        <v>6240</v>
      </c>
      <c r="E3575" t="s">
        <v>6008</v>
      </c>
      <c r="F3575" t="s">
        <v>6281</v>
      </c>
      <c r="G3575" s="92"/>
      <c r="H3575" s="92"/>
      <c r="I3575" s="92"/>
      <c r="J3575" s="92"/>
      <c r="K3575" s="92"/>
      <c r="L3575" s="9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6"/>
    </row>
    <row r="3576" spans="1:14" hidden="1" x14ac:dyDescent="0.15">
      <c r="A3576">
        <v>3576</v>
      </c>
      <c r="B3576" t="s">
        <v>5933</v>
      </c>
      <c r="C3576" t="s">
        <v>6859</v>
      </c>
      <c r="D3576" s="78" t="s">
        <v>6241</v>
      </c>
      <c r="E3576" t="s">
        <v>6055</v>
      </c>
      <c r="F3576" t="s">
        <v>6282</v>
      </c>
      <c r="G3576" s="92"/>
      <c r="H3576" s="92"/>
      <c r="I3576" s="92"/>
      <c r="J3576" s="92"/>
      <c r="K3576" s="92"/>
      <c r="L3576" s="9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6"/>
    </row>
    <row r="3577" spans="1:14" hidden="1" x14ac:dyDescent="0.15">
      <c r="A3577">
        <v>3577</v>
      </c>
      <c r="B3577" t="s">
        <v>5933</v>
      </c>
      <c r="C3577" t="s">
        <v>6859</v>
      </c>
      <c r="D3577" s="78" t="s">
        <v>6242</v>
      </c>
      <c r="E3577" t="s">
        <v>6013</v>
      </c>
      <c r="F3577" t="s">
        <v>6283</v>
      </c>
      <c r="G3577" s="92"/>
      <c r="H3577" s="92"/>
      <c r="I3577" s="92"/>
      <c r="J3577" s="92"/>
      <c r="K3577" s="92"/>
      <c r="L3577" s="9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6"/>
    </row>
    <row r="3578" spans="1:14" hidden="1" x14ac:dyDescent="0.15">
      <c r="A3578">
        <v>3578</v>
      </c>
      <c r="B3578" t="s">
        <v>5933</v>
      </c>
      <c r="C3578" t="s">
        <v>6859</v>
      </c>
      <c r="D3578" s="78" t="s">
        <v>6243</v>
      </c>
      <c r="E3578" t="s">
        <v>6078</v>
      </c>
      <c r="F3578" t="s">
        <v>6284</v>
      </c>
      <c r="G3578" s="92"/>
      <c r="H3578" s="92"/>
      <c r="I3578" s="92"/>
      <c r="J3578" s="92"/>
      <c r="K3578" s="92"/>
      <c r="L3578" s="9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6"/>
    </row>
    <row r="3579" spans="1:14" hidden="1" x14ac:dyDescent="0.15">
      <c r="A3579">
        <v>3579</v>
      </c>
      <c r="B3579" t="s">
        <v>5933</v>
      </c>
      <c r="C3579" t="s">
        <v>6859</v>
      </c>
      <c r="D3579" s="78" t="s">
        <v>6244</v>
      </c>
      <c r="E3579" t="s">
        <v>6029</v>
      </c>
      <c r="F3579" t="s">
        <v>6285</v>
      </c>
      <c r="G3579" s="92"/>
      <c r="H3579" s="92"/>
      <c r="I3579" s="92"/>
      <c r="J3579" s="92"/>
      <c r="K3579" s="92"/>
      <c r="L3579" s="9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6"/>
    </row>
    <row r="3580" spans="1:14" hidden="1" x14ac:dyDescent="0.15">
      <c r="A3580">
        <v>3580</v>
      </c>
      <c r="B3580" t="s">
        <v>5933</v>
      </c>
      <c r="C3580" t="s">
        <v>6859</v>
      </c>
      <c r="D3580" s="78" t="s">
        <v>6245</v>
      </c>
      <c r="E3580" t="s">
        <v>6008</v>
      </c>
      <c r="F3580" t="s">
        <v>6286</v>
      </c>
      <c r="G3580" s="92"/>
      <c r="H3580" s="92"/>
      <c r="I3580" s="92"/>
      <c r="J3580" s="92"/>
      <c r="K3580" s="92"/>
      <c r="L3580" s="9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6"/>
    </row>
    <row r="3581" spans="1:14" hidden="1" x14ac:dyDescent="0.15">
      <c r="A3581">
        <v>3581</v>
      </c>
      <c r="B3581" t="s">
        <v>5933</v>
      </c>
      <c r="C3581" t="s">
        <v>6859</v>
      </c>
      <c r="D3581" s="78" t="s">
        <v>6246</v>
      </c>
      <c r="E3581" t="s">
        <v>6008</v>
      </c>
      <c r="F3581" t="s">
        <v>6287</v>
      </c>
      <c r="G3581" s="92"/>
      <c r="H3581" s="92"/>
      <c r="I3581" s="92"/>
      <c r="J3581" s="92"/>
      <c r="K3581" s="92"/>
      <c r="L3581" s="9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6"/>
    </row>
    <row r="3582" spans="1:14" hidden="1" x14ac:dyDescent="0.15">
      <c r="A3582">
        <v>3582</v>
      </c>
      <c r="B3582" t="s">
        <v>5933</v>
      </c>
      <c r="C3582" t="s">
        <v>6859</v>
      </c>
      <c r="D3582" s="78" t="s">
        <v>6247</v>
      </c>
      <c r="E3582" t="s">
        <v>6078</v>
      </c>
      <c r="F3582" t="s">
        <v>6288</v>
      </c>
      <c r="G3582" s="92"/>
      <c r="H3582" s="92"/>
      <c r="I3582" s="92"/>
      <c r="J3582" s="92"/>
      <c r="K3582" s="92"/>
      <c r="L3582" s="9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6"/>
    </row>
    <row r="3583" spans="1:14" hidden="1" x14ac:dyDescent="0.15">
      <c r="A3583">
        <v>3583</v>
      </c>
      <c r="B3583" t="s">
        <v>5933</v>
      </c>
      <c r="C3583" t="s">
        <v>6859</v>
      </c>
      <c r="D3583" s="78" t="s">
        <v>6248</v>
      </c>
      <c r="E3583" t="s">
        <v>6008</v>
      </c>
      <c r="F3583" t="s">
        <v>6289</v>
      </c>
      <c r="G3583" s="92"/>
      <c r="H3583" s="92"/>
      <c r="I3583" s="92"/>
      <c r="J3583" s="92"/>
      <c r="K3583" s="92"/>
      <c r="L3583" s="9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6"/>
    </row>
    <row r="3584" spans="1:14" hidden="1" x14ac:dyDescent="0.15">
      <c r="A3584">
        <v>3584</v>
      </c>
      <c r="B3584" t="s">
        <v>5933</v>
      </c>
      <c r="C3584" t="s">
        <v>6859</v>
      </c>
      <c r="D3584" s="78" t="s">
        <v>6249</v>
      </c>
      <c r="E3584" t="s">
        <v>6078</v>
      </c>
      <c r="F3584" t="s">
        <v>6290</v>
      </c>
      <c r="G3584" s="92"/>
      <c r="H3584" s="92"/>
      <c r="I3584" s="92"/>
      <c r="J3584" s="92"/>
      <c r="K3584" s="92"/>
      <c r="L3584" s="9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6"/>
    </row>
    <row r="3585" spans="1:14" hidden="1" x14ac:dyDescent="0.15">
      <c r="A3585">
        <v>3585</v>
      </c>
      <c r="B3585" t="s">
        <v>5933</v>
      </c>
      <c r="C3585" t="s">
        <v>6859</v>
      </c>
      <c r="D3585" s="78" t="s">
        <v>6253</v>
      </c>
      <c r="E3585" t="s">
        <v>6008</v>
      </c>
      <c r="F3585" t="s">
        <v>6291</v>
      </c>
      <c r="G3585" s="92"/>
      <c r="H3585" s="92"/>
      <c r="I3585" s="92"/>
      <c r="J3585" s="92"/>
      <c r="K3585" s="92"/>
      <c r="L3585" s="9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6"/>
    </row>
    <row r="3586" spans="1:14" hidden="1" x14ac:dyDescent="0.15">
      <c r="A3586">
        <v>3586</v>
      </c>
      <c r="B3586" t="s">
        <v>5933</v>
      </c>
      <c r="C3586" t="s">
        <v>6859</v>
      </c>
      <c r="D3586" s="78" t="s">
        <v>6250</v>
      </c>
      <c r="E3586" t="s">
        <v>6008</v>
      </c>
      <c r="F3586" t="s">
        <v>6292</v>
      </c>
      <c r="G3586" s="92"/>
      <c r="H3586" s="92"/>
      <c r="I3586" s="92"/>
      <c r="J3586" s="92"/>
      <c r="K3586" s="92"/>
      <c r="L3586" s="9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6"/>
    </row>
    <row r="3587" spans="1:14" hidden="1" x14ac:dyDescent="0.15">
      <c r="A3587">
        <v>3587</v>
      </c>
      <c r="B3587" t="s">
        <v>5933</v>
      </c>
      <c r="C3587" t="s">
        <v>6859</v>
      </c>
      <c r="D3587" s="78" t="s">
        <v>6251</v>
      </c>
      <c r="E3587" t="s">
        <v>6178</v>
      </c>
      <c r="F3587" t="s">
        <v>6293</v>
      </c>
      <c r="G3587" s="92"/>
      <c r="H3587" s="92"/>
      <c r="I3587" s="92"/>
      <c r="J3587" s="92"/>
      <c r="K3587" s="92"/>
      <c r="L3587" s="9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6"/>
    </row>
    <row r="3588" spans="1:14" hidden="1" x14ac:dyDescent="0.15">
      <c r="A3588">
        <v>3588</v>
      </c>
      <c r="B3588" t="s">
        <v>5933</v>
      </c>
      <c r="C3588" t="s">
        <v>6859</v>
      </c>
      <c r="D3588" s="78" t="s">
        <v>6252</v>
      </c>
      <c r="E3588" t="s">
        <v>6013</v>
      </c>
      <c r="F3588" t="s">
        <v>6294</v>
      </c>
      <c r="G3588" s="92"/>
      <c r="H3588" s="92"/>
      <c r="I3588" s="92"/>
      <c r="J3588" s="92"/>
      <c r="K3588" s="92"/>
      <c r="L3588" s="9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6"/>
    </row>
    <row r="3589" spans="1:14" hidden="1" x14ac:dyDescent="0.15">
      <c r="A3589">
        <v>3589</v>
      </c>
      <c r="B3589" t="s">
        <v>5933</v>
      </c>
      <c r="C3589" t="s">
        <v>6851</v>
      </c>
      <c r="D3589" s="78" t="s">
        <v>6295</v>
      </c>
      <c r="E3589" t="s">
        <v>6330</v>
      </c>
      <c r="F3589" t="s">
        <v>6336</v>
      </c>
      <c r="G3589" s="92">
        <v>43275.7815162037</v>
      </c>
      <c r="H3589" s="92">
        <v>43275.7815162037</v>
      </c>
      <c r="I3589" s="92">
        <v>43275.7815162037</v>
      </c>
      <c r="J3589" s="92">
        <v>43275.804907407408</v>
      </c>
      <c r="K3589" s="92"/>
      <c r="L3589" s="92">
        <f>IF(AND(单词表[[#This Row],[学英]]&lt;&gt;"",单词表[[#This Row],[学中]]&lt;&gt;"",单词表[[#This Row],[学词]]&lt;&gt;""),MAX(单词表[[#This Row],[学英]:[学词]]),"")</f>
        <v>43275.7815162037</v>
      </c>
      <c r="M3589" s="2" t="str">
        <f>IF(AND(单词表[[#This Row],[考英]]&lt;&gt;"",单词表[[#This Row],[考中]]&lt;&gt;""),MAX(单词表[[#This Row],[考英]:[考中]]),"")</f>
        <v/>
      </c>
      <c r="N3589" s="86"/>
    </row>
    <row r="3590" spans="1:14" hidden="1" x14ac:dyDescent="0.15">
      <c r="A3590">
        <v>3590</v>
      </c>
      <c r="B3590" t="s">
        <v>5933</v>
      </c>
      <c r="C3590" t="s">
        <v>6851</v>
      </c>
      <c r="D3590" s="78" t="s">
        <v>6296</v>
      </c>
      <c r="E3590" t="s">
        <v>6331</v>
      </c>
      <c r="F3590" t="s">
        <v>6337</v>
      </c>
      <c r="G3590" s="92">
        <v>43275.791944444441</v>
      </c>
      <c r="H3590" s="92">
        <v>43275.791944444441</v>
      </c>
      <c r="I3590" s="92">
        <v>43275.791944444441</v>
      </c>
      <c r="J3590" s="92">
        <v>43275.805138888885</v>
      </c>
      <c r="K3590" s="92"/>
      <c r="L3590" s="92">
        <f>IF(AND(单词表[[#This Row],[学英]]&lt;&gt;"",单词表[[#This Row],[学中]]&lt;&gt;"",单词表[[#This Row],[学词]]&lt;&gt;""),MAX(单词表[[#This Row],[学英]:[学词]]),"")</f>
        <v>43275.791944444441</v>
      </c>
      <c r="M3590" s="2" t="str">
        <f>IF(AND(单词表[[#This Row],[考英]]&lt;&gt;"",单词表[[#This Row],[考中]]&lt;&gt;""),MAX(单词表[[#This Row],[考英]:[考中]]),"")</f>
        <v/>
      </c>
      <c r="N3590" s="86"/>
    </row>
    <row r="3591" spans="1:14" hidden="1" x14ac:dyDescent="0.15">
      <c r="A3591">
        <v>3591</v>
      </c>
      <c r="B3591" t="s">
        <v>5933</v>
      </c>
      <c r="C3591" t="s">
        <v>6851</v>
      </c>
      <c r="D3591" s="78" t="s">
        <v>6297</v>
      </c>
      <c r="E3591" t="s">
        <v>6331</v>
      </c>
      <c r="F3591" t="s">
        <v>6338</v>
      </c>
      <c r="G3591" s="92">
        <v>43275.7815625</v>
      </c>
      <c r="H3591" s="92">
        <v>43275.7815625</v>
      </c>
      <c r="I3591" s="92">
        <v>43275.7815625</v>
      </c>
      <c r="J3591" s="92">
        <v>43275.805208333331</v>
      </c>
      <c r="K3591" s="92"/>
      <c r="L3591" s="92">
        <f>IF(AND(单词表[[#This Row],[学英]]&lt;&gt;"",单词表[[#This Row],[学中]]&lt;&gt;"",单词表[[#This Row],[学词]]&lt;&gt;""),MAX(单词表[[#This Row],[学英]:[学词]]),"")</f>
        <v>43275.7815625</v>
      </c>
      <c r="M3591" s="2" t="str">
        <f>IF(AND(单词表[[#This Row],[考英]]&lt;&gt;"",单词表[[#This Row],[考中]]&lt;&gt;""),MAX(单词表[[#This Row],[考英]:[考中]]),"")</f>
        <v/>
      </c>
      <c r="N3591" s="86"/>
    </row>
    <row r="3592" spans="1:14" hidden="1" x14ac:dyDescent="0.15">
      <c r="A3592">
        <v>3592</v>
      </c>
      <c r="B3592" t="s">
        <v>5933</v>
      </c>
      <c r="C3592" t="s">
        <v>6851</v>
      </c>
      <c r="D3592" s="78" t="s">
        <v>6298</v>
      </c>
      <c r="E3592" t="s">
        <v>6330</v>
      </c>
      <c r="F3592" t="s">
        <v>6339</v>
      </c>
      <c r="G3592" s="92">
        <v>43275.791805555556</v>
      </c>
      <c r="H3592" s="92">
        <v>43275.791805555556</v>
      </c>
      <c r="I3592" s="92">
        <v>43275.791805555556</v>
      </c>
      <c r="J3592" s="92">
        <v>43275.805266203701</v>
      </c>
      <c r="K3592" s="92"/>
      <c r="L3592" s="92">
        <f>IF(AND(单词表[[#This Row],[学英]]&lt;&gt;"",单词表[[#This Row],[学中]]&lt;&gt;"",单词表[[#This Row],[学词]]&lt;&gt;""),MAX(单词表[[#This Row],[学英]:[学词]]),"")</f>
        <v>43275.791805555556</v>
      </c>
      <c r="M3592" s="2" t="str">
        <f>IF(AND(单词表[[#This Row],[考英]]&lt;&gt;"",单词表[[#This Row],[考中]]&lt;&gt;""),MAX(单词表[[#This Row],[考英]:[考中]]),"")</f>
        <v/>
      </c>
      <c r="N3592" s="86"/>
    </row>
    <row r="3593" spans="1:14" hidden="1" x14ac:dyDescent="0.15">
      <c r="A3593">
        <v>3593</v>
      </c>
      <c r="B3593" t="s">
        <v>5933</v>
      </c>
      <c r="C3593" t="s">
        <v>6851</v>
      </c>
      <c r="D3593" s="78" t="s">
        <v>6299</v>
      </c>
      <c r="E3593" t="s">
        <v>6331</v>
      </c>
      <c r="F3593" t="s">
        <v>6340</v>
      </c>
      <c r="G3593" s="92">
        <v>43275.820694444446</v>
      </c>
      <c r="H3593" s="92">
        <v>43275.782557870371</v>
      </c>
      <c r="I3593" s="92">
        <v>43275.782557870371</v>
      </c>
      <c r="J3593" s="92">
        <v>43275.821238425924</v>
      </c>
      <c r="K3593" s="92"/>
      <c r="L3593" s="92">
        <f>IF(AND(单词表[[#This Row],[学英]]&lt;&gt;"",单词表[[#This Row],[学中]]&lt;&gt;"",单词表[[#This Row],[学词]]&lt;&gt;""),MAX(单词表[[#This Row],[学英]:[学词]]),"")</f>
        <v>43275.820694444446</v>
      </c>
      <c r="M3593" s="2" t="str">
        <f>IF(AND(单词表[[#This Row],[考英]]&lt;&gt;"",单词表[[#This Row],[考中]]&lt;&gt;""),MAX(单词表[[#This Row],[考英]:[考中]]),"")</f>
        <v/>
      </c>
      <c r="N3593" s="86"/>
    </row>
    <row r="3594" spans="1:14" hidden="1" x14ac:dyDescent="0.15">
      <c r="A3594">
        <v>3594</v>
      </c>
      <c r="B3594" t="s">
        <v>5933</v>
      </c>
      <c r="C3594" t="s">
        <v>6851</v>
      </c>
      <c r="D3594" s="78" t="s">
        <v>6300</v>
      </c>
      <c r="E3594" t="s">
        <v>6331</v>
      </c>
      <c r="F3594" t="s">
        <v>6341</v>
      </c>
      <c r="G3594" s="92">
        <v>43275.820717592593</v>
      </c>
      <c r="H3594" s="92">
        <v>43275.792858796296</v>
      </c>
      <c r="I3594" s="92">
        <v>43275.792858796296</v>
      </c>
      <c r="J3594" s="92">
        <v>43275.821284722224</v>
      </c>
      <c r="K3594" s="92"/>
      <c r="L3594" s="92">
        <f>IF(AND(单词表[[#This Row],[学英]]&lt;&gt;"",单词表[[#This Row],[学中]]&lt;&gt;"",单词表[[#This Row],[学词]]&lt;&gt;""),MAX(单词表[[#This Row],[学英]:[学词]]),"")</f>
        <v>43275.820717592593</v>
      </c>
      <c r="M3594" s="2" t="str">
        <f>IF(AND(单词表[[#This Row],[考英]]&lt;&gt;"",单词表[[#This Row],[考中]]&lt;&gt;""),MAX(单词表[[#This Row],[考英]:[考中]]),"")</f>
        <v/>
      </c>
      <c r="N3594" s="86"/>
    </row>
    <row r="3595" spans="1:14" hidden="1" x14ac:dyDescent="0.15">
      <c r="A3595">
        <v>3595</v>
      </c>
      <c r="B3595" t="s">
        <v>5933</v>
      </c>
      <c r="C3595" t="s">
        <v>6851</v>
      </c>
      <c r="D3595" s="78" t="s">
        <v>6301</v>
      </c>
      <c r="E3595" t="s">
        <v>6332</v>
      </c>
      <c r="F3595" t="s">
        <v>6342</v>
      </c>
      <c r="G3595" s="92">
        <v>43275.820925925924</v>
      </c>
      <c r="H3595" s="92">
        <v>43275.782488425924</v>
      </c>
      <c r="I3595" s="92">
        <v>43275.782488425924</v>
      </c>
      <c r="J3595" s="92">
        <v>43275.82135416667</v>
      </c>
      <c r="K3595" s="92"/>
      <c r="L3595" s="92">
        <f>IF(AND(单词表[[#This Row],[学英]]&lt;&gt;"",单词表[[#This Row],[学中]]&lt;&gt;"",单词表[[#This Row],[学词]]&lt;&gt;""),MAX(单词表[[#This Row],[学英]:[学词]]),"")</f>
        <v>43275.820925925924</v>
      </c>
      <c r="M3595" s="2" t="str">
        <f>IF(AND(单词表[[#This Row],[考英]]&lt;&gt;"",单词表[[#This Row],[考中]]&lt;&gt;""),MAX(单词表[[#This Row],[考英]:[考中]]),"")</f>
        <v/>
      </c>
      <c r="N3595" s="86"/>
    </row>
    <row r="3596" spans="1:14" hidden="1" x14ac:dyDescent="0.15">
      <c r="A3596">
        <v>3596</v>
      </c>
      <c r="B3596" t="s">
        <v>5933</v>
      </c>
      <c r="C3596" t="s">
        <v>6851</v>
      </c>
      <c r="D3596" s="78" t="s">
        <v>6302</v>
      </c>
      <c r="E3596" t="s">
        <v>6331</v>
      </c>
      <c r="F3596" t="s">
        <v>6343</v>
      </c>
      <c r="G3596" s="92">
        <v>43275.820902777778</v>
      </c>
      <c r="H3596" s="92">
        <v>43275.791574074072</v>
      </c>
      <c r="I3596" s="92">
        <v>43275.791574074072</v>
      </c>
      <c r="J3596" s="92">
        <v>43275.821400462963</v>
      </c>
      <c r="K3596" s="92"/>
      <c r="L3596" s="92">
        <f>IF(AND(单词表[[#This Row],[学英]]&lt;&gt;"",单词表[[#This Row],[学中]]&lt;&gt;"",单词表[[#This Row],[学词]]&lt;&gt;""),MAX(单词表[[#This Row],[学英]:[学词]]),"")</f>
        <v>43275.820902777778</v>
      </c>
      <c r="M3596" s="2" t="str">
        <f>IF(AND(单词表[[#This Row],[考英]]&lt;&gt;"",单词表[[#This Row],[考中]]&lt;&gt;""),MAX(单词表[[#This Row],[考英]:[考中]]),"")</f>
        <v/>
      </c>
      <c r="N3596" s="86"/>
    </row>
    <row r="3597" spans="1:14" hidden="1" x14ac:dyDescent="0.15">
      <c r="A3597">
        <v>3597</v>
      </c>
      <c r="B3597" t="s">
        <v>5933</v>
      </c>
      <c r="C3597" t="s">
        <v>6851</v>
      </c>
      <c r="D3597" s="78" t="s">
        <v>6303</v>
      </c>
      <c r="E3597" t="s">
        <v>6331</v>
      </c>
      <c r="F3597" t="s">
        <v>6344</v>
      </c>
      <c r="G3597" s="92">
        <v>43275.796817129631</v>
      </c>
      <c r="H3597" s="92">
        <v>43275.796817129631</v>
      </c>
      <c r="I3597" s="92">
        <v>43275.796817129631</v>
      </c>
      <c r="J3597" s="92">
        <v>43275.805914351855</v>
      </c>
      <c r="K3597" s="92"/>
      <c r="L3597" s="92">
        <f>IF(AND(单词表[[#This Row],[学英]]&lt;&gt;"",单词表[[#This Row],[学中]]&lt;&gt;"",单词表[[#This Row],[学词]]&lt;&gt;""),MAX(单词表[[#This Row],[学英]:[学词]]),"")</f>
        <v>43275.796817129631</v>
      </c>
      <c r="M3597" s="2" t="str">
        <f>IF(AND(单词表[[#This Row],[考英]]&lt;&gt;"",单词表[[#This Row],[考中]]&lt;&gt;""),MAX(单词表[[#This Row],[考英]:[考中]]),"")</f>
        <v/>
      </c>
      <c r="N3597" s="86"/>
    </row>
    <row r="3598" spans="1:14" hidden="1" x14ac:dyDescent="0.15">
      <c r="A3598">
        <v>3598</v>
      </c>
      <c r="B3598" t="s">
        <v>5933</v>
      </c>
      <c r="C3598" t="s">
        <v>6851</v>
      </c>
      <c r="D3598" s="78" t="s">
        <v>6333</v>
      </c>
      <c r="E3598" t="s">
        <v>6331</v>
      </c>
      <c r="F3598" t="s">
        <v>6345</v>
      </c>
      <c r="G3598" s="92">
        <v>43275.782418981478</v>
      </c>
      <c r="H3598" s="92">
        <v>43275.782418981478</v>
      </c>
      <c r="I3598" s="92">
        <v>43275.782418981478</v>
      </c>
      <c r="J3598" s="92">
        <v>43275.805960648147</v>
      </c>
      <c r="K3598" s="92"/>
      <c r="L3598" s="92">
        <f>IF(AND(单词表[[#This Row],[学英]]&lt;&gt;"",单词表[[#This Row],[学中]]&lt;&gt;"",单词表[[#This Row],[学词]]&lt;&gt;""),MAX(单词表[[#This Row],[学英]:[学词]]),"")</f>
        <v>43275.782418981478</v>
      </c>
      <c r="M3598" s="2" t="str">
        <f>IF(AND(单词表[[#This Row],[考英]]&lt;&gt;"",单词表[[#This Row],[考中]]&lt;&gt;""),MAX(单词表[[#This Row],[考英]:[考中]]),"")</f>
        <v/>
      </c>
      <c r="N3598" s="86"/>
    </row>
    <row r="3599" spans="1:14" hidden="1" x14ac:dyDescent="0.15">
      <c r="A3599">
        <v>3599</v>
      </c>
      <c r="B3599" t="s">
        <v>5933</v>
      </c>
      <c r="C3599" t="s">
        <v>6851</v>
      </c>
      <c r="D3599" s="78" t="s">
        <v>6334</v>
      </c>
      <c r="E3599" t="s">
        <v>6331</v>
      </c>
      <c r="F3599" t="s">
        <v>6346</v>
      </c>
      <c r="G3599" s="92">
        <v>43275.793217592596</v>
      </c>
      <c r="H3599" s="92">
        <v>43275.793217592596</v>
      </c>
      <c r="I3599" s="92">
        <v>43275.793217592596</v>
      </c>
      <c r="J3599" s="92">
        <v>43275.806041666663</v>
      </c>
      <c r="K3599" s="92"/>
      <c r="L3599" s="92">
        <f>IF(AND(单词表[[#This Row],[学英]]&lt;&gt;"",单词表[[#This Row],[学中]]&lt;&gt;"",单词表[[#This Row],[学词]]&lt;&gt;""),MAX(单词表[[#This Row],[学英]:[学词]]),"")</f>
        <v>43275.793217592596</v>
      </c>
      <c r="M3599" s="2" t="str">
        <f>IF(AND(单词表[[#This Row],[考英]]&lt;&gt;"",单词表[[#This Row],[考中]]&lt;&gt;""),MAX(单词表[[#This Row],[考英]:[考中]]),"")</f>
        <v/>
      </c>
      <c r="N3599" s="86"/>
    </row>
    <row r="3600" spans="1:14" hidden="1" x14ac:dyDescent="0.15">
      <c r="A3600">
        <v>3600</v>
      </c>
      <c r="B3600" t="s">
        <v>5933</v>
      </c>
      <c r="C3600" t="s">
        <v>6851</v>
      </c>
      <c r="D3600" s="78" t="s">
        <v>6304</v>
      </c>
      <c r="E3600" t="s">
        <v>6331</v>
      </c>
      <c r="F3600" t="s">
        <v>6347</v>
      </c>
      <c r="G3600" s="92">
        <v>43275.820879629631</v>
      </c>
      <c r="H3600" s="92">
        <v>43275.796782407408</v>
      </c>
      <c r="I3600" s="92">
        <v>43275.796782407408</v>
      </c>
      <c r="J3600" s="92">
        <v>43275.821469907409</v>
      </c>
      <c r="K3600" s="92"/>
      <c r="L3600" s="92">
        <f>IF(AND(单词表[[#This Row],[学英]]&lt;&gt;"",单词表[[#This Row],[学中]]&lt;&gt;"",单词表[[#This Row],[学词]]&lt;&gt;""),MAX(单词表[[#This Row],[学英]:[学词]]),"")</f>
        <v>43275.820879629631</v>
      </c>
      <c r="M3600" s="2" t="str">
        <f>IF(AND(单词表[[#This Row],[考英]]&lt;&gt;"",单词表[[#This Row],[考中]]&lt;&gt;""),MAX(单词表[[#This Row],[考英]:[考中]]),"")</f>
        <v/>
      </c>
      <c r="N3600" s="86"/>
    </row>
    <row r="3601" spans="1:14" hidden="1" x14ac:dyDescent="0.15">
      <c r="A3601">
        <v>3601</v>
      </c>
      <c r="B3601" t="s">
        <v>5933</v>
      </c>
      <c r="C3601" t="s">
        <v>6851</v>
      </c>
      <c r="D3601" s="78" t="s">
        <v>6305</v>
      </c>
      <c r="E3601" t="s">
        <v>6331</v>
      </c>
      <c r="F3601" t="s">
        <v>6348</v>
      </c>
      <c r="G3601" s="92">
        <v>43275.794085648151</v>
      </c>
      <c r="H3601" s="92">
        <v>43275.794085648151</v>
      </c>
      <c r="I3601" s="92">
        <v>43275.794085648151</v>
      </c>
      <c r="J3601" s="92">
        <v>43275.806435185186</v>
      </c>
      <c r="K3601" s="92"/>
      <c r="L3601" s="92">
        <f>IF(AND(单词表[[#This Row],[学英]]&lt;&gt;"",单词表[[#This Row],[学中]]&lt;&gt;"",单词表[[#This Row],[学词]]&lt;&gt;""),MAX(单词表[[#This Row],[学英]:[学词]]),"")</f>
        <v>43275.794085648151</v>
      </c>
      <c r="M3601" s="2" t="str">
        <f>IF(AND(单词表[[#This Row],[考英]]&lt;&gt;"",单词表[[#This Row],[考中]]&lt;&gt;""),MAX(单词表[[#This Row],[考英]:[考中]]),"")</f>
        <v/>
      </c>
      <c r="N3601" s="86"/>
    </row>
    <row r="3602" spans="1:14" hidden="1" x14ac:dyDescent="0.15">
      <c r="A3602">
        <v>3602</v>
      </c>
      <c r="B3602" t="s">
        <v>5933</v>
      </c>
      <c r="C3602" t="s">
        <v>6851</v>
      </c>
      <c r="D3602" s="78" t="s">
        <v>6306</v>
      </c>
      <c r="E3602" t="s">
        <v>6331</v>
      </c>
      <c r="F3602" t="s">
        <v>6349</v>
      </c>
      <c r="G3602" s="92">
        <v>43275.794224537036</v>
      </c>
      <c r="H3602" s="92">
        <v>43275.794224537036</v>
      </c>
      <c r="I3602" s="92">
        <v>43275.794224537036</v>
      </c>
      <c r="J3602" s="92">
        <v>43275.806493055556</v>
      </c>
      <c r="K3602" s="92"/>
      <c r="L3602" s="92">
        <f>IF(AND(单词表[[#This Row],[学英]]&lt;&gt;"",单词表[[#This Row],[学中]]&lt;&gt;"",单词表[[#This Row],[学词]]&lt;&gt;""),MAX(单词表[[#This Row],[学英]:[学词]]),"")</f>
        <v>43275.794224537036</v>
      </c>
      <c r="M3602" s="2" t="str">
        <f>IF(AND(单词表[[#This Row],[考英]]&lt;&gt;"",单词表[[#This Row],[考中]]&lt;&gt;""),MAX(单词表[[#This Row],[考英]:[考中]]),"")</f>
        <v/>
      </c>
      <c r="N3602" s="86"/>
    </row>
    <row r="3603" spans="1:14" hidden="1" x14ac:dyDescent="0.15">
      <c r="A3603">
        <v>3603</v>
      </c>
      <c r="B3603" t="s">
        <v>5933</v>
      </c>
      <c r="C3603" t="s">
        <v>6851</v>
      </c>
      <c r="D3603" s="78" t="s">
        <v>6307</v>
      </c>
      <c r="E3603" t="s">
        <v>6335</v>
      </c>
      <c r="F3603" t="s">
        <v>6350</v>
      </c>
      <c r="G3603" s="92">
        <v>43275.796446759261</v>
      </c>
      <c r="H3603" s="92">
        <v>43275.796446759261</v>
      </c>
      <c r="I3603" s="92">
        <v>43275.796446759261</v>
      </c>
      <c r="J3603" s="92">
        <v>43275.806631944448</v>
      </c>
      <c r="K3603" s="92"/>
      <c r="L3603" s="92">
        <f>IF(AND(单词表[[#This Row],[学英]]&lt;&gt;"",单词表[[#This Row],[学中]]&lt;&gt;"",单词表[[#This Row],[学词]]&lt;&gt;""),MAX(单词表[[#This Row],[学英]:[学词]]),"")</f>
        <v>43275.796446759261</v>
      </c>
      <c r="M3603" s="2" t="str">
        <f>IF(AND(单词表[[#This Row],[考英]]&lt;&gt;"",单词表[[#This Row],[考中]]&lt;&gt;""),MAX(单词表[[#This Row],[考英]:[考中]]),"")</f>
        <v/>
      </c>
      <c r="N3603" s="86"/>
    </row>
    <row r="3604" spans="1:14" hidden="1" x14ac:dyDescent="0.15">
      <c r="A3604">
        <v>3604</v>
      </c>
      <c r="B3604" t="s">
        <v>5933</v>
      </c>
      <c r="C3604" t="s">
        <v>6851</v>
      </c>
      <c r="D3604" s="78" t="s">
        <v>6308</v>
      </c>
      <c r="E3604" t="s">
        <v>6335</v>
      </c>
      <c r="F3604" t="s">
        <v>6351</v>
      </c>
      <c r="G3604" s="92">
        <v>43275.794444444444</v>
      </c>
      <c r="H3604" s="92">
        <v>43275.794444444444</v>
      </c>
      <c r="I3604" s="92">
        <v>43275.794444444444</v>
      </c>
      <c r="J3604" s="92">
        <v>43275.80678240741</v>
      </c>
      <c r="K3604" s="92"/>
      <c r="L3604" s="92">
        <f>IF(AND(单词表[[#This Row],[学英]]&lt;&gt;"",单词表[[#This Row],[学中]]&lt;&gt;"",单词表[[#This Row],[学词]]&lt;&gt;""),MAX(单词表[[#This Row],[学英]:[学词]]),"")</f>
        <v>43275.794444444444</v>
      </c>
      <c r="M3604" s="2" t="str">
        <f>IF(AND(单词表[[#This Row],[考英]]&lt;&gt;"",单词表[[#This Row],[考中]]&lt;&gt;""),MAX(单词表[[#This Row],[考英]:[考中]]),"")</f>
        <v/>
      </c>
      <c r="N3604" s="86"/>
    </row>
    <row r="3605" spans="1:14" hidden="1" x14ac:dyDescent="0.15">
      <c r="A3605">
        <v>3605</v>
      </c>
      <c r="B3605" t="s">
        <v>5933</v>
      </c>
      <c r="C3605" t="s">
        <v>6851</v>
      </c>
      <c r="D3605" s="78" t="s">
        <v>6309</v>
      </c>
      <c r="E3605" t="s">
        <v>6335</v>
      </c>
      <c r="F3605" t="s">
        <v>6352</v>
      </c>
      <c r="G3605" s="92">
        <v>43275.782280092593</v>
      </c>
      <c r="H3605" s="92">
        <v>43275.782280092593</v>
      </c>
      <c r="I3605" s="92">
        <v>43275.782280092593</v>
      </c>
      <c r="J3605" s="92">
        <v>43275.806990740741</v>
      </c>
      <c r="K3605" s="92"/>
      <c r="L3605" s="92">
        <f>IF(AND(单词表[[#This Row],[学英]]&lt;&gt;"",单词表[[#This Row],[学中]]&lt;&gt;"",单词表[[#This Row],[学词]]&lt;&gt;""),MAX(单词表[[#This Row],[学英]:[学词]]),"")</f>
        <v>43275.782280092593</v>
      </c>
      <c r="M3605" s="2" t="str">
        <f>IF(AND(单词表[[#This Row],[考英]]&lt;&gt;"",单词表[[#This Row],[考中]]&lt;&gt;""),MAX(单词表[[#This Row],[考英]:[考中]]),"")</f>
        <v/>
      </c>
      <c r="N3605" s="86"/>
    </row>
    <row r="3606" spans="1:14" hidden="1" x14ac:dyDescent="0.15">
      <c r="A3606">
        <v>3606</v>
      </c>
      <c r="B3606" t="s">
        <v>5933</v>
      </c>
      <c r="C3606" t="s">
        <v>6851</v>
      </c>
      <c r="D3606" s="78" t="s">
        <v>6310</v>
      </c>
      <c r="E3606" t="s">
        <v>6335</v>
      </c>
      <c r="F3606" t="s">
        <v>6353</v>
      </c>
      <c r="G3606" s="92">
        <v>43275.782256944447</v>
      </c>
      <c r="H3606" s="92">
        <v>43275.782256944447</v>
      </c>
      <c r="I3606" s="92">
        <v>43275.782256944447</v>
      </c>
      <c r="J3606" s="92">
        <v>43275.807164351849</v>
      </c>
      <c r="K3606" s="92"/>
      <c r="L3606" s="92">
        <f>IF(AND(单词表[[#This Row],[学英]]&lt;&gt;"",单词表[[#This Row],[学中]]&lt;&gt;"",单词表[[#This Row],[学词]]&lt;&gt;""),MAX(单词表[[#This Row],[学英]:[学词]]),"")</f>
        <v>43275.782256944447</v>
      </c>
      <c r="M3606" s="2" t="str">
        <f>IF(AND(单词表[[#This Row],[考英]]&lt;&gt;"",单词表[[#This Row],[考中]]&lt;&gt;""),MAX(单词表[[#This Row],[考英]:[考中]]),"")</f>
        <v/>
      </c>
      <c r="N3606" s="86"/>
    </row>
    <row r="3607" spans="1:14" hidden="1" x14ac:dyDescent="0.15">
      <c r="A3607">
        <v>3607</v>
      </c>
      <c r="B3607" t="s">
        <v>5933</v>
      </c>
      <c r="C3607" t="s">
        <v>6851</v>
      </c>
      <c r="D3607" s="78" t="s">
        <v>6311</v>
      </c>
      <c r="E3607" t="s">
        <v>6335</v>
      </c>
      <c r="F3607" t="s">
        <v>6354</v>
      </c>
      <c r="G3607" s="92">
        <v>43275.79047453704</v>
      </c>
      <c r="H3607" s="92">
        <v>43275.79047453704</v>
      </c>
      <c r="I3607" s="92">
        <v>43275.79047453704</v>
      </c>
      <c r="J3607" s="92">
        <v>43275.807291666664</v>
      </c>
      <c r="K3607" s="92"/>
      <c r="L3607" s="92">
        <f>IF(AND(单词表[[#This Row],[学英]]&lt;&gt;"",单词表[[#This Row],[学中]]&lt;&gt;"",单词表[[#This Row],[学词]]&lt;&gt;""),MAX(单词表[[#This Row],[学英]:[学词]]),"")</f>
        <v>43275.79047453704</v>
      </c>
      <c r="M3607" s="2" t="str">
        <f>IF(AND(单词表[[#This Row],[考英]]&lt;&gt;"",单词表[[#This Row],[考中]]&lt;&gt;""),MAX(单词表[[#This Row],[考英]:[考中]]),"")</f>
        <v/>
      </c>
      <c r="N3607" s="86"/>
    </row>
    <row r="3608" spans="1:14" hidden="1" x14ac:dyDescent="0.15">
      <c r="A3608">
        <v>3608</v>
      </c>
      <c r="B3608" t="s">
        <v>5933</v>
      </c>
      <c r="C3608" t="s">
        <v>6851</v>
      </c>
      <c r="D3608" s="78" t="s">
        <v>6312</v>
      </c>
      <c r="E3608" t="s">
        <v>6335</v>
      </c>
      <c r="F3608" t="s">
        <v>6355</v>
      </c>
      <c r="G3608" s="92">
        <v>43275.794548611113</v>
      </c>
      <c r="H3608" s="92">
        <v>43275.794548611113</v>
      </c>
      <c r="I3608" s="92">
        <v>43275.794548611113</v>
      </c>
      <c r="J3608" s="92">
        <v>43275.80740740741</v>
      </c>
      <c r="K3608" s="92"/>
      <c r="L3608" s="92">
        <f>IF(AND(单词表[[#This Row],[学英]]&lt;&gt;"",单词表[[#This Row],[学中]]&lt;&gt;"",单词表[[#This Row],[学词]]&lt;&gt;""),MAX(单词表[[#This Row],[学英]:[学词]]),"")</f>
        <v>43275.794548611113</v>
      </c>
      <c r="M3608" s="2" t="str">
        <f>IF(AND(单词表[[#This Row],[考英]]&lt;&gt;"",单词表[[#This Row],[考中]]&lt;&gt;""),MAX(单词表[[#This Row],[考英]:[考中]]),"")</f>
        <v/>
      </c>
      <c r="N3608" s="86"/>
    </row>
    <row r="3609" spans="1:14" hidden="1" x14ac:dyDescent="0.15">
      <c r="A3609">
        <v>3609</v>
      </c>
      <c r="B3609" t="s">
        <v>5933</v>
      </c>
      <c r="C3609" t="s">
        <v>6851</v>
      </c>
      <c r="D3609" s="78" t="s">
        <v>6313</v>
      </c>
      <c r="E3609" t="s">
        <v>6335</v>
      </c>
      <c r="F3609" t="s">
        <v>6356</v>
      </c>
      <c r="G3609" s="92">
        <v>43275.790324074071</v>
      </c>
      <c r="H3609" s="92">
        <v>43275.790324074071</v>
      </c>
      <c r="I3609" s="92">
        <v>43275.790324074071</v>
      </c>
      <c r="J3609" s="92">
        <v>43275.807488425926</v>
      </c>
      <c r="K3609" s="92"/>
      <c r="L3609" s="92">
        <f>IF(AND(单词表[[#This Row],[学英]]&lt;&gt;"",单词表[[#This Row],[学中]]&lt;&gt;"",单词表[[#This Row],[学词]]&lt;&gt;""),MAX(单词表[[#This Row],[学英]:[学词]]),"")</f>
        <v>43275.790324074071</v>
      </c>
      <c r="M3609" s="2" t="str">
        <f>IF(AND(单词表[[#This Row],[考英]]&lt;&gt;"",单词表[[#This Row],[考中]]&lt;&gt;""),MAX(单词表[[#This Row],[考英]:[考中]]),"")</f>
        <v/>
      </c>
      <c r="N3609" s="86"/>
    </row>
    <row r="3610" spans="1:14" hidden="1" x14ac:dyDescent="0.15">
      <c r="A3610">
        <v>3610</v>
      </c>
      <c r="B3610" t="s">
        <v>5933</v>
      </c>
      <c r="C3610" t="s">
        <v>6851</v>
      </c>
      <c r="D3610" s="78" t="s">
        <v>6314</v>
      </c>
      <c r="E3610" t="s">
        <v>6335</v>
      </c>
      <c r="F3610" t="s">
        <v>6357</v>
      </c>
      <c r="G3610" s="92">
        <v>43275.794664351852</v>
      </c>
      <c r="H3610" s="92">
        <v>43275.794664351852</v>
      </c>
      <c r="I3610" s="92">
        <v>43275.794664351852</v>
      </c>
      <c r="J3610" s="92">
        <v>43275.807754629626</v>
      </c>
      <c r="K3610" s="92"/>
      <c r="L3610" s="92">
        <f>IF(AND(单词表[[#This Row],[学英]]&lt;&gt;"",单词表[[#This Row],[学中]]&lt;&gt;"",单词表[[#This Row],[学词]]&lt;&gt;""),MAX(单词表[[#This Row],[学英]:[学词]]),"")</f>
        <v>43275.794664351852</v>
      </c>
      <c r="M3610" s="2" t="str">
        <f>IF(AND(单词表[[#This Row],[考英]]&lt;&gt;"",单词表[[#This Row],[考中]]&lt;&gt;""),MAX(单词表[[#This Row],[考英]:[考中]]),"")</f>
        <v/>
      </c>
      <c r="N3610" s="86"/>
    </row>
    <row r="3611" spans="1:14" hidden="1" x14ac:dyDescent="0.15">
      <c r="A3611">
        <v>3611</v>
      </c>
      <c r="B3611" t="s">
        <v>5933</v>
      </c>
      <c r="C3611" t="s">
        <v>6851</v>
      </c>
      <c r="D3611" s="78" t="s">
        <v>6315</v>
      </c>
      <c r="E3611" t="s">
        <v>6335</v>
      </c>
      <c r="F3611" t="s">
        <v>6358</v>
      </c>
      <c r="G3611" s="92">
        <v>43275.782152777778</v>
      </c>
      <c r="H3611" s="92">
        <v>43275.782152777778</v>
      </c>
      <c r="I3611" s="92">
        <v>43275.782152777778</v>
      </c>
      <c r="J3611" s="92">
        <v>43275.807858796295</v>
      </c>
      <c r="K3611" s="92"/>
      <c r="L3611" s="92">
        <f>IF(AND(单词表[[#This Row],[学英]]&lt;&gt;"",单词表[[#This Row],[学中]]&lt;&gt;"",单词表[[#This Row],[学词]]&lt;&gt;""),MAX(单词表[[#This Row],[学英]:[学词]]),"")</f>
        <v>43275.782152777778</v>
      </c>
      <c r="M3611" s="2" t="str">
        <f>IF(AND(单词表[[#This Row],[考英]]&lt;&gt;"",单词表[[#This Row],[考中]]&lt;&gt;""),MAX(单词表[[#This Row],[考英]:[考中]]),"")</f>
        <v/>
      </c>
      <c r="N3611" s="86"/>
    </row>
    <row r="3612" spans="1:14" hidden="1" x14ac:dyDescent="0.15">
      <c r="A3612">
        <v>3612</v>
      </c>
      <c r="B3612" t="s">
        <v>5933</v>
      </c>
      <c r="C3612" t="s">
        <v>6851</v>
      </c>
      <c r="D3612" s="78" t="s">
        <v>6503</v>
      </c>
      <c r="E3612" t="s">
        <v>6335</v>
      </c>
      <c r="F3612" t="s">
        <v>6359</v>
      </c>
      <c r="G3612" s="92">
        <v>43275.820844907408</v>
      </c>
      <c r="H3612" s="92">
        <v>43275.790185185186</v>
      </c>
      <c r="I3612" s="92">
        <v>43275.790185185186</v>
      </c>
      <c r="J3612" s="92">
        <v>43275.821643518517</v>
      </c>
      <c r="K3612" s="92"/>
      <c r="L3612" s="92">
        <f>IF(AND(单词表[[#This Row],[学英]]&lt;&gt;"",单词表[[#This Row],[学中]]&lt;&gt;"",单词表[[#This Row],[学词]]&lt;&gt;""),MAX(单词表[[#This Row],[学英]:[学词]]),"")</f>
        <v>43275.820844907408</v>
      </c>
      <c r="M3612" s="2" t="str">
        <f>IF(AND(单词表[[#This Row],[考英]]&lt;&gt;"",单词表[[#This Row],[考中]]&lt;&gt;""),MAX(单词表[[#This Row],[考英]:[考中]]),"")</f>
        <v/>
      </c>
      <c r="N3612" s="86"/>
    </row>
    <row r="3613" spans="1:14" hidden="1" x14ac:dyDescent="0.15">
      <c r="A3613">
        <v>3613</v>
      </c>
      <c r="B3613" t="s">
        <v>5933</v>
      </c>
      <c r="C3613" t="s">
        <v>6851</v>
      </c>
      <c r="D3613" s="78" t="s">
        <v>6316</v>
      </c>
      <c r="E3613" t="s">
        <v>6335</v>
      </c>
      <c r="F3613" t="s">
        <v>6360</v>
      </c>
      <c r="G3613" s="92">
        <v>43275.782071759262</v>
      </c>
      <c r="H3613" s="92">
        <v>43275.782071759262</v>
      </c>
      <c r="I3613" s="92">
        <v>43275.782071759262</v>
      </c>
      <c r="J3613" s="92">
        <v>43275.808344907404</v>
      </c>
      <c r="K3613" s="92"/>
      <c r="L3613" s="92">
        <f>IF(AND(单词表[[#This Row],[学英]]&lt;&gt;"",单词表[[#This Row],[学中]]&lt;&gt;"",单词表[[#This Row],[学词]]&lt;&gt;""),MAX(单词表[[#This Row],[学英]:[学词]]),"")</f>
        <v>43275.782071759262</v>
      </c>
      <c r="M3613" s="2" t="str">
        <f>IF(AND(单词表[[#This Row],[考英]]&lt;&gt;"",单词表[[#This Row],[考中]]&lt;&gt;""),MAX(单词表[[#This Row],[考英]:[考中]]),"")</f>
        <v/>
      </c>
      <c r="N3613" s="86"/>
    </row>
    <row r="3614" spans="1:14" hidden="1" x14ac:dyDescent="0.15">
      <c r="A3614">
        <v>3614</v>
      </c>
      <c r="B3614" t="s">
        <v>5933</v>
      </c>
      <c r="C3614" t="s">
        <v>6851</v>
      </c>
      <c r="D3614" s="78" t="s">
        <v>6317</v>
      </c>
      <c r="E3614" t="s">
        <v>6335</v>
      </c>
      <c r="F3614" t="s">
        <v>6361</v>
      </c>
      <c r="G3614" s="92">
        <v>43275.796331018515</v>
      </c>
      <c r="H3614" s="92">
        <v>43275.796331018515</v>
      </c>
      <c r="I3614" s="92">
        <v>43275.796331018515</v>
      </c>
      <c r="J3614" s="92">
        <v>43275.808449074073</v>
      </c>
      <c r="K3614" s="92"/>
      <c r="L3614" s="92">
        <f>IF(AND(单词表[[#This Row],[学英]]&lt;&gt;"",单词表[[#This Row],[学中]]&lt;&gt;"",单词表[[#This Row],[学词]]&lt;&gt;""),MAX(单词表[[#This Row],[学英]:[学词]]),"")</f>
        <v>43275.796331018515</v>
      </c>
      <c r="M3614" s="2" t="str">
        <f>IF(AND(单词表[[#This Row],[考英]]&lt;&gt;"",单词表[[#This Row],[考中]]&lt;&gt;""),MAX(单词表[[#This Row],[考英]:[考中]]),"")</f>
        <v/>
      </c>
      <c r="N3614" s="86"/>
    </row>
    <row r="3615" spans="1:14" hidden="1" x14ac:dyDescent="0.15">
      <c r="A3615">
        <v>3615</v>
      </c>
      <c r="B3615" t="s">
        <v>5933</v>
      </c>
      <c r="C3615" t="s">
        <v>6851</v>
      </c>
      <c r="D3615" s="78" t="s">
        <v>6318</v>
      </c>
      <c r="E3615" t="s">
        <v>6335</v>
      </c>
      <c r="F3615" t="s">
        <v>6362</v>
      </c>
      <c r="G3615" s="92">
        <v>43275.782013888886</v>
      </c>
      <c r="H3615" s="92">
        <v>43275.782013888886</v>
      </c>
      <c r="I3615" s="92">
        <v>43275.782013888886</v>
      </c>
      <c r="J3615" s="92">
        <v>43275.808506944442</v>
      </c>
      <c r="K3615" s="92"/>
      <c r="L3615" s="92">
        <f>IF(AND(单词表[[#This Row],[学英]]&lt;&gt;"",单词表[[#This Row],[学中]]&lt;&gt;"",单词表[[#This Row],[学词]]&lt;&gt;""),MAX(单词表[[#This Row],[学英]:[学词]]),"")</f>
        <v>43275.782013888886</v>
      </c>
      <c r="M3615" s="2" t="str">
        <f>IF(AND(单词表[[#This Row],[考英]]&lt;&gt;"",单词表[[#This Row],[考中]]&lt;&gt;""),MAX(单词表[[#This Row],[考英]:[考中]]),"")</f>
        <v/>
      </c>
      <c r="N3615" s="86"/>
    </row>
    <row r="3616" spans="1:14" hidden="1" x14ac:dyDescent="0.15">
      <c r="A3616">
        <v>3616</v>
      </c>
      <c r="B3616" t="s">
        <v>5933</v>
      </c>
      <c r="C3616" t="s">
        <v>6851</v>
      </c>
      <c r="D3616" s="78" t="s">
        <v>6319</v>
      </c>
      <c r="E3616" t="s">
        <v>6335</v>
      </c>
      <c r="F3616" t="s">
        <v>6363</v>
      </c>
      <c r="G3616" s="92">
        <v>43275.789768518516</v>
      </c>
      <c r="H3616" s="92">
        <v>43275.789768518516</v>
      </c>
      <c r="I3616" s="92">
        <v>43275.789768518516</v>
      </c>
      <c r="J3616" s="92">
        <v>43275.808564814812</v>
      </c>
      <c r="K3616" s="92"/>
      <c r="L3616" s="92">
        <f>IF(AND(单词表[[#This Row],[学英]]&lt;&gt;"",单词表[[#This Row],[学中]]&lt;&gt;"",单词表[[#This Row],[学词]]&lt;&gt;""),MAX(单词表[[#This Row],[学英]:[学词]]),"")</f>
        <v>43275.789768518516</v>
      </c>
      <c r="M3616" s="2" t="str">
        <f>IF(AND(单词表[[#This Row],[考英]]&lt;&gt;"",单词表[[#This Row],[考中]]&lt;&gt;""),MAX(单词表[[#This Row],[考英]:[考中]]),"")</f>
        <v/>
      </c>
      <c r="N3616" s="86"/>
    </row>
    <row r="3617" spans="1:14" hidden="1" x14ac:dyDescent="0.15">
      <c r="A3617">
        <v>3617</v>
      </c>
      <c r="B3617" t="s">
        <v>5933</v>
      </c>
      <c r="C3617" t="s">
        <v>6851</v>
      </c>
      <c r="D3617" s="78" t="s">
        <v>6320</v>
      </c>
      <c r="E3617" t="s">
        <v>6335</v>
      </c>
      <c r="F3617" t="s">
        <v>6364</v>
      </c>
      <c r="G3617" s="92">
        <v>43275.781967592593</v>
      </c>
      <c r="H3617" s="92">
        <v>43275.781967592593</v>
      </c>
      <c r="I3617" s="92">
        <v>43275.781967592593</v>
      </c>
      <c r="J3617" s="92">
        <v>43275.808622685188</v>
      </c>
      <c r="K3617" s="92"/>
      <c r="L3617" s="92">
        <f>IF(AND(单词表[[#This Row],[学英]]&lt;&gt;"",单词表[[#This Row],[学中]]&lt;&gt;"",单词表[[#This Row],[学词]]&lt;&gt;""),MAX(单词表[[#This Row],[学英]:[学词]]),"")</f>
        <v>43275.781967592593</v>
      </c>
      <c r="M3617" s="2" t="str">
        <f>IF(AND(单词表[[#This Row],[考英]]&lt;&gt;"",单词表[[#This Row],[考中]]&lt;&gt;""),MAX(单词表[[#This Row],[考英]:[考中]]),"")</f>
        <v/>
      </c>
      <c r="N3617" s="86"/>
    </row>
    <row r="3618" spans="1:14" hidden="1" x14ac:dyDescent="0.15">
      <c r="A3618">
        <v>3618</v>
      </c>
      <c r="B3618" t="s">
        <v>5933</v>
      </c>
      <c r="C3618" t="s">
        <v>6851</v>
      </c>
      <c r="D3618" s="78" t="s">
        <v>6321</v>
      </c>
      <c r="E3618" t="s">
        <v>6335</v>
      </c>
      <c r="F3618" t="s">
        <v>6365</v>
      </c>
      <c r="G3618" s="92">
        <v>43275.820833333331</v>
      </c>
      <c r="H3618" s="92">
        <v>43275.796226851853</v>
      </c>
      <c r="I3618" s="92">
        <v>43275.796226851853</v>
      </c>
      <c r="J3618" s="92">
        <v>43275.821712962963</v>
      </c>
      <c r="K3618" s="92"/>
      <c r="L3618" s="92">
        <f>IF(AND(单词表[[#This Row],[学英]]&lt;&gt;"",单词表[[#This Row],[学中]]&lt;&gt;"",单词表[[#This Row],[学词]]&lt;&gt;""),MAX(单词表[[#This Row],[学英]:[学词]]),"")</f>
        <v>43275.820833333331</v>
      </c>
      <c r="M3618" s="2" t="str">
        <f>IF(AND(单词表[[#This Row],[考英]]&lt;&gt;"",单词表[[#This Row],[考中]]&lt;&gt;""),MAX(单词表[[#This Row],[考英]:[考中]]),"")</f>
        <v/>
      </c>
      <c r="N3618" s="86"/>
    </row>
    <row r="3619" spans="1:14" hidden="1" x14ac:dyDescent="0.15">
      <c r="A3619">
        <v>3619</v>
      </c>
      <c r="B3619" t="s">
        <v>5933</v>
      </c>
      <c r="C3619" t="s">
        <v>6851</v>
      </c>
      <c r="D3619" s="78" t="s">
        <v>6322</v>
      </c>
      <c r="E3619" t="s">
        <v>6335</v>
      </c>
      <c r="F3619" t="s">
        <v>6366</v>
      </c>
      <c r="G3619" s="92">
        <v>43275.823159722226</v>
      </c>
      <c r="H3619" s="92">
        <v>43275.795497685183</v>
      </c>
      <c r="I3619" s="92">
        <v>43275.795497685183</v>
      </c>
      <c r="J3619" s="92">
        <v>43275.823703703703</v>
      </c>
      <c r="K3619" s="92"/>
      <c r="L3619" s="92">
        <f>IF(AND(单词表[[#This Row],[学英]]&lt;&gt;"",单词表[[#This Row],[学中]]&lt;&gt;"",单词表[[#This Row],[学词]]&lt;&gt;""),MAX(单词表[[#This Row],[学英]:[学词]]),"")</f>
        <v>43275.823159722226</v>
      </c>
      <c r="M3619" s="2" t="str">
        <f>IF(AND(单词表[[#This Row],[考英]]&lt;&gt;"",单词表[[#This Row],[考中]]&lt;&gt;""),MAX(单词表[[#This Row],[考英]:[考中]]),"")</f>
        <v/>
      </c>
      <c r="N3619" s="86"/>
    </row>
    <row r="3620" spans="1:14" hidden="1" x14ac:dyDescent="0.15">
      <c r="A3620">
        <v>3620</v>
      </c>
      <c r="B3620" t="s">
        <v>5933</v>
      </c>
      <c r="C3620" t="s">
        <v>6851</v>
      </c>
      <c r="D3620" s="78" t="s">
        <v>6323</v>
      </c>
      <c r="E3620" t="s">
        <v>6335</v>
      </c>
      <c r="F3620" t="s">
        <v>6367</v>
      </c>
      <c r="G3620" s="92">
        <v>43275.781886574077</v>
      </c>
      <c r="H3620" s="92">
        <v>43275.781886574077</v>
      </c>
      <c r="I3620" s="92">
        <v>43275.781886574077</v>
      </c>
      <c r="J3620" s="92">
        <v>43275.809027777781</v>
      </c>
      <c r="K3620" s="92"/>
      <c r="L3620" s="92">
        <f>IF(AND(单词表[[#This Row],[学英]]&lt;&gt;"",单词表[[#This Row],[学中]]&lt;&gt;"",单词表[[#This Row],[学词]]&lt;&gt;""),MAX(单词表[[#This Row],[学英]:[学词]]),"")</f>
        <v>43275.781886574077</v>
      </c>
      <c r="M3620" s="2" t="str">
        <f>IF(AND(单词表[[#This Row],[考英]]&lt;&gt;"",单词表[[#This Row],[考中]]&lt;&gt;""),MAX(单词表[[#This Row],[考英]:[考中]]),"")</f>
        <v/>
      </c>
      <c r="N3620" s="86"/>
    </row>
    <row r="3621" spans="1:14" hidden="1" x14ac:dyDescent="0.15">
      <c r="A3621">
        <v>3621</v>
      </c>
      <c r="B3621" t="s">
        <v>5933</v>
      </c>
      <c r="C3621" t="s">
        <v>6851</v>
      </c>
      <c r="D3621" s="78" t="s">
        <v>6324</v>
      </c>
      <c r="E3621" t="s">
        <v>6335</v>
      </c>
      <c r="F3621" t="s">
        <v>6368</v>
      </c>
      <c r="G3621" s="92">
        <v>43275.820787037039</v>
      </c>
      <c r="H3621" s="92">
        <v>43275.781851851854</v>
      </c>
      <c r="I3621" s="92">
        <v>43275.781851851854</v>
      </c>
      <c r="J3621" s="92">
        <v>43275.822476851848</v>
      </c>
      <c r="K3621" s="92"/>
      <c r="L3621" s="92">
        <f>IF(AND(单词表[[#This Row],[学英]]&lt;&gt;"",单词表[[#This Row],[学中]]&lt;&gt;"",单词表[[#This Row],[学词]]&lt;&gt;""),MAX(单词表[[#This Row],[学英]:[学词]]),"")</f>
        <v>43275.820787037039</v>
      </c>
      <c r="M3621" s="2" t="str">
        <f>IF(AND(单词表[[#This Row],[考英]]&lt;&gt;"",单词表[[#This Row],[考中]]&lt;&gt;""),MAX(单词表[[#This Row],[考英]:[考中]]),"")</f>
        <v/>
      </c>
      <c r="N3621" s="86"/>
    </row>
    <row r="3622" spans="1:14" hidden="1" x14ac:dyDescent="0.15">
      <c r="A3622">
        <v>3622</v>
      </c>
      <c r="B3622" t="s">
        <v>5933</v>
      </c>
      <c r="C3622" t="s">
        <v>6851</v>
      </c>
      <c r="D3622" s="78" t="s">
        <v>6325</v>
      </c>
      <c r="E3622" t="s">
        <v>6335</v>
      </c>
      <c r="F3622" t="s">
        <v>6369</v>
      </c>
      <c r="G3622" s="92">
        <v>43275.781828703701</v>
      </c>
      <c r="H3622" s="92">
        <v>43275.781828703701</v>
      </c>
      <c r="I3622" s="92">
        <v>43275.781828703701</v>
      </c>
      <c r="J3622" s="92">
        <v>43275.809178240743</v>
      </c>
      <c r="K3622" s="92"/>
      <c r="L3622" s="92">
        <f>IF(AND(单词表[[#This Row],[学英]]&lt;&gt;"",单词表[[#This Row],[学中]]&lt;&gt;"",单词表[[#This Row],[学词]]&lt;&gt;""),MAX(单词表[[#This Row],[学英]:[学词]]),"")</f>
        <v>43275.781828703701</v>
      </c>
      <c r="M3622" s="2" t="str">
        <f>IF(AND(单词表[[#This Row],[考英]]&lt;&gt;"",单词表[[#This Row],[考中]]&lt;&gt;""),MAX(单词表[[#This Row],[考英]:[考中]]),"")</f>
        <v/>
      </c>
      <c r="N3622" s="86"/>
    </row>
    <row r="3623" spans="1:14" hidden="1" x14ac:dyDescent="0.15">
      <c r="A3623">
        <v>3623</v>
      </c>
      <c r="B3623" t="s">
        <v>5933</v>
      </c>
      <c r="C3623" t="s">
        <v>6851</v>
      </c>
      <c r="D3623" s="78" t="s">
        <v>6326</v>
      </c>
      <c r="E3623" t="s">
        <v>6335</v>
      </c>
      <c r="F3623" t="s">
        <v>6370</v>
      </c>
      <c r="G3623" s="92">
        <v>43275.820763888885</v>
      </c>
      <c r="H3623" s="92">
        <v>43275.795624999999</v>
      </c>
      <c r="I3623" s="92">
        <v>43275.795624999999</v>
      </c>
      <c r="J3623" s="92">
        <v>43275.822638888887</v>
      </c>
      <c r="K3623" s="92"/>
      <c r="L3623" s="92">
        <f>IF(AND(单词表[[#This Row],[学英]]&lt;&gt;"",单词表[[#This Row],[学中]]&lt;&gt;"",单词表[[#This Row],[学词]]&lt;&gt;""),MAX(单词表[[#This Row],[学英]:[学词]]),"")</f>
        <v>43275.820763888885</v>
      </c>
      <c r="M3623" s="2" t="str">
        <f>IF(AND(单词表[[#This Row],[考英]]&lt;&gt;"",单词表[[#This Row],[考中]]&lt;&gt;""),MAX(单词表[[#This Row],[考英]:[考中]]),"")</f>
        <v/>
      </c>
      <c r="N3623" s="86"/>
    </row>
    <row r="3624" spans="1:14" hidden="1" x14ac:dyDescent="0.15">
      <c r="A3624">
        <v>3624</v>
      </c>
      <c r="B3624" t="s">
        <v>5933</v>
      </c>
      <c r="C3624" t="s">
        <v>6851</v>
      </c>
      <c r="D3624" s="78" t="s">
        <v>6327</v>
      </c>
      <c r="E3624" t="s">
        <v>6335</v>
      </c>
      <c r="F3624" t="s">
        <v>6371</v>
      </c>
      <c r="G3624" s="92">
        <v>43275.789074074077</v>
      </c>
      <c r="H3624" s="92">
        <v>43275.789074074077</v>
      </c>
      <c r="I3624" s="92">
        <v>43275.789074074077</v>
      </c>
      <c r="J3624" s="92">
        <v>43275.809548611112</v>
      </c>
      <c r="K3624" s="92"/>
      <c r="L3624" s="92">
        <f>IF(AND(单词表[[#This Row],[学英]]&lt;&gt;"",单词表[[#This Row],[学中]]&lt;&gt;"",单词表[[#This Row],[学词]]&lt;&gt;""),MAX(单词表[[#This Row],[学英]:[学词]]),"")</f>
        <v>43275.789074074077</v>
      </c>
      <c r="M3624" s="2" t="str">
        <f>IF(AND(单词表[[#This Row],[考英]]&lt;&gt;"",单词表[[#This Row],[考中]]&lt;&gt;""),MAX(单词表[[#This Row],[考英]:[考中]]),"")</f>
        <v/>
      </c>
      <c r="N3624" s="86"/>
    </row>
    <row r="3625" spans="1:14" hidden="1" x14ac:dyDescent="0.15">
      <c r="A3625">
        <v>3625</v>
      </c>
      <c r="B3625" t="s">
        <v>5933</v>
      </c>
      <c r="C3625" t="s">
        <v>6851</v>
      </c>
      <c r="D3625" s="78" t="s">
        <v>6328</v>
      </c>
      <c r="E3625" t="s">
        <v>6335</v>
      </c>
      <c r="F3625" t="s">
        <v>6372</v>
      </c>
      <c r="G3625" s="92">
        <v>43275.781759259262</v>
      </c>
      <c r="H3625" s="92">
        <v>43275.781759259262</v>
      </c>
      <c r="I3625" s="92">
        <v>43275.781759259262</v>
      </c>
      <c r="J3625" s="92">
        <v>43275.809629629628</v>
      </c>
      <c r="K3625" s="92"/>
      <c r="L3625" s="92">
        <f>IF(AND(单词表[[#This Row],[学英]]&lt;&gt;"",单词表[[#This Row],[学中]]&lt;&gt;"",单词表[[#This Row],[学词]]&lt;&gt;""),MAX(单词表[[#This Row],[学英]:[学词]]),"")</f>
        <v>43275.781759259262</v>
      </c>
      <c r="M3625" s="2" t="str">
        <f>IF(AND(单词表[[#This Row],[考英]]&lt;&gt;"",单词表[[#This Row],[考中]]&lt;&gt;""),MAX(单词表[[#This Row],[考英]:[考中]]),"")</f>
        <v/>
      </c>
      <c r="N3625" s="86"/>
    </row>
    <row r="3626" spans="1:14" hidden="1" x14ac:dyDescent="0.15">
      <c r="A3626">
        <v>3626</v>
      </c>
      <c r="B3626" t="s">
        <v>5933</v>
      </c>
      <c r="C3626" t="s">
        <v>6851</v>
      </c>
      <c r="D3626" s="78" t="s">
        <v>6329</v>
      </c>
      <c r="E3626" t="s">
        <v>6335</v>
      </c>
      <c r="F3626" t="s">
        <v>6373</v>
      </c>
      <c r="G3626" s="92">
        <v>43275.795740740738</v>
      </c>
      <c r="H3626" s="92">
        <v>43275.795740740738</v>
      </c>
      <c r="I3626" s="92">
        <v>43275.795740740738</v>
      </c>
      <c r="J3626" s="92">
        <v>43275.809849537036</v>
      </c>
      <c r="K3626" s="92"/>
      <c r="L3626" s="92">
        <f>IF(AND(单词表[[#This Row],[学英]]&lt;&gt;"",单词表[[#This Row],[学中]]&lt;&gt;"",单词表[[#This Row],[学词]]&lt;&gt;""),MAX(单词表[[#This Row],[学英]:[学词]]),"")</f>
        <v>43275.795740740738</v>
      </c>
      <c r="M3626" s="2" t="str">
        <f>IF(AND(单词表[[#This Row],[考英]]&lt;&gt;"",单词表[[#This Row],[考中]]&lt;&gt;""),MAX(单词表[[#This Row],[考英]:[考中]]),"")</f>
        <v/>
      </c>
      <c r="N3626" s="86"/>
    </row>
    <row r="3627" spans="1:14" hidden="1" x14ac:dyDescent="0.15">
      <c r="A3627">
        <v>3627</v>
      </c>
      <c r="B3627" t="s">
        <v>5933</v>
      </c>
      <c r="C3627" t="s">
        <v>6852</v>
      </c>
      <c r="D3627" s="78" t="s">
        <v>6374</v>
      </c>
      <c r="E3627" t="s">
        <v>6331</v>
      </c>
      <c r="F3627" t="s">
        <v>6393</v>
      </c>
      <c r="G3627" s="92"/>
      <c r="H3627" s="92"/>
      <c r="I3627" s="92"/>
      <c r="J3627" s="92">
        <v>43275.819027777776</v>
      </c>
      <c r="K3627" s="92"/>
      <c r="L3627" s="9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6"/>
    </row>
    <row r="3628" spans="1:14" hidden="1" x14ac:dyDescent="0.15">
      <c r="A3628">
        <v>3628</v>
      </c>
      <c r="B3628" t="s">
        <v>5933</v>
      </c>
      <c r="C3628" t="s">
        <v>6852</v>
      </c>
      <c r="D3628" s="78" t="s">
        <v>6375</v>
      </c>
      <c r="E3628" t="s">
        <v>6330</v>
      </c>
      <c r="F3628" t="s">
        <v>6394</v>
      </c>
      <c r="G3628" s="92"/>
      <c r="H3628" s="92"/>
      <c r="I3628" s="92"/>
      <c r="J3628" s="92">
        <v>43275.81113425926</v>
      </c>
      <c r="K3628" s="92"/>
      <c r="L3628" s="9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6"/>
    </row>
    <row r="3629" spans="1:14" hidden="1" x14ac:dyDescent="0.15">
      <c r="A3629">
        <v>3629</v>
      </c>
      <c r="B3629" t="s">
        <v>5933</v>
      </c>
      <c r="C3629" t="s">
        <v>6852</v>
      </c>
      <c r="D3629" s="78" t="s">
        <v>6376</v>
      </c>
      <c r="E3629" t="s">
        <v>6331</v>
      </c>
      <c r="F3629" t="s">
        <v>6395</v>
      </c>
      <c r="G3629" s="92"/>
      <c r="H3629" s="92"/>
      <c r="I3629" s="92"/>
      <c r="J3629" s="92">
        <v>43275.815740740742</v>
      </c>
      <c r="K3629" s="92"/>
      <c r="L3629" s="9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6"/>
    </row>
    <row r="3630" spans="1:14" hidden="1" x14ac:dyDescent="0.15">
      <c r="A3630">
        <v>3630</v>
      </c>
      <c r="B3630" t="s">
        <v>5933</v>
      </c>
      <c r="C3630" t="s">
        <v>6852</v>
      </c>
      <c r="D3630" s="78" t="s">
        <v>6377</v>
      </c>
      <c r="E3630" t="s">
        <v>6392</v>
      </c>
      <c r="F3630" t="s">
        <v>6396</v>
      </c>
      <c r="G3630" s="92"/>
      <c r="H3630" s="92"/>
      <c r="I3630" s="92"/>
      <c r="J3630" s="92">
        <v>43275.815844907411</v>
      </c>
      <c r="K3630" s="92"/>
      <c r="L3630" s="9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6"/>
    </row>
    <row r="3631" spans="1:14" hidden="1" x14ac:dyDescent="0.15">
      <c r="A3631">
        <v>3631</v>
      </c>
      <c r="B3631" t="s">
        <v>5933</v>
      </c>
      <c r="C3631" t="s">
        <v>6852</v>
      </c>
      <c r="D3631" s="78" t="s">
        <v>6378</v>
      </c>
      <c r="E3631" t="s">
        <v>6335</v>
      </c>
      <c r="F3631" t="s">
        <v>6397</v>
      </c>
      <c r="G3631" s="92"/>
      <c r="H3631" s="92"/>
      <c r="I3631" s="92"/>
      <c r="J3631" s="92">
        <v>43275.819143518522</v>
      </c>
      <c r="K3631" s="92"/>
      <c r="L3631" s="9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6"/>
    </row>
    <row r="3632" spans="1:14" hidden="1" x14ac:dyDescent="0.15">
      <c r="A3632">
        <v>3632</v>
      </c>
      <c r="B3632" t="s">
        <v>5933</v>
      </c>
      <c r="C3632" t="s">
        <v>6852</v>
      </c>
      <c r="D3632" s="78" t="s">
        <v>6379</v>
      </c>
      <c r="E3632" t="s">
        <v>6335</v>
      </c>
      <c r="F3632" t="s">
        <v>6398</v>
      </c>
      <c r="G3632" s="92"/>
      <c r="H3632" s="92"/>
      <c r="I3632" s="92"/>
      <c r="J3632" s="92">
        <v>43275.819305555553</v>
      </c>
      <c r="K3632" s="92"/>
      <c r="L3632" s="9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6"/>
    </row>
    <row r="3633" spans="1:14" hidden="1" x14ac:dyDescent="0.15">
      <c r="A3633">
        <v>3633</v>
      </c>
      <c r="B3633" t="s">
        <v>5933</v>
      </c>
      <c r="C3633" t="s">
        <v>6852</v>
      </c>
      <c r="D3633" s="78" t="s">
        <v>6380</v>
      </c>
      <c r="E3633" t="s">
        <v>6335</v>
      </c>
      <c r="F3633" t="s">
        <v>6399</v>
      </c>
      <c r="G3633" s="92"/>
      <c r="H3633" s="92"/>
      <c r="I3633" s="92"/>
      <c r="J3633" s="92">
        <v>43275.816446759258</v>
      </c>
      <c r="K3633" s="92"/>
      <c r="L3633" s="9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6"/>
    </row>
    <row r="3634" spans="1:14" hidden="1" x14ac:dyDescent="0.15">
      <c r="A3634">
        <v>3634</v>
      </c>
      <c r="B3634" t="s">
        <v>5933</v>
      </c>
      <c r="C3634" t="s">
        <v>6852</v>
      </c>
      <c r="D3634" s="78" t="s">
        <v>6381</v>
      </c>
      <c r="E3634" t="s">
        <v>6335</v>
      </c>
      <c r="F3634" t="s">
        <v>6400</v>
      </c>
      <c r="G3634" s="92"/>
      <c r="H3634" s="92"/>
      <c r="I3634" s="92"/>
      <c r="J3634" s="92">
        <v>43275.820335648146</v>
      </c>
      <c r="K3634" s="92"/>
      <c r="L3634" s="9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6"/>
    </row>
    <row r="3635" spans="1:14" hidden="1" x14ac:dyDescent="0.15">
      <c r="A3635">
        <v>3635</v>
      </c>
      <c r="B3635" t="s">
        <v>5933</v>
      </c>
      <c r="C3635" t="s">
        <v>6852</v>
      </c>
      <c r="D3635" s="78" t="s">
        <v>6382</v>
      </c>
      <c r="E3635" t="s">
        <v>6335</v>
      </c>
      <c r="F3635" t="s">
        <v>6401</v>
      </c>
      <c r="G3635" s="92"/>
      <c r="H3635" s="92"/>
      <c r="I3635" s="92"/>
      <c r="J3635" s="92">
        <v>43275.817673611113</v>
      </c>
      <c r="K3635" s="92"/>
      <c r="L3635" s="9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6"/>
    </row>
    <row r="3636" spans="1:14" hidden="1" x14ac:dyDescent="0.15">
      <c r="A3636">
        <v>3636</v>
      </c>
      <c r="B3636" t="s">
        <v>5933</v>
      </c>
      <c r="C3636" t="s">
        <v>6852</v>
      </c>
      <c r="D3636" s="78" t="s">
        <v>6383</v>
      </c>
      <c r="E3636" t="s">
        <v>6335</v>
      </c>
      <c r="F3636" t="s">
        <v>6402</v>
      </c>
      <c r="G3636" s="92"/>
      <c r="H3636" s="92"/>
      <c r="I3636" s="92"/>
      <c r="J3636" s="92">
        <v>43275.812905092593</v>
      </c>
      <c r="K3636" s="92"/>
      <c r="L3636" s="9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6"/>
    </row>
    <row r="3637" spans="1:14" hidden="1" x14ac:dyDescent="0.15">
      <c r="A3637">
        <v>3637</v>
      </c>
      <c r="B3637" t="s">
        <v>5933</v>
      </c>
      <c r="C3637" t="s">
        <v>6852</v>
      </c>
      <c r="D3637" s="78" t="s">
        <v>6384</v>
      </c>
      <c r="E3637" t="s">
        <v>6335</v>
      </c>
      <c r="F3637" t="s">
        <v>6403</v>
      </c>
      <c r="G3637" s="92"/>
      <c r="H3637" s="92"/>
      <c r="I3637" s="92"/>
      <c r="J3637" s="92">
        <v>43275.813020833331</v>
      </c>
      <c r="K3637" s="92"/>
      <c r="L3637" s="9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6"/>
    </row>
    <row r="3638" spans="1:14" hidden="1" x14ac:dyDescent="0.15">
      <c r="A3638">
        <v>3638</v>
      </c>
      <c r="B3638" t="s">
        <v>5933</v>
      </c>
      <c r="C3638" t="s">
        <v>6852</v>
      </c>
      <c r="D3638" s="78" t="s">
        <v>6385</v>
      </c>
      <c r="E3638" t="s">
        <v>6335</v>
      </c>
      <c r="F3638" t="s">
        <v>6404</v>
      </c>
      <c r="G3638" s="92"/>
      <c r="H3638" s="92"/>
      <c r="I3638" s="92"/>
      <c r="J3638" s="92">
        <v>43275.817800925928</v>
      </c>
      <c r="K3638" s="92"/>
      <c r="L3638" s="9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6"/>
    </row>
    <row r="3639" spans="1:14" hidden="1" x14ac:dyDescent="0.15">
      <c r="A3639">
        <v>3639</v>
      </c>
      <c r="B3639" t="s">
        <v>5933</v>
      </c>
      <c r="C3639" t="s">
        <v>6852</v>
      </c>
      <c r="D3639" s="78" t="s">
        <v>6386</v>
      </c>
      <c r="E3639" t="s">
        <v>6335</v>
      </c>
      <c r="F3639" t="s">
        <v>6405</v>
      </c>
      <c r="G3639" s="92"/>
      <c r="H3639" s="92"/>
      <c r="I3639" s="92"/>
      <c r="J3639" s="92">
        <v>43275.813599537039</v>
      </c>
      <c r="K3639" s="92"/>
      <c r="L3639" s="9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6"/>
    </row>
    <row r="3640" spans="1:14" hidden="1" x14ac:dyDescent="0.15">
      <c r="A3640">
        <v>3640</v>
      </c>
      <c r="B3640" t="s">
        <v>5933</v>
      </c>
      <c r="C3640" t="s">
        <v>6852</v>
      </c>
      <c r="D3640" s="78" t="s">
        <v>6387</v>
      </c>
      <c r="E3640" t="s">
        <v>6335</v>
      </c>
      <c r="F3640" t="s">
        <v>6406</v>
      </c>
      <c r="G3640" s="92"/>
      <c r="H3640" s="92"/>
      <c r="I3640" s="92"/>
      <c r="J3640" s="92">
        <v>43275.820069444446</v>
      </c>
      <c r="K3640" s="92"/>
      <c r="L3640" s="9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6"/>
    </row>
    <row r="3641" spans="1:14" hidden="1" x14ac:dyDescent="0.15">
      <c r="A3641">
        <v>3641</v>
      </c>
      <c r="B3641" t="s">
        <v>5933</v>
      </c>
      <c r="C3641" t="s">
        <v>6852</v>
      </c>
      <c r="D3641" s="78" t="s">
        <v>6388</v>
      </c>
      <c r="E3641" t="s">
        <v>6335</v>
      </c>
      <c r="F3641" t="s">
        <v>6407</v>
      </c>
      <c r="G3641" s="92"/>
      <c r="H3641" s="92"/>
      <c r="I3641" s="92"/>
      <c r="J3641" s="92">
        <v>43275.814039351855</v>
      </c>
      <c r="K3641" s="92"/>
      <c r="L3641" s="9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6"/>
    </row>
    <row r="3642" spans="1:14" hidden="1" x14ac:dyDescent="0.15">
      <c r="A3642">
        <v>3642</v>
      </c>
      <c r="B3642" t="s">
        <v>5933</v>
      </c>
      <c r="C3642" t="s">
        <v>6852</v>
      </c>
      <c r="D3642" s="78" t="s">
        <v>6389</v>
      </c>
      <c r="E3642" t="s">
        <v>6335</v>
      </c>
      <c r="F3642" t="s">
        <v>6408</v>
      </c>
      <c r="G3642" s="92"/>
      <c r="H3642" s="92"/>
      <c r="I3642" s="92"/>
      <c r="J3642" s="92">
        <v>43275.818368055552</v>
      </c>
      <c r="K3642" s="92"/>
      <c r="L3642" s="9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6"/>
    </row>
    <row r="3643" spans="1:14" hidden="1" x14ac:dyDescent="0.15">
      <c r="A3643">
        <v>3643</v>
      </c>
      <c r="B3643" t="s">
        <v>5933</v>
      </c>
      <c r="C3643" t="s">
        <v>6852</v>
      </c>
      <c r="D3643" s="78" t="s">
        <v>6390</v>
      </c>
      <c r="E3643" t="s">
        <v>6335</v>
      </c>
      <c r="F3643" t="s">
        <v>6409</v>
      </c>
      <c r="G3643" s="92"/>
      <c r="H3643" s="92"/>
      <c r="I3643" s="92"/>
      <c r="J3643" s="92">
        <v>43275.81858796296</v>
      </c>
      <c r="K3643" s="92"/>
      <c r="L3643" s="9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6"/>
    </row>
    <row r="3644" spans="1:14" hidden="1" x14ac:dyDescent="0.15">
      <c r="A3644">
        <v>3644</v>
      </c>
      <c r="B3644" t="s">
        <v>5933</v>
      </c>
      <c r="C3644" t="s">
        <v>6852</v>
      </c>
      <c r="D3644" s="78" t="s">
        <v>6391</v>
      </c>
      <c r="E3644" t="s">
        <v>6335</v>
      </c>
      <c r="F3644" t="s">
        <v>6410</v>
      </c>
      <c r="G3644" s="92"/>
      <c r="H3644" s="92"/>
      <c r="I3644" s="92"/>
      <c r="J3644" s="92">
        <v>43275.820185185185</v>
      </c>
      <c r="K3644" s="92"/>
      <c r="L3644" s="9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6"/>
    </row>
    <row r="3645" spans="1:14" hidden="1" x14ac:dyDescent="0.15">
      <c r="A3645">
        <v>3645</v>
      </c>
      <c r="B3645" t="s">
        <v>5933</v>
      </c>
      <c r="C3645" t="s">
        <v>6411</v>
      </c>
      <c r="D3645" s="78" t="s">
        <v>6413</v>
      </c>
      <c r="E3645" t="s">
        <v>6331</v>
      </c>
      <c r="F3645" t="s">
        <v>6437</v>
      </c>
      <c r="G3645" s="92"/>
      <c r="H3645" s="92"/>
      <c r="I3645" s="92"/>
      <c r="J3645" s="92"/>
      <c r="K3645" s="92"/>
      <c r="L3645" s="9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6"/>
    </row>
    <row r="3646" spans="1:14" hidden="1" x14ac:dyDescent="0.15">
      <c r="A3646">
        <v>3646</v>
      </c>
      <c r="B3646" t="s">
        <v>5933</v>
      </c>
      <c r="C3646" t="s">
        <v>6411</v>
      </c>
      <c r="D3646" s="78" t="s">
        <v>6414</v>
      </c>
      <c r="E3646" t="s">
        <v>6331</v>
      </c>
      <c r="F3646" t="s">
        <v>6438</v>
      </c>
      <c r="G3646" s="92"/>
      <c r="H3646" s="92"/>
      <c r="I3646" s="92"/>
      <c r="J3646" s="92"/>
      <c r="K3646" s="92"/>
      <c r="L3646" s="9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6"/>
    </row>
    <row r="3647" spans="1:14" hidden="1" x14ac:dyDescent="0.15">
      <c r="A3647">
        <v>3647</v>
      </c>
      <c r="B3647" t="s">
        <v>5933</v>
      </c>
      <c r="C3647" t="s">
        <v>6411</v>
      </c>
      <c r="D3647" s="78" t="s">
        <v>6415</v>
      </c>
      <c r="E3647" t="s">
        <v>6331</v>
      </c>
      <c r="F3647" t="s">
        <v>6439</v>
      </c>
      <c r="G3647" s="92"/>
      <c r="H3647" s="92"/>
      <c r="I3647" s="92"/>
      <c r="J3647" s="92"/>
      <c r="K3647" s="92"/>
      <c r="L3647" s="9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6"/>
    </row>
    <row r="3648" spans="1:14" hidden="1" x14ac:dyDescent="0.15">
      <c r="A3648">
        <v>3648</v>
      </c>
      <c r="B3648" t="s">
        <v>5933</v>
      </c>
      <c r="C3648" t="s">
        <v>6411</v>
      </c>
      <c r="D3648" s="78" t="s">
        <v>6416</v>
      </c>
      <c r="E3648" t="s">
        <v>6331</v>
      </c>
      <c r="F3648" t="s">
        <v>6440</v>
      </c>
      <c r="G3648" s="92"/>
      <c r="H3648" s="92"/>
      <c r="I3648" s="92"/>
      <c r="J3648" s="92"/>
      <c r="K3648" s="92"/>
      <c r="L3648" s="9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6"/>
    </row>
    <row r="3649" spans="1:14" hidden="1" x14ac:dyDescent="0.15">
      <c r="A3649">
        <v>3649</v>
      </c>
      <c r="B3649" t="s">
        <v>5933</v>
      </c>
      <c r="C3649" t="s">
        <v>6411</v>
      </c>
      <c r="D3649" s="78" t="s">
        <v>6417</v>
      </c>
      <c r="E3649" t="s">
        <v>6330</v>
      </c>
      <c r="F3649" t="s">
        <v>6441</v>
      </c>
      <c r="G3649" s="92"/>
      <c r="H3649" s="92"/>
      <c r="I3649" s="92"/>
      <c r="J3649" s="92"/>
      <c r="K3649" s="92"/>
      <c r="L3649" s="9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6"/>
    </row>
    <row r="3650" spans="1:14" hidden="1" x14ac:dyDescent="0.15">
      <c r="A3650">
        <v>3650</v>
      </c>
      <c r="B3650" t="s">
        <v>5933</v>
      </c>
      <c r="C3650" t="s">
        <v>6411</v>
      </c>
      <c r="D3650" s="78" t="s">
        <v>6418</v>
      </c>
      <c r="E3650" t="s">
        <v>6335</v>
      </c>
      <c r="F3650" t="s">
        <v>6442</v>
      </c>
      <c r="G3650" s="92"/>
      <c r="H3650" s="92"/>
      <c r="I3650" s="92"/>
      <c r="J3650" s="92"/>
      <c r="K3650" s="92"/>
      <c r="L3650" s="9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6"/>
    </row>
    <row r="3651" spans="1:14" hidden="1" x14ac:dyDescent="0.15">
      <c r="A3651">
        <v>3651</v>
      </c>
      <c r="B3651" t="s">
        <v>5933</v>
      </c>
      <c r="C3651" t="s">
        <v>6411</v>
      </c>
      <c r="D3651" s="78" t="s">
        <v>6419</v>
      </c>
      <c r="E3651" t="s">
        <v>6335</v>
      </c>
      <c r="F3651" t="s">
        <v>6443</v>
      </c>
      <c r="G3651" s="92"/>
      <c r="H3651" s="92"/>
      <c r="I3651" s="92"/>
      <c r="J3651" s="92"/>
      <c r="K3651" s="92"/>
      <c r="L3651" s="9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6"/>
    </row>
    <row r="3652" spans="1:14" hidden="1" x14ac:dyDescent="0.15">
      <c r="A3652">
        <v>3652</v>
      </c>
      <c r="B3652" t="s">
        <v>5933</v>
      </c>
      <c r="C3652" t="s">
        <v>6411</v>
      </c>
      <c r="D3652" s="78" t="s">
        <v>6420</v>
      </c>
      <c r="E3652" t="s">
        <v>6335</v>
      </c>
      <c r="F3652" t="s">
        <v>6444</v>
      </c>
      <c r="G3652" s="92"/>
      <c r="H3652" s="92"/>
      <c r="I3652" s="92"/>
      <c r="J3652" s="92"/>
      <c r="K3652" s="92"/>
      <c r="L3652" s="9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6"/>
    </row>
    <row r="3653" spans="1:14" hidden="1" x14ac:dyDescent="0.15">
      <c r="A3653">
        <v>3653</v>
      </c>
      <c r="B3653" t="s">
        <v>5933</v>
      </c>
      <c r="C3653" t="s">
        <v>6411</v>
      </c>
      <c r="D3653" s="78" t="s">
        <v>6421</v>
      </c>
      <c r="E3653" t="s">
        <v>6335</v>
      </c>
      <c r="F3653" t="s">
        <v>6445</v>
      </c>
      <c r="G3653" s="92"/>
      <c r="H3653" s="92"/>
      <c r="I3653" s="92"/>
      <c r="J3653" s="92"/>
      <c r="K3653" s="92"/>
      <c r="L3653" s="9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6"/>
    </row>
    <row r="3654" spans="1:14" hidden="1" x14ac:dyDescent="0.15">
      <c r="A3654">
        <v>3654</v>
      </c>
      <c r="B3654" t="s">
        <v>5933</v>
      </c>
      <c r="C3654" t="s">
        <v>6411</v>
      </c>
      <c r="D3654" s="78" t="s">
        <v>6422</v>
      </c>
      <c r="E3654" t="s">
        <v>6335</v>
      </c>
      <c r="F3654" t="s">
        <v>6446</v>
      </c>
      <c r="G3654" s="92"/>
      <c r="H3654" s="92"/>
      <c r="I3654" s="92"/>
      <c r="J3654" s="92"/>
      <c r="K3654" s="92"/>
      <c r="L3654" s="9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6"/>
    </row>
    <row r="3655" spans="1:14" hidden="1" x14ac:dyDescent="0.15">
      <c r="A3655">
        <v>3655</v>
      </c>
      <c r="B3655" t="s">
        <v>5933</v>
      </c>
      <c r="C3655" t="s">
        <v>6411</v>
      </c>
      <c r="D3655" s="78" t="s">
        <v>6423</v>
      </c>
      <c r="E3655" t="s">
        <v>6335</v>
      </c>
      <c r="F3655" t="s">
        <v>6447</v>
      </c>
      <c r="G3655" s="92"/>
      <c r="H3655" s="92"/>
      <c r="I3655" s="92"/>
      <c r="J3655" s="92"/>
      <c r="K3655" s="92"/>
      <c r="L3655" s="9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6"/>
    </row>
    <row r="3656" spans="1:14" hidden="1" x14ac:dyDescent="0.15">
      <c r="A3656">
        <v>3656</v>
      </c>
      <c r="B3656" t="s">
        <v>5933</v>
      </c>
      <c r="C3656" t="s">
        <v>6411</v>
      </c>
      <c r="D3656" s="78" t="s">
        <v>6472</v>
      </c>
      <c r="E3656" t="s">
        <v>6335</v>
      </c>
      <c r="F3656" t="s">
        <v>6457</v>
      </c>
      <c r="G3656" s="92"/>
      <c r="H3656" s="92"/>
      <c r="I3656" s="92"/>
      <c r="J3656" s="92"/>
      <c r="K3656" s="92"/>
      <c r="L3656" s="9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6"/>
    </row>
    <row r="3657" spans="1:14" hidden="1" x14ac:dyDescent="0.15">
      <c r="A3657">
        <v>3657</v>
      </c>
      <c r="B3657" t="s">
        <v>5933</v>
      </c>
      <c r="C3657" t="s">
        <v>6411</v>
      </c>
      <c r="D3657" s="78" t="s">
        <v>6424</v>
      </c>
      <c r="E3657" t="s">
        <v>6335</v>
      </c>
      <c r="F3657" t="s">
        <v>6448</v>
      </c>
      <c r="G3657" s="92"/>
      <c r="H3657" s="92"/>
      <c r="I3657" s="92"/>
      <c r="J3657" s="92"/>
      <c r="K3657" s="92"/>
      <c r="L3657" s="9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6"/>
    </row>
    <row r="3658" spans="1:14" hidden="1" x14ac:dyDescent="0.15">
      <c r="A3658">
        <v>3658</v>
      </c>
      <c r="B3658" t="s">
        <v>5933</v>
      </c>
      <c r="C3658" t="s">
        <v>6411</v>
      </c>
      <c r="D3658" s="78" t="s">
        <v>6425</v>
      </c>
      <c r="E3658" t="s">
        <v>6335</v>
      </c>
      <c r="F3658" t="s">
        <v>6449</v>
      </c>
      <c r="G3658" s="92"/>
      <c r="H3658" s="92"/>
      <c r="I3658" s="92"/>
      <c r="J3658" s="92"/>
      <c r="K3658" s="92"/>
      <c r="L3658" s="9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6"/>
    </row>
    <row r="3659" spans="1:14" hidden="1" x14ac:dyDescent="0.15">
      <c r="A3659">
        <v>3659</v>
      </c>
      <c r="B3659" t="s">
        <v>5933</v>
      </c>
      <c r="C3659" t="s">
        <v>6411</v>
      </c>
      <c r="D3659" s="78" t="s">
        <v>6426</v>
      </c>
      <c r="E3659" t="s">
        <v>6335</v>
      </c>
      <c r="F3659" t="s">
        <v>6450</v>
      </c>
      <c r="G3659" s="92"/>
      <c r="H3659" s="92"/>
      <c r="I3659" s="92"/>
      <c r="J3659" s="92"/>
      <c r="K3659" s="92"/>
      <c r="L3659" s="9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6"/>
    </row>
    <row r="3660" spans="1:14" hidden="1" x14ac:dyDescent="0.15">
      <c r="A3660">
        <v>3660</v>
      </c>
      <c r="B3660" t="s">
        <v>5933</v>
      </c>
      <c r="C3660" t="s">
        <v>6411</v>
      </c>
      <c r="D3660" s="78" t="s">
        <v>6427</v>
      </c>
      <c r="E3660" t="s">
        <v>6335</v>
      </c>
      <c r="F3660" t="s">
        <v>6451</v>
      </c>
      <c r="G3660" s="92"/>
      <c r="H3660" s="92"/>
      <c r="I3660" s="92"/>
      <c r="J3660" s="92"/>
      <c r="K3660" s="92"/>
      <c r="L3660" s="9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6"/>
    </row>
    <row r="3661" spans="1:14" hidden="1" x14ac:dyDescent="0.15">
      <c r="A3661">
        <v>3661</v>
      </c>
      <c r="B3661" t="s">
        <v>5933</v>
      </c>
      <c r="C3661" t="s">
        <v>6411</v>
      </c>
      <c r="D3661" s="78" t="s">
        <v>6428</v>
      </c>
      <c r="E3661" t="s">
        <v>6335</v>
      </c>
      <c r="F3661" t="s">
        <v>6452</v>
      </c>
      <c r="G3661" s="92"/>
      <c r="H3661" s="92"/>
      <c r="I3661" s="92"/>
      <c r="J3661" s="92"/>
      <c r="K3661" s="92"/>
      <c r="L3661" s="9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6"/>
    </row>
    <row r="3662" spans="1:14" hidden="1" x14ac:dyDescent="0.15">
      <c r="A3662">
        <v>3662</v>
      </c>
      <c r="B3662" t="s">
        <v>5933</v>
      </c>
      <c r="C3662" t="s">
        <v>6411</v>
      </c>
      <c r="D3662" s="78" t="s">
        <v>6429</v>
      </c>
      <c r="E3662" t="s">
        <v>6335</v>
      </c>
      <c r="F3662" t="s">
        <v>6453</v>
      </c>
      <c r="G3662" s="92"/>
      <c r="H3662" s="92"/>
      <c r="I3662" s="92"/>
      <c r="J3662" s="92"/>
      <c r="K3662" s="92"/>
      <c r="L3662" s="9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6"/>
    </row>
    <row r="3663" spans="1:14" hidden="1" x14ac:dyDescent="0.15">
      <c r="A3663">
        <v>3663</v>
      </c>
      <c r="B3663" t="s">
        <v>5933</v>
      </c>
      <c r="C3663" t="s">
        <v>6411</v>
      </c>
      <c r="D3663" s="78" t="s">
        <v>6430</v>
      </c>
      <c r="E3663" t="s">
        <v>6335</v>
      </c>
      <c r="F3663" t="s">
        <v>6454</v>
      </c>
      <c r="G3663" s="92"/>
      <c r="H3663" s="92"/>
      <c r="I3663" s="92"/>
      <c r="J3663" s="92"/>
      <c r="K3663" s="92"/>
      <c r="L3663" s="9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6"/>
    </row>
    <row r="3664" spans="1:14" hidden="1" x14ac:dyDescent="0.15">
      <c r="A3664">
        <v>3664</v>
      </c>
      <c r="B3664" t="s">
        <v>5933</v>
      </c>
      <c r="C3664" t="s">
        <v>6411</v>
      </c>
      <c r="D3664" s="78" t="s">
        <v>6431</v>
      </c>
      <c r="E3664" t="s">
        <v>6335</v>
      </c>
      <c r="F3664" t="s">
        <v>6455</v>
      </c>
      <c r="G3664" s="92"/>
      <c r="H3664" s="92"/>
      <c r="I3664" s="92"/>
      <c r="J3664" s="92"/>
      <c r="K3664" s="92"/>
      <c r="L3664" s="9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6"/>
    </row>
    <row r="3665" spans="1:14" hidden="1" x14ac:dyDescent="0.15">
      <c r="A3665">
        <v>3665</v>
      </c>
      <c r="B3665" t="s">
        <v>5933</v>
      </c>
      <c r="C3665" t="s">
        <v>6411</v>
      </c>
      <c r="D3665" s="78" t="s">
        <v>6432</v>
      </c>
      <c r="E3665" t="s">
        <v>6335</v>
      </c>
      <c r="F3665" t="s">
        <v>6456</v>
      </c>
      <c r="G3665" s="92"/>
      <c r="H3665" s="92"/>
      <c r="I3665" s="92"/>
      <c r="J3665" s="92"/>
      <c r="K3665" s="92"/>
      <c r="L3665" s="9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6"/>
    </row>
    <row r="3666" spans="1:14" hidden="1" x14ac:dyDescent="0.15">
      <c r="A3666">
        <v>3666</v>
      </c>
      <c r="B3666" t="s">
        <v>5933</v>
      </c>
      <c r="C3666" t="s">
        <v>6411</v>
      </c>
      <c r="D3666" s="78" t="s">
        <v>6433</v>
      </c>
      <c r="E3666" t="s">
        <v>6335</v>
      </c>
      <c r="F3666" t="s">
        <v>6458</v>
      </c>
      <c r="G3666" s="92"/>
      <c r="H3666" s="92"/>
      <c r="I3666" s="92"/>
      <c r="J3666" s="92"/>
      <c r="K3666" s="92"/>
      <c r="L3666" s="9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6"/>
    </row>
    <row r="3667" spans="1:14" hidden="1" x14ac:dyDescent="0.15">
      <c r="A3667">
        <v>3667</v>
      </c>
      <c r="B3667" t="s">
        <v>5933</v>
      </c>
      <c r="C3667" t="s">
        <v>6411</v>
      </c>
      <c r="D3667" s="78" t="s">
        <v>6434</v>
      </c>
      <c r="E3667" t="s">
        <v>6335</v>
      </c>
      <c r="F3667" t="s">
        <v>6459</v>
      </c>
      <c r="G3667" s="92"/>
      <c r="H3667" s="92"/>
      <c r="I3667" s="92"/>
      <c r="J3667" s="92"/>
      <c r="K3667" s="92"/>
      <c r="L3667" s="9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6"/>
    </row>
    <row r="3668" spans="1:14" hidden="1" x14ac:dyDescent="0.15">
      <c r="A3668">
        <v>3668</v>
      </c>
      <c r="B3668" t="s">
        <v>5933</v>
      </c>
      <c r="C3668" t="s">
        <v>6411</v>
      </c>
      <c r="D3668" s="78" t="s">
        <v>6435</v>
      </c>
      <c r="E3668" t="s">
        <v>6335</v>
      </c>
      <c r="F3668" t="s">
        <v>6460</v>
      </c>
      <c r="G3668" s="92"/>
      <c r="H3668" s="92"/>
      <c r="I3668" s="92"/>
      <c r="J3668" s="92"/>
      <c r="K3668" s="92"/>
      <c r="L3668" s="9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6"/>
    </row>
    <row r="3669" spans="1:14" hidden="1" x14ac:dyDescent="0.15">
      <c r="A3669">
        <v>3669</v>
      </c>
      <c r="B3669" t="s">
        <v>5933</v>
      </c>
      <c r="C3669" t="s">
        <v>6411</v>
      </c>
      <c r="D3669" s="78" t="s">
        <v>6436</v>
      </c>
      <c r="E3669" t="s">
        <v>6335</v>
      </c>
      <c r="F3669" t="s">
        <v>6461</v>
      </c>
      <c r="G3669" s="92"/>
      <c r="H3669" s="92"/>
      <c r="I3669" s="92"/>
      <c r="J3669" s="92"/>
      <c r="K3669" s="92"/>
      <c r="L3669" s="9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6"/>
    </row>
    <row r="3670" spans="1:14" hidden="1" x14ac:dyDescent="0.15">
      <c r="A3670">
        <v>3670</v>
      </c>
      <c r="B3670" t="s">
        <v>5933</v>
      </c>
      <c r="C3670" t="s">
        <v>6412</v>
      </c>
      <c r="D3670" s="78" t="s">
        <v>6462</v>
      </c>
      <c r="E3670" t="s">
        <v>6335</v>
      </c>
      <c r="F3670" t="s">
        <v>6482</v>
      </c>
      <c r="G3670" s="92"/>
      <c r="H3670" s="92"/>
      <c r="I3670" s="92"/>
      <c r="J3670" s="92"/>
      <c r="K3670" s="92"/>
      <c r="L3670" s="9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6"/>
    </row>
    <row r="3671" spans="1:14" hidden="1" x14ac:dyDescent="0.15">
      <c r="A3671">
        <v>3671</v>
      </c>
      <c r="B3671" t="s">
        <v>5933</v>
      </c>
      <c r="C3671" t="s">
        <v>6412</v>
      </c>
      <c r="D3671" s="78" t="s">
        <v>6471</v>
      </c>
      <c r="E3671" t="s">
        <v>6335</v>
      </c>
      <c r="F3671" t="s">
        <v>6483</v>
      </c>
      <c r="G3671" s="92"/>
      <c r="H3671" s="92"/>
      <c r="I3671" s="92"/>
      <c r="J3671" s="92"/>
      <c r="K3671" s="92"/>
      <c r="L3671" s="9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6"/>
    </row>
    <row r="3672" spans="1:14" hidden="1" x14ac:dyDescent="0.15">
      <c r="A3672">
        <v>3672</v>
      </c>
      <c r="B3672" t="s">
        <v>5933</v>
      </c>
      <c r="C3672" t="s">
        <v>6412</v>
      </c>
      <c r="D3672" s="78" t="s">
        <v>6463</v>
      </c>
      <c r="E3672" t="s">
        <v>6335</v>
      </c>
      <c r="F3672" t="s">
        <v>6484</v>
      </c>
      <c r="G3672" s="92"/>
      <c r="H3672" s="92"/>
      <c r="I3672" s="92"/>
      <c r="J3672" s="92"/>
      <c r="K3672" s="92"/>
      <c r="L3672" s="9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6"/>
    </row>
    <row r="3673" spans="1:14" hidden="1" x14ac:dyDescent="0.15">
      <c r="A3673">
        <v>3673</v>
      </c>
      <c r="B3673" t="s">
        <v>5933</v>
      </c>
      <c r="C3673" t="s">
        <v>6412</v>
      </c>
      <c r="D3673" s="78" t="s">
        <v>6464</v>
      </c>
      <c r="E3673" t="s">
        <v>6335</v>
      </c>
      <c r="F3673" t="s">
        <v>6485</v>
      </c>
      <c r="G3673" s="92"/>
      <c r="H3673" s="92"/>
      <c r="I3673" s="92"/>
      <c r="J3673" s="92"/>
      <c r="K3673" s="92"/>
      <c r="L3673" s="9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6"/>
    </row>
    <row r="3674" spans="1:14" hidden="1" x14ac:dyDescent="0.15">
      <c r="A3674">
        <v>3674</v>
      </c>
      <c r="B3674" t="s">
        <v>5933</v>
      </c>
      <c r="C3674" t="s">
        <v>6412</v>
      </c>
      <c r="D3674" s="78" t="s">
        <v>6465</v>
      </c>
      <c r="E3674" t="s">
        <v>6335</v>
      </c>
      <c r="F3674" t="s">
        <v>6486</v>
      </c>
      <c r="G3674" s="92"/>
      <c r="H3674" s="92"/>
      <c r="I3674" s="92"/>
      <c r="J3674" s="92"/>
      <c r="K3674" s="92"/>
      <c r="L3674" s="9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6"/>
    </row>
    <row r="3675" spans="1:14" hidden="1" x14ac:dyDescent="0.15">
      <c r="A3675">
        <v>3675</v>
      </c>
      <c r="B3675" t="s">
        <v>5933</v>
      </c>
      <c r="C3675" t="s">
        <v>6412</v>
      </c>
      <c r="D3675" s="78" t="s">
        <v>6466</v>
      </c>
      <c r="E3675" t="s">
        <v>6335</v>
      </c>
      <c r="F3675" t="s">
        <v>6487</v>
      </c>
      <c r="G3675" s="92"/>
      <c r="H3675" s="92"/>
      <c r="I3675" s="92"/>
      <c r="J3675" s="92"/>
      <c r="K3675" s="92"/>
      <c r="L3675" s="9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6"/>
    </row>
    <row r="3676" spans="1:14" hidden="1" x14ac:dyDescent="0.15">
      <c r="A3676">
        <v>3676</v>
      </c>
      <c r="B3676" t="s">
        <v>5933</v>
      </c>
      <c r="C3676" t="s">
        <v>6412</v>
      </c>
      <c r="D3676" s="78" t="s">
        <v>6467</v>
      </c>
      <c r="E3676" t="s">
        <v>6335</v>
      </c>
      <c r="F3676" t="s">
        <v>6488</v>
      </c>
      <c r="G3676" s="92"/>
      <c r="H3676" s="92"/>
      <c r="I3676" s="92"/>
      <c r="J3676" s="92"/>
      <c r="K3676" s="92"/>
      <c r="L3676" s="9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6"/>
    </row>
    <row r="3677" spans="1:14" hidden="1" x14ac:dyDescent="0.15">
      <c r="A3677">
        <v>3677</v>
      </c>
      <c r="B3677" t="s">
        <v>5933</v>
      </c>
      <c r="C3677" t="s">
        <v>6412</v>
      </c>
      <c r="D3677" s="78" t="s">
        <v>6468</v>
      </c>
      <c r="E3677" t="s">
        <v>6335</v>
      </c>
      <c r="F3677" t="s">
        <v>6489</v>
      </c>
      <c r="G3677" s="92"/>
      <c r="H3677" s="92"/>
      <c r="I3677" s="92"/>
      <c r="J3677" s="92"/>
      <c r="K3677" s="92"/>
      <c r="L3677" s="9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6"/>
    </row>
    <row r="3678" spans="1:14" hidden="1" x14ac:dyDescent="0.15">
      <c r="A3678">
        <v>3678</v>
      </c>
      <c r="B3678" t="s">
        <v>5933</v>
      </c>
      <c r="C3678" t="s">
        <v>6412</v>
      </c>
      <c r="D3678" s="78" t="s">
        <v>6469</v>
      </c>
      <c r="E3678" t="s">
        <v>6335</v>
      </c>
      <c r="F3678" t="s">
        <v>6490</v>
      </c>
      <c r="G3678" s="92"/>
      <c r="H3678" s="92"/>
      <c r="I3678" s="92"/>
      <c r="J3678" s="92"/>
      <c r="K3678" s="92"/>
      <c r="L3678" s="9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6"/>
    </row>
    <row r="3679" spans="1:14" hidden="1" x14ac:dyDescent="0.15">
      <c r="A3679">
        <v>3679</v>
      </c>
      <c r="B3679" t="s">
        <v>5933</v>
      </c>
      <c r="C3679" t="s">
        <v>6412</v>
      </c>
      <c r="D3679" s="78" t="s">
        <v>6470</v>
      </c>
      <c r="E3679" t="s">
        <v>6335</v>
      </c>
      <c r="F3679" t="s">
        <v>6491</v>
      </c>
      <c r="G3679" s="92"/>
      <c r="H3679" s="92"/>
      <c r="I3679" s="92"/>
      <c r="J3679" s="92"/>
      <c r="K3679" s="92"/>
      <c r="L3679" s="9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6"/>
    </row>
    <row r="3680" spans="1:14" hidden="1" x14ac:dyDescent="0.15">
      <c r="A3680">
        <v>3680</v>
      </c>
      <c r="B3680" t="s">
        <v>5933</v>
      </c>
      <c r="C3680" t="s">
        <v>6412</v>
      </c>
      <c r="D3680" s="78" t="s">
        <v>6473</v>
      </c>
      <c r="E3680" t="s">
        <v>6335</v>
      </c>
      <c r="F3680" t="s">
        <v>6492</v>
      </c>
      <c r="G3680" s="92"/>
      <c r="H3680" s="92"/>
      <c r="I3680" s="92"/>
      <c r="J3680" s="92"/>
      <c r="K3680" s="92"/>
      <c r="L3680" s="9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6"/>
    </row>
    <row r="3681" spans="1:14" hidden="1" x14ac:dyDescent="0.15">
      <c r="A3681">
        <v>3681</v>
      </c>
      <c r="B3681" t="s">
        <v>5933</v>
      </c>
      <c r="C3681" t="s">
        <v>6412</v>
      </c>
      <c r="D3681" s="78" t="s">
        <v>6474</v>
      </c>
      <c r="E3681" t="s">
        <v>6335</v>
      </c>
      <c r="F3681" t="s">
        <v>6493</v>
      </c>
      <c r="G3681" s="92"/>
      <c r="H3681" s="92"/>
      <c r="I3681" s="92"/>
      <c r="J3681" s="92"/>
      <c r="K3681" s="92"/>
      <c r="L3681" s="9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6"/>
    </row>
    <row r="3682" spans="1:14" hidden="1" x14ac:dyDescent="0.15">
      <c r="A3682">
        <v>3682</v>
      </c>
      <c r="B3682" t="s">
        <v>5933</v>
      </c>
      <c r="C3682" t="s">
        <v>6412</v>
      </c>
      <c r="D3682" s="78" t="s">
        <v>6475</v>
      </c>
      <c r="E3682" t="s">
        <v>6335</v>
      </c>
      <c r="F3682" t="s">
        <v>6494</v>
      </c>
      <c r="G3682" s="92"/>
      <c r="H3682" s="92"/>
      <c r="I3682" s="92"/>
      <c r="J3682" s="92"/>
      <c r="K3682" s="92"/>
      <c r="L3682" s="9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6"/>
    </row>
    <row r="3683" spans="1:14" hidden="1" x14ac:dyDescent="0.15">
      <c r="A3683">
        <v>3683</v>
      </c>
      <c r="B3683" t="s">
        <v>5933</v>
      </c>
      <c r="C3683" t="s">
        <v>6412</v>
      </c>
      <c r="D3683" s="78" t="s">
        <v>6476</v>
      </c>
      <c r="E3683" t="s">
        <v>6335</v>
      </c>
      <c r="F3683" t="s">
        <v>6495</v>
      </c>
      <c r="G3683" s="92"/>
      <c r="H3683" s="92"/>
      <c r="I3683" s="92"/>
      <c r="J3683" s="92"/>
      <c r="K3683" s="92"/>
      <c r="L3683" s="9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6"/>
    </row>
    <row r="3684" spans="1:14" hidden="1" x14ac:dyDescent="0.15">
      <c r="A3684">
        <v>3684</v>
      </c>
      <c r="B3684" t="s">
        <v>5933</v>
      </c>
      <c r="C3684" t="s">
        <v>6412</v>
      </c>
      <c r="D3684" s="78" t="s">
        <v>6477</v>
      </c>
      <c r="E3684" t="s">
        <v>6335</v>
      </c>
      <c r="F3684" t="s">
        <v>6496</v>
      </c>
      <c r="G3684" s="92"/>
      <c r="H3684" s="92"/>
      <c r="I3684" s="92"/>
      <c r="J3684" s="92"/>
      <c r="K3684" s="92"/>
      <c r="L3684" s="9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6"/>
    </row>
    <row r="3685" spans="1:14" hidden="1" x14ac:dyDescent="0.15">
      <c r="A3685">
        <v>3685</v>
      </c>
      <c r="B3685" t="s">
        <v>5933</v>
      </c>
      <c r="C3685" t="s">
        <v>6412</v>
      </c>
      <c r="D3685" s="78" t="s">
        <v>6478</v>
      </c>
      <c r="E3685" t="s">
        <v>6335</v>
      </c>
      <c r="F3685" t="s">
        <v>6497</v>
      </c>
      <c r="G3685" s="92"/>
      <c r="H3685" s="92"/>
      <c r="I3685" s="92"/>
      <c r="J3685" s="92"/>
      <c r="K3685" s="92"/>
      <c r="L3685" s="9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6"/>
    </row>
    <row r="3686" spans="1:14" hidden="1" x14ac:dyDescent="0.15">
      <c r="A3686">
        <v>3686</v>
      </c>
      <c r="B3686" t="s">
        <v>5933</v>
      </c>
      <c r="C3686" t="s">
        <v>6412</v>
      </c>
      <c r="D3686" s="78" t="s">
        <v>6479</v>
      </c>
      <c r="E3686" t="s">
        <v>6335</v>
      </c>
      <c r="F3686" t="s">
        <v>6498</v>
      </c>
      <c r="G3686" s="92"/>
      <c r="H3686" s="92"/>
      <c r="I3686" s="92"/>
      <c r="J3686" s="92"/>
      <c r="K3686" s="92"/>
      <c r="L3686" s="9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6"/>
    </row>
    <row r="3687" spans="1:14" hidden="1" x14ac:dyDescent="0.15">
      <c r="A3687">
        <v>3687</v>
      </c>
      <c r="B3687" t="s">
        <v>5933</v>
      </c>
      <c r="C3687" t="s">
        <v>6412</v>
      </c>
      <c r="D3687" s="78" t="s">
        <v>6480</v>
      </c>
      <c r="E3687" t="s">
        <v>6335</v>
      </c>
      <c r="F3687" t="s">
        <v>6499</v>
      </c>
      <c r="G3687" s="92"/>
      <c r="H3687" s="92"/>
      <c r="I3687" s="92"/>
      <c r="J3687" s="92"/>
      <c r="K3687" s="92"/>
      <c r="L3687" s="9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6"/>
    </row>
    <row r="3688" spans="1:14" hidden="1" x14ac:dyDescent="0.15">
      <c r="A3688">
        <v>3688</v>
      </c>
      <c r="B3688" t="s">
        <v>5933</v>
      </c>
      <c r="C3688" t="s">
        <v>6412</v>
      </c>
      <c r="D3688" s="78" t="s">
        <v>6481</v>
      </c>
      <c r="E3688" t="s">
        <v>6335</v>
      </c>
      <c r="F3688" t="s">
        <v>6500</v>
      </c>
      <c r="G3688" s="92"/>
      <c r="H3688" s="92"/>
      <c r="I3688" s="92"/>
      <c r="J3688" s="92"/>
      <c r="K3688" s="92"/>
      <c r="L3688" s="9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6"/>
    </row>
    <row r="3689" spans="1:14" hidden="1" x14ac:dyDescent="0.15">
      <c r="A3689">
        <v>3689</v>
      </c>
      <c r="B3689" t="s">
        <v>5933</v>
      </c>
      <c r="C3689" t="s">
        <v>6854</v>
      </c>
      <c r="D3689" s="78" t="s">
        <v>6505</v>
      </c>
      <c r="E3689" t="s">
        <v>6506</v>
      </c>
      <c r="F3689" t="s">
        <v>6507</v>
      </c>
      <c r="G3689" s="92">
        <v>43276.898125</v>
      </c>
      <c r="H3689" s="92">
        <v>43276.898125</v>
      </c>
      <c r="I3689" s="92">
        <v>43276.898125</v>
      </c>
      <c r="J3689" s="92">
        <v>43276.911689814813</v>
      </c>
      <c r="K3689" s="92"/>
      <c r="L3689" s="92">
        <f>IF(AND(单词表[[#This Row],[学英]]&lt;&gt;"",单词表[[#This Row],[学中]]&lt;&gt;"",单词表[[#This Row],[学词]]&lt;&gt;""),MAX(单词表[[#This Row],[学英]:[学词]]),"")</f>
        <v>43276.898125</v>
      </c>
      <c r="M3689" s="2" t="str">
        <f>IF(AND(单词表[[#This Row],[考英]]&lt;&gt;"",单词表[[#This Row],[考中]]&lt;&gt;""),MAX(单词表[[#This Row],[考英]:[考中]]),"")</f>
        <v/>
      </c>
      <c r="N3689" s="86"/>
    </row>
    <row r="3690" spans="1:14" hidden="1" x14ac:dyDescent="0.15">
      <c r="A3690">
        <v>3690</v>
      </c>
      <c r="B3690" t="s">
        <v>5933</v>
      </c>
      <c r="C3690" t="s">
        <v>6854</v>
      </c>
      <c r="D3690" s="78" t="s">
        <v>6508</v>
      </c>
      <c r="E3690" t="s">
        <v>6509</v>
      </c>
      <c r="F3690" t="s">
        <v>6510</v>
      </c>
      <c r="G3690" s="92">
        <v>43276.898252314815</v>
      </c>
      <c r="H3690" s="92">
        <v>43276.898252314815</v>
      </c>
      <c r="I3690" s="92">
        <v>43276.898252314815</v>
      </c>
      <c r="J3690" s="92">
        <v>43276.902141203704</v>
      </c>
      <c r="K3690" s="92"/>
      <c r="L3690" s="92">
        <f>IF(AND(单词表[[#This Row],[学英]]&lt;&gt;"",单词表[[#This Row],[学中]]&lt;&gt;"",单词表[[#This Row],[学词]]&lt;&gt;""),MAX(单词表[[#This Row],[学英]:[学词]]),"")</f>
        <v>43276.898252314815</v>
      </c>
      <c r="M3690" s="2" t="str">
        <f>IF(AND(单词表[[#This Row],[考英]]&lt;&gt;"",单词表[[#This Row],[考中]]&lt;&gt;""),MAX(单词表[[#This Row],[考英]:[考中]]),"")</f>
        <v/>
      </c>
      <c r="N3690" s="86"/>
    </row>
    <row r="3691" spans="1:14" hidden="1" x14ac:dyDescent="0.15">
      <c r="A3691">
        <v>3691</v>
      </c>
      <c r="B3691" t="s">
        <v>5933</v>
      </c>
      <c r="C3691" t="s">
        <v>6854</v>
      </c>
      <c r="D3691" s="78" t="s">
        <v>6511</v>
      </c>
      <c r="E3691" t="s">
        <v>6512</v>
      </c>
      <c r="F3691" t="s">
        <v>6513</v>
      </c>
      <c r="G3691" s="92">
        <v>43276.898368055554</v>
      </c>
      <c r="H3691" s="92">
        <v>43276.898368055554</v>
      </c>
      <c r="I3691" s="92">
        <v>43276.898368055554</v>
      </c>
      <c r="J3691" s="92">
        <v>43276.90221064815</v>
      </c>
      <c r="K3691" s="92"/>
      <c r="L3691" s="92">
        <f>IF(AND(单词表[[#This Row],[学英]]&lt;&gt;"",单词表[[#This Row],[学中]]&lt;&gt;"",单词表[[#This Row],[学词]]&lt;&gt;""),MAX(单词表[[#This Row],[学英]:[学词]]),"")</f>
        <v>43276.898368055554</v>
      </c>
      <c r="M3691" s="2" t="str">
        <f>IF(AND(单词表[[#This Row],[考英]]&lt;&gt;"",单词表[[#This Row],[考中]]&lt;&gt;""),MAX(单词表[[#This Row],[考英]:[考中]]),"")</f>
        <v/>
      </c>
      <c r="N3691" s="86"/>
    </row>
    <row r="3692" spans="1:14" hidden="1" x14ac:dyDescent="0.15">
      <c r="A3692">
        <v>3692</v>
      </c>
      <c r="B3692" t="s">
        <v>5933</v>
      </c>
      <c r="C3692" t="s">
        <v>6854</v>
      </c>
      <c r="D3692" s="78" t="s">
        <v>6514</v>
      </c>
      <c r="E3692" t="s">
        <v>6506</v>
      </c>
      <c r="F3692" t="s">
        <v>6515</v>
      </c>
      <c r="G3692" s="92">
        <v>43276.898425925923</v>
      </c>
      <c r="H3692" s="92">
        <v>43276.898425925923</v>
      </c>
      <c r="I3692" s="92">
        <v>43276.898425925923</v>
      </c>
      <c r="J3692" s="92">
        <v>43276.902256944442</v>
      </c>
      <c r="K3692" s="92"/>
      <c r="L3692" s="92">
        <f>IF(AND(单词表[[#This Row],[学英]]&lt;&gt;"",单词表[[#This Row],[学中]]&lt;&gt;"",单词表[[#This Row],[学词]]&lt;&gt;""),MAX(单词表[[#This Row],[学英]:[学词]]),"")</f>
        <v>43276.898425925923</v>
      </c>
      <c r="M3692" s="2" t="str">
        <f>IF(AND(单词表[[#This Row],[考英]]&lt;&gt;"",单词表[[#This Row],[考中]]&lt;&gt;""),MAX(单词表[[#This Row],[考英]:[考中]]),"")</f>
        <v/>
      </c>
      <c r="N3692" s="86"/>
    </row>
    <row r="3693" spans="1:14" hidden="1" x14ac:dyDescent="0.15">
      <c r="A3693">
        <v>3693</v>
      </c>
      <c r="B3693" t="s">
        <v>5933</v>
      </c>
      <c r="C3693" t="s">
        <v>6854</v>
      </c>
      <c r="D3693" s="78" t="s">
        <v>6516</v>
      </c>
      <c r="E3693" t="s">
        <v>6517</v>
      </c>
      <c r="F3693" t="s">
        <v>6518</v>
      </c>
      <c r="G3693" s="92">
        <v>43276.898495370369</v>
      </c>
      <c r="H3693" s="92">
        <v>43276.898495370369</v>
      </c>
      <c r="I3693" s="92">
        <v>43276.898495370369</v>
      </c>
      <c r="J3693" s="92">
        <v>43276.902615740742</v>
      </c>
      <c r="K3693" s="92"/>
      <c r="L3693" s="92">
        <f>IF(AND(单词表[[#This Row],[学英]]&lt;&gt;"",单词表[[#This Row],[学中]]&lt;&gt;"",单词表[[#This Row],[学词]]&lt;&gt;""),MAX(单词表[[#This Row],[学英]:[学词]]),"")</f>
        <v>43276.898495370369</v>
      </c>
      <c r="M3693" s="2" t="str">
        <f>IF(AND(单词表[[#This Row],[考英]]&lt;&gt;"",单词表[[#This Row],[考中]]&lt;&gt;""),MAX(单词表[[#This Row],[考英]:[考中]]),"")</f>
        <v/>
      </c>
      <c r="N3693" s="86"/>
    </row>
    <row r="3694" spans="1:14" hidden="1" x14ac:dyDescent="0.15">
      <c r="A3694">
        <v>3694</v>
      </c>
      <c r="B3694" t="s">
        <v>5933</v>
      </c>
      <c r="C3694" t="s">
        <v>6854</v>
      </c>
      <c r="D3694" s="78" t="s">
        <v>6519</v>
      </c>
      <c r="E3694" t="s">
        <v>6517</v>
      </c>
      <c r="F3694" t="s">
        <v>6520</v>
      </c>
      <c r="G3694" s="92">
        <v>43276.898587962962</v>
      </c>
      <c r="H3694" s="92">
        <v>43276.898587962962</v>
      </c>
      <c r="I3694" s="92">
        <v>43276.898587962962</v>
      </c>
      <c r="J3694" s="92">
        <v>43276.902731481481</v>
      </c>
      <c r="K3694" s="92"/>
      <c r="L3694" s="92">
        <f>IF(AND(单词表[[#This Row],[学英]]&lt;&gt;"",单词表[[#This Row],[学中]]&lt;&gt;"",单词表[[#This Row],[学词]]&lt;&gt;""),MAX(单词表[[#This Row],[学英]:[学词]]),"")</f>
        <v>43276.898587962962</v>
      </c>
      <c r="M3694" s="2" t="str">
        <f>IF(AND(单词表[[#This Row],[考英]]&lt;&gt;"",单词表[[#This Row],[考中]]&lt;&gt;""),MAX(单词表[[#This Row],[考英]:[考中]]),"")</f>
        <v/>
      </c>
      <c r="N3694" s="86"/>
    </row>
    <row r="3695" spans="1:14" hidden="1" x14ac:dyDescent="0.15">
      <c r="A3695">
        <v>3695</v>
      </c>
      <c r="B3695" t="s">
        <v>5933</v>
      </c>
      <c r="C3695" t="s">
        <v>6854</v>
      </c>
      <c r="D3695" s="78" t="s">
        <v>6521</v>
      </c>
      <c r="E3695" t="s">
        <v>6517</v>
      </c>
      <c r="F3695" t="s">
        <v>6522</v>
      </c>
      <c r="G3695" s="92">
        <v>43276.898657407408</v>
      </c>
      <c r="H3695" s="92">
        <v>43276.898657407408</v>
      </c>
      <c r="I3695" s="92">
        <v>43276.898657407408</v>
      </c>
      <c r="J3695" s="92">
        <v>43276.902812499997</v>
      </c>
      <c r="K3695" s="92"/>
      <c r="L3695" s="92">
        <f>IF(AND(单词表[[#This Row],[学英]]&lt;&gt;"",单词表[[#This Row],[学中]]&lt;&gt;"",单词表[[#This Row],[学词]]&lt;&gt;""),MAX(单词表[[#This Row],[学英]:[学词]]),"")</f>
        <v>43276.898657407408</v>
      </c>
      <c r="M3695" s="2" t="str">
        <f>IF(AND(单词表[[#This Row],[考英]]&lt;&gt;"",单词表[[#This Row],[考中]]&lt;&gt;""),MAX(单词表[[#This Row],[考英]:[考中]]),"")</f>
        <v/>
      </c>
      <c r="N3695" s="86"/>
    </row>
    <row r="3696" spans="1:14" hidden="1" x14ac:dyDescent="0.15">
      <c r="A3696">
        <v>3696</v>
      </c>
      <c r="B3696" t="s">
        <v>5933</v>
      </c>
      <c r="C3696" t="s">
        <v>6854</v>
      </c>
      <c r="D3696" s="78" t="s">
        <v>6523</v>
      </c>
      <c r="E3696" t="s">
        <v>6517</v>
      </c>
      <c r="F3696" t="s">
        <v>6524</v>
      </c>
      <c r="G3696" s="92">
        <v>43276.898726851854</v>
      </c>
      <c r="H3696" s="92">
        <v>43276.898726851854</v>
      </c>
      <c r="I3696" s="92">
        <v>43276.898726851854</v>
      </c>
      <c r="J3696" s="92">
        <v>43276.90289351852</v>
      </c>
      <c r="K3696" s="92"/>
      <c r="L3696" s="92">
        <f>IF(AND(单词表[[#This Row],[学英]]&lt;&gt;"",单词表[[#This Row],[学中]]&lt;&gt;"",单词表[[#This Row],[学词]]&lt;&gt;""),MAX(单词表[[#This Row],[学英]:[学词]]),"")</f>
        <v>43276.898726851854</v>
      </c>
      <c r="M3696" s="2" t="str">
        <f>IF(AND(单词表[[#This Row],[考英]]&lt;&gt;"",单词表[[#This Row],[考中]]&lt;&gt;""),MAX(单词表[[#This Row],[考英]:[考中]]),"")</f>
        <v/>
      </c>
      <c r="N3696" s="86"/>
    </row>
    <row r="3697" spans="1:14" hidden="1" x14ac:dyDescent="0.15">
      <c r="A3697">
        <v>3697</v>
      </c>
      <c r="B3697" t="s">
        <v>5933</v>
      </c>
      <c r="C3697" t="s">
        <v>6854</v>
      </c>
      <c r="D3697" s="78" t="s">
        <v>6525</v>
      </c>
      <c r="E3697" t="s">
        <v>6517</v>
      </c>
      <c r="F3697" t="s">
        <v>6526</v>
      </c>
      <c r="G3697" s="92">
        <v>43276.898784722223</v>
      </c>
      <c r="H3697" s="92">
        <v>43276.898784722223</v>
      </c>
      <c r="I3697" s="92">
        <v>43276.898784722223</v>
      </c>
      <c r="J3697" s="92">
        <v>43276.903009259258</v>
      </c>
      <c r="K3697" s="92"/>
      <c r="L3697" s="92">
        <f>IF(AND(单词表[[#This Row],[学英]]&lt;&gt;"",单词表[[#This Row],[学中]]&lt;&gt;"",单词表[[#This Row],[学词]]&lt;&gt;""),MAX(单词表[[#This Row],[学英]:[学词]]),"")</f>
        <v>43276.898784722223</v>
      </c>
      <c r="M3697" s="2" t="str">
        <f>IF(AND(单词表[[#This Row],[考英]]&lt;&gt;"",单词表[[#This Row],[考中]]&lt;&gt;""),MAX(单词表[[#This Row],[考英]:[考中]]),"")</f>
        <v/>
      </c>
      <c r="N3697" s="86"/>
    </row>
    <row r="3698" spans="1:14" hidden="1" x14ac:dyDescent="0.15">
      <c r="A3698">
        <v>3698</v>
      </c>
      <c r="B3698" t="s">
        <v>5933</v>
      </c>
      <c r="C3698" t="s">
        <v>6854</v>
      </c>
      <c r="D3698" s="78" t="s">
        <v>6527</v>
      </c>
      <c r="E3698" t="s">
        <v>6517</v>
      </c>
      <c r="F3698" t="s">
        <v>6528</v>
      </c>
      <c r="G3698" s="92">
        <v>43276.898854166669</v>
      </c>
      <c r="H3698" s="92">
        <v>43276.898854166669</v>
      </c>
      <c r="I3698" s="92">
        <v>43276.898854166669</v>
      </c>
      <c r="J3698" s="92">
        <v>43276.903275462966</v>
      </c>
      <c r="K3698" s="92"/>
      <c r="L3698" s="92">
        <f>IF(AND(单词表[[#This Row],[学英]]&lt;&gt;"",单词表[[#This Row],[学中]]&lt;&gt;"",单词表[[#This Row],[学词]]&lt;&gt;""),MAX(单词表[[#This Row],[学英]:[学词]]),"")</f>
        <v>43276.898854166669</v>
      </c>
      <c r="M3698" s="2" t="str">
        <f>IF(AND(单词表[[#This Row],[考英]]&lt;&gt;"",单词表[[#This Row],[考中]]&lt;&gt;""),MAX(单词表[[#This Row],[考英]:[考中]]),"")</f>
        <v/>
      </c>
      <c r="N3698" s="86"/>
    </row>
    <row r="3699" spans="1:14" hidden="1" x14ac:dyDescent="0.15">
      <c r="A3699">
        <v>3699</v>
      </c>
      <c r="B3699" t="s">
        <v>5933</v>
      </c>
      <c r="C3699" t="s">
        <v>6854</v>
      </c>
      <c r="D3699" s="78" t="s">
        <v>6529</v>
      </c>
      <c r="E3699" t="s">
        <v>6517</v>
      </c>
      <c r="F3699" t="s">
        <v>6530</v>
      </c>
      <c r="G3699" s="92">
        <v>43277.92015046296</v>
      </c>
      <c r="H3699" s="92">
        <v>43276.898935185185</v>
      </c>
      <c r="I3699" s="92">
        <v>43276.898935185185</v>
      </c>
      <c r="J3699" s="92">
        <v>43277.92396990741</v>
      </c>
      <c r="K3699" s="92"/>
      <c r="L3699" s="92">
        <f>IF(AND(单词表[[#This Row],[学英]]&lt;&gt;"",单词表[[#This Row],[学中]]&lt;&gt;"",单词表[[#This Row],[学词]]&lt;&gt;""),MAX(单词表[[#This Row],[学英]:[学词]]),"")</f>
        <v>43277.92015046296</v>
      </c>
      <c r="M3699" s="2" t="str">
        <f>IF(AND(单词表[[#This Row],[考英]]&lt;&gt;"",单词表[[#This Row],[考中]]&lt;&gt;""),MAX(单词表[[#This Row],[考英]:[考中]]),"")</f>
        <v/>
      </c>
      <c r="N3699" s="86"/>
    </row>
    <row r="3700" spans="1:14" hidden="1" x14ac:dyDescent="0.15">
      <c r="A3700">
        <v>3700</v>
      </c>
      <c r="B3700" t="s">
        <v>5933</v>
      </c>
      <c r="C3700" t="s">
        <v>6854</v>
      </c>
      <c r="D3700" s="78" t="s">
        <v>6531</v>
      </c>
      <c r="E3700" t="s">
        <v>6517</v>
      </c>
      <c r="F3700" t="s">
        <v>6532</v>
      </c>
      <c r="G3700" s="92">
        <v>43276.898993055554</v>
      </c>
      <c r="H3700" s="92">
        <v>43276.898993055554</v>
      </c>
      <c r="I3700" s="92">
        <v>43276.898993055554</v>
      </c>
      <c r="J3700" s="92">
        <v>43276.903553240743</v>
      </c>
      <c r="K3700" s="92"/>
      <c r="L3700" s="92">
        <f>IF(AND(单词表[[#This Row],[学英]]&lt;&gt;"",单词表[[#This Row],[学中]]&lt;&gt;"",单词表[[#This Row],[学词]]&lt;&gt;""),MAX(单词表[[#This Row],[学英]:[学词]]),"")</f>
        <v>43276.898993055554</v>
      </c>
      <c r="M3700" s="2" t="str">
        <f>IF(AND(单词表[[#This Row],[考英]]&lt;&gt;"",单词表[[#This Row],[考中]]&lt;&gt;""),MAX(单词表[[#This Row],[考英]:[考中]]),"")</f>
        <v/>
      </c>
      <c r="N3700" s="86"/>
    </row>
    <row r="3701" spans="1:14" hidden="1" x14ac:dyDescent="0.15">
      <c r="A3701">
        <v>3701</v>
      </c>
      <c r="B3701" t="s">
        <v>5933</v>
      </c>
      <c r="C3701" t="s">
        <v>6854</v>
      </c>
      <c r="D3701" s="78" t="s">
        <v>6533</v>
      </c>
      <c r="E3701" t="s">
        <v>6517</v>
      </c>
      <c r="F3701" t="s">
        <v>6534</v>
      </c>
      <c r="G3701" s="92">
        <v>43277.920057870368</v>
      </c>
      <c r="H3701" s="92">
        <v>43276.899074074077</v>
      </c>
      <c r="I3701" s="92">
        <v>43276.899074074077</v>
      </c>
      <c r="J3701" s="92">
        <v>43277.924074074072</v>
      </c>
      <c r="K3701" s="92"/>
      <c r="L3701" s="92">
        <f>IF(AND(单词表[[#This Row],[学英]]&lt;&gt;"",单词表[[#This Row],[学中]]&lt;&gt;"",单词表[[#This Row],[学词]]&lt;&gt;""),MAX(单词表[[#This Row],[学英]:[学词]]),"")</f>
        <v>43277.920057870368</v>
      </c>
      <c r="M3701" s="2" t="str">
        <f>IF(AND(单词表[[#This Row],[考英]]&lt;&gt;"",单词表[[#This Row],[考中]]&lt;&gt;""),MAX(单词表[[#This Row],[考英]:[考中]]),"")</f>
        <v/>
      </c>
      <c r="N3701" s="86"/>
    </row>
    <row r="3702" spans="1:14" hidden="1" x14ac:dyDescent="0.15">
      <c r="A3702">
        <v>3702</v>
      </c>
      <c r="B3702" t="s">
        <v>5933</v>
      </c>
      <c r="C3702" t="s">
        <v>6854</v>
      </c>
      <c r="D3702" s="78" t="s">
        <v>6535</v>
      </c>
      <c r="E3702" t="s">
        <v>6517</v>
      </c>
      <c r="F3702" t="s">
        <v>6536</v>
      </c>
      <c r="G3702" s="92">
        <v>43276.901307870372</v>
      </c>
      <c r="H3702" s="92">
        <v>43276.901307870372</v>
      </c>
      <c r="I3702" s="92">
        <v>43276.901307870372</v>
      </c>
      <c r="J3702" s="92">
        <v>43276.903865740744</v>
      </c>
      <c r="K3702" s="92"/>
      <c r="L3702" s="92">
        <f>IF(AND(单词表[[#This Row],[学英]]&lt;&gt;"",单词表[[#This Row],[学中]]&lt;&gt;"",单词表[[#This Row],[学词]]&lt;&gt;""),MAX(单词表[[#This Row],[学英]:[学词]]),"")</f>
        <v>43276.901307870372</v>
      </c>
      <c r="M3702" s="2" t="str">
        <f>IF(AND(单词表[[#This Row],[考英]]&lt;&gt;"",单词表[[#This Row],[考中]]&lt;&gt;""),MAX(单词表[[#This Row],[考英]:[考中]]),"")</f>
        <v/>
      </c>
      <c r="N3702" s="86"/>
    </row>
    <row r="3703" spans="1:14" hidden="1" x14ac:dyDescent="0.15">
      <c r="A3703">
        <v>3703</v>
      </c>
      <c r="B3703" t="s">
        <v>5933</v>
      </c>
      <c r="C3703" t="s">
        <v>6854</v>
      </c>
      <c r="D3703" s="78" t="s">
        <v>6537</v>
      </c>
      <c r="E3703" t="s">
        <v>6517</v>
      </c>
      <c r="F3703" t="s">
        <v>6538</v>
      </c>
      <c r="G3703" s="92">
        <v>43276.901284722226</v>
      </c>
      <c r="H3703" s="92">
        <v>43276.901284722226</v>
      </c>
      <c r="I3703" s="92">
        <v>43276.901284722226</v>
      </c>
      <c r="J3703" s="92">
        <v>43276.904062499998</v>
      </c>
      <c r="K3703" s="92"/>
      <c r="L3703" s="92">
        <f>IF(AND(单词表[[#This Row],[学英]]&lt;&gt;"",单词表[[#This Row],[学中]]&lt;&gt;"",单词表[[#This Row],[学词]]&lt;&gt;""),MAX(单词表[[#This Row],[学英]:[学词]]),"")</f>
        <v>43276.901284722226</v>
      </c>
      <c r="M3703" s="2" t="str">
        <f>IF(AND(单词表[[#This Row],[考英]]&lt;&gt;"",单词表[[#This Row],[考中]]&lt;&gt;""),MAX(单词表[[#This Row],[考英]:[考中]]),"")</f>
        <v/>
      </c>
      <c r="N3703" s="86"/>
    </row>
    <row r="3704" spans="1:14" hidden="1" x14ac:dyDescent="0.15">
      <c r="A3704">
        <v>3704</v>
      </c>
      <c r="B3704" t="s">
        <v>5933</v>
      </c>
      <c r="C3704" t="s">
        <v>6854</v>
      </c>
      <c r="D3704" s="78" t="s">
        <v>6539</v>
      </c>
      <c r="E3704" t="s">
        <v>6517</v>
      </c>
      <c r="F3704" t="s">
        <v>6540</v>
      </c>
      <c r="G3704" s="92">
        <v>43276.899444444447</v>
      </c>
      <c r="H3704" s="92">
        <v>43276.899444444447</v>
      </c>
      <c r="I3704" s="92">
        <v>43276.899456018517</v>
      </c>
      <c r="J3704" s="92">
        <v>43276.904166666667</v>
      </c>
      <c r="K3704" s="92"/>
      <c r="L3704" s="92">
        <f>IF(AND(单词表[[#This Row],[学英]]&lt;&gt;"",单词表[[#This Row],[学中]]&lt;&gt;"",单词表[[#This Row],[学词]]&lt;&gt;""),MAX(单词表[[#This Row],[学英]:[学词]]),"")</f>
        <v>43276.899456018517</v>
      </c>
      <c r="M3704" s="2" t="str">
        <f>IF(AND(单词表[[#This Row],[考英]]&lt;&gt;"",单词表[[#This Row],[考中]]&lt;&gt;""),MAX(单词表[[#This Row],[考英]:[考中]]),"")</f>
        <v/>
      </c>
      <c r="N3704" s="86"/>
    </row>
    <row r="3705" spans="1:14" hidden="1" x14ac:dyDescent="0.15">
      <c r="A3705">
        <v>3705</v>
      </c>
      <c r="B3705" t="s">
        <v>5933</v>
      </c>
      <c r="C3705" t="s">
        <v>6854</v>
      </c>
      <c r="D3705" s="78" t="s">
        <v>6541</v>
      </c>
      <c r="E3705" t="s">
        <v>6517</v>
      </c>
      <c r="F3705" t="s">
        <v>6542</v>
      </c>
      <c r="G3705" s="92">
        <v>43276.901261574072</v>
      </c>
      <c r="H3705" s="92">
        <v>43276.901261574072</v>
      </c>
      <c r="I3705" s="92">
        <v>43276.901261574072</v>
      </c>
      <c r="J3705" s="92">
        <v>43276.904270833336</v>
      </c>
      <c r="K3705" s="92"/>
      <c r="L3705" s="92">
        <f>IF(AND(单词表[[#This Row],[学英]]&lt;&gt;"",单词表[[#This Row],[学中]]&lt;&gt;"",单词表[[#This Row],[学词]]&lt;&gt;""),MAX(单词表[[#This Row],[学英]:[学词]]),"")</f>
        <v>43276.901261574072</v>
      </c>
      <c r="M3705" s="2" t="str">
        <f>IF(AND(单词表[[#This Row],[考英]]&lt;&gt;"",单词表[[#This Row],[考中]]&lt;&gt;""),MAX(单词表[[#This Row],[考英]:[考中]]),"")</f>
        <v/>
      </c>
      <c r="N3705" s="86"/>
    </row>
    <row r="3706" spans="1:14" hidden="1" x14ac:dyDescent="0.15">
      <c r="A3706">
        <v>3706</v>
      </c>
      <c r="B3706" t="s">
        <v>5933</v>
      </c>
      <c r="C3706" t="s">
        <v>6854</v>
      </c>
      <c r="D3706" s="78" t="s">
        <v>6543</v>
      </c>
      <c r="E3706" t="s">
        <v>6544</v>
      </c>
      <c r="F3706" t="s">
        <v>6545</v>
      </c>
      <c r="G3706" s="92">
        <v>43277.929560185185</v>
      </c>
      <c r="H3706" s="92">
        <v>43276.899571759262</v>
      </c>
      <c r="I3706" s="92">
        <v>43276.899571759262</v>
      </c>
      <c r="J3706" s="92">
        <v>43277.930231481485</v>
      </c>
      <c r="K3706" s="92"/>
      <c r="L3706" s="92">
        <f>IF(AND(单词表[[#This Row],[学英]]&lt;&gt;"",单词表[[#This Row],[学中]]&lt;&gt;"",单词表[[#This Row],[学词]]&lt;&gt;""),MAX(单词表[[#This Row],[学英]:[学词]]),"")</f>
        <v>43277.929560185185</v>
      </c>
      <c r="M3706" s="2" t="str">
        <f>IF(AND(单词表[[#This Row],[考英]]&lt;&gt;"",单词表[[#This Row],[考中]]&lt;&gt;""),MAX(单词表[[#This Row],[考英]:[考中]]),"")</f>
        <v/>
      </c>
      <c r="N3706" s="86"/>
    </row>
    <row r="3707" spans="1:14" hidden="1" x14ac:dyDescent="0.15">
      <c r="A3707">
        <v>3707</v>
      </c>
      <c r="B3707" t="s">
        <v>5933</v>
      </c>
      <c r="C3707" t="s">
        <v>6854</v>
      </c>
      <c r="D3707" s="78" t="s">
        <v>6546</v>
      </c>
      <c r="E3707" t="s">
        <v>6517</v>
      </c>
      <c r="F3707" t="s">
        <v>6547</v>
      </c>
      <c r="G3707" s="92">
        <v>43276.899699074071</v>
      </c>
      <c r="H3707" s="92">
        <v>43276.899699074071</v>
      </c>
      <c r="I3707" s="92">
        <v>43276.899699074071</v>
      </c>
      <c r="J3707" s="92">
        <v>43276.904664351852</v>
      </c>
      <c r="K3707" s="92"/>
      <c r="L3707" s="92">
        <f>IF(AND(单词表[[#This Row],[学英]]&lt;&gt;"",单词表[[#This Row],[学中]]&lt;&gt;"",单词表[[#This Row],[学词]]&lt;&gt;""),MAX(单词表[[#This Row],[学英]:[学词]]),"")</f>
        <v>43276.899699074071</v>
      </c>
      <c r="M3707" s="2" t="str">
        <f>IF(AND(单词表[[#This Row],[考英]]&lt;&gt;"",单词表[[#This Row],[考中]]&lt;&gt;""),MAX(单词表[[#This Row],[考英]:[考中]]),"")</f>
        <v/>
      </c>
      <c r="N3707" s="86"/>
    </row>
    <row r="3708" spans="1:14" hidden="1" x14ac:dyDescent="0.15">
      <c r="A3708">
        <v>3708</v>
      </c>
      <c r="B3708" t="s">
        <v>5933</v>
      </c>
      <c r="C3708" t="s">
        <v>6854</v>
      </c>
      <c r="D3708" s="78" t="s">
        <v>6548</v>
      </c>
      <c r="E3708" t="s">
        <v>6517</v>
      </c>
      <c r="F3708" t="s">
        <v>6549</v>
      </c>
      <c r="G3708" s="92">
        <v>43277.919988425929</v>
      </c>
      <c r="H3708" s="92">
        <v>43276.899791666663</v>
      </c>
      <c r="I3708" s="92">
        <v>43276.899791666663</v>
      </c>
      <c r="J3708" s="92">
        <v>43277.92428240741</v>
      </c>
      <c r="K3708" s="92"/>
      <c r="L3708" s="92">
        <f>IF(AND(单词表[[#This Row],[学英]]&lt;&gt;"",单词表[[#This Row],[学中]]&lt;&gt;"",单词表[[#This Row],[学词]]&lt;&gt;""),MAX(单词表[[#This Row],[学英]:[学词]]),"")</f>
        <v>43277.919988425929</v>
      </c>
      <c r="M3708" s="2" t="str">
        <f>IF(AND(单词表[[#This Row],[考英]]&lt;&gt;"",单词表[[#This Row],[考中]]&lt;&gt;""),MAX(单词表[[#This Row],[考英]:[考中]]),"")</f>
        <v/>
      </c>
      <c r="N3708" s="86"/>
    </row>
    <row r="3709" spans="1:14" hidden="1" x14ac:dyDescent="0.15">
      <c r="A3709">
        <v>3709</v>
      </c>
      <c r="B3709" t="s">
        <v>5933</v>
      </c>
      <c r="C3709" t="s">
        <v>6854</v>
      </c>
      <c r="D3709" s="78" t="s">
        <v>6550</v>
      </c>
      <c r="E3709" t="s">
        <v>6517</v>
      </c>
      <c r="F3709" t="s">
        <v>6551</v>
      </c>
      <c r="G3709" s="92">
        <v>43276.901180555556</v>
      </c>
      <c r="H3709" s="92">
        <v>43276.901180555556</v>
      </c>
      <c r="I3709" s="92">
        <v>43276.901180555556</v>
      </c>
      <c r="J3709" s="92">
        <v>43276.904953703706</v>
      </c>
      <c r="K3709" s="92"/>
      <c r="L3709" s="92">
        <f>IF(AND(单词表[[#This Row],[学英]]&lt;&gt;"",单词表[[#This Row],[学中]]&lt;&gt;"",单词表[[#This Row],[学词]]&lt;&gt;""),MAX(单词表[[#This Row],[学英]:[学词]]),"")</f>
        <v>43276.901180555556</v>
      </c>
      <c r="M3709" s="2" t="str">
        <f>IF(AND(单词表[[#This Row],[考英]]&lt;&gt;"",单词表[[#This Row],[考中]]&lt;&gt;""),MAX(单词表[[#This Row],[考英]:[考中]]),"")</f>
        <v/>
      </c>
      <c r="N3709" s="86"/>
    </row>
    <row r="3710" spans="1:14" hidden="1" x14ac:dyDescent="0.15">
      <c r="A3710">
        <v>3710</v>
      </c>
      <c r="B3710" t="s">
        <v>5933</v>
      </c>
      <c r="C3710" t="s">
        <v>6854</v>
      </c>
      <c r="D3710" s="78" t="s">
        <v>6552</v>
      </c>
      <c r="E3710" t="s">
        <v>6517</v>
      </c>
      <c r="F3710" t="s">
        <v>6558</v>
      </c>
      <c r="G3710" s="92">
        <v>43276.901145833333</v>
      </c>
      <c r="H3710" s="92">
        <v>43276.901145833333</v>
      </c>
      <c r="I3710" s="92">
        <v>43276.901145833333</v>
      </c>
      <c r="J3710" s="92">
        <v>43276.905104166668</v>
      </c>
      <c r="K3710" s="92"/>
      <c r="L3710" s="92">
        <f>IF(AND(单词表[[#This Row],[学英]]&lt;&gt;"",单词表[[#This Row],[学中]]&lt;&gt;"",单词表[[#This Row],[学词]]&lt;&gt;""),MAX(单词表[[#This Row],[学英]:[学词]]),"")</f>
        <v>43276.901145833333</v>
      </c>
      <c r="M3710" s="2" t="str">
        <f>IF(AND(单词表[[#This Row],[考英]]&lt;&gt;"",单词表[[#This Row],[考中]]&lt;&gt;""),MAX(单词表[[#This Row],[考英]:[考中]]),"")</f>
        <v/>
      </c>
      <c r="N3710" s="86"/>
    </row>
    <row r="3711" spans="1:14" hidden="1" x14ac:dyDescent="0.15">
      <c r="A3711">
        <v>3711</v>
      </c>
      <c r="B3711" t="s">
        <v>5933</v>
      </c>
      <c r="C3711" t="s">
        <v>6854</v>
      </c>
      <c r="D3711" s="78" t="s">
        <v>6553</v>
      </c>
      <c r="E3711" t="s">
        <v>6517</v>
      </c>
      <c r="F3711" t="s">
        <v>6559</v>
      </c>
      <c r="G3711" s="92">
        <v>43276.900312500002</v>
      </c>
      <c r="H3711" s="92">
        <v>43276.900312500002</v>
      </c>
      <c r="I3711" s="92">
        <v>43276.900312500002</v>
      </c>
      <c r="J3711" s="92">
        <v>43276.905231481483</v>
      </c>
      <c r="K3711" s="92"/>
      <c r="L3711" s="92">
        <f>IF(AND(单词表[[#This Row],[学英]]&lt;&gt;"",单词表[[#This Row],[学中]]&lt;&gt;"",单词表[[#This Row],[学词]]&lt;&gt;""),MAX(单词表[[#This Row],[学英]:[学词]]),"")</f>
        <v>43276.900312500002</v>
      </c>
      <c r="M3711" s="2" t="str">
        <f>IF(AND(单词表[[#This Row],[考英]]&lt;&gt;"",单词表[[#This Row],[考中]]&lt;&gt;""),MAX(单词表[[#This Row],[考英]:[考中]]),"")</f>
        <v/>
      </c>
      <c r="N3711" s="86"/>
    </row>
    <row r="3712" spans="1:14" hidden="1" x14ac:dyDescent="0.15">
      <c r="A3712">
        <v>3712</v>
      </c>
      <c r="B3712" t="s">
        <v>5933</v>
      </c>
      <c r="C3712" t="s">
        <v>6854</v>
      </c>
      <c r="D3712" s="78" t="s">
        <v>6554</v>
      </c>
      <c r="E3712" t="s">
        <v>6517</v>
      </c>
      <c r="F3712" t="s">
        <v>6560</v>
      </c>
      <c r="G3712" s="92">
        <v>43277.919895833336</v>
      </c>
      <c r="H3712" s="92">
        <v>43276.901099537034</v>
      </c>
      <c r="I3712" s="92">
        <v>43276.901099537034</v>
      </c>
      <c r="J3712" s="92">
        <v>43277.924375000002</v>
      </c>
      <c r="K3712" s="92"/>
      <c r="L3712" s="92">
        <f>IF(AND(单词表[[#This Row],[学英]]&lt;&gt;"",单词表[[#This Row],[学中]]&lt;&gt;"",单词表[[#This Row],[学词]]&lt;&gt;""),MAX(单词表[[#This Row],[学英]:[学词]]),"")</f>
        <v>43277.919895833336</v>
      </c>
      <c r="M3712" s="2" t="str">
        <f>IF(AND(单词表[[#This Row],[考英]]&lt;&gt;"",单词表[[#This Row],[考中]]&lt;&gt;""),MAX(单词表[[#This Row],[考英]:[考中]]),"")</f>
        <v/>
      </c>
      <c r="N3712" s="86"/>
    </row>
    <row r="3713" spans="1:14" hidden="1" x14ac:dyDescent="0.15">
      <c r="A3713">
        <v>3713</v>
      </c>
      <c r="B3713" t="s">
        <v>5933</v>
      </c>
      <c r="C3713" t="s">
        <v>6854</v>
      </c>
      <c r="D3713" s="78" t="s">
        <v>6555</v>
      </c>
      <c r="E3713" t="s">
        <v>6517</v>
      </c>
      <c r="F3713" t="s">
        <v>6561</v>
      </c>
      <c r="G3713" s="92">
        <v>43276.900439814817</v>
      </c>
      <c r="H3713" s="92">
        <v>43276.900439814817</v>
      </c>
      <c r="I3713" s="92">
        <v>43276.900439814817</v>
      </c>
      <c r="J3713" s="92">
        <v>43276.90552083333</v>
      </c>
      <c r="K3713" s="92"/>
      <c r="L3713" s="92">
        <f>IF(AND(单词表[[#This Row],[学英]]&lt;&gt;"",单词表[[#This Row],[学中]]&lt;&gt;"",单词表[[#This Row],[学词]]&lt;&gt;""),MAX(单词表[[#This Row],[学英]:[学词]]),"")</f>
        <v>43276.900439814817</v>
      </c>
      <c r="M3713" s="2" t="str">
        <f>IF(AND(单词表[[#This Row],[考英]]&lt;&gt;"",单词表[[#This Row],[考中]]&lt;&gt;""),MAX(单词表[[#This Row],[考英]:[考中]]),"")</f>
        <v/>
      </c>
      <c r="N3713" s="86"/>
    </row>
    <row r="3714" spans="1:14" hidden="1" x14ac:dyDescent="0.15">
      <c r="A3714">
        <v>3714</v>
      </c>
      <c r="B3714" t="s">
        <v>5933</v>
      </c>
      <c r="C3714" t="s">
        <v>6854</v>
      </c>
      <c r="D3714" s="78" t="s">
        <v>6556</v>
      </c>
      <c r="E3714" t="s">
        <v>6517</v>
      </c>
      <c r="F3714" t="s">
        <v>6562</v>
      </c>
      <c r="G3714" s="92">
        <v>43277.929606481484</v>
      </c>
      <c r="H3714" s="92">
        <v>43276.90111111111</v>
      </c>
      <c r="I3714" s="92">
        <v>43276.90111111111</v>
      </c>
      <c r="J3714" s="92">
        <v>43277.93037037037</v>
      </c>
      <c r="K3714" s="92"/>
      <c r="L3714" s="92">
        <f>IF(AND(单词表[[#This Row],[学英]]&lt;&gt;"",单词表[[#This Row],[学中]]&lt;&gt;"",单词表[[#This Row],[学词]]&lt;&gt;""),MAX(单词表[[#This Row],[学英]:[学词]]),"")</f>
        <v>43277.929606481484</v>
      </c>
      <c r="M3714" s="2" t="str">
        <f>IF(AND(单词表[[#This Row],[考英]]&lt;&gt;"",单词表[[#This Row],[考中]]&lt;&gt;""),MAX(单词表[[#This Row],[考英]:[考中]]),"")</f>
        <v/>
      </c>
      <c r="N3714" s="86"/>
    </row>
    <row r="3715" spans="1:14" hidden="1" x14ac:dyDescent="0.15">
      <c r="A3715">
        <v>3715</v>
      </c>
      <c r="B3715" t="s">
        <v>5933</v>
      </c>
      <c r="C3715" t="s">
        <v>6854</v>
      </c>
      <c r="D3715" s="78" t="s">
        <v>6557</v>
      </c>
      <c r="E3715" t="s">
        <v>6517</v>
      </c>
      <c r="F3715" t="s">
        <v>6563</v>
      </c>
      <c r="G3715" s="92">
        <v>43276.900578703702</v>
      </c>
      <c r="H3715" s="92">
        <v>43276.900578703702</v>
      </c>
      <c r="I3715" s="92">
        <v>43276.900578703702</v>
      </c>
      <c r="J3715" s="92">
        <v>43276.906145833331</v>
      </c>
      <c r="K3715" s="92"/>
      <c r="L3715" s="92">
        <f>IF(AND(单词表[[#This Row],[学英]]&lt;&gt;"",单词表[[#This Row],[学中]]&lt;&gt;"",单词表[[#This Row],[学词]]&lt;&gt;""),MAX(单词表[[#This Row],[学英]:[学词]]),"")</f>
        <v>43276.900578703702</v>
      </c>
      <c r="M3715" s="2" t="str">
        <f>IF(AND(单词表[[#This Row],[考英]]&lt;&gt;"",单词表[[#This Row],[考中]]&lt;&gt;""),MAX(单词表[[#This Row],[考英]:[考中]]),"")</f>
        <v/>
      </c>
      <c r="N3715" s="86"/>
    </row>
    <row r="3716" spans="1:14" hidden="1" x14ac:dyDescent="0.15">
      <c r="A3716">
        <v>3716</v>
      </c>
      <c r="B3716" t="s">
        <v>5933</v>
      </c>
      <c r="C3716" t="s">
        <v>6856</v>
      </c>
      <c r="D3716" s="78" t="s">
        <v>6564</v>
      </c>
      <c r="E3716" t="s">
        <v>6506</v>
      </c>
      <c r="F3716" t="s">
        <v>6587</v>
      </c>
      <c r="G3716" s="92">
        <v>43276.918969907405</v>
      </c>
      <c r="H3716" s="92">
        <v>43276.918969907405</v>
      </c>
      <c r="I3716" s="92">
        <v>43276.918969907405</v>
      </c>
      <c r="J3716" s="92">
        <v>43276.921747685185</v>
      </c>
      <c r="K3716" s="92"/>
      <c r="L3716" s="92">
        <f>IF(AND(单词表[[#This Row],[学英]]&lt;&gt;"",单词表[[#This Row],[学中]]&lt;&gt;"",单词表[[#This Row],[学词]]&lt;&gt;""),MAX(单词表[[#This Row],[学英]:[学词]]),"")</f>
        <v>43276.918969907405</v>
      </c>
      <c r="M3716" s="2" t="str">
        <f>IF(AND(单词表[[#This Row],[考英]]&lt;&gt;"",单词表[[#This Row],[考中]]&lt;&gt;""),MAX(单词表[[#This Row],[考英]:[考中]]),"")</f>
        <v/>
      </c>
      <c r="N3716" s="86"/>
    </row>
    <row r="3717" spans="1:14" hidden="1" x14ac:dyDescent="0.15">
      <c r="A3717">
        <v>3717</v>
      </c>
      <c r="B3717" t="s">
        <v>5933</v>
      </c>
      <c r="C3717" t="s">
        <v>6856</v>
      </c>
      <c r="D3717" s="78" t="s">
        <v>6565</v>
      </c>
      <c r="E3717" t="s">
        <v>6509</v>
      </c>
      <c r="F3717" t="s">
        <v>6588</v>
      </c>
      <c r="G3717" s="92">
        <v>43276.919039351851</v>
      </c>
      <c r="H3717" s="92">
        <v>43276.919039351851</v>
      </c>
      <c r="I3717" s="92">
        <v>43276.919039351851</v>
      </c>
      <c r="J3717" s="92">
        <v>43276.921805555554</v>
      </c>
      <c r="K3717" s="92"/>
      <c r="L3717" s="92">
        <f>IF(AND(单词表[[#This Row],[学英]]&lt;&gt;"",单词表[[#This Row],[学中]]&lt;&gt;"",单词表[[#This Row],[学词]]&lt;&gt;""),MAX(单词表[[#This Row],[学英]:[学词]]),"")</f>
        <v>43276.919039351851</v>
      </c>
      <c r="M3717" s="2" t="str">
        <f>IF(AND(单词表[[#This Row],[考英]]&lt;&gt;"",单词表[[#This Row],[考中]]&lt;&gt;""),MAX(单词表[[#This Row],[考英]:[考中]]),"")</f>
        <v/>
      </c>
      <c r="N3717" s="86"/>
    </row>
    <row r="3718" spans="1:14" hidden="1" x14ac:dyDescent="0.15">
      <c r="A3718">
        <v>3718</v>
      </c>
      <c r="B3718" t="s">
        <v>5933</v>
      </c>
      <c r="C3718" t="s">
        <v>6856</v>
      </c>
      <c r="D3718" s="78" t="s">
        <v>6585</v>
      </c>
      <c r="E3718" t="s">
        <v>6509</v>
      </c>
      <c r="F3718" t="s">
        <v>6589</v>
      </c>
      <c r="G3718" s="92">
        <v>43276.919085648151</v>
      </c>
      <c r="H3718" s="92">
        <v>43276.919085648151</v>
      </c>
      <c r="I3718" s="92">
        <v>43276.919085648151</v>
      </c>
      <c r="J3718" s="92">
        <v>43276.921851851854</v>
      </c>
      <c r="K3718" s="92"/>
      <c r="L3718" s="92">
        <f>IF(AND(单词表[[#This Row],[学英]]&lt;&gt;"",单词表[[#This Row],[学中]]&lt;&gt;"",单词表[[#This Row],[学词]]&lt;&gt;""),MAX(单词表[[#This Row],[学英]:[学词]]),"")</f>
        <v>43276.919085648151</v>
      </c>
      <c r="M3718" s="2" t="str">
        <f>IF(AND(单词表[[#This Row],[考英]]&lt;&gt;"",单词表[[#This Row],[考中]]&lt;&gt;""),MAX(单词表[[#This Row],[考英]:[考中]]),"")</f>
        <v/>
      </c>
      <c r="N3718" s="86"/>
    </row>
    <row r="3719" spans="1:14" hidden="1" x14ac:dyDescent="0.15">
      <c r="A3719">
        <v>3719</v>
      </c>
      <c r="B3719" t="s">
        <v>5933</v>
      </c>
      <c r="C3719" t="s">
        <v>6856</v>
      </c>
      <c r="D3719" s="78" t="s">
        <v>6566</v>
      </c>
      <c r="E3719" t="s">
        <v>6586</v>
      </c>
      <c r="F3719" t="s">
        <v>6590</v>
      </c>
      <c r="G3719" s="92">
        <v>43276.921319444446</v>
      </c>
      <c r="H3719" s="92">
        <v>43276.921319444446</v>
      </c>
      <c r="I3719" s="92">
        <v>43276.921319444446</v>
      </c>
      <c r="J3719" s="92">
        <v>43276.922280092593</v>
      </c>
      <c r="K3719" s="92"/>
      <c r="L3719" s="92">
        <f>IF(AND(单词表[[#This Row],[学英]]&lt;&gt;"",单词表[[#This Row],[学中]]&lt;&gt;"",单词表[[#This Row],[学词]]&lt;&gt;""),MAX(单词表[[#This Row],[学英]:[学词]]),"")</f>
        <v>43276.921319444446</v>
      </c>
      <c r="M3719" s="2" t="str">
        <f>IF(AND(单词表[[#This Row],[考英]]&lt;&gt;"",单词表[[#This Row],[考中]]&lt;&gt;""),MAX(单词表[[#This Row],[考英]:[考中]]),"")</f>
        <v/>
      </c>
      <c r="N3719" s="86"/>
    </row>
    <row r="3720" spans="1:14" hidden="1" x14ac:dyDescent="0.15">
      <c r="A3720">
        <v>3720</v>
      </c>
      <c r="B3720" t="s">
        <v>5933</v>
      </c>
      <c r="C3720" t="s">
        <v>6856</v>
      </c>
      <c r="D3720" s="78" t="s">
        <v>6567</v>
      </c>
      <c r="E3720" t="s">
        <v>6509</v>
      </c>
      <c r="F3720" t="s">
        <v>6591</v>
      </c>
      <c r="G3720" s="92">
        <v>43276.919317129628</v>
      </c>
      <c r="H3720" s="92">
        <v>43276.919317129628</v>
      </c>
      <c r="I3720" s="92">
        <v>43276.919317129628</v>
      </c>
      <c r="J3720" s="92">
        <v>43276.922361111108</v>
      </c>
      <c r="K3720" s="92"/>
      <c r="L3720" s="92">
        <f>IF(AND(单词表[[#This Row],[学英]]&lt;&gt;"",单词表[[#This Row],[学中]]&lt;&gt;"",单词表[[#This Row],[学词]]&lt;&gt;""),MAX(单词表[[#This Row],[学英]:[学词]]),"")</f>
        <v>43276.919317129628</v>
      </c>
      <c r="M3720" s="2" t="str">
        <f>IF(AND(单词表[[#This Row],[考英]]&lt;&gt;"",单词表[[#This Row],[考中]]&lt;&gt;""),MAX(单词表[[#This Row],[考英]:[考中]]),"")</f>
        <v/>
      </c>
      <c r="N3720" s="86"/>
    </row>
    <row r="3721" spans="1:14" hidden="1" x14ac:dyDescent="0.15">
      <c r="A3721">
        <v>3721</v>
      </c>
      <c r="B3721" t="s">
        <v>5933</v>
      </c>
      <c r="C3721" t="s">
        <v>6856</v>
      </c>
      <c r="D3721" s="78" t="s">
        <v>6568</v>
      </c>
      <c r="E3721" t="s">
        <v>6509</v>
      </c>
      <c r="F3721" t="s">
        <v>6592</v>
      </c>
      <c r="G3721" s="92">
        <v>43276.919374999998</v>
      </c>
      <c r="H3721" s="92">
        <v>43276.919374999998</v>
      </c>
      <c r="I3721" s="92">
        <v>43276.919374999998</v>
      </c>
      <c r="J3721" s="92">
        <v>43276.922407407408</v>
      </c>
      <c r="K3721" s="92"/>
      <c r="L3721" s="92">
        <f>IF(AND(单词表[[#This Row],[学英]]&lt;&gt;"",单词表[[#This Row],[学中]]&lt;&gt;"",单词表[[#This Row],[学词]]&lt;&gt;""),MAX(单词表[[#This Row],[学英]:[学词]]),"")</f>
        <v>43276.919374999998</v>
      </c>
      <c r="M3721" s="2" t="str">
        <f>IF(AND(单词表[[#This Row],[考英]]&lt;&gt;"",单词表[[#This Row],[考中]]&lt;&gt;""),MAX(单词表[[#This Row],[考英]:[考中]]),"")</f>
        <v/>
      </c>
      <c r="N3721" s="86"/>
    </row>
    <row r="3722" spans="1:14" hidden="1" x14ac:dyDescent="0.15">
      <c r="A3722">
        <v>3722</v>
      </c>
      <c r="B3722" t="s">
        <v>5933</v>
      </c>
      <c r="C3722" t="s">
        <v>6856</v>
      </c>
      <c r="D3722" s="78" t="s">
        <v>6569</v>
      </c>
      <c r="E3722" t="s">
        <v>6517</v>
      </c>
      <c r="F3722" t="s">
        <v>6593</v>
      </c>
      <c r="G3722" s="92">
        <v>43276.921342592592</v>
      </c>
      <c r="H3722" s="92">
        <v>43276.921342592592</v>
      </c>
      <c r="I3722" s="92">
        <v>43276.921342592592</v>
      </c>
      <c r="J3722" s="92">
        <v>43276.922569444447</v>
      </c>
      <c r="K3722" s="92"/>
      <c r="L3722" s="92">
        <f>IF(AND(单词表[[#This Row],[学英]]&lt;&gt;"",单词表[[#This Row],[学中]]&lt;&gt;"",单词表[[#This Row],[学词]]&lt;&gt;""),MAX(单词表[[#This Row],[学英]:[学词]]),"")</f>
        <v>43276.921342592592</v>
      </c>
      <c r="M3722" s="2" t="str">
        <f>IF(AND(单词表[[#This Row],[考英]]&lt;&gt;"",单词表[[#This Row],[考中]]&lt;&gt;""),MAX(单词表[[#This Row],[考英]:[考中]]),"")</f>
        <v/>
      </c>
      <c r="N3722" s="86"/>
    </row>
    <row r="3723" spans="1:14" hidden="1" x14ac:dyDescent="0.15">
      <c r="A3723">
        <v>3723</v>
      </c>
      <c r="B3723" t="s">
        <v>5933</v>
      </c>
      <c r="C3723" t="s">
        <v>6856</v>
      </c>
      <c r="D3723" s="78" t="s">
        <v>6570</v>
      </c>
      <c r="E3723" t="s">
        <v>6517</v>
      </c>
      <c r="F3723" t="s">
        <v>6594</v>
      </c>
      <c r="G3723" s="92">
        <v>43277.92087962963</v>
      </c>
      <c r="H3723" s="92">
        <v>43276.919571759259</v>
      </c>
      <c r="I3723" s="92">
        <v>43276.919571759259</v>
      </c>
      <c r="J3723" s="92">
        <v>43277.922094907408</v>
      </c>
      <c r="K3723" s="92"/>
      <c r="L3723" s="92">
        <f>IF(AND(单词表[[#This Row],[学英]]&lt;&gt;"",单词表[[#This Row],[学中]]&lt;&gt;"",单词表[[#This Row],[学词]]&lt;&gt;""),MAX(单词表[[#This Row],[学英]:[学词]]),"")</f>
        <v>43277.92087962963</v>
      </c>
      <c r="M3723" s="2" t="str">
        <f>IF(AND(单词表[[#This Row],[考英]]&lt;&gt;"",单词表[[#This Row],[考中]]&lt;&gt;""),MAX(单词表[[#This Row],[考英]:[考中]]),"")</f>
        <v/>
      </c>
      <c r="N3723" s="86"/>
    </row>
    <row r="3724" spans="1:14" hidden="1" x14ac:dyDescent="0.15">
      <c r="A3724">
        <v>3724</v>
      </c>
      <c r="B3724" t="s">
        <v>5933</v>
      </c>
      <c r="C3724" t="s">
        <v>6856</v>
      </c>
      <c r="D3724" s="78" t="s">
        <v>6571</v>
      </c>
      <c r="E3724" t="s">
        <v>6517</v>
      </c>
      <c r="F3724" t="s">
        <v>6595</v>
      </c>
      <c r="G3724" s="92">
        <v>43276.921249999999</v>
      </c>
      <c r="H3724" s="92">
        <v>43276.921249999999</v>
      </c>
      <c r="I3724" s="92">
        <v>43276.921249999999</v>
      </c>
      <c r="J3724" s="92">
        <v>43276.923078703701</v>
      </c>
      <c r="K3724" s="92"/>
      <c r="L3724" s="92">
        <f>IF(AND(单词表[[#This Row],[学英]]&lt;&gt;"",单词表[[#This Row],[学中]]&lt;&gt;"",单词表[[#This Row],[学词]]&lt;&gt;""),MAX(单词表[[#This Row],[学英]:[学词]]),"")</f>
        <v>43276.921249999999</v>
      </c>
      <c r="M3724" s="2" t="str">
        <f>IF(AND(单词表[[#This Row],[考英]]&lt;&gt;"",单词表[[#This Row],[考中]]&lt;&gt;""),MAX(单词表[[#This Row],[考英]:[考中]]),"")</f>
        <v/>
      </c>
      <c r="N3724" s="86"/>
    </row>
    <row r="3725" spans="1:14" hidden="1" x14ac:dyDescent="0.15">
      <c r="A3725">
        <v>3725</v>
      </c>
      <c r="B3725" t="s">
        <v>5933</v>
      </c>
      <c r="C3725" t="s">
        <v>6856</v>
      </c>
      <c r="D3725" s="78" t="s">
        <v>6572</v>
      </c>
      <c r="E3725" t="s">
        <v>6517</v>
      </c>
      <c r="F3725" t="s">
        <v>6596</v>
      </c>
      <c r="G3725" s="92">
        <v>43276.921180555553</v>
      </c>
      <c r="H3725" s="92">
        <v>43276.921180555553</v>
      </c>
      <c r="I3725" s="92">
        <v>43276.921180555553</v>
      </c>
      <c r="J3725" s="92">
        <v>43276.923229166663</v>
      </c>
      <c r="K3725" s="92"/>
      <c r="L3725" s="92">
        <f>IF(AND(单词表[[#This Row],[学英]]&lt;&gt;"",单词表[[#This Row],[学中]]&lt;&gt;"",单词表[[#This Row],[学词]]&lt;&gt;""),MAX(单词表[[#This Row],[学英]:[学词]]),"")</f>
        <v>43276.921180555553</v>
      </c>
      <c r="M3725" s="2" t="str">
        <f>IF(AND(单词表[[#This Row],[考英]]&lt;&gt;"",单词表[[#This Row],[考中]]&lt;&gt;""),MAX(单词表[[#This Row],[考英]:[考中]]),"")</f>
        <v/>
      </c>
      <c r="N3725" s="86"/>
    </row>
    <row r="3726" spans="1:14" hidden="1" x14ac:dyDescent="0.15">
      <c r="A3726">
        <v>3726</v>
      </c>
      <c r="B3726" t="s">
        <v>5933</v>
      </c>
      <c r="C3726" t="s">
        <v>6856</v>
      </c>
      <c r="D3726" s="78" t="s">
        <v>6573</v>
      </c>
      <c r="E3726" t="s">
        <v>6517</v>
      </c>
      <c r="F3726" t="s">
        <v>6597</v>
      </c>
      <c r="G3726" s="92">
        <v>43276.91978009259</v>
      </c>
      <c r="H3726" s="92">
        <v>43276.91978009259</v>
      </c>
      <c r="I3726" s="92">
        <v>43276.91978009259</v>
      </c>
      <c r="J3726" s="92">
        <v>43276.923298611109</v>
      </c>
      <c r="K3726" s="92"/>
      <c r="L3726" s="92">
        <f>IF(AND(单词表[[#This Row],[学英]]&lt;&gt;"",单词表[[#This Row],[学中]]&lt;&gt;"",单词表[[#This Row],[学词]]&lt;&gt;""),MAX(单词表[[#This Row],[学英]:[学词]]),"")</f>
        <v>43276.91978009259</v>
      </c>
      <c r="M3726" s="2" t="str">
        <f>IF(AND(单词表[[#This Row],[考英]]&lt;&gt;"",单词表[[#This Row],[考中]]&lt;&gt;""),MAX(单词表[[#This Row],[考英]:[考中]]),"")</f>
        <v/>
      </c>
      <c r="N3726" s="86"/>
    </row>
    <row r="3727" spans="1:14" hidden="1" x14ac:dyDescent="0.15">
      <c r="A3727">
        <v>3727</v>
      </c>
      <c r="B3727" t="s">
        <v>5933</v>
      </c>
      <c r="C3727" t="s">
        <v>6856</v>
      </c>
      <c r="D3727" s="78" t="s">
        <v>6574</v>
      </c>
      <c r="E3727" t="s">
        <v>6517</v>
      </c>
      <c r="F3727" t="s">
        <v>6598</v>
      </c>
      <c r="G3727" s="92">
        <v>43276.919861111113</v>
      </c>
      <c r="H3727" s="92">
        <v>43276.919861111113</v>
      </c>
      <c r="I3727" s="92">
        <v>43276.919861111113</v>
      </c>
      <c r="J3727" s="92">
        <v>43276.923634259256</v>
      </c>
      <c r="K3727" s="92"/>
      <c r="L3727" s="92">
        <f>IF(AND(单词表[[#This Row],[学英]]&lt;&gt;"",单词表[[#This Row],[学中]]&lt;&gt;"",单词表[[#This Row],[学词]]&lt;&gt;""),MAX(单词表[[#This Row],[学英]:[学词]]),"")</f>
        <v>43276.919861111113</v>
      </c>
      <c r="M3727" s="2" t="str">
        <f>IF(AND(单词表[[#This Row],[考英]]&lt;&gt;"",单词表[[#This Row],[考中]]&lt;&gt;""),MAX(单词表[[#This Row],[考英]:[考中]]),"")</f>
        <v/>
      </c>
      <c r="N3727" s="86"/>
    </row>
    <row r="3728" spans="1:14" hidden="1" x14ac:dyDescent="0.15">
      <c r="A3728">
        <v>3728</v>
      </c>
      <c r="B3728" t="s">
        <v>5933</v>
      </c>
      <c r="C3728" t="s">
        <v>6856</v>
      </c>
      <c r="D3728" s="78" t="s">
        <v>6575</v>
      </c>
      <c r="E3728" t="s">
        <v>6517</v>
      </c>
      <c r="F3728" t="s">
        <v>6599</v>
      </c>
      <c r="G3728" s="92">
        <v>43277.920925925922</v>
      </c>
      <c r="H3728" s="92">
        <v>43276.919918981483</v>
      </c>
      <c r="I3728" s="92">
        <v>43276.919918981483</v>
      </c>
      <c r="J3728" s="92">
        <v>43277.922233796293</v>
      </c>
      <c r="K3728" s="92"/>
      <c r="L3728" s="92">
        <f>IF(AND(单词表[[#This Row],[学英]]&lt;&gt;"",单词表[[#This Row],[学中]]&lt;&gt;"",单词表[[#This Row],[学词]]&lt;&gt;""),MAX(单词表[[#This Row],[学英]:[学词]]),"")</f>
        <v>43277.920925925922</v>
      </c>
      <c r="M3728" s="2" t="str">
        <f>IF(AND(单词表[[#This Row],[考英]]&lt;&gt;"",单词表[[#This Row],[考中]]&lt;&gt;""),MAX(单词表[[#This Row],[考英]:[考中]]),"")</f>
        <v/>
      </c>
      <c r="N3728" s="86"/>
    </row>
    <row r="3729" spans="1:14" hidden="1" x14ac:dyDescent="0.15">
      <c r="A3729">
        <v>3729</v>
      </c>
      <c r="B3729" t="s">
        <v>5933</v>
      </c>
      <c r="C3729" t="s">
        <v>6856</v>
      </c>
      <c r="D3729" s="78" t="s">
        <v>6576</v>
      </c>
      <c r="E3729" t="s">
        <v>6517</v>
      </c>
      <c r="F3729" t="s">
        <v>6600</v>
      </c>
      <c r="G3729" s="92">
        <v>43277.920949074076</v>
      </c>
      <c r="H3729" s="92">
        <v>43276.921099537038</v>
      </c>
      <c r="I3729" s="92">
        <v>43276.921099537038</v>
      </c>
      <c r="J3729" s="92">
        <v>43277.922361111108</v>
      </c>
      <c r="K3729" s="92"/>
      <c r="L3729" s="92">
        <f>IF(AND(单词表[[#This Row],[学英]]&lt;&gt;"",单词表[[#This Row],[学中]]&lt;&gt;"",单词表[[#This Row],[学词]]&lt;&gt;""),MAX(单词表[[#This Row],[学英]:[学词]]),"")</f>
        <v>43277.920949074076</v>
      </c>
      <c r="M3729" s="2" t="str">
        <f>IF(AND(单词表[[#This Row],[考英]]&lt;&gt;"",单词表[[#This Row],[考中]]&lt;&gt;""),MAX(单词表[[#This Row],[考英]:[考中]]),"")</f>
        <v/>
      </c>
      <c r="N3729" s="86"/>
    </row>
    <row r="3730" spans="1:14" hidden="1" x14ac:dyDescent="0.15">
      <c r="A3730">
        <v>3730</v>
      </c>
      <c r="B3730" t="s">
        <v>5933</v>
      </c>
      <c r="C3730" t="s">
        <v>6856</v>
      </c>
      <c r="D3730" s="78" t="s">
        <v>6577</v>
      </c>
      <c r="E3730" t="s">
        <v>6517</v>
      </c>
      <c r="F3730" t="s">
        <v>6601</v>
      </c>
      <c r="G3730" s="92">
        <v>43277.920983796299</v>
      </c>
      <c r="H3730" s="92">
        <v>43276.920057870368</v>
      </c>
      <c r="I3730" s="92">
        <v>43276.920057870368</v>
      </c>
      <c r="J3730" s="92">
        <v>43277.922407407408</v>
      </c>
      <c r="K3730" s="92"/>
      <c r="L3730" s="92">
        <f>IF(AND(单词表[[#This Row],[学英]]&lt;&gt;"",单词表[[#This Row],[学中]]&lt;&gt;"",单词表[[#This Row],[学词]]&lt;&gt;""),MAX(单词表[[#This Row],[学英]:[学词]]),"")</f>
        <v>43277.920983796299</v>
      </c>
      <c r="M3730" s="2" t="str">
        <f>IF(AND(单词表[[#This Row],[考英]]&lt;&gt;"",单词表[[#This Row],[考中]]&lt;&gt;""),MAX(单词表[[#This Row],[考英]:[考中]]),"")</f>
        <v/>
      </c>
      <c r="N3730" s="86"/>
    </row>
    <row r="3731" spans="1:14" hidden="1" x14ac:dyDescent="0.15">
      <c r="A3731">
        <v>3731</v>
      </c>
      <c r="B3731" t="s">
        <v>5933</v>
      </c>
      <c r="C3731" t="s">
        <v>6856</v>
      </c>
      <c r="D3731" s="78" t="s">
        <v>6578</v>
      </c>
      <c r="E3731" t="s">
        <v>6517</v>
      </c>
      <c r="F3731" t="s">
        <v>6602</v>
      </c>
      <c r="G3731" s="92">
        <v>43277.929664351854</v>
      </c>
      <c r="H3731" s="92">
        <v>43276.921053240738</v>
      </c>
      <c r="I3731" s="92">
        <v>43276.921053240738</v>
      </c>
      <c r="J3731" s="92">
        <v>43277.931030092594</v>
      </c>
      <c r="K3731" s="92"/>
      <c r="L3731" s="92">
        <f>IF(AND(单词表[[#This Row],[学英]]&lt;&gt;"",单词表[[#This Row],[学中]]&lt;&gt;"",单词表[[#This Row],[学词]]&lt;&gt;""),MAX(单词表[[#This Row],[学英]:[学词]]),"")</f>
        <v>43277.929664351854</v>
      </c>
      <c r="M3731" s="2" t="str">
        <f>IF(AND(单词表[[#This Row],[考英]]&lt;&gt;"",单词表[[#This Row],[考中]]&lt;&gt;""),MAX(单词表[[#This Row],[考英]:[考中]]),"")</f>
        <v/>
      </c>
      <c r="N3731" s="86"/>
    </row>
    <row r="3732" spans="1:14" hidden="1" x14ac:dyDescent="0.15">
      <c r="A3732">
        <v>3732</v>
      </c>
      <c r="B3732" t="s">
        <v>5933</v>
      </c>
      <c r="C3732" t="s">
        <v>6856</v>
      </c>
      <c r="D3732" s="78" t="s">
        <v>6579</v>
      </c>
      <c r="E3732" t="s">
        <v>6517</v>
      </c>
      <c r="F3732" t="s">
        <v>6603</v>
      </c>
      <c r="G3732" s="92">
        <v>43276.92083333333</v>
      </c>
      <c r="H3732" s="92">
        <v>43276.92083333333</v>
      </c>
      <c r="I3732" s="92">
        <v>43276.92083333333</v>
      </c>
      <c r="J3732" s="92">
        <v>43276.924166666664</v>
      </c>
      <c r="K3732" s="92"/>
      <c r="L3732" s="92">
        <f>IF(AND(单词表[[#This Row],[学英]]&lt;&gt;"",单词表[[#This Row],[学中]]&lt;&gt;"",单词表[[#This Row],[学词]]&lt;&gt;""),MAX(单词表[[#This Row],[学英]:[学词]]),"")</f>
        <v>43276.92083333333</v>
      </c>
      <c r="M3732" s="2" t="str">
        <f>IF(AND(单词表[[#This Row],[考英]]&lt;&gt;"",单词表[[#This Row],[考中]]&lt;&gt;""),MAX(单词表[[#This Row],[考英]:[考中]]),"")</f>
        <v/>
      </c>
      <c r="N3732" s="86"/>
    </row>
    <row r="3733" spans="1:14" hidden="1" x14ac:dyDescent="0.15">
      <c r="A3733">
        <v>3733</v>
      </c>
      <c r="B3733" t="s">
        <v>5933</v>
      </c>
      <c r="C3733" t="s">
        <v>6856</v>
      </c>
      <c r="D3733" s="78" t="s">
        <v>6580</v>
      </c>
      <c r="E3733" t="s">
        <v>6517</v>
      </c>
      <c r="F3733" t="s">
        <v>6604</v>
      </c>
      <c r="G3733" s="92">
        <v>43277.921111111114</v>
      </c>
      <c r="H3733" s="92">
        <v>43276.920277777775</v>
      </c>
      <c r="I3733" s="92">
        <v>43276.920277777775</v>
      </c>
      <c r="J3733" s="92">
        <v>43277.922997685186</v>
      </c>
      <c r="K3733" s="92"/>
      <c r="L3733" s="92">
        <f>IF(AND(单词表[[#This Row],[学英]]&lt;&gt;"",单词表[[#This Row],[学中]]&lt;&gt;"",单词表[[#This Row],[学词]]&lt;&gt;""),MAX(单词表[[#This Row],[学英]:[学词]]),"")</f>
        <v>43277.921111111114</v>
      </c>
      <c r="M3733" s="2" t="str">
        <f>IF(AND(单词表[[#This Row],[考英]]&lt;&gt;"",单词表[[#This Row],[考中]]&lt;&gt;""),MAX(单词表[[#This Row],[考英]:[考中]]),"")</f>
        <v/>
      </c>
      <c r="N3733" s="86"/>
    </row>
    <row r="3734" spans="1:14" hidden="1" x14ac:dyDescent="0.15">
      <c r="A3734">
        <v>3734</v>
      </c>
      <c r="B3734" t="s">
        <v>5933</v>
      </c>
      <c r="C3734" t="s">
        <v>6856</v>
      </c>
      <c r="D3734" s="78" t="s">
        <v>6581</v>
      </c>
      <c r="E3734" t="s">
        <v>6517</v>
      </c>
      <c r="F3734" t="s">
        <v>6605</v>
      </c>
      <c r="G3734" s="92">
        <v>43276.920358796298</v>
      </c>
      <c r="H3734" s="92">
        <v>43276.920358796298</v>
      </c>
      <c r="I3734" s="92">
        <v>43276.920358796298</v>
      </c>
      <c r="J3734" s="92">
        <v>43276.92454861111</v>
      </c>
      <c r="K3734" s="92"/>
      <c r="L3734" s="92">
        <f>IF(AND(单词表[[#This Row],[学英]]&lt;&gt;"",单词表[[#This Row],[学中]]&lt;&gt;"",单词表[[#This Row],[学词]]&lt;&gt;""),MAX(单词表[[#This Row],[学英]:[学词]]),"")</f>
        <v>43276.920358796298</v>
      </c>
      <c r="M3734" s="2" t="str">
        <f>IF(AND(单词表[[#This Row],[考英]]&lt;&gt;"",单词表[[#This Row],[考中]]&lt;&gt;""),MAX(单词表[[#This Row],[考英]:[考中]]),"")</f>
        <v/>
      </c>
      <c r="N3734" s="86"/>
    </row>
    <row r="3735" spans="1:14" hidden="1" x14ac:dyDescent="0.15">
      <c r="A3735">
        <v>3735</v>
      </c>
      <c r="B3735" t="s">
        <v>5933</v>
      </c>
      <c r="C3735" t="s">
        <v>6856</v>
      </c>
      <c r="D3735" s="78" t="s">
        <v>6582</v>
      </c>
      <c r="E3735" t="s">
        <v>6517</v>
      </c>
      <c r="F3735" t="s">
        <v>6606</v>
      </c>
      <c r="G3735" s="92">
        <v>43277.929710648146</v>
      </c>
      <c r="H3735" s="92">
        <v>43276.920752314814</v>
      </c>
      <c r="I3735" s="92">
        <v>43276.920752314814</v>
      </c>
      <c r="J3735" s="92">
        <v>43277.931134259263</v>
      </c>
      <c r="K3735" s="92"/>
      <c r="L3735" s="92">
        <f>IF(AND(单词表[[#This Row],[学英]]&lt;&gt;"",单词表[[#This Row],[学中]]&lt;&gt;"",单词表[[#This Row],[学词]]&lt;&gt;""),MAX(单词表[[#This Row],[学英]:[学词]]),"")</f>
        <v>43277.929710648146</v>
      </c>
      <c r="M3735" s="2" t="str">
        <f>IF(AND(单词表[[#This Row],[考英]]&lt;&gt;"",单词表[[#This Row],[考中]]&lt;&gt;""),MAX(单词表[[#This Row],[考英]:[考中]]),"")</f>
        <v/>
      </c>
      <c r="N3735" s="86"/>
    </row>
    <row r="3736" spans="1:14" hidden="1" x14ac:dyDescent="0.15">
      <c r="A3736">
        <v>3736</v>
      </c>
      <c r="B3736" t="s">
        <v>5933</v>
      </c>
      <c r="C3736" t="s">
        <v>6856</v>
      </c>
      <c r="D3736" s="78" t="s">
        <v>6583</v>
      </c>
      <c r="E3736" t="s">
        <v>6517</v>
      </c>
      <c r="F3736" t="s">
        <v>6607</v>
      </c>
      <c r="G3736" s="92">
        <v>43277.921180555553</v>
      </c>
      <c r="H3736" s="92">
        <v>43276.920763888891</v>
      </c>
      <c r="I3736" s="92">
        <v>43276.920763888891</v>
      </c>
      <c r="J3736" s="92">
        <v>43277.92324074074</v>
      </c>
      <c r="K3736" s="92"/>
      <c r="L3736" s="92">
        <f>IF(AND(单词表[[#This Row],[学英]]&lt;&gt;"",单词表[[#This Row],[学中]]&lt;&gt;"",单词表[[#This Row],[学词]]&lt;&gt;""),MAX(单词表[[#This Row],[学英]:[学词]]),"")</f>
        <v>43277.921180555553</v>
      </c>
      <c r="M3736" s="2" t="str">
        <f>IF(AND(单词表[[#This Row],[考英]]&lt;&gt;"",单词表[[#This Row],[考中]]&lt;&gt;""),MAX(单词表[[#This Row],[考英]:[考中]]),"")</f>
        <v/>
      </c>
      <c r="N3736" s="86"/>
    </row>
    <row r="3737" spans="1:14" hidden="1" x14ac:dyDescent="0.15">
      <c r="A3737">
        <v>3737</v>
      </c>
      <c r="B3737" t="s">
        <v>5933</v>
      </c>
      <c r="C3737" t="s">
        <v>6856</v>
      </c>
      <c r="D3737" s="78" t="s">
        <v>6584</v>
      </c>
      <c r="E3737" t="s">
        <v>6517</v>
      </c>
      <c r="F3737" t="s">
        <v>6608</v>
      </c>
      <c r="G3737" s="92">
        <v>43276.920486111114</v>
      </c>
      <c r="H3737" s="92">
        <v>43276.920486111114</v>
      </c>
      <c r="I3737" s="92">
        <v>43276.920486111114</v>
      </c>
      <c r="J3737" s="92">
        <v>43276.92491898148</v>
      </c>
      <c r="K3737" s="92"/>
      <c r="L3737" s="92">
        <f>IF(AND(单词表[[#This Row],[学英]]&lt;&gt;"",单词表[[#This Row],[学中]]&lt;&gt;"",单词表[[#This Row],[学词]]&lt;&gt;""),MAX(单词表[[#This Row],[学英]:[学词]]),"")</f>
        <v>43276.920486111114</v>
      </c>
      <c r="M3737" s="2" t="str">
        <f>IF(AND(单词表[[#This Row],[考英]]&lt;&gt;"",单词表[[#This Row],[考中]]&lt;&gt;""),MAX(单词表[[#This Row],[考英]:[考中]]),"")</f>
        <v/>
      </c>
      <c r="N3737" s="86"/>
    </row>
    <row r="3738" spans="1:14" hidden="1" x14ac:dyDescent="0.15">
      <c r="A3738">
        <v>3738</v>
      </c>
      <c r="B3738" t="s">
        <v>5933</v>
      </c>
      <c r="C3738" t="s">
        <v>6855</v>
      </c>
      <c r="D3738" s="78" t="s">
        <v>6610</v>
      </c>
      <c r="E3738" t="s">
        <v>6633</v>
      </c>
      <c r="F3738" t="s">
        <v>6634</v>
      </c>
      <c r="G3738" s="92">
        <v>43277.920254629629</v>
      </c>
      <c r="H3738" s="92">
        <v>43276.909016203703</v>
      </c>
      <c r="I3738" s="92">
        <v>43276.909016203703</v>
      </c>
      <c r="J3738" s="92">
        <v>43277.925416666665</v>
      </c>
      <c r="K3738" s="92"/>
      <c r="L3738" s="92">
        <f>IF(AND(单词表[[#This Row],[学英]]&lt;&gt;"",单词表[[#This Row],[学中]]&lt;&gt;"",单词表[[#This Row],[学词]]&lt;&gt;""),MAX(单词表[[#This Row],[学英]:[学词]]),"")</f>
        <v>43277.920254629629</v>
      </c>
      <c r="M3738" s="2" t="str">
        <f>IF(AND(单词表[[#This Row],[考英]]&lt;&gt;"",单词表[[#This Row],[考中]]&lt;&gt;""),MAX(单词表[[#This Row],[考英]:[考中]]),"")</f>
        <v/>
      </c>
      <c r="N3738" s="86"/>
    </row>
    <row r="3739" spans="1:14" hidden="1" x14ac:dyDescent="0.15">
      <c r="A3739">
        <v>3739</v>
      </c>
      <c r="B3739" t="s">
        <v>5933</v>
      </c>
      <c r="C3739" t="s">
        <v>6855</v>
      </c>
      <c r="D3739" s="78" t="s">
        <v>6611</v>
      </c>
      <c r="E3739" t="s">
        <v>6633</v>
      </c>
      <c r="F3739" t="s">
        <v>6635</v>
      </c>
      <c r="G3739" s="92">
        <v>43276.91070601852</v>
      </c>
      <c r="H3739" s="92">
        <v>43276.91070601852</v>
      </c>
      <c r="I3739" s="92">
        <v>43276.91070601852</v>
      </c>
      <c r="J3739" s="92">
        <v>43276.913518518515</v>
      </c>
      <c r="K3739" s="92"/>
      <c r="L3739" s="92">
        <f>IF(AND(单词表[[#This Row],[学英]]&lt;&gt;"",单词表[[#This Row],[学中]]&lt;&gt;"",单词表[[#This Row],[学词]]&lt;&gt;""),MAX(单词表[[#This Row],[学英]:[学词]]),"")</f>
        <v>43276.91070601852</v>
      </c>
      <c r="M3739" s="2" t="str">
        <f>IF(AND(单词表[[#This Row],[考英]]&lt;&gt;"",单词表[[#This Row],[考中]]&lt;&gt;""),MAX(单词表[[#This Row],[考英]:[考中]]),"")</f>
        <v/>
      </c>
      <c r="N3739" s="86"/>
    </row>
    <row r="3740" spans="1:14" hidden="1" x14ac:dyDescent="0.15">
      <c r="A3740">
        <v>3740</v>
      </c>
      <c r="B3740" t="s">
        <v>5933</v>
      </c>
      <c r="C3740" t="s">
        <v>6855</v>
      </c>
      <c r="D3740" s="78" t="s">
        <v>6612</v>
      </c>
      <c r="E3740" t="s">
        <v>6633</v>
      </c>
      <c r="F3740" t="s">
        <v>6636</v>
      </c>
      <c r="G3740" s="92">
        <v>43276.90892361111</v>
      </c>
      <c r="H3740" s="92">
        <v>43276.90892361111</v>
      </c>
      <c r="I3740" s="92">
        <v>43276.90892361111</v>
      </c>
      <c r="J3740" s="92">
        <v>43276.913622685184</v>
      </c>
      <c r="K3740" s="92"/>
      <c r="L3740" s="92">
        <f>IF(AND(单词表[[#This Row],[学英]]&lt;&gt;"",单词表[[#This Row],[学中]]&lt;&gt;"",单词表[[#This Row],[学词]]&lt;&gt;""),MAX(单词表[[#This Row],[学英]:[学词]]),"")</f>
        <v>43276.90892361111</v>
      </c>
      <c r="M3740" s="2" t="str">
        <f>IF(AND(单词表[[#This Row],[考英]]&lt;&gt;"",单词表[[#This Row],[考中]]&lt;&gt;""),MAX(单词表[[#This Row],[考英]:[考中]]),"")</f>
        <v/>
      </c>
      <c r="N3740" s="86"/>
    </row>
    <row r="3741" spans="1:14" hidden="1" x14ac:dyDescent="0.15">
      <c r="A3741">
        <v>3741</v>
      </c>
      <c r="B3741" t="s">
        <v>5933</v>
      </c>
      <c r="C3741" t="s">
        <v>6855</v>
      </c>
      <c r="D3741" s="78" t="s">
        <v>6613</v>
      </c>
      <c r="E3741" t="s">
        <v>6633</v>
      </c>
      <c r="F3741" t="s">
        <v>6637</v>
      </c>
      <c r="G3741" s="92">
        <v>43276.908842592595</v>
      </c>
      <c r="H3741" s="92">
        <v>43276.908842592595</v>
      </c>
      <c r="I3741" s="92">
        <v>43276.908842592595</v>
      </c>
      <c r="J3741" s="92">
        <v>43276.91369212963</v>
      </c>
      <c r="K3741" s="92"/>
      <c r="L3741" s="92">
        <f>IF(AND(单词表[[#This Row],[学英]]&lt;&gt;"",单词表[[#This Row],[学中]]&lt;&gt;"",单词表[[#This Row],[学词]]&lt;&gt;""),MAX(单词表[[#This Row],[学英]:[学词]]),"")</f>
        <v>43276.908842592595</v>
      </c>
      <c r="M3741" s="2" t="str">
        <f>IF(AND(单词表[[#This Row],[考英]]&lt;&gt;"",单词表[[#This Row],[考中]]&lt;&gt;""),MAX(单词表[[#This Row],[考英]:[考中]]),"")</f>
        <v/>
      </c>
      <c r="N3741" s="86"/>
    </row>
    <row r="3742" spans="1:14" hidden="1" x14ac:dyDescent="0.15">
      <c r="A3742">
        <v>3742</v>
      </c>
      <c r="B3742" t="s">
        <v>5933</v>
      </c>
      <c r="C3742" t="s">
        <v>6855</v>
      </c>
      <c r="D3742" s="78" t="s">
        <v>6614</v>
      </c>
      <c r="E3742" t="s">
        <v>6633</v>
      </c>
      <c r="F3742" t="s">
        <v>6638</v>
      </c>
      <c r="G3742" s="92">
        <v>43277.920277777775</v>
      </c>
      <c r="H3742" s="92">
        <v>43276.910752314812</v>
      </c>
      <c r="I3742" s="92">
        <v>43276.910752314812</v>
      </c>
      <c r="J3742" s="92">
        <v>43277.925532407404</v>
      </c>
      <c r="K3742" s="92"/>
      <c r="L3742" s="92">
        <f>IF(AND(单词表[[#This Row],[学英]]&lt;&gt;"",单词表[[#This Row],[学中]]&lt;&gt;"",单词表[[#This Row],[学词]]&lt;&gt;""),MAX(单词表[[#This Row],[学英]:[学词]]),"")</f>
        <v>43277.920277777775</v>
      </c>
      <c r="M3742" s="2" t="str">
        <f>IF(AND(单词表[[#This Row],[考英]]&lt;&gt;"",单词表[[#This Row],[考中]]&lt;&gt;""),MAX(单词表[[#This Row],[考英]:[考中]]),"")</f>
        <v/>
      </c>
      <c r="N3742" s="86"/>
    </row>
    <row r="3743" spans="1:14" hidden="1" x14ac:dyDescent="0.15">
      <c r="A3743">
        <v>3743</v>
      </c>
      <c r="B3743" t="s">
        <v>5933</v>
      </c>
      <c r="C3743" t="s">
        <v>6855</v>
      </c>
      <c r="D3743" s="78" t="s">
        <v>6615</v>
      </c>
      <c r="E3743" t="s">
        <v>6633</v>
      </c>
      <c r="F3743" t="s">
        <v>6639</v>
      </c>
      <c r="G3743" s="92">
        <v>43276.908703703702</v>
      </c>
      <c r="H3743" s="92">
        <v>43276.908703703702</v>
      </c>
      <c r="I3743" s="92">
        <v>43276.908703703702</v>
      </c>
      <c r="J3743" s="92">
        <v>43276.913946759261</v>
      </c>
      <c r="K3743" s="92"/>
      <c r="L3743" s="92">
        <f>IF(AND(单词表[[#This Row],[学英]]&lt;&gt;"",单词表[[#This Row],[学中]]&lt;&gt;"",单词表[[#This Row],[学词]]&lt;&gt;""),MAX(单词表[[#This Row],[学英]:[学词]]),"")</f>
        <v>43276.908703703702</v>
      </c>
      <c r="M3743" s="2" t="str">
        <f>IF(AND(单词表[[#This Row],[考英]]&lt;&gt;"",单词表[[#This Row],[考中]]&lt;&gt;""),MAX(单词表[[#This Row],[考英]:[考中]]),"")</f>
        <v/>
      </c>
      <c r="N3743" s="86"/>
    </row>
    <row r="3744" spans="1:14" hidden="1" x14ac:dyDescent="0.15">
      <c r="A3744">
        <v>3744</v>
      </c>
      <c r="B3744" t="s">
        <v>5933</v>
      </c>
      <c r="C3744" t="s">
        <v>6855</v>
      </c>
      <c r="D3744" s="78" t="s">
        <v>6616</v>
      </c>
      <c r="E3744" t="s">
        <v>6633</v>
      </c>
      <c r="F3744" t="s">
        <v>6640</v>
      </c>
      <c r="G3744" s="92">
        <v>43277.927673611113</v>
      </c>
      <c r="H3744" s="92">
        <v>43276.908622685187</v>
      </c>
      <c r="I3744" s="92">
        <v>43276.908622685187</v>
      </c>
      <c r="J3744" s="92">
        <v>43277.92796296296</v>
      </c>
      <c r="K3744" s="92"/>
      <c r="L3744" s="92">
        <f>IF(AND(单词表[[#This Row],[学英]]&lt;&gt;"",单词表[[#This Row],[学中]]&lt;&gt;"",单词表[[#This Row],[学词]]&lt;&gt;""),MAX(单词表[[#This Row],[学英]:[学词]]),"")</f>
        <v>43277.927673611113</v>
      </c>
      <c r="M3744" s="2" t="str">
        <f>IF(AND(单词表[[#This Row],[考英]]&lt;&gt;"",单词表[[#This Row],[考中]]&lt;&gt;""),MAX(单词表[[#This Row],[考英]:[考中]]),"")</f>
        <v/>
      </c>
      <c r="N3744" s="86"/>
    </row>
    <row r="3745" spans="1:14" hidden="1" x14ac:dyDescent="0.15">
      <c r="A3745">
        <v>3745</v>
      </c>
      <c r="B3745" t="s">
        <v>5933</v>
      </c>
      <c r="C3745" t="s">
        <v>6855</v>
      </c>
      <c r="D3745" s="78" t="s">
        <v>6617</v>
      </c>
      <c r="E3745" t="s">
        <v>6633</v>
      </c>
      <c r="F3745" t="s">
        <v>6641</v>
      </c>
      <c r="G3745" s="92">
        <v>43276.908553240741</v>
      </c>
      <c r="H3745" s="92">
        <v>43276.908553240741</v>
      </c>
      <c r="I3745" s="92">
        <v>43276.908553240741</v>
      </c>
      <c r="J3745" s="92">
        <v>43276.914189814815</v>
      </c>
      <c r="K3745" s="92"/>
      <c r="L3745" s="92">
        <f>IF(AND(单词表[[#This Row],[学英]]&lt;&gt;"",单词表[[#This Row],[学中]]&lt;&gt;"",单词表[[#This Row],[学词]]&lt;&gt;""),MAX(单词表[[#This Row],[学英]:[学词]]),"")</f>
        <v>43276.908553240741</v>
      </c>
      <c r="M3745" s="2" t="str">
        <f>IF(AND(单词表[[#This Row],[考英]]&lt;&gt;"",单词表[[#This Row],[考中]]&lt;&gt;""),MAX(单词表[[#This Row],[考英]:[考中]]),"")</f>
        <v/>
      </c>
      <c r="N3745" s="86"/>
    </row>
    <row r="3746" spans="1:14" hidden="1" x14ac:dyDescent="0.15">
      <c r="A3746">
        <v>3746</v>
      </c>
      <c r="B3746" t="s">
        <v>5933</v>
      </c>
      <c r="C3746" t="s">
        <v>6855</v>
      </c>
      <c r="D3746" s="78" t="s">
        <v>6618</v>
      </c>
      <c r="E3746" t="s">
        <v>6633</v>
      </c>
      <c r="F3746" t="s">
        <v>6642</v>
      </c>
      <c r="G3746" s="92">
        <v>43276.910810185182</v>
      </c>
      <c r="H3746" s="92">
        <v>43276.910810185182</v>
      </c>
      <c r="I3746" s="92">
        <v>43276.910810185182</v>
      </c>
      <c r="J3746" s="92">
        <v>43276.914293981485</v>
      </c>
      <c r="K3746" s="92"/>
      <c r="L3746" s="92">
        <f>IF(AND(单词表[[#This Row],[学英]]&lt;&gt;"",单词表[[#This Row],[学中]]&lt;&gt;"",单词表[[#This Row],[学词]]&lt;&gt;""),MAX(单词表[[#This Row],[学英]:[学词]]),"")</f>
        <v>43276.910810185182</v>
      </c>
      <c r="M3746" s="2" t="str">
        <f>IF(AND(单词表[[#This Row],[考英]]&lt;&gt;"",单词表[[#This Row],[考中]]&lt;&gt;""),MAX(单词表[[#This Row],[考英]:[考中]]),"")</f>
        <v/>
      </c>
      <c r="N3746" s="86"/>
    </row>
    <row r="3747" spans="1:14" hidden="1" x14ac:dyDescent="0.15">
      <c r="A3747">
        <v>3747</v>
      </c>
      <c r="B3747" t="s">
        <v>5933</v>
      </c>
      <c r="C3747" t="s">
        <v>6855</v>
      </c>
      <c r="D3747" s="78" t="s">
        <v>6619</v>
      </c>
      <c r="E3747" t="s">
        <v>6633</v>
      </c>
      <c r="F3747" t="s">
        <v>6643</v>
      </c>
      <c r="G3747" s="92">
        <v>43276.908414351848</v>
      </c>
      <c r="H3747" s="92">
        <v>43276.908414351848</v>
      </c>
      <c r="I3747" s="92">
        <v>43276.908414351848</v>
      </c>
      <c r="J3747" s="92">
        <v>43276.914375</v>
      </c>
      <c r="K3747" s="92"/>
      <c r="L3747" s="92">
        <f>IF(AND(单词表[[#This Row],[学英]]&lt;&gt;"",单词表[[#This Row],[学中]]&lt;&gt;"",单词表[[#This Row],[学词]]&lt;&gt;""),MAX(单词表[[#This Row],[学英]:[学词]]),"")</f>
        <v>43276.908414351848</v>
      </c>
      <c r="M3747" s="2" t="str">
        <f>IF(AND(单词表[[#This Row],[考英]]&lt;&gt;"",单词表[[#This Row],[考中]]&lt;&gt;""),MAX(单词表[[#This Row],[考英]:[考中]]),"")</f>
        <v/>
      </c>
      <c r="N3747" s="86"/>
    </row>
    <row r="3748" spans="1:14" hidden="1" x14ac:dyDescent="0.15">
      <c r="A3748">
        <v>3748</v>
      </c>
      <c r="B3748" t="s">
        <v>5933</v>
      </c>
      <c r="C3748" t="s">
        <v>6855</v>
      </c>
      <c r="D3748" s="78" t="s">
        <v>6620</v>
      </c>
      <c r="E3748" t="s">
        <v>6633</v>
      </c>
      <c r="F3748" t="s">
        <v>6644</v>
      </c>
      <c r="G3748" s="92">
        <v>43276.910856481481</v>
      </c>
      <c r="H3748" s="92">
        <v>43276.910856481481</v>
      </c>
      <c r="I3748" s="92">
        <v>43276.910856481481</v>
      </c>
      <c r="J3748" s="92">
        <v>43276.91443287037</v>
      </c>
      <c r="K3748" s="92"/>
      <c r="L3748" s="92">
        <f>IF(AND(单词表[[#This Row],[学英]]&lt;&gt;"",单词表[[#This Row],[学中]]&lt;&gt;"",单词表[[#This Row],[学词]]&lt;&gt;""),MAX(单词表[[#This Row],[学英]:[学词]]),"")</f>
        <v>43276.910856481481</v>
      </c>
      <c r="M3748" s="2" t="str">
        <f>IF(AND(单词表[[#This Row],[考英]]&lt;&gt;"",单词表[[#This Row],[考中]]&lt;&gt;""),MAX(单词表[[#This Row],[考英]:[考中]]),"")</f>
        <v/>
      </c>
      <c r="N3748" s="86"/>
    </row>
    <row r="3749" spans="1:14" hidden="1" x14ac:dyDescent="0.15">
      <c r="A3749">
        <v>3749</v>
      </c>
      <c r="B3749" t="s">
        <v>5933</v>
      </c>
      <c r="C3749" t="s">
        <v>6855</v>
      </c>
      <c r="D3749" s="78" t="s">
        <v>6621</v>
      </c>
      <c r="E3749" t="s">
        <v>6633</v>
      </c>
      <c r="F3749" t="s">
        <v>6645</v>
      </c>
      <c r="G3749" s="92">
        <v>43277.920312499999</v>
      </c>
      <c r="H3749" s="92">
        <v>43276.90829861111</v>
      </c>
      <c r="I3749" s="92">
        <v>43276.90829861111</v>
      </c>
      <c r="J3749" s="92">
        <v>43277.925706018519</v>
      </c>
      <c r="K3749" s="92"/>
      <c r="L3749" s="92">
        <f>IF(AND(单词表[[#This Row],[学英]]&lt;&gt;"",单词表[[#This Row],[学中]]&lt;&gt;"",单词表[[#This Row],[学词]]&lt;&gt;""),MAX(单词表[[#This Row],[学英]:[学词]]),"")</f>
        <v>43277.920312499999</v>
      </c>
      <c r="M3749" s="2" t="str">
        <f>IF(AND(单词表[[#This Row],[考英]]&lt;&gt;"",单词表[[#This Row],[考中]]&lt;&gt;""),MAX(单词表[[#This Row],[考英]:[考中]]),"")</f>
        <v/>
      </c>
      <c r="N3749" s="86"/>
    </row>
    <row r="3750" spans="1:14" hidden="1" x14ac:dyDescent="0.15">
      <c r="A3750">
        <v>3750</v>
      </c>
      <c r="B3750" t="s">
        <v>5933</v>
      </c>
      <c r="C3750" t="s">
        <v>6855</v>
      </c>
      <c r="D3750" s="78" t="s">
        <v>6622</v>
      </c>
      <c r="E3750" t="s">
        <v>6633</v>
      </c>
      <c r="F3750" t="s">
        <v>6646</v>
      </c>
      <c r="G3750" s="92">
        <v>43276.910925925928</v>
      </c>
      <c r="H3750" s="92">
        <v>43276.910925925928</v>
      </c>
      <c r="I3750" s="92">
        <v>43276.910925925928</v>
      </c>
      <c r="J3750" s="92">
        <v>43276.914606481485</v>
      </c>
      <c r="K3750" s="92"/>
      <c r="L3750" s="92">
        <f>IF(AND(单词表[[#This Row],[学英]]&lt;&gt;"",单词表[[#This Row],[学中]]&lt;&gt;"",单词表[[#This Row],[学词]]&lt;&gt;""),MAX(单词表[[#This Row],[学英]:[学词]]),"")</f>
        <v>43276.910925925928</v>
      </c>
      <c r="M3750" s="2" t="str">
        <f>IF(AND(单词表[[#This Row],[考英]]&lt;&gt;"",单词表[[#This Row],[考中]]&lt;&gt;""),MAX(单词表[[#This Row],[考英]:[考中]]),"")</f>
        <v/>
      </c>
      <c r="N3750" s="86"/>
    </row>
    <row r="3751" spans="1:14" hidden="1" x14ac:dyDescent="0.15">
      <c r="A3751">
        <v>3751</v>
      </c>
      <c r="B3751" t="s">
        <v>5933</v>
      </c>
      <c r="C3751" t="s">
        <v>6855</v>
      </c>
      <c r="D3751" s="78" t="s">
        <v>6623</v>
      </c>
      <c r="E3751" t="s">
        <v>6633</v>
      </c>
      <c r="F3751" t="s">
        <v>6647</v>
      </c>
      <c r="G3751" s="92">
        <v>43276.908171296294</v>
      </c>
      <c r="H3751" s="92">
        <v>43276.908171296294</v>
      </c>
      <c r="I3751" s="92">
        <v>43276.908171296294</v>
      </c>
      <c r="J3751" s="92">
        <v>43276.914699074077</v>
      </c>
      <c r="K3751" s="92"/>
      <c r="L3751" s="92">
        <f>IF(AND(单词表[[#This Row],[学英]]&lt;&gt;"",单词表[[#This Row],[学中]]&lt;&gt;"",单词表[[#This Row],[学词]]&lt;&gt;""),MAX(单词表[[#This Row],[学英]:[学词]]),"")</f>
        <v>43276.908171296294</v>
      </c>
      <c r="M3751" s="2" t="str">
        <f>IF(AND(单词表[[#This Row],[考英]]&lt;&gt;"",单词表[[#This Row],[考中]]&lt;&gt;""),MAX(单词表[[#This Row],[考英]:[考中]]),"")</f>
        <v/>
      </c>
      <c r="N3751" s="86"/>
    </row>
    <row r="3752" spans="1:14" hidden="1" x14ac:dyDescent="0.15">
      <c r="A3752">
        <v>3752</v>
      </c>
      <c r="B3752" t="s">
        <v>5933</v>
      </c>
      <c r="C3752" t="s">
        <v>6855</v>
      </c>
      <c r="D3752" s="78" t="s">
        <v>6624</v>
      </c>
      <c r="E3752" t="s">
        <v>6633</v>
      </c>
      <c r="F3752" t="s">
        <v>6648</v>
      </c>
      <c r="G3752" s="92">
        <v>43276.908113425925</v>
      </c>
      <c r="H3752" s="92">
        <v>43276.908113425925</v>
      </c>
      <c r="I3752" s="92">
        <v>43276.908113425925</v>
      </c>
      <c r="J3752" s="92">
        <v>43276.914768518516</v>
      </c>
      <c r="K3752" s="92"/>
      <c r="L3752" s="92">
        <f>IF(AND(单词表[[#This Row],[学英]]&lt;&gt;"",单词表[[#This Row],[学中]]&lt;&gt;"",单词表[[#This Row],[学词]]&lt;&gt;""),MAX(单词表[[#This Row],[学英]:[学词]]),"")</f>
        <v>43276.908113425925</v>
      </c>
      <c r="M3752" s="2" t="str">
        <f>IF(AND(单词表[[#This Row],[考英]]&lt;&gt;"",单词表[[#This Row],[考中]]&lt;&gt;""),MAX(单词表[[#This Row],[考英]:[考中]]),"")</f>
        <v/>
      </c>
      <c r="N3752" s="86"/>
    </row>
    <row r="3753" spans="1:14" hidden="1" x14ac:dyDescent="0.15">
      <c r="A3753">
        <v>3753</v>
      </c>
      <c r="B3753" t="s">
        <v>5933</v>
      </c>
      <c r="C3753" t="s">
        <v>6855</v>
      </c>
      <c r="D3753" s="78" t="s">
        <v>6625</v>
      </c>
      <c r="E3753" t="s">
        <v>6633</v>
      </c>
      <c r="F3753" t="s">
        <v>6649</v>
      </c>
      <c r="G3753" s="92">
        <v>43276.908055555556</v>
      </c>
      <c r="H3753" s="92">
        <v>43276.908055555556</v>
      </c>
      <c r="I3753" s="92">
        <v>43276.908055555556</v>
      </c>
      <c r="J3753" s="92">
        <v>43276.914849537039</v>
      </c>
      <c r="K3753" s="92"/>
      <c r="L3753" s="92">
        <f>IF(AND(单词表[[#This Row],[学英]]&lt;&gt;"",单词表[[#This Row],[学中]]&lt;&gt;"",单词表[[#This Row],[学词]]&lt;&gt;""),MAX(单词表[[#This Row],[学英]:[学词]]),"")</f>
        <v>43276.908055555556</v>
      </c>
      <c r="M3753" s="2" t="str">
        <f>IF(AND(单词表[[#This Row],[考英]]&lt;&gt;"",单词表[[#This Row],[考中]]&lt;&gt;""),MAX(单词表[[#This Row],[考英]:[考中]]),"")</f>
        <v/>
      </c>
      <c r="N3753" s="86"/>
    </row>
    <row r="3754" spans="1:14" hidden="1" x14ac:dyDescent="0.15">
      <c r="A3754">
        <v>3754</v>
      </c>
      <c r="B3754" t="s">
        <v>5933</v>
      </c>
      <c r="C3754" t="s">
        <v>6855</v>
      </c>
      <c r="D3754" s="78" t="s">
        <v>6626</v>
      </c>
      <c r="E3754" t="s">
        <v>6633</v>
      </c>
      <c r="F3754" t="s">
        <v>6650</v>
      </c>
      <c r="G3754" s="92">
        <v>43276.910960648151</v>
      </c>
      <c r="H3754" s="92">
        <v>43276.910960648151</v>
      </c>
      <c r="I3754" s="92">
        <v>43276.910960648151</v>
      </c>
      <c r="J3754" s="92">
        <v>43276.914895833332</v>
      </c>
      <c r="K3754" s="92"/>
      <c r="L3754" s="92">
        <f>IF(AND(单词表[[#This Row],[学英]]&lt;&gt;"",单词表[[#This Row],[学中]]&lt;&gt;"",单词表[[#This Row],[学词]]&lt;&gt;""),MAX(单词表[[#This Row],[学英]:[学词]]),"")</f>
        <v>43276.910960648151</v>
      </c>
      <c r="M3754" s="2" t="str">
        <f>IF(AND(单词表[[#This Row],[考英]]&lt;&gt;"",单词表[[#This Row],[考中]]&lt;&gt;""),MAX(单词表[[#This Row],[考英]:[考中]]),"")</f>
        <v/>
      </c>
      <c r="N3754" s="86"/>
    </row>
    <row r="3755" spans="1:14" hidden="1" x14ac:dyDescent="0.15">
      <c r="A3755">
        <v>3755</v>
      </c>
      <c r="B3755" t="s">
        <v>5933</v>
      </c>
      <c r="C3755" t="s">
        <v>6855</v>
      </c>
      <c r="D3755" s="78" t="s">
        <v>6627</v>
      </c>
      <c r="E3755" t="s">
        <v>6633</v>
      </c>
      <c r="F3755" t="s">
        <v>6651</v>
      </c>
      <c r="G3755" s="92">
        <v>43276.907962962963</v>
      </c>
      <c r="H3755" s="92">
        <v>43276.907962962963</v>
      </c>
      <c r="I3755" s="92">
        <v>43276.907962962963</v>
      </c>
      <c r="J3755" s="92">
        <v>43276.914976851855</v>
      </c>
      <c r="K3755" s="92"/>
      <c r="L3755" s="92">
        <f>IF(AND(单词表[[#This Row],[学英]]&lt;&gt;"",单词表[[#This Row],[学中]]&lt;&gt;"",单词表[[#This Row],[学词]]&lt;&gt;""),MAX(单词表[[#This Row],[学英]:[学词]]),"")</f>
        <v>43276.907962962963</v>
      </c>
      <c r="M3755" s="2" t="str">
        <f>IF(AND(单词表[[#This Row],[考英]]&lt;&gt;"",单词表[[#This Row],[考中]]&lt;&gt;""),MAX(单词表[[#This Row],[考英]:[考中]]),"")</f>
        <v/>
      </c>
      <c r="N3755" s="86"/>
    </row>
    <row r="3756" spans="1:14" hidden="1" x14ac:dyDescent="0.15">
      <c r="A3756">
        <v>3756</v>
      </c>
      <c r="B3756" t="s">
        <v>5933</v>
      </c>
      <c r="C3756" t="s">
        <v>6855</v>
      </c>
      <c r="D3756" s="78" t="s">
        <v>6659</v>
      </c>
      <c r="E3756" t="s">
        <v>6633</v>
      </c>
      <c r="F3756" t="s">
        <v>6653</v>
      </c>
      <c r="G3756" s="92">
        <v>43276.907893518517</v>
      </c>
      <c r="H3756" s="92">
        <v>43276.907893518517</v>
      </c>
      <c r="I3756" s="92">
        <v>43276.907893518517</v>
      </c>
      <c r="J3756" s="92">
        <v>43279.540520833332</v>
      </c>
      <c r="K3756" s="92"/>
      <c r="L3756" s="92">
        <f>IF(AND(单词表[[#This Row],[学英]]&lt;&gt;"",单词表[[#This Row],[学中]]&lt;&gt;"",单词表[[#This Row],[学词]]&lt;&gt;""),MAX(单词表[[#This Row],[学英]:[学词]]),"")</f>
        <v>43276.907893518517</v>
      </c>
      <c r="M3756" s="2" t="str">
        <f>IF(AND(单词表[[#This Row],[考英]]&lt;&gt;"",单词表[[#This Row],[考中]]&lt;&gt;""),MAX(单词表[[#This Row],[考英]:[考中]]),"")</f>
        <v/>
      </c>
      <c r="N3756" s="86"/>
    </row>
    <row r="3757" spans="1:14" hidden="1" x14ac:dyDescent="0.15">
      <c r="A3757">
        <v>3757</v>
      </c>
      <c r="B3757" t="s">
        <v>5933</v>
      </c>
      <c r="C3757" t="s">
        <v>6855</v>
      </c>
      <c r="D3757" s="78" t="s">
        <v>6628</v>
      </c>
      <c r="E3757" t="s">
        <v>6633</v>
      </c>
      <c r="F3757" t="s">
        <v>6654</v>
      </c>
      <c r="G3757" s="92">
        <v>43276.911006944443</v>
      </c>
      <c r="H3757" s="92">
        <v>43276.911006944443</v>
      </c>
      <c r="I3757" s="92">
        <v>43276.911006944443</v>
      </c>
      <c r="J3757" s="92">
        <v>43276.915925925925</v>
      </c>
      <c r="K3757" s="92"/>
      <c r="L3757" s="92">
        <f>IF(AND(单词表[[#This Row],[学英]]&lt;&gt;"",单词表[[#This Row],[学中]]&lt;&gt;"",单词表[[#This Row],[学词]]&lt;&gt;""),MAX(单词表[[#This Row],[学英]:[学词]]),"")</f>
        <v>43276.911006944443</v>
      </c>
      <c r="M3757" s="2" t="str">
        <f>IF(AND(单词表[[#This Row],[考英]]&lt;&gt;"",单词表[[#This Row],[考中]]&lt;&gt;""),MAX(单词表[[#This Row],[考英]:[考中]]),"")</f>
        <v/>
      </c>
      <c r="N3757" s="86"/>
    </row>
    <row r="3758" spans="1:14" hidden="1" x14ac:dyDescent="0.15">
      <c r="A3758">
        <v>3758</v>
      </c>
      <c r="B3758" t="s">
        <v>5933</v>
      </c>
      <c r="C3758" t="s">
        <v>6855</v>
      </c>
      <c r="D3758" s="78" t="s">
        <v>6629</v>
      </c>
      <c r="E3758" t="s">
        <v>6633</v>
      </c>
      <c r="F3758" t="s">
        <v>6655</v>
      </c>
      <c r="G3758" s="92">
        <v>43276.907743055555</v>
      </c>
      <c r="H3758" s="92">
        <v>43276.907743055555</v>
      </c>
      <c r="I3758" s="92">
        <v>43276.907743055555</v>
      </c>
      <c r="J3758" s="92">
        <v>43276.916122685187</v>
      </c>
      <c r="K3758" s="92"/>
      <c r="L3758" s="92">
        <f>IF(AND(单词表[[#This Row],[学英]]&lt;&gt;"",单词表[[#This Row],[学中]]&lt;&gt;"",单词表[[#This Row],[学词]]&lt;&gt;""),MAX(单词表[[#This Row],[学英]:[学词]]),"")</f>
        <v>43276.907743055555</v>
      </c>
      <c r="M3758" s="2" t="str">
        <f>IF(AND(单词表[[#This Row],[考英]]&lt;&gt;"",单词表[[#This Row],[考中]]&lt;&gt;""),MAX(单词表[[#This Row],[考英]:[考中]]),"")</f>
        <v/>
      </c>
      <c r="N3758" s="86"/>
    </row>
    <row r="3759" spans="1:14" hidden="1" x14ac:dyDescent="0.15">
      <c r="A3759">
        <v>3759</v>
      </c>
      <c r="B3759" t="s">
        <v>5933</v>
      </c>
      <c r="C3759" t="s">
        <v>6855</v>
      </c>
      <c r="D3759" s="78" t="s">
        <v>6630</v>
      </c>
      <c r="E3759" t="s">
        <v>6633</v>
      </c>
      <c r="F3759" t="s">
        <v>6656</v>
      </c>
      <c r="G3759" s="92">
        <v>43276.911076388889</v>
      </c>
      <c r="H3759" s="92">
        <v>43276.911076388889</v>
      </c>
      <c r="I3759" s="92">
        <v>43276.911076388889</v>
      </c>
      <c r="J3759" s="92">
        <v>43276.91646990741</v>
      </c>
      <c r="K3759" s="92"/>
      <c r="L3759" s="92">
        <f>IF(AND(单词表[[#This Row],[学英]]&lt;&gt;"",单词表[[#This Row],[学中]]&lt;&gt;"",单词表[[#This Row],[学词]]&lt;&gt;""),MAX(单词表[[#This Row],[学英]:[学词]]),"")</f>
        <v>43276.911076388889</v>
      </c>
      <c r="M3759" s="2" t="str">
        <f>IF(AND(单词表[[#This Row],[考英]]&lt;&gt;"",单词表[[#This Row],[考中]]&lt;&gt;""),MAX(单词表[[#This Row],[考英]:[考中]]),"")</f>
        <v/>
      </c>
      <c r="N3759" s="86"/>
    </row>
    <row r="3760" spans="1:14" hidden="1" x14ac:dyDescent="0.15">
      <c r="A3760">
        <v>3760</v>
      </c>
      <c r="B3760" t="s">
        <v>5933</v>
      </c>
      <c r="C3760" t="s">
        <v>6855</v>
      </c>
      <c r="D3760" s="78" t="s">
        <v>6632</v>
      </c>
      <c r="E3760" t="s">
        <v>6633</v>
      </c>
      <c r="F3760" t="s">
        <v>6657</v>
      </c>
      <c r="G3760" s="92">
        <v>43277.927719907406</v>
      </c>
      <c r="H3760" s="92">
        <v>43276.907604166663</v>
      </c>
      <c r="I3760" s="92">
        <v>43276.90761574074</v>
      </c>
      <c r="J3760" s="92">
        <v>43277.928900462961</v>
      </c>
      <c r="K3760" s="92"/>
      <c r="L3760" s="92">
        <f>IF(AND(单词表[[#This Row],[学英]]&lt;&gt;"",单词表[[#This Row],[学中]]&lt;&gt;"",单词表[[#This Row],[学词]]&lt;&gt;""),MAX(单词表[[#This Row],[学英]:[学词]]),"")</f>
        <v>43277.927719907406</v>
      </c>
      <c r="M3760" s="2" t="str">
        <f>IF(AND(单词表[[#This Row],[考英]]&lt;&gt;"",单词表[[#This Row],[考中]]&lt;&gt;""),MAX(单词表[[#This Row],[考英]:[考中]]),"")</f>
        <v/>
      </c>
      <c r="N3760" s="86"/>
    </row>
    <row r="3761" spans="1:14" hidden="1" x14ac:dyDescent="0.15">
      <c r="A3761">
        <v>3761</v>
      </c>
      <c r="B3761" t="s">
        <v>5933</v>
      </c>
      <c r="C3761" t="s">
        <v>6855</v>
      </c>
      <c r="D3761" s="78" t="s">
        <v>6631</v>
      </c>
      <c r="E3761" t="s">
        <v>6633</v>
      </c>
      <c r="F3761" t="s">
        <v>6658</v>
      </c>
      <c r="G3761" s="92">
        <v>43276.907476851855</v>
      </c>
      <c r="H3761" s="92">
        <v>43276.907476851855</v>
      </c>
      <c r="I3761" s="92">
        <v>43276.907476851855</v>
      </c>
      <c r="J3761" s="92">
        <v>43276.917175925926</v>
      </c>
      <c r="K3761" s="92"/>
      <c r="L3761" s="92">
        <f>IF(AND(单词表[[#This Row],[学英]]&lt;&gt;"",单词表[[#This Row],[学中]]&lt;&gt;"",单词表[[#This Row],[学词]]&lt;&gt;""),MAX(单词表[[#This Row],[学英]:[学词]]),"")</f>
        <v>43276.907476851855</v>
      </c>
      <c r="M3761" s="2" t="str">
        <f>IF(AND(单词表[[#This Row],[考英]]&lt;&gt;"",单词表[[#This Row],[考中]]&lt;&gt;""),MAX(单词表[[#This Row],[考英]:[考中]]),"")</f>
        <v/>
      </c>
      <c r="N3761" s="86"/>
    </row>
    <row r="3762" spans="1:14" hidden="1" x14ac:dyDescent="0.15">
      <c r="A3762">
        <v>3762</v>
      </c>
      <c r="B3762" t="s">
        <v>5933</v>
      </c>
      <c r="C3762" t="s">
        <v>6853</v>
      </c>
      <c r="D3762" s="78" t="s">
        <v>6662</v>
      </c>
      <c r="E3762" t="s">
        <v>6696</v>
      </c>
      <c r="F3762" t="s">
        <v>6698</v>
      </c>
      <c r="G3762" s="92"/>
      <c r="H3762" s="92"/>
      <c r="I3762" s="92"/>
      <c r="J3762" s="92"/>
      <c r="K3762" s="92"/>
      <c r="L3762" s="9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6"/>
    </row>
    <row r="3763" spans="1:14" hidden="1" x14ac:dyDescent="0.15">
      <c r="A3763">
        <v>3763</v>
      </c>
      <c r="B3763" t="s">
        <v>5933</v>
      </c>
      <c r="C3763" t="s">
        <v>6853</v>
      </c>
      <c r="D3763" s="78" t="s">
        <v>6663</v>
      </c>
      <c r="E3763" t="s">
        <v>6696</v>
      </c>
      <c r="F3763" t="s">
        <v>6699</v>
      </c>
      <c r="G3763" s="92"/>
      <c r="H3763" s="92"/>
      <c r="I3763" s="92"/>
      <c r="J3763" s="92"/>
      <c r="K3763" s="92"/>
      <c r="L3763" s="9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6"/>
    </row>
    <row r="3764" spans="1:14" hidden="1" x14ac:dyDescent="0.15">
      <c r="A3764">
        <v>3764</v>
      </c>
      <c r="B3764" t="s">
        <v>5933</v>
      </c>
      <c r="C3764" t="s">
        <v>6853</v>
      </c>
      <c r="D3764" s="78" t="s">
        <v>6664</v>
      </c>
      <c r="E3764" t="s">
        <v>6696</v>
      </c>
      <c r="F3764" t="s">
        <v>6700</v>
      </c>
      <c r="G3764" s="92"/>
      <c r="H3764" s="92"/>
      <c r="I3764" s="92"/>
      <c r="J3764" s="92"/>
      <c r="K3764" s="92"/>
      <c r="L3764" s="9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6"/>
    </row>
    <row r="3765" spans="1:14" hidden="1" x14ac:dyDescent="0.15">
      <c r="A3765">
        <v>3765</v>
      </c>
      <c r="B3765" t="s">
        <v>5933</v>
      </c>
      <c r="C3765" t="s">
        <v>6853</v>
      </c>
      <c r="D3765" s="78" t="s">
        <v>6665</v>
      </c>
      <c r="E3765" t="s">
        <v>6696</v>
      </c>
      <c r="F3765" t="s">
        <v>6701</v>
      </c>
      <c r="G3765" s="92"/>
      <c r="H3765" s="92"/>
      <c r="I3765" s="92"/>
      <c r="J3765" s="92"/>
      <c r="K3765" s="92"/>
      <c r="L3765" s="9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6"/>
    </row>
    <row r="3766" spans="1:14" hidden="1" x14ac:dyDescent="0.15">
      <c r="A3766">
        <v>3766</v>
      </c>
      <c r="B3766" t="s">
        <v>5933</v>
      </c>
      <c r="C3766" t="s">
        <v>6853</v>
      </c>
      <c r="D3766" s="78" t="s">
        <v>6666</v>
      </c>
      <c r="E3766" t="s">
        <v>6696</v>
      </c>
      <c r="F3766" t="s">
        <v>6702</v>
      </c>
      <c r="G3766" s="92"/>
      <c r="H3766" s="92"/>
      <c r="I3766" s="92"/>
      <c r="J3766" s="92"/>
      <c r="K3766" s="92"/>
      <c r="L3766" s="9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6"/>
    </row>
    <row r="3767" spans="1:14" hidden="1" x14ac:dyDescent="0.15">
      <c r="A3767">
        <v>3767</v>
      </c>
      <c r="B3767" t="s">
        <v>5933</v>
      </c>
      <c r="C3767" t="s">
        <v>6853</v>
      </c>
      <c r="D3767" s="78" t="s">
        <v>6667</v>
      </c>
      <c r="E3767" t="s">
        <v>6696</v>
      </c>
      <c r="F3767" t="s">
        <v>6703</v>
      </c>
      <c r="G3767" s="92"/>
      <c r="H3767" s="92"/>
      <c r="I3767" s="92"/>
      <c r="J3767" s="92"/>
      <c r="K3767" s="92"/>
      <c r="L3767" s="9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6"/>
    </row>
    <row r="3768" spans="1:14" hidden="1" x14ac:dyDescent="0.15">
      <c r="A3768">
        <v>3768</v>
      </c>
      <c r="B3768" t="s">
        <v>5933</v>
      </c>
      <c r="C3768" t="s">
        <v>6853</v>
      </c>
      <c r="D3768" s="78" t="s">
        <v>6668</v>
      </c>
      <c r="E3768" t="s">
        <v>6696</v>
      </c>
      <c r="F3768" t="s">
        <v>6704</v>
      </c>
      <c r="G3768" s="92"/>
      <c r="H3768" s="92"/>
      <c r="I3768" s="92"/>
      <c r="J3768" s="92"/>
      <c r="K3768" s="92"/>
      <c r="L3768" s="9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6"/>
    </row>
    <row r="3769" spans="1:14" hidden="1" x14ac:dyDescent="0.15">
      <c r="A3769">
        <v>3769</v>
      </c>
      <c r="B3769" t="s">
        <v>5933</v>
      </c>
      <c r="C3769" t="s">
        <v>6853</v>
      </c>
      <c r="D3769" s="78" t="s">
        <v>6669</v>
      </c>
      <c r="E3769" t="s">
        <v>6696</v>
      </c>
      <c r="F3769" t="s">
        <v>6705</v>
      </c>
      <c r="G3769" s="92"/>
      <c r="H3769" s="92"/>
      <c r="I3769" s="92"/>
      <c r="J3769" s="92"/>
      <c r="K3769" s="92"/>
      <c r="L3769" s="9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6"/>
    </row>
    <row r="3770" spans="1:14" hidden="1" x14ac:dyDescent="0.15">
      <c r="A3770">
        <v>3770</v>
      </c>
      <c r="B3770" t="s">
        <v>5933</v>
      </c>
      <c r="C3770" t="s">
        <v>6853</v>
      </c>
      <c r="D3770" s="78" t="s">
        <v>6670</v>
      </c>
      <c r="E3770" t="s">
        <v>6696</v>
      </c>
      <c r="F3770" t="s">
        <v>6706</v>
      </c>
      <c r="G3770" s="92"/>
      <c r="H3770" s="92"/>
      <c r="I3770" s="92"/>
      <c r="J3770" s="92"/>
      <c r="K3770" s="92"/>
      <c r="L3770" s="9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6"/>
    </row>
    <row r="3771" spans="1:14" hidden="1" x14ac:dyDescent="0.15">
      <c r="A3771">
        <v>3771</v>
      </c>
      <c r="B3771" t="s">
        <v>5933</v>
      </c>
      <c r="C3771" t="s">
        <v>6853</v>
      </c>
      <c r="D3771" s="78" t="s">
        <v>6671</v>
      </c>
      <c r="E3771" t="s">
        <v>6697</v>
      </c>
      <c r="F3771" t="s">
        <v>6707</v>
      </c>
      <c r="G3771" s="92"/>
      <c r="H3771" s="92"/>
      <c r="I3771" s="92"/>
      <c r="J3771" s="92"/>
      <c r="K3771" s="92"/>
      <c r="L3771" s="9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6"/>
    </row>
    <row r="3772" spans="1:14" hidden="1" x14ac:dyDescent="0.15">
      <c r="A3772">
        <v>3772</v>
      </c>
      <c r="B3772" t="s">
        <v>5933</v>
      </c>
      <c r="C3772" t="s">
        <v>6853</v>
      </c>
      <c r="D3772" s="78" t="s">
        <v>6672</v>
      </c>
      <c r="E3772" t="s">
        <v>6697</v>
      </c>
      <c r="F3772" t="s">
        <v>6708</v>
      </c>
      <c r="G3772" s="92"/>
      <c r="H3772" s="92"/>
      <c r="I3772" s="92"/>
      <c r="J3772" s="92"/>
      <c r="K3772" s="92"/>
      <c r="L3772" s="9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6"/>
    </row>
    <row r="3773" spans="1:14" hidden="1" x14ac:dyDescent="0.15">
      <c r="A3773">
        <v>3773</v>
      </c>
      <c r="B3773" t="s">
        <v>5933</v>
      </c>
      <c r="C3773" t="s">
        <v>6853</v>
      </c>
      <c r="D3773" s="78" t="s">
        <v>6673</v>
      </c>
      <c r="E3773" t="s">
        <v>6697</v>
      </c>
      <c r="F3773" t="s">
        <v>6709</v>
      </c>
      <c r="G3773" s="92"/>
      <c r="H3773" s="92"/>
      <c r="I3773" s="92"/>
      <c r="J3773" s="92"/>
      <c r="K3773" s="92"/>
      <c r="L3773" s="9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6"/>
    </row>
    <row r="3774" spans="1:14" hidden="1" x14ac:dyDescent="0.15">
      <c r="A3774">
        <v>3774</v>
      </c>
      <c r="B3774" t="s">
        <v>5933</v>
      </c>
      <c r="C3774" t="s">
        <v>6853</v>
      </c>
      <c r="D3774" s="78" t="s">
        <v>6674</v>
      </c>
      <c r="E3774" t="s">
        <v>6697</v>
      </c>
      <c r="F3774" t="s">
        <v>6710</v>
      </c>
      <c r="G3774" s="92"/>
      <c r="H3774" s="92"/>
      <c r="I3774" s="92"/>
      <c r="J3774" s="92"/>
      <c r="K3774" s="92"/>
      <c r="L3774" s="9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6"/>
    </row>
    <row r="3775" spans="1:14" hidden="1" x14ac:dyDescent="0.15">
      <c r="A3775">
        <v>3775</v>
      </c>
      <c r="B3775" t="s">
        <v>5933</v>
      </c>
      <c r="C3775" t="s">
        <v>6853</v>
      </c>
      <c r="D3775" s="78" t="s">
        <v>6675</v>
      </c>
      <c r="E3775" t="s">
        <v>6697</v>
      </c>
      <c r="F3775" t="s">
        <v>6711</v>
      </c>
      <c r="G3775" s="92"/>
      <c r="H3775" s="92"/>
      <c r="I3775" s="92"/>
      <c r="J3775" s="92"/>
      <c r="K3775" s="92"/>
      <c r="L3775" s="9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6"/>
    </row>
    <row r="3776" spans="1:14" hidden="1" x14ac:dyDescent="0.15">
      <c r="A3776">
        <v>3776</v>
      </c>
      <c r="B3776" t="s">
        <v>5933</v>
      </c>
      <c r="C3776" t="s">
        <v>6853</v>
      </c>
      <c r="D3776" s="78" t="s">
        <v>6676</v>
      </c>
      <c r="E3776" t="s">
        <v>6697</v>
      </c>
      <c r="F3776" t="s">
        <v>6712</v>
      </c>
      <c r="G3776" s="92"/>
      <c r="H3776" s="92"/>
      <c r="I3776" s="92"/>
      <c r="J3776" s="92"/>
      <c r="K3776" s="92"/>
      <c r="L3776" s="9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6"/>
    </row>
    <row r="3777" spans="1:14" hidden="1" x14ac:dyDescent="0.15">
      <c r="A3777">
        <v>3777</v>
      </c>
      <c r="B3777" t="s">
        <v>5933</v>
      </c>
      <c r="C3777" t="s">
        <v>6853</v>
      </c>
      <c r="D3777" s="78" t="s">
        <v>6677</v>
      </c>
      <c r="E3777" t="s">
        <v>6697</v>
      </c>
      <c r="F3777" t="s">
        <v>6713</v>
      </c>
      <c r="G3777" s="92"/>
      <c r="H3777" s="92"/>
      <c r="I3777" s="92"/>
      <c r="J3777" s="92"/>
      <c r="K3777" s="92"/>
      <c r="L3777" s="9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6"/>
    </row>
    <row r="3778" spans="1:14" hidden="1" x14ac:dyDescent="0.15">
      <c r="A3778">
        <v>3778</v>
      </c>
      <c r="B3778" t="s">
        <v>5933</v>
      </c>
      <c r="C3778" t="s">
        <v>6853</v>
      </c>
      <c r="D3778" s="78" t="s">
        <v>6678</v>
      </c>
      <c r="E3778" t="s">
        <v>6697</v>
      </c>
      <c r="F3778" t="s">
        <v>6714</v>
      </c>
      <c r="G3778" s="92"/>
      <c r="H3778" s="92"/>
      <c r="I3778" s="92"/>
      <c r="J3778" s="92"/>
      <c r="K3778" s="92"/>
      <c r="L3778" s="9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6"/>
    </row>
    <row r="3779" spans="1:14" hidden="1" x14ac:dyDescent="0.15">
      <c r="A3779">
        <v>3779</v>
      </c>
      <c r="B3779" t="s">
        <v>5933</v>
      </c>
      <c r="C3779" t="s">
        <v>6853</v>
      </c>
      <c r="D3779" s="78" t="s">
        <v>6679</v>
      </c>
      <c r="E3779" t="s">
        <v>6697</v>
      </c>
      <c r="F3779" t="s">
        <v>6715</v>
      </c>
      <c r="G3779" s="92"/>
      <c r="H3779" s="92"/>
      <c r="I3779" s="92"/>
      <c r="J3779" s="92"/>
      <c r="K3779" s="92"/>
      <c r="L3779" s="9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6"/>
    </row>
    <row r="3780" spans="1:14" hidden="1" x14ac:dyDescent="0.15">
      <c r="A3780">
        <v>3780</v>
      </c>
      <c r="B3780" t="s">
        <v>5933</v>
      </c>
      <c r="C3780" t="s">
        <v>6853</v>
      </c>
      <c r="D3780" s="78" t="s">
        <v>6680</v>
      </c>
      <c r="E3780" t="s">
        <v>6697</v>
      </c>
      <c r="F3780" t="s">
        <v>6716</v>
      </c>
      <c r="G3780" s="92"/>
      <c r="H3780" s="92"/>
      <c r="I3780" s="92"/>
      <c r="J3780" s="92"/>
      <c r="K3780" s="92"/>
      <c r="L3780" s="9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6"/>
    </row>
    <row r="3781" spans="1:14" hidden="1" x14ac:dyDescent="0.15">
      <c r="A3781">
        <v>3781</v>
      </c>
      <c r="B3781" t="s">
        <v>5933</v>
      </c>
      <c r="C3781" t="s">
        <v>6853</v>
      </c>
      <c r="D3781" s="78" t="s">
        <v>6681</v>
      </c>
      <c r="E3781" t="s">
        <v>6697</v>
      </c>
      <c r="F3781" t="s">
        <v>6717</v>
      </c>
      <c r="G3781" s="92"/>
      <c r="H3781" s="92"/>
      <c r="I3781" s="92"/>
      <c r="J3781" s="92"/>
      <c r="K3781" s="92"/>
      <c r="L3781" s="9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6"/>
    </row>
    <row r="3782" spans="1:14" hidden="1" x14ac:dyDescent="0.15">
      <c r="A3782">
        <v>3782</v>
      </c>
      <c r="B3782" t="s">
        <v>5933</v>
      </c>
      <c r="C3782" t="s">
        <v>6853</v>
      </c>
      <c r="D3782" s="78" t="s">
        <v>6682</v>
      </c>
      <c r="E3782" t="s">
        <v>6697</v>
      </c>
      <c r="F3782" t="s">
        <v>6718</v>
      </c>
      <c r="G3782" s="92"/>
      <c r="H3782" s="92"/>
      <c r="I3782" s="92"/>
      <c r="J3782" s="92"/>
      <c r="K3782" s="92"/>
      <c r="L3782" s="9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6"/>
    </row>
    <row r="3783" spans="1:14" hidden="1" x14ac:dyDescent="0.15">
      <c r="A3783">
        <v>3783</v>
      </c>
      <c r="B3783" t="s">
        <v>5933</v>
      </c>
      <c r="C3783" t="s">
        <v>6853</v>
      </c>
      <c r="D3783" s="78" t="s">
        <v>6683</v>
      </c>
      <c r="E3783" t="s">
        <v>6697</v>
      </c>
      <c r="F3783" t="s">
        <v>6719</v>
      </c>
      <c r="G3783" s="92"/>
      <c r="H3783" s="92"/>
      <c r="I3783" s="92"/>
      <c r="J3783" s="92"/>
      <c r="K3783" s="92"/>
      <c r="L3783" s="9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6"/>
    </row>
    <row r="3784" spans="1:14" hidden="1" x14ac:dyDescent="0.15">
      <c r="A3784">
        <v>3784</v>
      </c>
      <c r="B3784" t="s">
        <v>5933</v>
      </c>
      <c r="C3784" t="s">
        <v>6853</v>
      </c>
      <c r="D3784" s="78" t="s">
        <v>6684</v>
      </c>
      <c r="E3784" t="s">
        <v>6697</v>
      </c>
      <c r="F3784" t="s">
        <v>6720</v>
      </c>
      <c r="G3784" s="92"/>
      <c r="H3784" s="92"/>
      <c r="I3784" s="92"/>
      <c r="J3784" s="92"/>
      <c r="K3784" s="92"/>
      <c r="L3784" s="9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6"/>
    </row>
    <row r="3785" spans="1:14" hidden="1" x14ac:dyDescent="0.15">
      <c r="A3785">
        <v>3785</v>
      </c>
      <c r="B3785" t="s">
        <v>5933</v>
      </c>
      <c r="C3785" t="s">
        <v>6853</v>
      </c>
      <c r="D3785" s="78" t="s">
        <v>6685</v>
      </c>
      <c r="E3785" t="s">
        <v>6697</v>
      </c>
      <c r="F3785" t="s">
        <v>6721</v>
      </c>
      <c r="G3785" s="92"/>
      <c r="H3785" s="92"/>
      <c r="I3785" s="92"/>
      <c r="J3785" s="92"/>
      <c r="K3785" s="92"/>
      <c r="L3785" s="9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6"/>
    </row>
    <row r="3786" spans="1:14" hidden="1" x14ac:dyDescent="0.15">
      <c r="A3786">
        <v>3786</v>
      </c>
      <c r="B3786" t="s">
        <v>5933</v>
      </c>
      <c r="C3786" t="s">
        <v>6853</v>
      </c>
      <c r="D3786" s="78" t="s">
        <v>6686</v>
      </c>
      <c r="E3786" t="s">
        <v>6697</v>
      </c>
      <c r="F3786" t="s">
        <v>6722</v>
      </c>
      <c r="G3786" s="92"/>
      <c r="H3786" s="92"/>
      <c r="I3786" s="92"/>
      <c r="J3786" s="92"/>
      <c r="K3786" s="92"/>
      <c r="L3786" s="9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6"/>
    </row>
    <row r="3787" spans="1:14" hidden="1" x14ac:dyDescent="0.15">
      <c r="A3787">
        <v>3787</v>
      </c>
      <c r="B3787" t="s">
        <v>5933</v>
      </c>
      <c r="C3787" t="s">
        <v>6853</v>
      </c>
      <c r="D3787" s="78" t="s">
        <v>6687</v>
      </c>
      <c r="E3787" t="s">
        <v>6697</v>
      </c>
      <c r="F3787" t="s">
        <v>6723</v>
      </c>
      <c r="G3787" s="92"/>
      <c r="H3787" s="92"/>
      <c r="I3787" s="92"/>
      <c r="J3787" s="92"/>
      <c r="K3787" s="92"/>
      <c r="L3787" s="9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6"/>
    </row>
    <row r="3788" spans="1:14" hidden="1" x14ac:dyDescent="0.15">
      <c r="A3788">
        <v>3788</v>
      </c>
      <c r="B3788" t="s">
        <v>5933</v>
      </c>
      <c r="C3788" t="s">
        <v>6853</v>
      </c>
      <c r="D3788" s="78" t="s">
        <v>6688</v>
      </c>
      <c r="E3788" t="s">
        <v>6697</v>
      </c>
      <c r="F3788" t="s">
        <v>6724</v>
      </c>
      <c r="G3788" s="92"/>
      <c r="H3788" s="92"/>
      <c r="I3788" s="92"/>
      <c r="J3788" s="92"/>
      <c r="K3788" s="92"/>
      <c r="L3788" s="9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6"/>
    </row>
    <row r="3789" spans="1:14" hidden="1" x14ac:dyDescent="0.15">
      <c r="A3789">
        <v>3789</v>
      </c>
      <c r="B3789" t="s">
        <v>5933</v>
      </c>
      <c r="C3789" t="s">
        <v>6853</v>
      </c>
      <c r="D3789" s="78" t="s">
        <v>6689</v>
      </c>
      <c r="E3789" t="s">
        <v>6697</v>
      </c>
      <c r="F3789" t="s">
        <v>6725</v>
      </c>
      <c r="G3789" s="92"/>
      <c r="H3789" s="92"/>
      <c r="I3789" s="92"/>
      <c r="J3789" s="92"/>
      <c r="K3789" s="92"/>
      <c r="L3789" s="9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6"/>
    </row>
    <row r="3790" spans="1:14" hidden="1" x14ac:dyDescent="0.15">
      <c r="A3790">
        <v>3790</v>
      </c>
      <c r="B3790" t="s">
        <v>5933</v>
      </c>
      <c r="C3790" t="s">
        <v>6853</v>
      </c>
      <c r="D3790" s="78" t="s">
        <v>6690</v>
      </c>
      <c r="E3790" t="s">
        <v>6697</v>
      </c>
      <c r="F3790" t="s">
        <v>6726</v>
      </c>
      <c r="G3790" s="92"/>
      <c r="H3790" s="92"/>
      <c r="I3790" s="92"/>
      <c r="J3790" s="92"/>
      <c r="K3790" s="92"/>
      <c r="L3790" s="9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6"/>
    </row>
    <row r="3791" spans="1:14" hidden="1" x14ac:dyDescent="0.15">
      <c r="A3791">
        <v>3791</v>
      </c>
      <c r="B3791" t="s">
        <v>5933</v>
      </c>
      <c r="C3791" t="s">
        <v>6853</v>
      </c>
      <c r="D3791" s="78" t="s">
        <v>6691</v>
      </c>
      <c r="E3791" t="s">
        <v>6697</v>
      </c>
      <c r="F3791" t="s">
        <v>6727</v>
      </c>
      <c r="G3791" s="92"/>
      <c r="H3791" s="92"/>
      <c r="I3791" s="92"/>
      <c r="J3791" s="92"/>
      <c r="K3791" s="92"/>
      <c r="L3791" s="9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6"/>
    </row>
    <row r="3792" spans="1:14" hidden="1" x14ac:dyDescent="0.15">
      <c r="A3792">
        <v>3792</v>
      </c>
      <c r="B3792" t="s">
        <v>5933</v>
      </c>
      <c r="C3792" t="s">
        <v>6853</v>
      </c>
      <c r="D3792" s="78" t="s">
        <v>6692</v>
      </c>
      <c r="E3792" t="s">
        <v>6697</v>
      </c>
      <c r="F3792" t="s">
        <v>6728</v>
      </c>
      <c r="G3792" s="92"/>
      <c r="H3792" s="92"/>
      <c r="I3792" s="92"/>
      <c r="J3792" s="92"/>
      <c r="K3792" s="92"/>
      <c r="L3792" s="9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6"/>
    </row>
    <row r="3793" spans="1:14" hidden="1" x14ac:dyDescent="0.15">
      <c r="A3793">
        <v>3793</v>
      </c>
      <c r="B3793" t="s">
        <v>5933</v>
      </c>
      <c r="C3793" t="s">
        <v>6853</v>
      </c>
      <c r="D3793" s="78" t="s">
        <v>6693</v>
      </c>
      <c r="E3793" t="s">
        <v>6697</v>
      </c>
      <c r="F3793" t="s">
        <v>6729</v>
      </c>
      <c r="G3793" s="92"/>
      <c r="H3793" s="92"/>
      <c r="I3793" s="92"/>
      <c r="J3793" s="92"/>
      <c r="K3793" s="92"/>
      <c r="L3793" s="9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6"/>
    </row>
    <row r="3794" spans="1:14" hidden="1" x14ac:dyDescent="0.15">
      <c r="A3794">
        <v>3794</v>
      </c>
      <c r="B3794" t="s">
        <v>5933</v>
      </c>
      <c r="C3794" t="s">
        <v>6853</v>
      </c>
      <c r="D3794" s="78" t="s">
        <v>6694</v>
      </c>
      <c r="E3794" t="s">
        <v>6697</v>
      </c>
      <c r="F3794" t="s">
        <v>6730</v>
      </c>
      <c r="G3794" s="92"/>
      <c r="H3794" s="92"/>
      <c r="I3794" s="92"/>
      <c r="J3794" s="92"/>
      <c r="K3794" s="92"/>
      <c r="L3794" s="9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6"/>
    </row>
    <row r="3795" spans="1:14" hidden="1" x14ac:dyDescent="0.15">
      <c r="A3795">
        <v>3795</v>
      </c>
      <c r="B3795" t="s">
        <v>5933</v>
      </c>
      <c r="C3795" t="s">
        <v>6853</v>
      </c>
      <c r="D3795" s="78" t="s">
        <v>6695</v>
      </c>
      <c r="E3795" t="s">
        <v>6697</v>
      </c>
      <c r="F3795" t="s">
        <v>6731</v>
      </c>
      <c r="G3795" s="92"/>
      <c r="H3795" s="92"/>
      <c r="I3795" s="92"/>
      <c r="J3795" s="92"/>
      <c r="K3795" s="92"/>
      <c r="L3795" s="9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6"/>
    </row>
    <row r="3796" spans="1:14" hidden="1" x14ac:dyDescent="0.15">
      <c r="A3796">
        <v>3796</v>
      </c>
      <c r="B3796" t="s">
        <v>5933</v>
      </c>
      <c r="C3796" t="s">
        <v>6857</v>
      </c>
      <c r="D3796" s="78" t="s">
        <v>6732</v>
      </c>
      <c r="E3796" t="s">
        <v>6696</v>
      </c>
      <c r="F3796" t="s">
        <v>6762</v>
      </c>
      <c r="G3796" s="92"/>
      <c r="H3796" s="92"/>
      <c r="I3796" s="92"/>
      <c r="J3796" s="92"/>
      <c r="K3796" s="92"/>
      <c r="L3796" s="9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6"/>
    </row>
    <row r="3797" spans="1:14" hidden="1" x14ac:dyDescent="0.15">
      <c r="A3797">
        <v>3797</v>
      </c>
      <c r="B3797" t="s">
        <v>5933</v>
      </c>
      <c r="C3797" t="s">
        <v>6857</v>
      </c>
      <c r="D3797" s="78" t="s">
        <v>6733</v>
      </c>
      <c r="E3797" t="s">
        <v>6696</v>
      </c>
      <c r="F3797" t="s">
        <v>6763</v>
      </c>
      <c r="G3797" s="92"/>
      <c r="H3797" s="92"/>
      <c r="I3797" s="92"/>
      <c r="J3797" s="92"/>
      <c r="K3797" s="92"/>
      <c r="L3797" s="9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6"/>
    </row>
    <row r="3798" spans="1:14" hidden="1" x14ac:dyDescent="0.15">
      <c r="A3798">
        <v>3798</v>
      </c>
      <c r="B3798" t="s">
        <v>5933</v>
      </c>
      <c r="C3798" t="s">
        <v>6857</v>
      </c>
      <c r="D3798" s="78" t="s">
        <v>6734</v>
      </c>
      <c r="E3798" t="s">
        <v>6696</v>
      </c>
      <c r="F3798" t="s">
        <v>6764</v>
      </c>
      <c r="G3798" s="92"/>
      <c r="H3798" s="92"/>
      <c r="I3798" s="92"/>
      <c r="J3798" s="92"/>
      <c r="K3798" s="92"/>
      <c r="L3798" s="9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6"/>
    </row>
    <row r="3799" spans="1:14" hidden="1" x14ac:dyDescent="0.15">
      <c r="A3799">
        <v>3799</v>
      </c>
      <c r="B3799" t="s">
        <v>5933</v>
      </c>
      <c r="C3799" t="s">
        <v>6857</v>
      </c>
      <c r="D3799" s="78" t="s">
        <v>6735</v>
      </c>
      <c r="E3799" t="s">
        <v>6696</v>
      </c>
      <c r="F3799" t="s">
        <v>6765</v>
      </c>
      <c r="G3799" s="92"/>
      <c r="H3799" s="92"/>
      <c r="I3799" s="92"/>
      <c r="J3799" s="92"/>
      <c r="K3799" s="92"/>
      <c r="L3799" s="9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6"/>
    </row>
    <row r="3800" spans="1:14" hidden="1" x14ac:dyDescent="0.15">
      <c r="A3800">
        <v>3800</v>
      </c>
      <c r="B3800" t="s">
        <v>5933</v>
      </c>
      <c r="C3800" t="s">
        <v>6857</v>
      </c>
      <c r="D3800" s="78" t="s">
        <v>6736</v>
      </c>
      <c r="E3800" t="s">
        <v>6696</v>
      </c>
      <c r="F3800" t="s">
        <v>6766</v>
      </c>
      <c r="G3800" s="92"/>
      <c r="H3800" s="92"/>
      <c r="I3800" s="92"/>
      <c r="J3800" s="92"/>
      <c r="K3800" s="92"/>
      <c r="L3800" s="9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6"/>
    </row>
    <row r="3801" spans="1:14" hidden="1" x14ac:dyDescent="0.15">
      <c r="A3801">
        <v>3801</v>
      </c>
      <c r="B3801" t="s">
        <v>5933</v>
      </c>
      <c r="C3801" t="s">
        <v>6857</v>
      </c>
      <c r="D3801" s="78" t="s">
        <v>6737</v>
      </c>
      <c r="E3801" t="s">
        <v>6696</v>
      </c>
      <c r="F3801" t="s">
        <v>6767</v>
      </c>
      <c r="G3801" s="92"/>
      <c r="H3801" s="92"/>
      <c r="I3801" s="92"/>
      <c r="J3801" s="92"/>
      <c r="K3801" s="92"/>
      <c r="L3801" s="9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6"/>
    </row>
    <row r="3802" spans="1:14" hidden="1" x14ac:dyDescent="0.15">
      <c r="A3802">
        <v>3802</v>
      </c>
      <c r="B3802" t="s">
        <v>5933</v>
      </c>
      <c r="C3802" t="s">
        <v>6857</v>
      </c>
      <c r="D3802" s="78" t="s">
        <v>6738</v>
      </c>
      <c r="E3802" t="s">
        <v>6696</v>
      </c>
      <c r="F3802" t="s">
        <v>6768</v>
      </c>
      <c r="G3802" s="92"/>
      <c r="H3802" s="92"/>
      <c r="I3802" s="92"/>
      <c r="J3802" s="92"/>
      <c r="K3802" s="92"/>
      <c r="L3802" s="9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6"/>
    </row>
    <row r="3803" spans="1:14" hidden="1" x14ac:dyDescent="0.15">
      <c r="A3803">
        <v>3803</v>
      </c>
      <c r="B3803" t="s">
        <v>5933</v>
      </c>
      <c r="C3803" t="s">
        <v>6857</v>
      </c>
      <c r="D3803" s="78" t="s">
        <v>6739</v>
      </c>
      <c r="E3803" t="s">
        <v>6697</v>
      </c>
      <c r="F3803" t="s">
        <v>6769</v>
      </c>
      <c r="G3803" s="92"/>
      <c r="H3803" s="92"/>
      <c r="I3803" s="92"/>
      <c r="J3803" s="92"/>
      <c r="K3803" s="92"/>
      <c r="L3803" s="9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6"/>
    </row>
    <row r="3804" spans="1:14" hidden="1" x14ac:dyDescent="0.15">
      <c r="A3804">
        <v>3804</v>
      </c>
      <c r="B3804" t="s">
        <v>5933</v>
      </c>
      <c r="C3804" t="s">
        <v>6857</v>
      </c>
      <c r="D3804" s="78" t="s">
        <v>6740</v>
      </c>
      <c r="E3804" t="s">
        <v>6697</v>
      </c>
      <c r="F3804" t="s">
        <v>6770</v>
      </c>
      <c r="G3804" s="92"/>
      <c r="H3804" s="92"/>
      <c r="I3804" s="92"/>
      <c r="J3804" s="92"/>
      <c r="K3804" s="92"/>
      <c r="L3804" s="9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6"/>
    </row>
    <row r="3805" spans="1:14" hidden="1" x14ac:dyDescent="0.15">
      <c r="A3805">
        <v>3805</v>
      </c>
      <c r="B3805" t="s">
        <v>5933</v>
      </c>
      <c r="C3805" t="s">
        <v>6857</v>
      </c>
      <c r="D3805" s="78" t="s">
        <v>6741</v>
      </c>
      <c r="E3805" t="s">
        <v>6697</v>
      </c>
      <c r="F3805" t="s">
        <v>6771</v>
      </c>
      <c r="G3805" s="92"/>
      <c r="H3805" s="92"/>
      <c r="I3805" s="92"/>
      <c r="J3805" s="92"/>
      <c r="K3805" s="92"/>
      <c r="L3805" s="9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6"/>
    </row>
    <row r="3806" spans="1:14" hidden="1" x14ac:dyDescent="0.15">
      <c r="A3806">
        <v>3806</v>
      </c>
      <c r="B3806" t="s">
        <v>5933</v>
      </c>
      <c r="C3806" t="s">
        <v>6857</v>
      </c>
      <c r="D3806" s="78" t="s">
        <v>6742</v>
      </c>
      <c r="E3806" t="s">
        <v>6697</v>
      </c>
      <c r="F3806" t="s">
        <v>6772</v>
      </c>
      <c r="G3806" s="92"/>
      <c r="H3806" s="92"/>
      <c r="I3806" s="92"/>
      <c r="J3806" s="92"/>
      <c r="K3806" s="92"/>
      <c r="L3806" s="9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6"/>
    </row>
    <row r="3807" spans="1:14" hidden="1" x14ac:dyDescent="0.15">
      <c r="A3807">
        <v>3807</v>
      </c>
      <c r="B3807" t="s">
        <v>5933</v>
      </c>
      <c r="C3807" t="s">
        <v>6857</v>
      </c>
      <c r="D3807" s="78" t="s">
        <v>6743</v>
      </c>
      <c r="E3807" t="s">
        <v>6697</v>
      </c>
      <c r="F3807" t="s">
        <v>6773</v>
      </c>
      <c r="G3807" s="92"/>
      <c r="H3807" s="92"/>
      <c r="I3807" s="92"/>
      <c r="J3807" s="92"/>
      <c r="K3807" s="92"/>
      <c r="L3807" s="9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6"/>
    </row>
    <row r="3808" spans="1:14" hidden="1" x14ac:dyDescent="0.15">
      <c r="A3808">
        <v>3808</v>
      </c>
      <c r="B3808" t="s">
        <v>5933</v>
      </c>
      <c r="C3808" t="s">
        <v>6857</v>
      </c>
      <c r="D3808" s="78" t="s">
        <v>6744</v>
      </c>
      <c r="E3808" t="s">
        <v>6697</v>
      </c>
      <c r="F3808" t="s">
        <v>6774</v>
      </c>
      <c r="G3808" s="92"/>
      <c r="H3808" s="92"/>
      <c r="I3808" s="92"/>
      <c r="J3808" s="92"/>
      <c r="K3808" s="92"/>
      <c r="L3808" s="9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6"/>
    </row>
    <row r="3809" spans="1:14" hidden="1" x14ac:dyDescent="0.15">
      <c r="A3809">
        <v>3809</v>
      </c>
      <c r="B3809" t="s">
        <v>5933</v>
      </c>
      <c r="C3809" t="s">
        <v>6857</v>
      </c>
      <c r="D3809" s="78" t="s">
        <v>6745</v>
      </c>
      <c r="E3809" t="s">
        <v>6697</v>
      </c>
      <c r="F3809" t="s">
        <v>6775</v>
      </c>
      <c r="G3809" s="92"/>
      <c r="H3809" s="92"/>
      <c r="I3809" s="92"/>
      <c r="J3809" s="92"/>
      <c r="K3809" s="92"/>
      <c r="L3809" s="9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6"/>
    </row>
    <row r="3810" spans="1:14" hidden="1" x14ac:dyDescent="0.15">
      <c r="A3810">
        <v>3810</v>
      </c>
      <c r="B3810" t="s">
        <v>5933</v>
      </c>
      <c r="C3810" t="s">
        <v>6857</v>
      </c>
      <c r="D3810" s="78" t="s">
        <v>6746</v>
      </c>
      <c r="E3810" t="s">
        <v>6697</v>
      </c>
      <c r="F3810" t="s">
        <v>6776</v>
      </c>
      <c r="G3810" s="92"/>
      <c r="H3810" s="92"/>
      <c r="I3810" s="92"/>
      <c r="J3810" s="92"/>
      <c r="K3810" s="92"/>
      <c r="L3810" s="9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6"/>
    </row>
    <row r="3811" spans="1:14" hidden="1" x14ac:dyDescent="0.15">
      <c r="A3811">
        <v>3811</v>
      </c>
      <c r="B3811" t="s">
        <v>5933</v>
      </c>
      <c r="C3811" t="s">
        <v>6857</v>
      </c>
      <c r="D3811" s="78" t="s">
        <v>6747</v>
      </c>
      <c r="E3811" t="s">
        <v>6697</v>
      </c>
      <c r="F3811" t="s">
        <v>6777</v>
      </c>
      <c r="G3811" s="92"/>
      <c r="H3811" s="92"/>
      <c r="I3811" s="92"/>
      <c r="J3811" s="92"/>
      <c r="K3811" s="92"/>
      <c r="L3811" s="9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6"/>
    </row>
    <row r="3812" spans="1:14" hidden="1" x14ac:dyDescent="0.15">
      <c r="A3812">
        <v>3812</v>
      </c>
      <c r="B3812" t="s">
        <v>5933</v>
      </c>
      <c r="C3812" t="s">
        <v>6857</v>
      </c>
      <c r="D3812" s="78" t="s">
        <v>6748</v>
      </c>
      <c r="E3812" t="s">
        <v>6697</v>
      </c>
      <c r="F3812" t="s">
        <v>6778</v>
      </c>
      <c r="G3812" s="92"/>
      <c r="H3812" s="92"/>
      <c r="I3812" s="92"/>
      <c r="J3812" s="92"/>
      <c r="K3812" s="92"/>
      <c r="L3812" s="9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6"/>
    </row>
    <row r="3813" spans="1:14" hidden="1" x14ac:dyDescent="0.15">
      <c r="A3813">
        <v>3813</v>
      </c>
      <c r="B3813" t="s">
        <v>5933</v>
      </c>
      <c r="C3813" t="s">
        <v>6857</v>
      </c>
      <c r="D3813" s="78" t="s">
        <v>6749</v>
      </c>
      <c r="E3813" t="s">
        <v>6697</v>
      </c>
      <c r="F3813" t="s">
        <v>6779</v>
      </c>
      <c r="G3813" s="92"/>
      <c r="H3813" s="92"/>
      <c r="I3813" s="92"/>
      <c r="J3813" s="92"/>
      <c r="K3813" s="92"/>
      <c r="L3813" s="9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6"/>
    </row>
    <row r="3814" spans="1:14" hidden="1" x14ac:dyDescent="0.15">
      <c r="A3814">
        <v>3814</v>
      </c>
      <c r="B3814" t="s">
        <v>5933</v>
      </c>
      <c r="C3814" t="s">
        <v>6857</v>
      </c>
      <c r="D3814" s="78" t="s">
        <v>6750</v>
      </c>
      <c r="E3814" t="s">
        <v>6697</v>
      </c>
      <c r="F3814" t="s">
        <v>6780</v>
      </c>
      <c r="G3814" s="92"/>
      <c r="H3814" s="92"/>
      <c r="I3814" s="92"/>
      <c r="J3814" s="92"/>
      <c r="K3814" s="92"/>
      <c r="L3814" s="9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6"/>
    </row>
    <row r="3815" spans="1:14" hidden="1" x14ac:dyDescent="0.15">
      <c r="A3815">
        <v>3815</v>
      </c>
      <c r="B3815" t="s">
        <v>5933</v>
      </c>
      <c r="C3815" t="s">
        <v>6857</v>
      </c>
      <c r="D3815" s="78" t="s">
        <v>6751</v>
      </c>
      <c r="E3815" t="s">
        <v>6697</v>
      </c>
      <c r="F3815" t="s">
        <v>6781</v>
      </c>
      <c r="G3815" s="92"/>
      <c r="H3815" s="92"/>
      <c r="I3815" s="92"/>
      <c r="J3815" s="92"/>
      <c r="K3815" s="92"/>
      <c r="L3815" s="9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6"/>
    </row>
    <row r="3816" spans="1:14" hidden="1" x14ac:dyDescent="0.15">
      <c r="A3816">
        <v>3816</v>
      </c>
      <c r="B3816" t="s">
        <v>5933</v>
      </c>
      <c r="C3816" t="s">
        <v>6857</v>
      </c>
      <c r="D3816" s="78" t="s">
        <v>6752</v>
      </c>
      <c r="E3816" t="s">
        <v>6697</v>
      </c>
      <c r="F3816" t="s">
        <v>6782</v>
      </c>
      <c r="G3816" s="92"/>
      <c r="H3816" s="92"/>
      <c r="I3816" s="92"/>
      <c r="J3816" s="92"/>
      <c r="K3816" s="92"/>
      <c r="L3816" s="9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6"/>
    </row>
    <row r="3817" spans="1:14" hidden="1" x14ac:dyDescent="0.15">
      <c r="A3817">
        <v>3817</v>
      </c>
      <c r="B3817" t="s">
        <v>5933</v>
      </c>
      <c r="C3817" t="s">
        <v>6857</v>
      </c>
      <c r="D3817" s="78" t="s">
        <v>6753</v>
      </c>
      <c r="E3817" t="s">
        <v>6697</v>
      </c>
      <c r="F3817" t="s">
        <v>6783</v>
      </c>
      <c r="G3817" s="92"/>
      <c r="H3817" s="92"/>
      <c r="I3817" s="92"/>
      <c r="J3817" s="92"/>
      <c r="K3817" s="92"/>
      <c r="L3817" s="9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6"/>
    </row>
    <row r="3818" spans="1:14" hidden="1" x14ac:dyDescent="0.15">
      <c r="A3818">
        <v>3818</v>
      </c>
      <c r="B3818" t="s">
        <v>5933</v>
      </c>
      <c r="C3818" t="s">
        <v>6857</v>
      </c>
      <c r="D3818" s="78" t="s">
        <v>6754</v>
      </c>
      <c r="E3818" t="s">
        <v>6697</v>
      </c>
      <c r="F3818" t="s">
        <v>6784</v>
      </c>
      <c r="G3818" s="92"/>
      <c r="H3818" s="92"/>
      <c r="I3818" s="92"/>
      <c r="J3818" s="92"/>
      <c r="K3818" s="92"/>
      <c r="L3818" s="9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6"/>
    </row>
    <row r="3819" spans="1:14" hidden="1" x14ac:dyDescent="0.15">
      <c r="A3819">
        <v>3819</v>
      </c>
      <c r="B3819" t="s">
        <v>5933</v>
      </c>
      <c r="C3819" t="s">
        <v>6857</v>
      </c>
      <c r="D3819" s="78" t="s">
        <v>6755</v>
      </c>
      <c r="E3819" t="s">
        <v>6697</v>
      </c>
      <c r="F3819" t="s">
        <v>6785</v>
      </c>
      <c r="G3819" s="92"/>
      <c r="H3819" s="92"/>
      <c r="I3819" s="92"/>
      <c r="J3819" s="92"/>
      <c r="K3819" s="92"/>
      <c r="L3819" s="9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6"/>
    </row>
    <row r="3820" spans="1:14" hidden="1" x14ac:dyDescent="0.15">
      <c r="A3820">
        <v>3820</v>
      </c>
      <c r="B3820" t="s">
        <v>5933</v>
      </c>
      <c r="C3820" t="s">
        <v>6857</v>
      </c>
      <c r="D3820" s="78" t="s">
        <v>6756</v>
      </c>
      <c r="E3820" t="s">
        <v>6697</v>
      </c>
      <c r="F3820" t="s">
        <v>6786</v>
      </c>
      <c r="G3820" s="92"/>
      <c r="H3820" s="92"/>
      <c r="I3820" s="92"/>
      <c r="J3820" s="92"/>
      <c r="K3820" s="92"/>
      <c r="L3820" s="9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6"/>
    </row>
    <row r="3821" spans="1:14" hidden="1" x14ac:dyDescent="0.15">
      <c r="A3821">
        <v>3821</v>
      </c>
      <c r="B3821" t="s">
        <v>5933</v>
      </c>
      <c r="C3821" t="s">
        <v>6857</v>
      </c>
      <c r="D3821" s="78" t="s">
        <v>6757</v>
      </c>
      <c r="E3821" t="s">
        <v>6697</v>
      </c>
      <c r="F3821" t="s">
        <v>6787</v>
      </c>
      <c r="G3821" s="92"/>
      <c r="H3821" s="92"/>
      <c r="I3821" s="92"/>
      <c r="J3821" s="92"/>
      <c r="K3821" s="92"/>
      <c r="L3821" s="9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6"/>
    </row>
    <row r="3822" spans="1:14" hidden="1" x14ac:dyDescent="0.15">
      <c r="A3822">
        <v>3822</v>
      </c>
      <c r="B3822" t="s">
        <v>5933</v>
      </c>
      <c r="C3822" t="s">
        <v>6857</v>
      </c>
      <c r="D3822" s="78" t="s">
        <v>6758</v>
      </c>
      <c r="E3822" t="s">
        <v>6697</v>
      </c>
      <c r="F3822" t="s">
        <v>6788</v>
      </c>
      <c r="G3822" s="92"/>
      <c r="H3822" s="92"/>
      <c r="I3822" s="92"/>
      <c r="J3822" s="92"/>
      <c r="K3822" s="92"/>
      <c r="L3822" s="9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6"/>
    </row>
    <row r="3823" spans="1:14" hidden="1" x14ac:dyDescent="0.15">
      <c r="A3823">
        <v>3823</v>
      </c>
      <c r="B3823" t="s">
        <v>5933</v>
      </c>
      <c r="C3823" t="s">
        <v>6857</v>
      </c>
      <c r="D3823" s="78" t="s">
        <v>6759</v>
      </c>
      <c r="E3823" t="s">
        <v>6697</v>
      </c>
      <c r="F3823" t="s">
        <v>6789</v>
      </c>
      <c r="G3823" s="92"/>
      <c r="H3823" s="92"/>
      <c r="I3823" s="92"/>
      <c r="J3823" s="92"/>
      <c r="K3823" s="92"/>
      <c r="L3823" s="9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6"/>
    </row>
    <row r="3824" spans="1:14" hidden="1" x14ac:dyDescent="0.15">
      <c r="A3824">
        <v>3824</v>
      </c>
      <c r="B3824" t="s">
        <v>5933</v>
      </c>
      <c r="C3824" t="s">
        <v>6857</v>
      </c>
      <c r="D3824" s="78" t="s">
        <v>6760</v>
      </c>
      <c r="E3824" t="s">
        <v>6697</v>
      </c>
      <c r="F3824" t="s">
        <v>6790</v>
      </c>
      <c r="G3824" s="92"/>
      <c r="H3824" s="92"/>
      <c r="I3824" s="92"/>
      <c r="J3824" s="92"/>
      <c r="K3824" s="92"/>
      <c r="L3824" s="9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6"/>
    </row>
    <row r="3825" spans="1:14" hidden="1" x14ac:dyDescent="0.15">
      <c r="A3825">
        <v>3825</v>
      </c>
      <c r="B3825" t="s">
        <v>5933</v>
      </c>
      <c r="C3825" t="s">
        <v>6857</v>
      </c>
      <c r="D3825" s="78" t="s">
        <v>6761</v>
      </c>
      <c r="E3825" t="s">
        <v>6697</v>
      </c>
      <c r="F3825" t="s">
        <v>6791</v>
      </c>
      <c r="G3825" s="92"/>
      <c r="H3825" s="92"/>
      <c r="I3825" s="92"/>
      <c r="J3825" s="92"/>
      <c r="K3825" s="92"/>
      <c r="L3825" s="9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6"/>
    </row>
    <row r="3826" spans="1:14" hidden="1" x14ac:dyDescent="0.15">
      <c r="A3826">
        <v>3826</v>
      </c>
      <c r="B3826" t="s">
        <v>5933</v>
      </c>
      <c r="C3826" t="s">
        <v>6858</v>
      </c>
      <c r="D3826" s="78" t="s">
        <v>6792</v>
      </c>
      <c r="E3826" t="s">
        <v>6809</v>
      </c>
      <c r="F3826" t="s">
        <v>6822</v>
      </c>
      <c r="G3826" s="92"/>
      <c r="H3826" s="92"/>
      <c r="I3826" s="92"/>
      <c r="J3826" s="92"/>
      <c r="K3826" s="92"/>
      <c r="L3826" s="9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6"/>
    </row>
    <row r="3827" spans="1:14" hidden="1" x14ac:dyDescent="0.15">
      <c r="A3827">
        <v>3827</v>
      </c>
      <c r="B3827" t="s">
        <v>5933</v>
      </c>
      <c r="C3827" t="s">
        <v>6858</v>
      </c>
      <c r="D3827" s="78" t="s">
        <v>6793</v>
      </c>
      <c r="E3827" t="s">
        <v>6809</v>
      </c>
      <c r="F3827" t="s">
        <v>6823</v>
      </c>
      <c r="G3827" s="92"/>
      <c r="H3827" s="92"/>
      <c r="I3827" s="92"/>
      <c r="J3827" s="92"/>
      <c r="K3827" s="92"/>
      <c r="L3827" s="9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6"/>
    </row>
    <row r="3828" spans="1:14" hidden="1" x14ac:dyDescent="0.15">
      <c r="A3828">
        <v>3828</v>
      </c>
      <c r="B3828" t="s">
        <v>5933</v>
      </c>
      <c r="C3828" t="s">
        <v>6858</v>
      </c>
      <c r="D3828" s="78" t="s">
        <v>6794</v>
      </c>
      <c r="E3828" t="s">
        <v>6809</v>
      </c>
      <c r="F3828" t="s">
        <v>6824</v>
      </c>
      <c r="G3828" s="92"/>
      <c r="H3828" s="92"/>
      <c r="I3828" s="92"/>
      <c r="J3828" s="92"/>
      <c r="K3828" s="92"/>
      <c r="L3828" s="9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6"/>
    </row>
    <row r="3829" spans="1:14" hidden="1" x14ac:dyDescent="0.15">
      <c r="A3829">
        <v>3829</v>
      </c>
      <c r="B3829" t="s">
        <v>5933</v>
      </c>
      <c r="C3829" t="s">
        <v>6858</v>
      </c>
      <c r="D3829" s="78" t="s">
        <v>6795</v>
      </c>
      <c r="E3829" t="s">
        <v>6809</v>
      </c>
      <c r="F3829" t="s">
        <v>6825</v>
      </c>
      <c r="G3829" s="92"/>
      <c r="H3829" s="92"/>
      <c r="I3829" s="92"/>
      <c r="J3829" s="92"/>
      <c r="K3829" s="92"/>
      <c r="L3829" s="9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6"/>
    </row>
    <row r="3830" spans="1:14" hidden="1" x14ac:dyDescent="0.15">
      <c r="A3830">
        <v>3830</v>
      </c>
      <c r="B3830" t="s">
        <v>5933</v>
      </c>
      <c r="C3830" t="s">
        <v>6858</v>
      </c>
      <c r="D3830" s="78" t="s">
        <v>6796</v>
      </c>
      <c r="E3830" t="s">
        <v>6819</v>
      </c>
      <c r="F3830" t="s">
        <v>6826</v>
      </c>
      <c r="G3830" s="92"/>
      <c r="H3830" s="92"/>
      <c r="I3830" s="92"/>
      <c r="J3830" s="92"/>
      <c r="K3830" s="92"/>
      <c r="L3830" s="9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6"/>
    </row>
    <row r="3831" spans="1:14" hidden="1" x14ac:dyDescent="0.15">
      <c r="A3831">
        <v>3831</v>
      </c>
      <c r="B3831" t="s">
        <v>5933</v>
      </c>
      <c r="C3831" t="s">
        <v>6858</v>
      </c>
      <c r="D3831" s="78" t="s">
        <v>6797</v>
      </c>
      <c r="E3831" t="s">
        <v>6696</v>
      </c>
      <c r="F3831" t="s">
        <v>6827</v>
      </c>
      <c r="G3831" s="92"/>
      <c r="H3831" s="92"/>
      <c r="I3831" s="92"/>
      <c r="J3831" s="92"/>
      <c r="K3831" s="92"/>
      <c r="L3831" s="9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6"/>
    </row>
    <row r="3832" spans="1:14" hidden="1" x14ac:dyDescent="0.15">
      <c r="A3832">
        <v>3832</v>
      </c>
      <c r="B3832" t="s">
        <v>5933</v>
      </c>
      <c r="C3832" t="s">
        <v>6858</v>
      </c>
      <c r="D3832" s="78" t="s">
        <v>6798</v>
      </c>
      <c r="E3832" t="s">
        <v>6696</v>
      </c>
      <c r="F3832" t="s">
        <v>6828</v>
      </c>
      <c r="G3832" s="92"/>
      <c r="H3832" s="92"/>
      <c r="I3832" s="92"/>
      <c r="J3832" s="92"/>
      <c r="K3832" s="92"/>
      <c r="L3832" s="9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6"/>
    </row>
    <row r="3833" spans="1:14" hidden="1" x14ac:dyDescent="0.15">
      <c r="A3833">
        <v>3833</v>
      </c>
      <c r="B3833" t="s">
        <v>5933</v>
      </c>
      <c r="C3833" t="s">
        <v>6858</v>
      </c>
      <c r="D3833" s="78" t="s">
        <v>6799</v>
      </c>
      <c r="E3833" t="s">
        <v>6820</v>
      </c>
      <c r="F3833" t="s">
        <v>6829</v>
      </c>
      <c r="G3833" s="92"/>
      <c r="H3833" s="92"/>
      <c r="I3833" s="92"/>
      <c r="J3833" s="92"/>
      <c r="K3833" s="92"/>
      <c r="L3833" s="9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6"/>
    </row>
    <row r="3834" spans="1:14" hidden="1" x14ac:dyDescent="0.15">
      <c r="A3834">
        <v>3834</v>
      </c>
      <c r="B3834" t="s">
        <v>5933</v>
      </c>
      <c r="C3834" t="s">
        <v>6858</v>
      </c>
      <c r="D3834" s="78" t="s">
        <v>6800</v>
      </c>
      <c r="E3834" t="s">
        <v>6696</v>
      </c>
      <c r="F3834" t="s">
        <v>6830</v>
      </c>
      <c r="G3834" s="92"/>
      <c r="H3834" s="92"/>
      <c r="I3834" s="92"/>
      <c r="J3834" s="92"/>
      <c r="K3834" s="92"/>
      <c r="L3834" s="9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6"/>
    </row>
    <row r="3835" spans="1:14" hidden="1" x14ac:dyDescent="0.15">
      <c r="A3835">
        <v>3835</v>
      </c>
      <c r="B3835" t="s">
        <v>5933</v>
      </c>
      <c r="C3835" t="s">
        <v>6858</v>
      </c>
      <c r="D3835" s="78" t="s">
        <v>6801</v>
      </c>
      <c r="E3835" t="s">
        <v>6809</v>
      </c>
      <c r="F3835" t="s">
        <v>6831</v>
      </c>
      <c r="G3835" s="92"/>
      <c r="H3835" s="92"/>
      <c r="I3835" s="92"/>
      <c r="J3835" s="92"/>
      <c r="K3835" s="92"/>
      <c r="L3835" s="9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6"/>
    </row>
    <row r="3836" spans="1:14" hidden="1" x14ac:dyDescent="0.15">
      <c r="A3836">
        <v>3836</v>
      </c>
      <c r="B3836" t="s">
        <v>5933</v>
      </c>
      <c r="C3836" t="s">
        <v>6858</v>
      </c>
      <c r="D3836" s="78" t="s">
        <v>6802</v>
      </c>
      <c r="E3836" t="s">
        <v>6809</v>
      </c>
      <c r="F3836" t="s">
        <v>6832</v>
      </c>
      <c r="G3836" s="92"/>
      <c r="H3836" s="92"/>
      <c r="I3836" s="92"/>
      <c r="J3836" s="92"/>
      <c r="K3836" s="92"/>
      <c r="L3836" s="9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6"/>
    </row>
    <row r="3837" spans="1:14" hidden="1" x14ac:dyDescent="0.15">
      <c r="A3837">
        <v>3837</v>
      </c>
      <c r="B3837" t="s">
        <v>5933</v>
      </c>
      <c r="C3837" t="s">
        <v>6858</v>
      </c>
      <c r="D3837" s="78" t="s">
        <v>6803</v>
      </c>
      <c r="E3837" t="s">
        <v>6809</v>
      </c>
      <c r="F3837" t="s">
        <v>6833</v>
      </c>
      <c r="G3837" s="92"/>
      <c r="H3837" s="92"/>
      <c r="I3837" s="92"/>
      <c r="J3837" s="92"/>
      <c r="K3837" s="92"/>
      <c r="L3837" s="9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6"/>
    </row>
    <row r="3838" spans="1:14" hidden="1" x14ac:dyDescent="0.15">
      <c r="A3838">
        <v>3838</v>
      </c>
      <c r="B3838" t="s">
        <v>5933</v>
      </c>
      <c r="C3838" t="s">
        <v>6858</v>
      </c>
      <c r="D3838" s="78" t="s">
        <v>6804</v>
      </c>
      <c r="E3838" t="s">
        <v>6696</v>
      </c>
      <c r="F3838" t="s">
        <v>6834</v>
      </c>
      <c r="G3838" s="92"/>
      <c r="H3838" s="92"/>
      <c r="I3838" s="92"/>
      <c r="J3838" s="92"/>
      <c r="K3838" s="92"/>
      <c r="L3838" s="9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6"/>
    </row>
    <row r="3839" spans="1:14" hidden="1" x14ac:dyDescent="0.15">
      <c r="A3839">
        <v>3839</v>
      </c>
      <c r="B3839" t="s">
        <v>5933</v>
      </c>
      <c r="C3839" t="s">
        <v>6858</v>
      </c>
      <c r="D3839" s="78" t="s">
        <v>6805</v>
      </c>
      <c r="E3839" t="s">
        <v>6696</v>
      </c>
      <c r="F3839" t="s">
        <v>6835</v>
      </c>
      <c r="G3839" s="92"/>
      <c r="H3839" s="92"/>
      <c r="I3839" s="92"/>
      <c r="J3839" s="92"/>
      <c r="K3839" s="92"/>
      <c r="L3839" s="9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6"/>
    </row>
    <row r="3840" spans="1:14" hidden="1" x14ac:dyDescent="0.15">
      <c r="A3840">
        <v>3840</v>
      </c>
      <c r="B3840" t="s">
        <v>5933</v>
      </c>
      <c r="C3840" t="s">
        <v>6858</v>
      </c>
      <c r="D3840" s="78" t="s">
        <v>6806</v>
      </c>
      <c r="E3840" t="s">
        <v>6696</v>
      </c>
      <c r="F3840" t="s">
        <v>6836</v>
      </c>
      <c r="G3840" s="92"/>
      <c r="H3840" s="92"/>
      <c r="I3840" s="92"/>
      <c r="J3840" s="92"/>
      <c r="K3840" s="92"/>
      <c r="L3840" s="9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6"/>
    </row>
    <row r="3841" spans="1:14" hidden="1" x14ac:dyDescent="0.15">
      <c r="A3841">
        <v>3841</v>
      </c>
      <c r="B3841" t="s">
        <v>5933</v>
      </c>
      <c r="C3841" t="s">
        <v>6858</v>
      </c>
      <c r="D3841" s="78" t="s">
        <v>6807</v>
      </c>
      <c r="E3841" t="s">
        <v>6819</v>
      </c>
      <c r="F3841" t="s">
        <v>6837</v>
      </c>
      <c r="G3841" s="92"/>
      <c r="H3841" s="92"/>
      <c r="I3841" s="92"/>
      <c r="J3841" s="92"/>
      <c r="K3841" s="92"/>
      <c r="L3841" s="9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6"/>
    </row>
    <row r="3842" spans="1:14" hidden="1" x14ac:dyDescent="0.15">
      <c r="A3842">
        <v>3842</v>
      </c>
      <c r="B3842" t="s">
        <v>5933</v>
      </c>
      <c r="C3842" t="s">
        <v>6858</v>
      </c>
      <c r="D3842" s="78" t="s">
        <v>6808</v>
      </c>
      <c r="E3842" t="s">
        <v>6809</v>
      </c>
      <c r="F3842" t="s">
        <v>6838</v>
      </c>
      <c r="G3842" s="92"/>
      <c r="H3842" s="92"/>
      <c r="I3842" s="92"/>
      <c r="J3842" s="92"/>
      <c r="K3842" s="92"/>
      <c r="L3842" s="9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6"/>
    </row>
    <row r="3843" spans="1:14" hidden="1" x14ac:dyDescent="0.15">
      <c r="A3843">
        <v>3843</v>
      </c>
      <c r="B3843" t="s">
        <v>5933</v>
      </c>
      <c r="C3843" t="s">
        <v>6858</v>
      </c>
      <c r="D3843" s="78" t="s">
        <v>6808</v>
      </c>
      <c r="E3843" t="s">
        <v>6696</v>
      </c>
      <c r="F3843" t="s">
        <v>6839</v>
      </c>
      <c r="G3843" s="92"/>
      <c r="H3843" s="92"/>
      <c r="I3843" s="92"/>
      <c r="J3843" s="92"/>
      <c r="K3843" s="92"/>
      <c r="L3843" s="9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6"/>
    </row>
    <row r="3844" spans="1:14" hidden="1" x14ac:dyDescent="0.15">
      <c r="A3844">
        <v>3844</v>
      </c>
      <c r="B3844" t="s">
        <v>5933</v>
      </c>
      <c r="C3844" t="s">
        <v>6858</v>
      </c>
      <c r="D3844" s="78" t="s">
        <v>6810</v>
      </c>
      <c r="E3844" t="s">
        <v>6696</v>
      </c>
      <c r="F3844" t="s">
        <v>6840</v>
      </c>
      <c r="G3844" s="92"/>
      <c r="H3844" s="92"/>
      <c r="I3844" s="92"/>
      <c r="J3844" s="92"/>
      <c r="K3844" s="92"/>
      <c r="L3844" s="9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6"/>
    </row>
    <row r="3845" spans="1:14" hidden="1" x14ac:dyDescent="0.15">
      <c r="A3845">
        <v>3845</v>
      </c>
      <c r="B3845" t="s">
        <v>5933</v>
      </c>
      <c r="C3845" t="s">
        <v>6858</v>
      </c>
      <c r="D3845" s="78" t="s">
        <v>6811</v>
      </c>
      <c r="E3845" t="s">
        <v>6821</v>
      </c>
      <c r="F3845" t="s">
        <v>6841</v>
      </c>
      <c r="G3845" s="92"/>
      <c r="H3845" s="92"/>
      <c r="I3845" s="92"/>
      <c r="J3845" s="92"/>
      <c r="K3845" s="92"/>
      <c r="L3845" s="9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6"/>
    </row>
    <row r="3846" spans="1:14" hidden="1" x14ac:dyDescent="0.15">
      <c r="A3846">
        <v>3846</v>
      </c>
      <c r="B3846" t="s">
        <v>5933</v>
      </c>
      <c r="C3846" t="s">
        <v>6858</v>
      </c>
      <c r="D3846" s="78" t="s">
        <v>6812</v>
      </c>
      <c r="E3846" t="s">
        <v>6696</v>
      </c>
      <c r="F3846" t="s">
        <v>6842</v>
      </c>
      <c r="G3846" s="92"/>
      <c r="H3846" s="92"/>
      <c r="I3846" s="92"/>
      <c r="J3846" s="92"/>
      <c r="K3846" s="92"/>
      <c r="L3846" s="9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6"/>
    </row>
    <row r="3847" spans="1:14" hidden="1" x14ac:dyDescent="0.15">
      <c r="A3847">
        <v>3847</v>
      </c>
      <c r="B3847" t="s">
        <v>5933</v>
      </c>
      <c r="C3847" t="s">
        <v>6858</v>
      </c>
      <c r="D3847" s="78" t="s">
        <v>6813</v>
      </c>
      <c r="E3847" t="s">
        <v>6819</v>
      </c>
      <c r="F3847" t="s">
        <v>6843</v>
      </c>
      <c r="G3847" s="92"/>
      <c r="H3847" s="92"/>
      <c r="I3847" s="92"/>
      <c r="J3847" s="92"/>
      <c r="K3847" s="92"/>
      <c r="L3847" s="9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6"/>
    </row>
    <row r="3848" spans="1:14" hidden="1" x14ac:dyDescent="0.15">
      <c r="A3848">
        <v>3848</v>
      </c>
      <c r="B3848" t="s">
        <v>5933</v>
      </c>
      <c r="C3848" t="s">
        <v>6858</v>
      </c>
      <c r="D3848" s="78" t="s">
        <v>6814</v>
      </c>
      <c r="E3848" t="s">
        <v>6809</v>
      </c>
      <c r="F3848" t="s">
        <v>6844</v>
      </c>
      <c r="G3848" s="92"/>
      <c r="H3848" s="92"/>
      <c r="I3848" s="92"/>
      <c r="J3848" s="92"/>
      <c r="K3848" s="92"/>
      <c r="L3848" s="9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6"/>
    </row>
    <row r="3849" spans="1:14" hidden="1" x14ac:dyDescent="0.15">
      <c r="A3849">
        <v>3849</v>
      </c>
      <c r="B3849" t="s">
        <v>5933</v>
      </c>
      <c r="C3849" t="s">
        <v>6858</v>
      </c>
      <c r="D3849" s="78" t="s">
        <v>6815</v>
      </c>
      <c r="E3849" t="s">
        <v>6696</v>
      </c>
      <c r="F3849" t="s">
        <v>6845</v>
      </c>
      <c r="G3849" s="92"/>
      <c r="H3849" s="92"/>
      <c r="I3849" s="92"/>
      <c r="J3849" s="92"/>
      <c r="K3849" s="92"/>
      <c r="L3849" s="9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6"/>
    </row>
    <row r="3850" spans="1:14" hidden="1" x14ac:dyDescent="0.15">
      <c r="A3850">
        <v>3850</v>
      </c>
      <c r="B3850" t="s">
        <v>5933</v>
      </c>
      <c r="C3850" t="s">
        <v>6858</v>
      </c>
      <c r="D3850" s="78" t="s">
        <v>6846</v>
      </c>
      <c r="E3850" t="s">
        <v>6809</v>
      </c>
      <c r="F3850" t="s">
        <v>6847</v>
      </c>
      <c r="G3850" s="92"/>
      <c r="H3850" s="92"/>
      <c r="I3850" s="92"/>
      <c r="J3850" s="92"/>
      <c r="K3850" s="92"/>
      <c r="L3850" s="9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6"/>
    </row>
    <row r="3851" spans="1:14" hidden="1" x14ac:dyDescent="0.15">
      <c r="A3851">
        <v>3851</v>
      </c>
      <c r="B3851" t="s">
        <v>5933</v>
      </c>
      <c r="C3851" t="s">
        <v>6858</v>
      </c>
      <c r="D3851" s="78" t="s">
        <v>6816</v>
      </c>
      <c r="E3851" t="s">
        <v>6696</v>
      </c>
      <c r="F3851" t="s">
        <v>6848</v>
      </c>
      <c r="G3851" s="92"/>
      <c r="H3851" s="92"/>
      <c r="I3851" s="92"/>
      <c r="J3851" s="92"/>
      <c r="K3851" s="92"/>
      <c r="L3851" s="9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6"/>
    </row>
    <row r="3852" spans="1:14" hidden="1" x14ac:dyDescent="0.15">
      <c r="A3852">
        <v>3852</v>
      </c>
      <c r="B3852" t="s">
        <v>5933</v>
      </c>
      <c r="C3852" t="s">
        <v>6858</v>
      </c>
      <c r="D3852" s="78" t="s">
        <v>6817</v>
      </c>
      <c r="E3852" t="s">
        <v>6809</v>
      </c>
      <c r="F3852" t="s">
        <v>6849</v>
      </c>
      <c r="G3852" s="92"/>
      <c r="H3852" s="92"/>
      <c r="I3852" s="92"/>
      <c r="J3852" s="92"/>
      <c r="K3852" s="92"/>
      <c r="L3852" s="9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6"/>
    </row>
    <row r="3853" spans="1:14" hidden="1" x14ac:dyDescent="0.15">
      <c r="A3853">
        <v>3853</v>
      </c>
      <c r="B3853" t="s">
        <v>5933</v>
      </c>
      <c r="C3853" t="s">
        <v>6858</v>
      </c>
      <c r="D3853" s="78" t="s">
        <v>6818</v>
      </c>
      <c r="E3853" t="s">
        <v>6821</v>
      </c>
      <c r="F3853" t="s">
        <v>6850</v>
      </c>
      <c r="G3853" s="92"/>
      <c r="H3853" s="92"/>
      <c r="I3853" s="92"/>
      <c r="J3853" s="92"/>
      <c r="K3853" s="92"/>
      <c r="L3853" s="9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6"/>
    </row>
    <row r="3854" spans="1:14" hidden="1" x14ac:dyDescent="0.15">
      <c r="A3854">
        <v>3854</v>
      </c>
      <c r="B3854" t="s">
        <v>5933</v>
      </c>
      <c r="C3854" t="s">
        <v>6863</v>
      </c>
      <c r="D3854" s="78" t="s">
        <v>6864</v>
      </c>
      <c r="E3854" t="s">
        <v>6696</v>
      </c>
      <c r="F3854" t="s">
        <v>6908</v>
      </c>
      <c r="G3854" s="92"/>
      <c r="H3854" s="92"/>
      <c r="I3854" s="92"/>
      <c r="J3854" s="92"/>
      <c r="K3854" s="92"/>
      <c r="L3854" s="9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6"/>
    </row>
    <row r="3855" spans="1:14" hidden="1" x14ac:dyDescent="0.15">
      <c r="A3855">
        <v>3855</v>
      </c>
      <c r="B3855" t="s">
        <v>5933</v>
      </c>
      <c r="C3855" t="s">
        <v>6863</v>
      </c>
      <c r="D3855" s="78" t="s">
        <v>6865</v>
      </c>
      <c r="E3855" t="s">
        <v>6696</v>
      </c>
      <c r="F3855" t="s">
        <v>6909</v>
      </c>
      <c r="G3855" s="92"/>
      <c r="H3855" s="92"/>
      <c r="I3855" s="92"/>
      <c r="J3855" s="92"/>
      <c r="K3855" s="92"/>
      <c r="L3855" s="9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6"/>
    </row>
    <row r="3856" spans="1:14" hidden="1" x14ac:dyDescent="0.15">
      <c r="A3856">
        <v>3856</v>
      </c>
      <c r="B3856" t="s">
        <v>5933</v>
      </c>
      <c r="C3856" t="s">
        <v>6863</v>
      </c>
      <c r="D3856" s="78" t="s">
        <v>6866</v>
      </c>
      <c r="E3856" t="s">
        <v>6902</v>
      </c>
      <c r="F3856" t="s">
        <v>6910</v>
      </c>
      <c r="G3856" s="92"/>
      <c r="H3856" s="92"/>
      <c r="I3856" s="92"/>
      <c r="J3856" s="92"/>
      <c r="K3856" s="92"/>
      <c r="L3856" s="9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6"/>
    </row>
    <row r="3857" spans="1:14" hidden="1" x14ac:dyDescent="0.15">
      <c r="A3857">
        <v>3857</v>
      </c>
      <c r="B3857" t="s">
        <v>5933</v>
      </c>
      <c r="C3857" t="s">
        <v>6863</v>
      </c>
      <c r="D3857" s="78" t="s">
        <v>6867</v>
      </c>
      <c r="E3857" t="s">
        <v>6902</v>
      </c>
      <c r="F3857" t="s">
        <v>6911</v>
      </c>
      <c r="G3857" s="92"/>
      <c r="H3857" s="92"/>
      <c r="I3857" s="92"/>
      <c r="J3857" s="92"/>
      <c r="K3857" s="92"/>
      <c r="L3857" s="9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6"/>
    </row>
    <row r="3858" spans="1:14" hidden="1" x14ac:dyDescent="0.15">
      <c r="A3858">
        <v>3858</v>
      </c>
      <c r="B3858" t="s">
        <v>5933</v>
      </c>
      <c r="C3858" t="s">
        <v>6863</v>
      </c>
      <c r="D3858" s="78" t="s">
        <v>6868</v>
      </c>
      <c r="E3858" t="s">
        <v>6903</v>
      </c>
      <c r="F3858" t="s">
        <v>6912</v>
      </c>
      <c r="G3858" s="92"/>
      <c r="H3858" s="92"/>
      <c r="I3858" s="92"/>
      <c r="J3858" s="92"/>
      <c r="K3858" s="92"/>
      <c r="L3858" s="9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6"/>
    </row>
    <row r="3859" spans="1:14" hidden="1" x14ac:dyDescent="0.15">
      <c r="A3859">
        <v>3859</v>
      </c>
      <c r="B3859" t="s">
        <v>5933</v>
      </c>
      <c r="C3859" t="s">
        <v>6863</v>
      </c>
      <c r="D3859" s="78" t="s">
        <v>6869</v>
      </c>
      <c r="E3859" t="s">
        <v>6902</v>
      </c>
      <c r="F3859" t="s">
        <v>6913</v>
      </c>
      <c r="G3859" s="92"/>
      <c r="H3859" s="92"/>
      <c r="I3859" s="92"/>
      <c r="J3859" s="92"/>
      <c r="K3859" s="92"/>
      <c r="L3859" s="9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6"/>
    </row>
    <row r="3860" spans="1:14" hidden="1" x14ac:dyDescent="0.15">
      <c r="A3860">
        <v>3860</v>
      </c>
      <c r="B3860" t="s">
        <v>5933</v>
      </c>
      <c r="C3860" t="s">
        <v>6863</v>
      </c>
      <c r="D3860" s="78" t="s">
        <v>6870</v>
      </c>
      <c r="E3860" t="s">
        <v>6696</v>
      </c>
      <c r="F3860" t="s">
        <v>6914</v>
      </c>
      <c r="G3860" s="92"/>
      <c r="H3860" s="92"/>
      <c r="I3860" s="92"/>
      <c r="J3860" s="92"/>
      <c r="K3860" s="92"/>
      <c r="L3860" s="9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6"/>
    </row>
    <row r="3861" spans="1:14" hidden="1" x14ac:dyDescent="0.15">
      <c r="A3861">
        <v>3861</v>
      </c>
      <c r="B3861" t="s">
        <v>5933</v>
      </c>
      <c r="C3861" t="s">
        <v>6863</v>
      </c>
      <c r="D3861" s="78" t="s">
        <v>6871</v>
      </c>
      <c r="E3861" t="s">
        <v>6903</v>
      </c>
      <c r="F3861" t="s">
        <v>6915</v>
      </c>
      <c r="G3861" s="92"/>
      <c r="H3861" s="92"/>
      <c r="I3861" s="92"/>
      <c r="J3861" s="92"/>
      <c r="K3861" s="92"/>
      <c r="L3861" s="9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6"/>
    </row>
    <row r="3862" spans="1:14" hidden="1" x14ac:dyDescent="0.15">
      <c r="A3862">
        <v>3862</v>
      </c>
      <c r="B3862" t="s">
        <v>5933</v>
      </c>
      <c r="C3862" t="s">
        <v>6863</v>
      </c>
      <c r="D3862" s="78" t="s">
        <v>6872</v>
      </c>
      <c r="E3862" t="s">
        <v>6904</v>
      </c>
      <c r="F3862" t="s">
        <v>6916</v>
      </c>
      <c r="G3862" s="92"/>
      <c r="H3862" s="92"/>
      <c r="I3862" s="92"/>
      <c r="J3862" s="92"/>
      <c r="K3862" s="92"/>
      <c r="L3862" s="9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6"/>
    </row>
    <row r="3863" spans="1:14" hidden="1" x14ac:dyDescent="0.15">
      <c r="A3863">
        <v>3863</v>
      </c>
      <c r="B3863" t="s">
        <v>5933</v>
      </c>
      <c r="C3863" t="s">
        <v>6863</v>
      </c>
      <c r="D3863" s="78" t="s">
        <v>6873</v>
      </c>
      <c r="E3863" t="s">
        <v>6696</v>
      </c>
      <c r="F3863" t="s">
        <v>6917</v>
      </c>
      <c r="G3863" s="92"/>
      <c r="H3863" s="92"/>
      <c r="I3863" s="92"/>
      <c r="J3863" s="92"/>
      <c r="K3863" s="92"/>
      <c r="L3863" s="9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6"/>
    </row>
    <row r="3864" spans="1:14" hidden="1" x14ac:dyDescent="0.15">
      <c r="A3864">
        <v>3864</v>
      </c>
      <c r="B3864" t="s">
        <v>5933</v>
      </c>
      <c r="C3864" t="s">
        <v>6863</v>
      </c>
      <c r="D3864" s="78" t="s">
        <v>6874</v>
      </c>
      <c r="E3864" t="s">
        <v>6903</v>
      </c>
      <c r="F3864" t="s">
        <v>6918</v>
      </c>
      <c r="G3864" s="92"/>
      <c r="H3864" s="92"/>
      <c r="I3864" s="92"/>
      <c r="J3864" s="92"/>
      <c r="K3864" s="92"/>
      <c r="L3864" s="9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6"/>
    </row>
    <row r="3865" spans="1:14" hidden="1" x14ac:dyDescent="0.15">
      <c r="A3865">
        <v>3865</v>
      </c>
      <c r="B3865" t="s">
        <v>5933</v>
      </c>
      <c r="C3865" t="s">
        <v>6863</v>
      </c>
      <c r="D3865" s="78" t="s">
        <v>6875</v>
      </c>
      <c r="E3865" t="s">
        <v>6905</v>
      </c>
      <c r="F3865" t="s">
        <v>6919</v>
      </c>
      <c r="G3865" s="92"/>
      <c r="H3865" s="92"/>
      <c r="I3865" s="92"/>
      <c r="J3865" s="92"/>
      <c r="K3865" s="92"/>
      <c r="L3865" s="9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6"/>
    </row>
    <row r="3866" spans="1:14" hidden="1" x14ac:dyDescent="0.15">
      <c r="A3866">
        <v>3866</v>
      </c>
      <c r="B3866" t="s">
        <v>5933</v>
      </c>
      <c r="C3866" t="s">
        <v>6863</v>
      </c>
      <c r="D3866" s="78" t="s">
        <v>6876</v>
      </c>
      <c r="E3866" t="s">
        <v>6696</v>
      </c>
      <c r="F3866" t="s">
        <v>6920</v>
      </c>
      <c r="G3866" s="92"/>
      <c r="H3866" s="92"/>
      <c r="I3866" s="92"/>
      <c r="J3866" s="92"/>
      <c r="K3866" s="92"/>
      <c r="L3866" s="9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6"/>
    </row>
    <row r="3867" spans="1:14" hidden="1" x14ac:dyDescent="0.15">
      <c r="A3867">
        <v>3867</v>
      </c>
      <c r="B3867" t="s">
        <v>5933</v>
      </c>
      <c r="C3867" t="s">
        <v>6863</v>
      </c>
      <c r="D3867" s="78" t="s">
        <v>6877</v>
      </c>
      <c r="E3867" t="s">
        <v>6696</v>
      </c>
      <c r="F3867" t="s">
        <v>6921</v>
      </c>
      <c r="G3867" s="92"/>
      <c r="H3867" s="92"/>
      <c r="I3867" s="92"/>
      <c r="J3867" s="92"/>
      <c r="K3867" s="92"/>
      <c r="L3867" s="9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6"/>
    </row>
    <row r="3868" spans="1:14" hidden="1" x14ac:dyDescent="0.15">
      <c r="A3868">
        <v>3868</v>
      </c>
      <c r="B3868" t="s">
        <v>5933</v>
      </c>
      <c r="C3868" t="s">
        <v>6863</v>
      </c>
      <c r="D3868" s="78" t="s">
        <v>6878</v>
      </c>
      <c r="E3868" t="s">
        <v>6820</v>
      </c>
      <c r="F3868" t="s">
        <v>6922</v>
      </c>
      <c r="G3868" s="92"/>
      <c r="H3868" s="92"/>
      <c r="I3868" s="92"/>
      <c r="J3868" s="92"/>
      <c r="K3868" s="92"/>
      <c r="L3868" s="9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6"/>
    </row>
    <row r="3869" spans="1:14" hidden="1" x14ac:dyDescent="0.15">
      <c r="A3869">
        <v>3869</v>
      </c>
      <c r="B3869" t="s">
        <v>5933</v>
      </c>
      <c r="C3869" t="s">
        <v>6863</v>
      </c>
      <c r="D3869" s="78" t="s">
        <v>6879</v>
      </c>
      <c r="E3869" t="s">
        <v>6697</v>
      </c>
      <c r="F3869" t="s">
        <v>6923</v>
      </c>
      <c r="G3869" s="92"/>
      <c r="H3869" s="92"/>
      <c r="I3869" s="92"/>
      <c r="J3869" s="92"/>
      <c r="K3869" s="92"/>
      <c r="L3869" s="9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6"/>
    </row>
    <row r="3870" spans="1:14" hidden="1" x14ac:dyDescent="0.15">
      <c r="A3870">
        <v>3870</v>
      </c>
      <c r="B3870" t="s">
        <v>5933</v>
      </c>
      <c r="C3870" t="s">
        <v>6863</v>
      </c>
      <c r="D3870" s="78" t="s">
        <v>6880</v>
      </c>
      <c r="E3870" t="s">
        <v>6903</v>
      </c>
      <c r="F3870" t="s">
        <v>6924</v>
      </c>
      <c r="G3870" s="92"/>
      <c r="H3870" s="92"/>
      <c r="I3870" s="92"/>
      <c r="J3870" s="92"/>
      <c r="K3870" s="92"/>
      <c r="L3870" s="9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6"/>
    </row>
    <row r="3871" spans="1:14" hidden="1" x14ac:dyDescent="0.15">
      <c r="A3871">
        <v>3871</v>
      </c>
      <c r="B3871" t="s">
        <v>5933</v>
      </c>
      <c r="C3871" t="s">
        <v>6863</v>
      </c>
      <c r="D3871" s="78" t="s">
        <v>6881</v>
      </c>
      <c r="E3871" t="s">
        <v>6696</v>
      </c>
      <c r="F3871" t="s">
        <v>6925</v>
      </c>
      <c r="G3871" s="92"/>
      <c r="H3871" s="92"/>
      <c r="I3871" s="92"/>
      <c r="J3871" s="92"/>
      <c r="K3871" s="92"/>
      <c r="L3871" s="9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6"/>
    </row>
    <row r="3872" spans="1:14" hidden="1" x14ac:dyDescent="0.15">
      <c r="A3872">
        <v>3872</v>
      </c>
      <c r="B3872" t="s">
        <v>5933</v>
      </c>
      <c r="C3872" t="s">
        <v>6863</v>
      </c>
      <c r="D3872" s="78" t="s">
        <v>6882</v>
      </c>
      <c r="E3872" t="s">
        <v>6903</v>
      </c>
      <c r="F3872" t="s">
        <v>6926</v>
      </c>
      <c r="G3872" s="92"/>
      <c r="H3872" s="92"/>
      <c r="I3872" s="92"/>
      <c r="J3872" s="92"/>
      <c r="K3872" s="92"/>
      <c r="L3872" s="9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6"/>
    </row>
    <row r="3873" spans="1:14" hidden="1" x14ac:dyDescent="0.15">
      <c r="A3873">
        <v>3873</v>
      </c>
      <c r="B3873" t="s">
        <v>5933</v>
      </c>
      <c r="C3873" t="s">
        <v>6863</v>
      </c>
      <c r="D3873" s="78" t="s">
        <v>6907</v>
      </c>
      <c r="E3873" t="s">
        <v>6696</v>
      </c>
      <c r="F3873" t="s">
        <v>6927</v>
      </c>
      <c r="G3873" s="92"/>
      <c r="H3873" s="92"/>
      <c r="I3873" s="92"/>
      <c r="J3873" s="92"/>
      <c r="K3873" s="92"/>
      <c r="L3873" s="9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6"/>
    </row>
    <row r="3874" spans="1:14" hidden="1" x14ac:dyDescent="0.15">
      <c r="A3874">
        <v>3874</v>
      </c>
      <c r="B3874" t="s">
        <v>5933</v>
      </c>
      <c r="C3874" t="s">
        <v>6863</v>
      </c>
      <c r="D3874" s="78" t="s">
        <v>6883</v>
      </c>
      <c r="E3874" t="s">
        <v>6696</v>
      </c>
      <c r="F3874" t="s">
        <v>6928</v>
      </c>
      <c r="G3874" s="92"/>
      <c r="H3874" s="92"/>
      <c r="I3874" s="92"/>
      <c r="J3874" s="92"/>
      <c r="K3874" s="92"/>
      <c r="L3874" s="9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6"/>
    </row>
    <row r="3875" spans="1:14" hidden="1" x14ac:dyDescent="0.15">
      <c r="A3875">
        <v>3875</v>
      </c>
      <c r="B3875" t="s">
        <v>5933</v>
      </c>
      <c r="C3875" t="s">
        <v>6863</v>
      </c>
      <c r="D3875" s="78" t="s">
        <v>6884</v>
      </c>
      <c r="E3875" t="s">
        <v>6696</v>
      </c>
      <c r="F3875" t="s">
        <v>6929</v>
      </c>
      <c r="G3875" s="92"/>
      <c r="H3875" s="92"/>
      <c r="I3875" s="92"/>
      <c r="J3875" s="92"/>
      <c r="K3875" s="92"/>
      <c r="L3875" s="9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6"/>
    </row>
    <row r="3876" spans="1:14" hidden="1" x14ac:dyDescent="0.15">
      <c r="A3876">
        <v>3876</v>
      </c>
      <c r="B3876" t="s">
        <v>5933</v>
      </c>
      <c r="C3876" t="s">
        <v>6863</v>
      </c>
      <c r="D3876" s="78" t="s">
        <v>6884</v>
      </c>
      <c r="E3876" t="s">
        <v>6809</v>
      </c>
      <c r="F3876" t="s">
        <v>6930</v>
      </c>
      <c r="G3876" s="92"/>
      <c r="H3876" s="92"/>
      <c r="I3876" s="92"/>
      <c r="J3876" s="92"/>
      <c r="K3876" s="92"/>
      <c r="L3876" s="9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6"/>
    </row>
    <row r="3877" spans="1:14" hidden="1" x14ac:dyDescent="0.15">
      <c r="A3877">
        <v>3877</v>
      </c>
      <c r="B3877" t="s">
        <v>5933</v>
      </c>
      <c r="C3877" t="s">
        <v>6863</v>
      </c>
      <c r="D3877" s="78" t="s">
        <v>6885</v>
      </c>
      <c r="E3877" t="s">
        <v>6809</v>
      </c>
      <c r="F3877" t="s">
        <v>6931</v>
      </c>
      <c r="G3877" s="92"/>
      <c r="H3877" s="92"/>
      <c r="I3877" s="92"/>
      <c r="J3877" s="92"/>
      <c r="K3877" s="92"/>
      <c r="L3877" s="9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6"/>
    </row>
    <row r="3878" spans="1:14" hidden="1" x14ac:dyDescent="0.15">
      <c r="A3878">
        <v>3878</v>
      </c>
      <c r="B3878" t="s">
        <v>5933</v>
      </c>
      <c r="C3878" t="s">
        <v>6863</v>
      </c>
      <c r="D3878" s="78" t="s">
        <v>6886</v>
      </c>
      <c r="E3878" t="s">
        <v>6696</v>
      </c>
      <c r="F3878" t="s">
        <v>6932</v>
      </c>
      <c r="G3878" s="92"/>
      <c r="H3878" s="92"/>
      <c r="I3878" s="92"/>
      <c r="J3878" s="92"/>
      <c r="K3878" s="92"/>
      <c r="L3878" s="9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6"/>
    </row>
    <row r="3879" spans="1:14" hidden="1" x14ac:dyDescent="0.15">
      <c r="A3879">
        <v>3879</v>
      </c>
      <c r="B3879" t="s">
        <v>5933</v>
      </c>
      <c r="C3879" t="s">
        <v>6863</v>
      </c>
      <c r="D3879" s="78" t="s">
        <v>6887</v>
      </c>
      <c r="E3879" t="s">
        <v>6902</v>
      </c>
      <c r="F3879" t="s">
        <v>6933</v>
      </c>
      <c r="G3879" s="92"/>
      <c r="H3879" s="92"/>
      <c r="I3879" s="92"/>
      <c r="J3879" s="92"/>
      <c r="K3879" s="92"/>
      <c r="L3879" s="9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6"/>
    </row>
    <row r="3880" spans="1:14" hidden="1" x14ac:dyDescent="0.15">
      <c r="A3880">
        <v>3880</v>
      </c>
      <c r="B3880" t="s">
        <v>5933</v>
      </c>
      <c r="C3880" t="s">
        <v>6863</v>
      </c>
      <c r="D3880" s="78" t="s">
        <v>6888</v>
      </c>
      <c r="E3880" t="s">
        <v>6696</v>
      </c>
      <c r="F3880" t="s">
        <v>6934</v>
      </c>
      <c r="G3880" s="92"/>
      <c r="H3880" s="92"/>
      <c r="I3880" s="92"/>
      <c r="J3880" s="92"/>
      <c r="K3880" s="92"/>
      <c r="L3880" s="9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6"/>
    </row>
    <row r="3881" spans="1:14" hidden="1" x14ac:dyDescent="0.15">
      <c r="A3881">
        <v>3881</v>
      </c>
      <c r="B3881" t="s">
        <v>5933</v>
      </c>
      <c r="C3881" t="s">
        <v>6863</v>
      </c>
      <c r="D3881" s="78" t="s">
        <v>6889</v>
      </c>
      <c r="E3881" t="s">
        <v>6902</v>
      </c>
      <c r="F3881" t="s">
        <v>6935</v>
      </c>
      <c r="G3881" s="92"/>
      <c r="H3881" s="92"/>
      <c r="I3881" s="92"/>
      <c r="J3881" s="92"/>
      <c r="K3881" s="92"/>
      <c r="L3881" s="9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6"/>
    </row>
    <row r="3882" spans="1:14" hidden="1" x14ac:dyDescent="0.15">
      <c r="A3882">
        <v>3882</v>
      </c>
      <c r="B3882" t="s">
        <v>5933</v>
      </c>
      <c r="C3882" t="s">
        <v>6863</v>
      </c>
      <c r="D3882" s="78" t="s">
        <v>6890</v>
      </c>
      <c r="E3882" t="s">
        <v>6696</v>
      </c>
      <c r="F3882" t="s">
        <v>6936</v>
      </c>
      <c r="G3882" s="92"/>
      <c r="H3882" s="92"/>
      <c r="I3882" s="92"/>
      <c r="J3882" s="92"/>
      <c r="K3882" s="92"/>
      <c r="L3882" s="9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6"/>
    </row>
    <row r="3883" spans="1:14" hidden="1" x14ac:dyDescent="0.15">
      <c r="A3883">
        <v>3883</v>
      </c>
      <c r="B3883" t="s">
        <v>5933</v>
      </c>
      <c r="C3883" t="s">
        <v>6863</v>
      </c>
      <c r="D3883" s="78" t="s">
        <v>6891</v>
      </c>
      <c r="E3883" t="s">
        <v>6809</v>
      </c>
      <c r="F3883" t="s">
        <v>6937</v>
      </c>
      <c r="G3883" s="92"/>
      <c r="H3883" s="92"/>
      <c r="I3883" s="92"/>
      <c r="J3883" s="92"/>
      <c r="K3883" s="92"/>
      <c r="L3883" s="9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6"/>
    </row>
    <row r="3884" spans="1:14" hidden="1" x14ac:dyDescent="0.15">
      <c r="A3884">
        <v>3884</v>
      </c>
      <c r="B3884" t="s">
        <v>5933</v>
      </c>
      <c r="C3884" t="s">
        <v>6863</v>
      </c>
      <c r="D3884" s="78" t="s">
        <v>6892</v>
      </c>
      <c r="E3884" t="s">
        <v>6696</v>
      </c>
      <c r="F3884" t="s">
        <v>6938</v>
      </c>
      <c r="G3884" s="92"/>
      <c r="H3884" s="92"/>
      <c r="I3884" s="92"/>
      <c r="J3884" s="92"/>
      <c r="K3884" s="92"/>
      <c r="L3884" s="9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6"/>
    </row>
    <row r="3885" spans="1:14" hidden="1" x14ac:dyDescent="0.15">
      <c r="A3885">
        <v>3885</v>
      </c>
      <c r="B3885" t="s">
        <v>5933</v>
      </c>
      <c r="C3885" t="s">
        <v>6863</v>
      </c>
      <c r="D3885" s="78" t="s">
        <v>6893</v>
      </c>
      <c r="E3885" t="s">
        <v>6696</v>
      </c>
      <c r="F3885" t="s">
        <v>6939</v>
      </c>
      <c r="G3885" s="92"/>
      <c r="H3885" s="92"/>
      <c r="I3885" s="92"/>
      <c r="J3885" s="92"/>
      <c r="K3885" s="92"/>
      <c r="L3885" s="9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6"/>
    </row>
    <row r="3886" spans="1:14" hidden="1" x14ac:dyDescent="0.15">
      <c r="A3886">
        <v>3886</v>
      </c>
      <c r="B3886" t="s">
        <v>5933</v>
      </c>
      <c r="C3886" t="s">
        <v>6863</v>
      </c>
      <c r="D3886" s="78" t="s">
        <v>6894</v>
      </c>
      <c r="E3886" t="s">
        <v>6902</v>
      </c>
      <c r="F3886" t="s">
        <v>6940</v>
      </c>
      <c r="G3886" s="92"/>
      <c r="H3886" s="92"/>
      <c r="I3886" s="92"/>
      <c r="J3886" s="92"/>
      <c r="K3886" s="92"/>
      <c r="L3886" s="9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6"/>
    </row>
    <row r="3887" spans="1:14" hidden="1" x14ac:dyDescent="0.15">
      <c r="A3887">
        <v>3887</v>
      </c>
      <c r="B3887" t="s">
        <v>5933</v>
      </c>
      <c r="C3887" t="s">
        <v>6863</v>
      </c>
      <c r="D3887" s="78" t="s">
        <v>6895</v>
      </c>
      <c r="E3887" t="s">
        <v>6696</v>
      </c>
      <c r="F3887" t="s">
        <v>6941</v>
      </c>
      <c r="G3887" s="92"/>
      <c r="H3887" s="92"/>
      <c r="I3887" s="92"/>
      <c r="J3887" s="92"/>
      <c r="K3887" s="92"/>
      <c r="L3887" s="9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6"/>
    </row>
    <row r="3888" spans="1:14" hidden="1" x14ac:dyDescent="0.15">
      <c r="A3888">
        <v>3888</v>
      </c>
      <c r="B3888" t="s">
        <v>5933</v>
      </c>
      <c r="C3888" t="s">
        <v>6863</v>
      </c>
      <c r="D3888" s="78" t="s">
        <v>6896</v>
      </c>
      <c r="E3888" t="s">
        <v>6903</v>
      </c>
      <c r="F3888" t="s">
        <v>6942</v>
      </c>
      <c r="G3888" s="92"/>
      <c r="H3888" s="92"/>
      <c r="I3888" s="92"/>
      <c r="J3888" s="92"/>
      <c r="K3888" s="92"/>
      <c r="L3888" s="9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6"/>
    </row>
    <row r="3889" spans="1:14" hidden="1" x14ac:dyDescent="0.15">
      <c r="A3889">
        <v>3889</v>
      </c>
      <c r="B3889" t="s">
        <v>5933</v>
      </c>
      <c r="C3889" t="s">
        <v>6863</v>
      </c>
      <c r="D3889" s="78" t="s">
        <v>6897</v>
      </c>
      <c r="E3889" t="s">
        <v>6809</v>
      </c>
      <c r="F3889" t="s">
        <v>6943</v>
      </c>
      <c r="G3889" s="92"/>
      <c r="H3889" s="92"/>
      <c r="I3889" s="92"/>
      <c r="J3889" s="92"/>
      <c r="K3889" s="92"/>
      <c r="L3889" s="9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6"/>
    </row>
    <row r="3890" spans="1:14" hidden="1" x14ac:dyDescent="0.15">
      <c r="A3890">
        <v>3890</v>
      </c>
      <c r="B3890" t="s">
        <v>5933</v>
      </c>
      <c r="C3890" t="s">
        <v>6863</v>
      </c>
      <c r="D3890" s="78" t="s">
        <v>6898</v>
      </c>
      <c r="E3890" t="s">
        <v>6819</v>
      </c>
      <c r="F3890" t="s">
        <v>6944</v>
      </c>
      <c r="G3890" s="92"/>
      <c r="H3890" s="92"/>
      <c r="I3890" s="92"/>
      <c r="J3890" s="92"/>
      <c r="K3890" s="92"/>
      <c r="L3890" s="9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6"/>
    </row>
    <row r="3891" spans="1:14" hidden="1" x14ac:dyDescent="0.15">
      <c r="A3891">
        <v>3891</v>
      </c>
      <c r="B3891" t="s">
        <v>5933</v>
      </c>
      <c r="C3891" t="s">
        <v>6863</v>
      </c>
      <c r="D3891" s="78" t="s">
        <v>6901</v>
      </c>
      <c r="E3891" t="s">
        <v>6902</v>
      </c>
      <c r="F3891" t="s">
        <v>6945</v>
      </c>
      <c r="G3891" s="92"/>
      <c r="H3891" s="92"/>
      <c r="I3891" s="92"/>
      <c r="J3891" s="92"/>
      <c r="K3891" s="92"/>
      <c r="L3891" s="9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6"/>
    </row>
    <row r="3892" spans="1:14" hidden="1" x14ac:dyDescent="0.15">
      <c r="A3892">
        <v>3892</v>
      </c>
      <c r="B3892" t="s">
        <v>5933</v>
      </c>
      <c r="C3892" t="s">
        <v>6863</v>
      </c>
      <c r="D3892" s="78" t="s">
        <v>6900</v>
      </c>
      <c r="E3892" t="s">
        <v>6902</v>
      </c>
      <c r="F3892" t="s">
        <v>6910</v>
      </c>
      <c r="G3892" s="92"/>
      <c r="H3892" s="92"/>
      <c r="I3892" s="92"/>
      <c r="J3892" s="92"/>
      <c r="K3892" s="92"/>
      <c r="L3892" s="9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6"/>
    </row>
    <row r="3893" spans="1:14" hidden="1" x14ac:dyDescent="0.15">
      <c r="A3893">
        <v>3893</v>
      </c>
      <c r="B3893" t="s">
        <v>5933</v>
      </c>
      <c r="C3893" t="s">
        <v>6863</v>
      </c>
      <c r="D3893" s="78" t="s">
        <v>6899</v>
      </c>
      <c r="E3893" t="s">
        <v>6696</v>
      </c>
      <c r="F3893" t="s">
        <v>6946</v>
      </c>
      <c r="G3893" s="92"/>
      <c r="H3893" s="92"/>
      <c r="I3893" s="92"/>
      <c r="J3893" s="92"/>
      <c r="K3893" s="92"/>
      <c r="L3893" s="9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6"/>
    </row>
    <row r="3894" spans="1:14" hidden="1" x14ac:dyDescent="0.15">
      <c r="A3894">
        <v>3894</v>
      </c>
      <c r="B3894" t="s">
        <v>5933</v>
      </c>
      <c r="C3894" t="s">
        <v>6863</v>
      </c>
      <c r="D3894" s="78" t="s">
        <v>6947</v>
      </c>
      <c r="E3894" t="s">
        <v>6696</v>
      </c>
      <c r="F3894" t="s">
        <v>6948</v>
      </c>
      <c r="G3894" s="92"/>
      <c r="H3894" s="92"/>
      <c r="I3894" s="92"/>
      <c r="J3894" s="92"/>
      <c r="K3894" s="92"/>
      <c r="L3894" s="9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6"/>
    </row>
    <row r="3895" spans="1:14" hidden="1" x14ac:dyDescent="0.15">
      <c r="A3895">
        <v>3895</v>
      </c>
      <c r="B3895" t="s">
        <v>5933</v>
      </c>
      <c r="C3895" t="s">
        <v>6949</v>
      </c>
      <c r="D3895" s="78" t="s">
        <v>6950</v>
      </c>
      <c r="E3895" t="s">
        <v>6696</v>
      </c>
      <c r="F3895" t="s">
        <v>6986</v>
      </c>
      <c r="G3895" s="92"/>
      <c r="H3895" s="92"/>
      <c r="I3895" s="92"/>
      <c r="J3895" s="92"/>
      <c r="K3895" s="92"/>
      <c r="L3895" s="9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6"/>
    </row>
    <row r="3896" spans="1:14" hidden="1" x14ac:dyDescent="0.15">
      <c r="A3896">
        <v>3896</v>
      </c>
      <c r="B3896" t="s">
        <v>5933</v>
      </c>
      <c r="C3896" t="s">
        <v>6949</v>
      </c>
      <c r="D3896" s="78" t="s">
        <v>6951</v>
      </c>
      <c r="E3896" t="s">
        <v>6696</v>
      </c>
      <c r="F3896" t="s">
        <v>6987</v>
      </c>
      <c r="G3896" s="92"/>
      <c r="H3896" s="92"/>
      <c r="I3896" s="92"/>
      <c r="J3896" s="92"/>
      <c r="K3896" s="92"/>
      <c r="L3896" s="9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6"/>
    </row>
    <row r="3897" spans="1:14" hidden="1" x14ac:dyDescent="0.15">
      <c r="A3897">
        <v>3897</v>
      </c>
      <c r="B3897" t="s">
        <v>5933</v>
      </c>
      <c r="C3897" t="s">
        <v>6949</v>
      </c>
      <c r="D3897" s="78" t="s">
        <v>6952</v>
      </c>
      <c r="E3897" t="s">
        <v>6696</v>
      </c>
      <c r="F3897" t="s">
        <v>6988</v>
      </c>
      <c r="G3897" s="92"/>
      <c r="H3897" s="92"/>
      <c r="I3897" s="92"/>
      <c r="J3897" s="92"/>
      <c r="K3897" s="92"/>
      <c r="L3897" s="9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6"/>
    </row>
    <row r="3898" spans="1:14" hidden="1" x14ac:dyDescent="0.15">
      <c r="A3898">
        <v>3898</v>
      </c>
      <c r="B3898" t="s">
        <v>5933</v>
      </c>
      <c r="C3898" t="s">
        <v>6949</v>
      </c>
      <c r="D3898" s="78" t="s">
        <v>6984</v>
      </c>
      <c r="E3898" t="s">
        <v>6696</v>
      </c>
      <c r="F3898" t="s">
        <v>6989</v>
      </c>
      <c r="G3898" s="92"/>
      <c r="H3898" s="92"/>
      <c r="I3898" s="92"/>
      <c r="J3898" s="92"/>
      <c r="K3898" s="92"/>
      <c r="L3898" s="9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6"/>
    </row>
    <row r="3899" spans="1:14" hidden="1" x14ac:dyDescent="0.15">
      <c r="A3899">
        <v>3899</v>
      </c>
      <c r="B3899" t="s">
        <v>5933</v>
      </c>
      <c r="C3899" t="s">
        <v>6949</v>
      </c>
      <c r="D3899" s="78" t="s">
        <v>6953</v>
      </c>
      <c r="E3899" t="s">
        <v>6696</v>
      </c>
      <c r="F3899" t="s">
        <v>6990</v>
      </c>
      <c r="G3899" s="92"/>
      <c r="H3899" s="92"/>
      <c r="I3899" s="92"/>
      <c r="J3899" s="92"/>
      <c r="K3899" s="92"/>
      <c r="L3899" s="9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6"/>
    </row>
    <row r="3900" spans="1:14" hidden="1" x14ac:dyDescent="0.15">
      <c r="A3900">
        <v>3900</v>
      </c>
      <c r="B3900" t="s">
        <v>5933</v>
      </c>
      <c r="C3900" t="s">
        <v>6949</v>
      </c>
      <c r="D3900" s="78" t="s">
        <v>6757</v>
      </c>
      <c r="E3900" t="s">
        <v>6819</v>
      </c>
      <c r="F3900" t="s">
        <v>6787</v>
      </c>
      <c r="G3900" s="92"/>
      <c r="H3900" s="92"/>
      <c r="I3900" s="92"/>
      <c r="J3900" s="92"/>
      <c r="K3900" s="92"/>
      <c r="L3900" s="9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6"/>
    </row>
    <row r="3901" spans="1:14" hidden="1" x14ac:dyDescent="0.15">
      <c r="A3901">
        <v>3901</v>
      </c>
      <c r="B3901" t="s">
        <v>5933</v>
      </c>
      <c r="C3901" t="s">
        <v>6949</v>
      </c>
      <c r="D3901" s="78" t="s">
        <v>6954</v>
      </c>
      <c r="E3901" t="s">
        <v>6696</v>
      </c>
      <c r="F3901" t="s">
        <v>6991</v>
      </c>
      <c r="G3901" s="92"/>
      <c r="H3901" s="92"/>
      <c r="I3901" s="92"/>
      <c r="J3901" s="92"/>
      <c r="K3901" s="92"/>
      <c r="L3901" s="9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6"/>
    </row>
    <row r="3902" spans="1:14" hidden="1" x14ac:dyDescent="0.15">
      <c r="A3902">
        <v>3902</v>
      </c>
      <c r="B3902" t="s">
        <v>5933</v>
      </c>
      <c r="C3902" t="s">
        <v>6949</v>
      </c>
      <c r="D3902" s="78" t="s">
        <v>6882</v>
      </c>
      <c r="E3902" t="s">
        <v>6903</v>
      </c>
      <c r="F3902" t="s">
        <v>6992</v>
      </c>
      <c r="G3902" s="92"/>
      <c r="H3902" s="92"/>
      <c r="I3902" s="92"/>
      <c r="J3902" s="92"/>
      <c r="K3902" s="92"/>
      <c r="L3902" s="9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6"/>
    </row>
    <row r="3903" spans="1:14" hidden="1" x14ac:dyDescent="0.15">
      <c r="A3903">
        <v>3903</v>
      </c>
      <c r="B3903" t="s">
        <v>5933</v>
      </c>
      <c r="C3903" t="s">
        <v>6949</v>
      </c>
      <c r="D3903" s="78" t="s">
        <v>6955</v>
      </c>
      <c r="E3903" t="s">
        <v>6903</v>
      </c>
      <c r="F3903" t="s">
        <v>6993</v>
      </c>
      <c r="G3903" s="92"/>
      <c r="H3903" s="92"/>
      <c r="I3903" s="92"/>
      <c r="J3903" s="92"/>
      <c r="K3903" s="92"/>
      <c r="L3903" s="9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6"/>
    </row>
    <row r="3904" spans="1:14" hidden="1" x14ac:dyDescent="0.15">
      <c r="A3904">
        <v>3904</v>
      </c>
      <c r="B3904" t="s">
        <v>5933</v>
      </c>
      <c r="C3904" t="s">
        <v>6949</v>
      </c>
      <c r="D3904" s="78" t="s">
        <v>6956</v>
      </c>
      <c r="E3904" t="s">
        <v>6903</v>
      </c>
      <c r="F3904" t="s">
        <v>6994</v>
      </c>
      <c r="G3904" s="92"/>
      <c r="H3904" s="92"/>
      <c r="I3904" s="92"/>
      <c r="J3904" s="92"/>
      <c r="K3904" s="92"/>
      <c r="L3904" s="9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6"/>
    </row>
    <row r="3905" spans="1:14" hidden="1" x14ac:dyDescent="0.15">
      <c r="A3905">
        <v>3905</v>
      </c>
      <c r="B3905" t="s">
        <v>5933</v>
      </c>
      <c r="C3905" t="s">
        <v>6949</v>
      </c>
      <c r="D3905" s="78" t="s">
        <v>6759</v>
      </c>
      <c r="E3905" t="s">
        <v>6904</v>
      </c>
      <c r="F3905" t="s">
        <v>6789</v>
      </c>
      <c r="G3905" s="92"/>
      <c r="H3905" s="92"/>
      <c r="I3905" s="92"/>
      <c r="J3905" s="92"/>
      <c r="K3905" s="92"/>
      <c r="L3905" s="9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6"/>
    </row>
    <row r="3906" spans="1:14" hidden="1" x14ac:dyDescent="0.15">
      <c r="A3906">
        <v>3906</v>
      </c>
      <c r="B3906" t="s">
        <v>5933</v>
      </c>
      <c r="C3906" t="s">
        <v>6949</v>
      </c>
      <c r="D3906" s="78" t="s">
        <v>6957</v>
      </c>
      <c r="E3906" t="s">
        <v>6821</v>
      </c>
      <c r="F3906" t="s">
        <v>6995</v>
      </c>
      <c r="G3906" s="92"/>
      <c r="H3906" s="92"/>
      <c r="I3906" s="92"/>
      <c r="J3906" s="92"/>
      <c r="K3906" s="92"/>
      <c r="L3906" s="9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6"/>
    </row>
    <row r="3907" spans="1:14" hidden="1" x14ac:dyDescent="0.15">
      <c r="A3907">
        <v>3907</v>
      </c>
      <c r="B3907" t="s">
        <v>5933</v>
      </c>
      <c r="C3907" t="s">
        <v>6949</v>
      </c>
      <c r="D3907" s="78" t="s">
        <v>6958</v>
      </c>
      <c r="E3907" t="s">
        <v>6904</v>
      </c>
      <c r="F3907" t="s">
        <v>6996</v>
      </c>
      <c r="G3907" s="92"/>
      <c r="H3907" s="92"/>
      <c r="I3907" s="92"/>
      <c r="J3907" s="92"/>
      <c r="K3907" s="92"/>
      <c r="L3907" s="9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6"/>
    </row>
    <row r="3908" spans="1:14" hidden="1" x14ac:dyDescent="0.15">
      <c r="A3908">
        <v>3908</v>
      </c>
      <c r="B3908" t="s">
        <v>5933</v>
      </c>
      <c r="C3908" t="s">
        <v>6949</v>
      </c>
      <c r="D3908" s="78" t="s">
        <v>6959</v>
      </c>
      <c r="E3908" t="s">
        <v>6696</v>
      </c>
      <c r="F3908" t="s">
        <v>6997</v>
      </c>
      <c r="G3908" s="92"/>
      <c r="H3908" s="92"/>
      <c r="I3908" s="92"/>
      <c r="J3908" s="92"/>
      <c r="K3908" s="92"/>
      <c r="L3908" s="9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6"/>
    </row>
    <row r="3909" spans="1:14" hidden="1" x14ac:dyDescent="0.15">
      <c r="A3909">
        <v>3909</v>
      </c>
      <c r="B3909" t="s">
        <v>5933</v>
      </c>
      <c r="C3909" t="s">
        <v>6949</v>
      </c>
      <c r="D3909" s="78" t="s">
        <v>6960</v>
      </c>
      <c r="E3909" t="s">
        <v>6696</v>
      </c>
      <c r="F3909" t="s">
        <v>6998</v>
      </c>
      <c r="G3909" s="92"/>
      <c r="H3909" s="92"/>
      <c r="I3909" s="92"/>
      <c r="J3909" s="92"/>
      <c r="K3909" s="92"/>
      <c r="L3909" s="9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6"/>
    </row>
    <row r="3910" spans="1:14" hidden="1" x14ac:dyDescent="0.15">
      <c r="A3910">
        <v>3910</v>
      </c>
      <c r="B3910" t="s">
        <v>5933</v>
      </c>
      <c r="C3910" t="s">
        <v>6949</v>
      </c>
      <c r="D3910" s="78" t="s">
        <v>6961</v>
      </c>
      <c r="E3910" t="s">
        <v>6903</v>
      </c>
      <c r="F3910" t="s">
        <v>6999</v>
      </c>
      <c r="G3910" s="92"/>
      <c r="H3910" s="92"/>
      <c r="I3910" s="92"/>
      <c r="J3910" s="92"/>
      <c r="K3910" s="92"/>
      <c r="L3910" s="9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6"/>
    </row>
    <row r="3911" spans="1:14" hidden="1" x14ac:dyDescent="0.15">
      <c r="A3911">
        <v>3911</v>
      </c>
      <c r="B3911" t="s">
        <v>5933</v>
      </c>
      <c r="C3911" t="s">
        <v>6949</v>
      </c>
      <c r="D3911" s="78" t="s">
        <v>6962</v>
      </c>
      <c r="E3911" t="s">
        <v>6809</v>
      </c>
      <c r="F3911" t="s">
        <v>7000</v>
      </c>
      <c r="G3911" s="92"/>
      <c r="H3911" s="92"/>
      <c r="I3911" s="92"/>
      <c r="J3911" s="92"/>
      <c r="K3911" s="92"/>
      <c r="L3911" s="9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6"/>
    </row>
    <row r="3912" spans="1:14" hidden="1" x14ac:dyDescent="0.15">
      <c r="A3912">
        <v>3912</v>
      </c>
      <c r="B3912" t="s">
        <v>5933</v>
      </c>
      <c r="C3912" t="s">
        <v>6949</v>
      </c>
      <c r="D3912" s="78" t="s">
        <v>7002</v>
      </c>
      <c r="E3912" t="s">
        <v>6696</v>
      </c>
      <c r="F3912" t="s">
        <v>7001</v>
      </c>
      <c r="G3912" s="92"/>
      <c r="H3912" s="92"/>
      <c r="I3912" s="92"/>
      <c r="J3912" s="92"/>
      <c r="K3912" s="92"/>
      <c r="L3912" s="9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6"/>
    </row>
    <row r="3913" spans="1:14" hidden="1" x14ac:dyDescent="0.15">
      <c r="A3913">
        <v>3913</v>
      </c>
      <c r="B3913" t="s">
        <v>5933</v>
      </c>
      <c r="C3913" t="s">
        <v>6949</v>
      </c>
      <c r="D3913" s="78" t="s">
        <v>6963</v>
      </c>
      <c r="E3913" t="s">
        <v>6985</v>
      </c>
      <c r="F3913" t="s">
        <v>7003</v>
      </c>
      <c r="G3913" s="92"/>
      <c r="H3913" s="92"/>
      <c r="I3913" s="92"/>
      <c r="J3913" s="92"/>
      <c r="K3913" s="92"/>
      <c r="L3913" s="9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6"/>
    </row>
    <row r="3914" spans="1:14" hidden="1" x14ac:dyDescent="0.15">
      <c r="A3914">
        <v>3914</v>
      </c>
      <c r="B3914" t="s">
        <v>5933</v>
      </c>
      <c r="C3914" t="s">
        <v>6949</v>
      </c>
      <c r="D3914" s="78" t="s">
        <v>6964</v>
      </c>
      <c r="E3914" t="s">
        <v>6985</v>
      </c>
      <c r="F3914" t="s">
        <v>7004</v>
      </c>
      <c r="G3914" s="92"/>
      <c r="H3914" s="92"/>
      <c r="I3914" s="92"/>
      <c r="J3914" s="92"/>
      <c r="K3914" s="92"/>
      <c r="L3914" s="9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6"/>
    </row>
    <row r="3915" spans="1:14" hidden="1" x14ac:dyDescent="0.15">
      <c r="A3915">
        <v>3915</v>
      </c>
      <c r="B3915" t="s">
        <v>5933</v>
      </c>
      <c r="C3915" t="s">
        <v>6949</v>
      </c>
      <c r="D3915" s="78" t="s">
        <v>6965</v>
      </c>
      <c r="E3915" t="s">
        <v>6821</v>
      </c>
      <c r="F3915" t="s">
        <v>7005</v>
      </c>
      <c r="G3915" s="92"/>
      <c r="H3915" s="92"/>
      <c r="I3915" s="92"/>
      <c r="J3915" s="92"/>
      <c r="K3915" s="92"/>
      <c r="L3915" s="9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6"/>
    </row>
    <row r="3916" spans="1:14" hidden="1" x14ac:dyDescent="0.15">
      <c r="A3916">
        <v>3916</v>
      </c>
      <c r="B3916" t="s">
        <v>5933</v>
      </c>
      <c r="C3916" t="s">
        <v>6949</v>
      </c>
      <c r="D3916" s="78" t="s">
        <v>6966</v>
      </c>
      <c r="E3916" t="s">
        <v>6903</v>
      </c>
      <c r="F3916" t="s">
        <v>7006</v>
      </c>
      <c r="G3916" s="92"/>
      <c r="H3916" s="92"/>
      <c r="I3916" s="92"/>
      <c r="J3916" s="92"/>
      <c r="K3916" s="92"/>
      <c r="L3916" s="9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6"/>
    </row>
    <row r="3917" spans="1:14" hidden="1" x14ac:dyDescent="0.15">
      <c r="A3917">
        <v>3917</v>
      </c>
      <c r="B3917" t="s">
        <v>5933</v>
      </c>
      <c r="C3917" t="s">
        <v>6949</v>
      </c>
      <c r="D3917" s="78" t="s">
        <v>6734</v>
      </c>
      <c r="E3917" t="s">
        <v>6903</v>
      </c>
      <c r="F3917" t="s">
        <v>7007</v>
      </c>
      <c r="G3917" s="92"/>
      <c r="H3917" s="92"/>
      <c r="I3917" s="92"/>
      <c r="J3917" s="92"/>
      <c r="K3917" s="92"/>
      <c r="L3917" s="9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6"/>
    </row>
    <row r="3918" spans="1:14" hidden="1" x14ac:dyDescent="0.15">
      <c r="A3918">
        <v>3918</v>
      </c>
      <c r="B3918" t="s">
        <v>5933</v>
      </c>
      <c r="C3918" t="s">
        <v>6949</v>
      </c>
      <c r="D3918" s="78" t="s">
        <v>6967</v>
      </c>
      <c r="E3918" t="s">
        <v>6696</v>
      </c>
      <c r="F3918" t="s">
        <v>7008</v>
      </c>
      <c r="G3918" s="92"/>
      <c r="H3918" s="92"/>
      <c r="I3918" s="92"/>
      <c r="J3918" s="92"/>
      <c r="K3918" s="92"/>
      <c r="L3918" s="9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6"/>
    </row>
    <row r="3919" spans="1:14" hidden="1" x14ac:dyDescent="0.15">
      <c r="A3919">
        <v>3919</v>
      </c>
      <c r="B3919" t="s">
        <v>5933</v>
      </c>
      <c r="C3919" t="s">
        <v>6949</v>
      </c>
      <c r="D3919" s="78" t="s">
        <v>6967</v>
      </c>
      <c r="E3919" t="s">
        <v>6903</v>
      </c>
      <c r="F3919" t="s">
        <v>7008</v>
      </c>
      <c r="G3919" s="92"/>
      <c r="H3919" s="92"/>
      <c r="I3919" s="92"/>
      <c r="J3919" s="92"/>
      <c r="K3919" s="92"/>
      <c r="L3919" s="9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6"/>
    </row>
    <row r="3920" spans="1:14" hidden="1" x14ac:dyDescent="0.15">
      <c r="A3920">
        <v>3920</v>
      </c>
      <c r="B3920" t="s">
        <v>5933</v>
      </c>
      <c r="C3920" t="s">
        <v>6949</v>
      </c>
      <c r="D3920" s="78" t="s">
        <v>6968</v>
      </c>
      <c r="E3920" t="s">
        <v>6696</v>
      </c>
      <c r="F3920" t="s">
        <v>7009</v>
      </c>
      <c r="G3920" s="92"/>
      <c r="H3920" s="92"/>
      <c r="I3920" s="92"/>
      <c r="J3920" s="92"/>
      <c r="K3920" s="92"/>
      <c r="L3920" s="9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6"/>
    </row>
    <row r="3921" spans="1:14" hidden="1" x14ac:dyDescent="0.15">
      <c r="A3921">
        <v>3921</v>
      </c>
      <c r="B3921" t="s">
        <v>5933</v>
      </c>
      <c r="C3921" t="s">
        <v>6949</v>
      </c>
      <c r="D3921" s="78" t="s">
        <v>6969</v>
      </c>
      <c r="E3921" t="s">
        <v>6903</v>
      </c>
      <c r="F3921" t="s">
        <v>7010</v>
      </c>
      <c r="G3921" s="92"/>
      <c r="H3921" s="92"/>
      <c r="I3921" s="92"/>
      <c r="J3921" s="92"/>
      <c r="K3921" s="92"/>
      <c r="L3921" s="9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6"/>
    </row>
    <row r="3922" spans="1:14" hidden="1" x14ac:dyDescent="0.15">
      <c r="A3922">
        <v>3922</v>
      </c>
      <c r="B3922" t="s">
        <v>5933</v>
      </c>
      <c r="C3922" t="s">
        <v>6949</v>
      </c>
      <c r="D3922" s="78" t="s">
        <v>6970</v>
      </c>
      <c r="E3922" t="s">
        <v>6809</v>
      </c>
      <c r="F3922" t="s">
        <v>7011</v>
      </c>
      <c r="G3922" s="92"/>
      <c r="H3922" s="92"/>
      <c r="I3922" s="92"/>
      <c r="J3922" s="92"/>
      <c r="K3922" s="92"/>
      <c r="L3922" s="9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6"/>
    </row>
    <row r="3923" spans="1:14" hidden="1" x14ac:dyDescent="0.15">
      <c r="A3923">
        <v>3923</v>
      </c>
      <c r="B3923" t="s">
        <v>5933</v>
      </c>
      <c r="C3923" t="s">
        <v>6949</v>
      </c>
      <c r="D3923" s="78" t="s">
        <v>6972</v>
      </c>
      <c r="E3923" t="s">
        <v>6809</v>
      </c>
      <c r="F3923" t="s">
        <v>7012</v>
      </c>
      <c r="G3923" s="92"/>
      <c r="H3923" s="92"/>
      <c r="I3923" s="92"/>
      <c r="J3923" s="92"/>
      <c r="K3923" s="92"/>
      <c r="L3923" s="9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6"/>
    </row>
    <row r="3924" spans="1:14" hidden="1" x14ac:dyDescent="0.15">
      <c r="A3924">
        <v>3924</v>
      </c>
      <c r="B3924" t="s">
        <v>5933</v>
      </c>
      <c r="C3924" t="s">
        <v>6949</v>
      </c>
      <c r="D3924" s="78" t="s">
        <v>6971</v>
      </c>
      <c r="E3924" t="s">
        <v>6809</v>
      </c>
      <c r="F3924" t="s">
        <v>7013</v>
      </c>
      <c r="G3924" s="92"/>
      <c r="H3924" s="92"/>
      <c r="I3924" s="92"/>
      <c r="J3924" s="92"/>
      <c r="K3924" s="92"/>
      <c r="L3924" s="9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6"/>
    </row>
    <row r="3925" spans="1:14" hidden="1" x14ac:dyDescent="0.15">
      <c r="A3925">
        <v>3925</v>
      </c>
      <c r="B3925" t="s">
        <v>5933</v>
      </c>
      <c r="C3925" t="s">
        <v>6949</v>
      </c>
      <c r="D3925" s="78" t="s">
        <v>6973</v>
      </c>
      <c r="E3925" t="s">
        <v>6696</v>
      </c>
      <c r="F3925" t="s">
        <v>7014</v>
      </c>
      <c r="G3925" s="92"/>
      <c r="H3925" s="92"/>
      <c r="I3925" s="92"/>
      <c r="J3925" s="92"/>
      <c r="K3925" s="92"/>
      <c r="L3925" s="9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6"/>
    </row>
    <row r="3926" spans="1:14" hidden="1" x14ac:dyDescent="0.15">
      <c r="A3926">
        <v>3926</v>
      </c>
      <c r="B3926" t="s">
        <v>5933</v>
      </c>
      <c r="C3926" t="s">
        <v>6949</v>
      </c>
      <c r="D3926" s="78" t="s">
        <v>6974</v>
      </c>
      <c r="E3926" t="s">
        <v>6696</v>
      </c>
      <c r="F3926" t="s">
        <v>7015</v>
      </c>
      <c r="G3926" s="92"/>
      <c r="H3926" s="92"/>
      <c r="I3926" s="92"/>
      <c r="J3926" s="92"/>
      <c r="K3926" s="92"/>
      <c r="L3926" s="9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6"/>
    </row>
    <row r="3927" spans="1:14" hidden="1" x14ac:dyDescent="0.15">
      <c r="A3927">
        <v>3927</v>
      </c>
      <c r="B3927" t="s">
        <v>5933</v>
      </c>
      <c r="C3927" t="s">
        <v>6949</v>
      </c>
      <c r="D3927" s="78" t="s">
        <v>6975</v>
      </c>
      <c r="E3927" t="s">
        <v>6697</v>
      </c>
      <c r="F3927" t="s">
        <v>7016</v>
      </c>
      <c r="G3927" s="92"/>
      <c r="H3927" s="92"/>
      <c r="I3927" s="92"/>
      <c r="J3927" s="92"/>
      <c r="K3927" s="92"/>
      <c r="L3927" s="9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6"/>
    </row>
    <row r="3928" spans="1:14" hidden="1" x14ac:dyDescent="0.15">
      <c r="A3928">
        <v>3928</v>
      </c>
      <c r="B3928" t="s">
        <v>5933</v>
      </c>
      <c r="C3928" t="s">
        <v>6949</v>
      </c>
      <c r="D3928" s="78" t="s">
        <v>6976</v>
      </c>
      <c r="E3928" t="s">
        <v>6821</v>
      </c>
      <c r="F3928" t="s">
        <v>7017</v>
      </c>
      <c r="G3928" s="92"/>
      <c r="H3928" s="92"/>
      <c r="I3928" s="92"/>
      <c r="J3928" s="92"/>
      <c r="K3928" s="92"/>
      <c r="L3928" s="9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6"/>
    </row>
    <row r="3929" spans="1:14" hidden="1" x14ac:dyDescent="0.15">
      <c r="A3929">
        <v>3929</v>
      </c>
      <c r="B3929" t="s">
        <v>5933</v>
      </c>
      <c r="C3929" t="s">
        <v>6949</v>
      </c>
      <c r="D3929" s="78" t="s">
        <v>6977</v>
      </c>
      <c r="E3929" t="s">
        <v>6985</v>
      </c>
      <c r="F3929" t="s">
        <v>7018</v>
      </c>
      <c r="G3929" s="92"/>
      <c r="H3929" s="92"/>
      <c r="I3929" s="92"/>
      <c r="J3929" s="92"/>
      <c r="K3929" s="92"/>
      <c r="L3929" s="9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6"/>
    </row>
    <row r="3930" spans="1:14" hidden="1" x14ac:dyDescent="0.15">
      <c r="A3930">
        <v>3930</v>
      </c>
      <c r="B3930" t="s">
        <v>5933</v>
      </c>
      <c r="C3930" t="s">
        <v>6949</v>
      </c>
      <c r="D3930" s="78" t="s">
        <v>6978</v>
      </c>
      <c r="E3930" t="s">
        <v>6821</v>
      </c>
      <c r="F3930" t="s">
        <v>7019</v>
      </c>
      <c r="G3930" s="92"/>
      <c r="H3930" s="92"/>
      <c r="I3930" s="92"/>
      <c r="J3930" s="92"/>
      <c r="K3930" s="92"/>
      <c r="L3930" s="9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6"/>
    </row>
    <row r="3931" spans="1:14" hidden="1" x14ac:dyDescent="0.15">
      <c r="A3931">
        <v>3931</v>
      </c>
      <c r="B3931" t="s">
        <v>5933</v>
      </c>
      <c r="C3931" t="s">
        <v>6949</v>
      </c>
      <c r="D3931" s="78" t="s">
        <v>6979</v>
      </c>
      <c r="E3931" t="s">
        <v>6809</v>
      </c>
      <c r="F3931" t="s">
        <v>7020</v>
      </c>
      <c r="G3931" s="92"/>
      <c r="H3931" s="92"/>
      <c r="I3931" s="92"/>
      <c r="J3931" s="92"/>
      <c r="K3931" s="92"/>
      <c r="L3931" s="9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6"/>
    </row>
    <row r="3932" spans="1:14" hidden="1" x14ac:dyDescent="0.15">
      <c r="A3932">
        <v>3932</v>
      </c>
      <c r="B3932" t="s">
        <v>5933</v>
      </c>
      <c r="C3932" t="s">
        <v>6949</v>
      </c>
      <c r="D3932" s="78" t="s">
        <v>7022</v>
      </c>
      <c r="E3932" t="s">
        <v>6821</v>
      </c>
      <c r="F3932" t="s">
        <v>7021</v>
      </c>
      <c r="G3932" s="92"/>
      <c r="H3932" s="92"/>
      <c r="I3932" s="92"/>
      <c r="J3932" s="92"/>
      <c r="K3932" s="92"/>
      <c r="L3932" s="9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6"/>
    </row>
    <row r="3933" spans="1:14" hidden="1" x14ac:dyDescent="0.15">
      <c r="A3933">
        <v>3933</v>
      </c>
      <c r="B3933" t="s">
        <v>5933</v>
      </c>
      <c r="C3933" t="s">
        <v>6949</v>
      </c>
      <c r="D3933" s="78" t="s">
        <v>6980</v>
      </c>
      <c r="E3933" t="s">
        <v>6904</v>
      </c>
      <c r="F3933" t="s">
        <v>7023</v>
      </c>
      <c r="G3933" s="92"/>
      <c r="H3933" s="92"/>
      <c r="I3933" s="92"/>
      <c r="J3933" s="92"/>
      <c r="K3933" s="92"/>
      <c r="L3933" s="9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6"/>
    </row>
    <row r="3934" spans="1:14" hidden="1" x14ac:dyDescent="0.15">
      <c r="A3934">
        <v>3934</v>
      </c>
      <c r="B3934" t="s">
        <v>5933</v>
      </c>
      <c r="C3934" t="s">
        <v>6949</v>
      </c>
      <c r="D3934" s="78" t="s">
        <v>6981</v>
      </c>
      <c r="E3934" t="s">
        <v>6902</v>
      </c>
      <c r="F3934" t="s">
        <v>7024</v>
      </c>
      <c r="G3934" s="92"/>
      <c r="H3934" s="92"/>
      <c r="I3934" s="92"/>
      <c r="J3934" s="92"/>
      <c r="K3934" s="92"/>
      <c r="L3934" s="9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6"/>
    </row>
    <row r="3935" spans="1:14" hidden="1" x14ac:dyDescent="0.15">
      <c r="A3935">
        <v>3935</v>
      </c>
      <c r="B3935" t="s">
        <v>5933</v>
      </c>
      <c r="C3935" t="s">
        <v>6949</v>
      </c>
      <c r="D3935" s="78" t="s">
        <v>6982</v>
      </c>
      <c r="E3935" t="s">
        <v>6819</v>
      </c>
      <c r="F3935" t="s">
        <v>7025</v>
      </c>
      <c r="G3935" s="92"/>
      <c r="H3935" s="92"/>
      <c r="I3935" s="92"/>
      <c r="J3935" s="92"/>
      <c r="K3935" s="92"/>
      <c r="L3935" s="9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6"/>
    </row>
    <row r="3936" spans="1:14" hidden="1" x14ac:dyDescent="0.15">
      <c r="A3936">
        <v>3936</v>
      </c>
      <c r="B3936" t="s">
        <v>5933</v>
      </c>
      <c r="C3936" t="s">
        <v>6949</v>
      </c>
      <c r="D3936" s="78" t="s">
        <v>6983</v>
      </c>
      <c r="E3936" t="s">
        <v>6985</v>
      </c>
      <c r="F3936" t="s">
        <v>7026</v>
      </c>
      <c r="G3936" s="92"/>
      <c r="H3936" s="92"/>
      <c r="I3936" s="92"/>
      <c r="J3936" s="92"/>
      <c r="K3936" s="92"/>
      <c r="L3936" s="9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6"/>
    </row>
    <row r="3937" spans="1:14" hidden="1" x14ac:dyDescent="0.15">
      <c r="A3937">
        <v>3937</v>
      </c>
      <c r="B3937" t="s">
        <v>7363</v>
      </c>
      <c r="C3937" t="s">
        <v>7365</v>
      </c>
      <c r="D3937" s="78" t="s">
        <v>7034</v>
      </c>
      <c r="E3937" t="s">
        <v>7054</v>
      </c>
      <c r="F3937" t="s">
        <v>7058</v>
      </c>
      <c r="G3937" s="92">
        <v>43284.549768518518</v>
      </c>
      <c r="H3937" s="92">
        <v>43285.695162037038</v>
      </c>
      <c r="I3937" s="92">
        <v>43285.695162037038</v>
      </c>
      <c r="J3937" s="92"/>
      <c r="K3937" s="92">
        <v>43285.751886574071</v>
      </c>
      <c r="L3937" s="92">
        <f>IF(AND(单词表[[#This Row],[学英]]&lt;&gt;"",单词表[[#This Row],[学中]]&lt;&gt;"",单词表[[#This Row],[学词]]&lt;&gt;""),MAX(单词表[[#This Row],[学英]:[学词]]),"")</f>
        <v>43285.695162037038</v>
      </c>
      <c r="M3937" s="2" t="str">
        <f>IF(AND(单词表[[#This Row],[考英]]&lt;&gt;"",单词表[[#This Row],[考中]]&lt;&gt;""),MAX(单词表[[#This Row],[考英]:[考中]]),"")</f>
        <v/>
      </c>
      <c r="N3937" s="86"/>
    </row>
    <row r="3938" spans="1:14" hidden="1" x14ac:dyDescent="0.15">
      <c r="A3938">
        <v>3938</v>
      </c>
      <c r="B3938" t="s">
        <v>7363</v>
      </c>
      <c r="C3938" t="s">
        <v>7365</v>
      </c>
      <c r="D3938" s="78" t="s">
        <v>7035</v>
      </c>
      <c r="E3938" t="s">
        <v>7055</v>
      </c>
      <c r="F3938" t="s">
        <v>7059</v>
      </c>
      <c r="G3938" s="92">
        <v>43284.550543981481</v>
      </c>
      <c r="H3938" s="92">
        <v>43285.697500000002</v>
      </c>
      <c r="I3938" s="92">
        <v>43285.697500000002</v>
      </c>
      <c r="J3938" s="92"/>
      <c r="K3938" s="92">
        <v>43285.751921296294</v>
      </c>
      <c r="L3938" s="92">
        <f>IF(AND(单词表[[#This Row],[学英]]&lt;&gt;"",单词表[[#This Row],[学中]]&lt;&gt;"",单词表[[#This Row],[学词]]&lt;&gt;""),MAX(单词表[[#This Row],[学英]:[学词]]),"")</f>
        <v>43285.697500000002</v>
      </c>
      <c r="M3938" s="2" t="str">
        <f>IF(AND(单词表[[#This Row],[考英]]&lt;&gt;"",单词表[[#This Row],[考中]]&lt;&gt;""),MAX(单词表[[#This Row],[考英]:[考中]]),"")</f>
        <v/>
      </c>
      <c r="N3938" s="86"/>
    </row>
    <row r="3939" spans="1:14" hidden="1" x14ac:dyDescent="0.15">
      <c r="A3939">
        <v>3939</v>
      </c>
      <c r="B3939" t="s">
        <v>7363</v>
      </c>
      <c r="C3939" t="s">
        <v>7365</v>
      </c>
      <c r="D3939" s="78" t="s">
        <v>7036</v>
      </c>
      <c r="E3939" t="s">
        <v>7054</v>
      </c>
      <c r="F3939" t="s">
        <v>7060</v>
      </c>
      <c r="G3939" s="92">
        <v>43284.550821759258</v>
      </c>
      <c r="H3939" s="92">
        <v>43285.699525462966</v>
      </c>
      <c r="I3939" s="92">
        <v>43285.699525462966</v>
      </c>
      <c r="J3939" s="92"/>
      <c r="K3939" s="92">
        <v>43285.751956018517</v>
      </c>
      <c r="L3939" s="92">
        <f>IF(AND(单词表[[#This Row],[学英]]&lt;&gt;"",单词表[[#This Row],[学中]]&lt;&gt;"",单词表[[#This Row],[学词]]&lt;&gt;""),MAX(单词表[[#This Row],[学英]:[学词]]),"")</f>
        <v>43285.699525462966</v>
      </c>
      <c r="M3939" s="2" t="str">
        <f>IF(AND(单词表[[#This Row],[考英]]&lt;&gt;"",单词表[[#This Row],[考中]]&lt;&gt;""),MAX(单词表[[#This Row],[考英]:[考中]]),"")</f>
        <v/>
      </c>
      <c r="N3939" s="86"/>
    </row>
    <row r="3940" spans="1:14" hidden="1" x14ac:dyDescent="0.15">
      <c r="A3940">
        <v>3940</v>
      </c>
      <c r="B3940" t="s">
        <v>7363</v>
      </c>
      <c r="C3940" t="s">
        <v>7365</v>
      </c>
      <c r="D3940" s="78" t="s">
        <v>7037</v>
      </c>
      <c r="E3940" t="s">
        <v>7054</v>
      </c>
      <c r="F3940" t="s">
        <v>7061</v>
      </c>
      <c r="G3940" s="92">
        <v>43284.56150462963</v>
      </c>
      <c r="H3940" s="92">
        <v>43285.770324074074</v>
      </c>
      <c r="I3940" s="92">
        <v>43285.770324074074</v>
      </c>
      <c r="J3940" s="92"/>
      <c r="K3940" s="92">
        <v>43285.770439814813</v>
      </c>
      <c r="L3940" s="92">
        <f>IF(AND(单词表[[#This Row],[学英]]&lt;&gt;"",单词表[[#This Row],[学中]]&lt;&gt;"",单词表[[#This Row],[学词]]&lt;&gt;""),MAX(单词表[[#This Row],[学英]:[学词]]),"")</f>
        <v>43285.770324074074</v>
      </c>
      <c r="M3940" s="2" t="str">
        <f>IF(AND(单词表[[#This Row],[考英]]&lt;&gt;"",单词表[[#This Row],[考中]]&lt;&gt;""),MAX(单词表[[#This Row],[考英]:[考中]]),"")</f>
        <v/>
      </c>
      <c r="N3940" s="86"/>
    </row>
    <row r="3941" spans="1:14" hidden="1" x14ac:dyDescent="0.15">
      <c r="A3941">
        <v>3941</v>
      </c>
      <c r="B3941" t="s">
        <v>7363</v>
      </c>
      <c r="C3941" t="s">
        <v>7365</v>
      </c>
      <c r="D3941" s="78" t="s">
        <v>7038</v>
      </c>
      <c r="E3941" t="s">
        <v>7055</v>
      </c>
      <c r="F3941" t="s">
        <v>7062</v>
      </c>
      <c r="G3941" s="92">
        <v>43284.561331018522</v>
      </c>
      <c r="H3941" s="92">
        <v>43285.77034722222</v>
      </c>
      <c r="I3941" s="92">
        <v>43285.77034722222</v>
      </c>
      <c r="J3941" s="92"/>
      <c r="K3941" s="92">
        <v>43285.770474537036</v>
      </c>
      <c r="L3941" s="92">
        <f>IF(AND(单词表[[#This Row],[学英]]&lt;&gt;"",单词表[[#This Row],[学中]]&lt;&gt;"",单词表[[#This Row],[学词]]&lt;&gt;""),MAX(单词表[[#This Row],[学英]:[学词]]),"")</f>
        <v>43285.77034722222</v>
      </c>
      <c r="M3941" s="2" t="str">
        <f>IF(AND(单词表[[#This Row],[考英]]&lt;&gt;"",单词表[[#This Row],[考中]]&lt;&gt;""),MAX(单词表[[#This Row],[考英]:[考中]]),"")</f>
        <v/>
      </c>
      <c r="N3941" s="86"/>
    </row>
    <row r="3942" spans="1:14" hidden="1" x14ac:dyDescent="0.15">
      <c r="A3942">
        <v>3942</v>
      </c>
      <c r="B3942" t="s">
        <v>7363</v>
      </c>
      <c r="C3942" t="s">
        <v>7365</v>
      </c>
      <c r="D3942" s="78" t="s">
        <v>7039</v>
      </c>
      <c r="E3942" t="s">
        <v>7054</v>
      </c>
      <c r="F3942" t="s">
        <v>7063</v>
      </c>
      <c r="G3942" s="92">
        <v>43284.566712962966</v>
      </c>
      <c r="H3942" s="92">
        <v>43284.566712962966</v>
      </c>
      <c r="I3942" s="92">
        <v>43284.566712962966</v>
      </c>
      <c r="J3942" s="92"/>
      <c r="K3942" s="92">
        <v>43285.76458333333</v>
      </c>
      <c r="L3942" s="92">
        <f>IF(AND(单词表[[#This Row],[学英]]&lt;&gt;"",单词表[[#This Row],[学中]]&lt;&gt;"",单词表[[#This Row],[学词]]&lt;&gt;""),MAX(单词表[[#This Row],[学英]:[学词]]),"")</f>
        <v>43284.566712962966</v>
      </c>
      <c r="M3942" s="2" t="str">
        <f>IF(AND(单词表[[#This Row],[考英]]&lt;&gt;"",单词表[[#This Row],[考中]]&lt;&gt;""),MAX(单词表[[#This Row],[考英]:[考中]]),"")</f>
        <v/>
      </c>
      <c r="N3942" s="86"/>
    </row>
    <row r="3943" spans="1:14" hidden="1" x14ac:dyDescent="0.15">
      <c r="A3943">
        <v>3943</v>
      </c>
      <c r="B3943" t="s">
        <v>7363</v>
      </c>
      <c r="C3943" t="s">
        <v>7365</v>
      </c>
      <c r="D3943" s="78" t="s">
        <v>7040</v>
      </c>
      <c r="E3943" t="s">
        <v>7054</v>
      </c>
      <c r="F3943" t="s">
        <v>7064</v>
      </c>
      <c r="G3943" s="92">
        <v>43285.437060185184</v>
      </c>
      <c r="H3943" s="92">
        <v>43285.437060185184</v>
      </c>
      <c r="I3943" s="92">
        <v>43285.437060185184</v>
      </c>
      <c r="J3943" s="92"/>
      <c r="K3943" s="92">
        <v>43285.769224537034</v>
      </c>
      <c r="L3943" s="92">
        <f>IF(AND(单词表[[#This Row],[学英]]&lt;&gt;"",单词表[[#This Row],[学中]]&lt;&gt;"",单词表[[#This Row],[学词]]&lt;&gt;""),MAX(单词表[[#This Row],[学英]:[学词]]),"")</f>
        <v>43285.437060185184</v>
      </c>
      <c r="M3943" s="2" t="str">
        <f>IF(AND(单词表[[#This Row],[考英]]&lt;&gt;"",单词表[[#This Row],[考中]]&lt;&gt;""),MAX(单词表[[#This Row],[考英]:[考中]]),"")</f>
        <v/>
      </c>
      <c r="N3943" s="86"/>
    </row>
    <row r="3944" spans="1:14" hidden="1" x14ac:dyDescent="0.15">
      <c r="A3944">
        <v>3944</v>
      </c>
      <c r="B3944" t="s">
        <v>7363</v>
      </c>
      <c r="C3944" t="s">
        <v>7365</v>
      </c>
      <c r="D3944" s="78" t="s">
        <v>7041</v>
      </c>
      <c r="E3944" t="s">
        <v>7054</v>
      </c>
      <c r="F3944" t="s">
        <v>7065</v>
      </c>
      <c r="G3944" s="92">
        <v>43285.440358796295</v>
      </c>
      <c r="H3944" s="92">
        <v>43285.749467592592</v>
      </c>
      <c r="I3944" s="92">
        <v>43285.749467592592</v>
      </c>
      <c r="J3944" s="92"/>
      <c r="K3944" s="92">
        <v>43285.769259259258</v>
      </c>
      <c r="L3944" s="92">
        <f>IF(AND(单词表[[#This Row],[学英]]&lt;&gt;"",单词表[[#This Row],[学中]]&lt;&gt;"",单词表[[#This Row],[学词]]&lt;&gt;""),MAX(单词表[[#This Row],[学英]:[学词]]),"")</f>
        <v>43285.749467592592</v>
      </c>
      <c r="M3944" s="2" t="str">
        <f>IF(AND(单词表[[#This Row],[考英]]&lt;&gt;"",单词表[[#This Row],[考中]]&lt;&gt;""),MAX(单词表[[#This Row],[考英]:[考中]]),"")</f>
        <v/>
      </c>
      <c r="N3944" s="86"/>
    </row>
    <row r="3945" spans="1:14" hidden="1" x14ac:dyDescent="0.15">
      <c r="A3945">
        <v>3945</v>
      </c>
      <c r="B3945" t="s">
        <v>7363</v>
      </c>
      <c r="C3945" t="s">
        <v>7365</v>
      </c>
      <c r="D3945" s="78" t="s">
        <v>7042</v>
      </c>
      <c r="E3945" t="s">
        <v>7054</v>
      </c>
      <c r="F3945" t="s">
        <v>7066</v>
      </c>
      <c r="G3945" s="92">
        <v>43285.440486111111</v>
      </c>
      <c r="H3945" s="92">
        <v>43285.440486111111</v>
      </c>
      <c r="I3945" s="92">
        <v>43285.440486111111</v>
      </c>
      <c r="J3945" s="92"/>
      <c r="K3945" s="92">
        <v>43285.769293981481</v>
      </c>
      <c r="L3945" s="92">
        <f>IF(AND(单词表[[#This Row],[学英]]&lt;&gt;"",单词表[[#This Row],[学中]]&lt;&gt;"",单词表[[#This Row],[学词]]&lt;&gt;""),MAX(单词表[[#This Row],[学英]:[学词]]),"")</f>
        <v>43285.440486111111</v>
      </c>
      <c r="M3945" s="2" t="str">
        <f>IF(AND(单词表[[#This Row],[考英]]&lt;&gt;"",单词表[[#This Row],[考中]]&lt;&gt;""),MAX(单词表[[#This Row],[考英]:[考中]]),"")</f>
        <v/>
      </c>
      <c r="N3945" s="86"/>
    </row>
    <row r="3946" spans="1:14" hidden="1" x14ac:dyDescent="0.15">
      <c r="A3946">
        <v>3946</v>
      </c>
      <c r="B3946" t="s">
        <v>7363</v>
      </c>
      <c r="C3946" t="s">
        <v>7365</v>
      </c>
      <c r="D3946" s="78" t="s">
        <v>7043</v>
      </c>
      <c r="E3946" t="s">
        <v>7055</v>
      </c>
      <c r="F3946" t="s">
        <v>7067</v>
      </c>
      <c r="G3946" s="92">
        <v>43285.452951388892</v>
      </c>
      <c r="H3946" s="92">
        <v>43285.452951388892</v>
      </c>
      <c r="I3946" s="92">
        <v>43285.452951388892</v>
      </c>
      <c r="J3946" s="92"/>
      <c r="K3946" s="92">
        <v>43285.76934027778</v>
      </c>
      <c r="L3946" s="92">
        <f>IF(AND(单词表[[#This Row],[学英]]&lt;&gt;"",单词表[[#This Row],[学中]]&lt;&gt;"",单词表[[#This Row],[学词]]&lt;&gt;""),MAX(单词表[[#This Row],[学英]:[学词]]),"")</f>
        <v>43285.452951388892</v>
      </c>
      <c r="M3946" s="2" t="str">
        <f>IF(AND(单词表[[#This Row],[考英]]&lt;&gt;"",单词表[[#This Row],[考中]]&lt;&gt;""),MAX(单词表[[#This Row],[考英]:[考中]]),"")</f>
        <v/>
      </c>
      <c r="N3946" s="86"/>
    </row>
    <row r="3947" spans="1:14" hidden="1" x14ac:dyDescent="0.15">
      <c r="A3947">
        <v>3947</v>
      </c>
      <c r="B3947" t="s">
        <v>7363</v>
      </c>
      <c r="C3947" t="s">
        <v>7365</v>
      </c>
      <c r="D3947" s="78" t="s">
        <v>7044</v>
      </c>
      <c r="E3947" t="s">
        <v>7054</v>
      </c>
      <c r="F3947" t="s">
        <v>7068</v>
      </c>
      <c r="G3947" s="92">
        <v>43284.568761574075</v>
      </c>
      <c r="H3947" s="92">
        <v>43284.568761574075</v>
      </c>
      <c r="I3947" s="92">
        <v>43284.568761574075</v>
      </c>
      <c r="J3947" s="92"/>
      <c r="K3947" s="92">
        <v>43285.769375000003</v>
      </c>
      <c r="L3947" s="92">
        <f>IF(AND(单词表[[#This Row],[学英]]&lt;&gt;"",单词表[[#This Row],[学中]]&lt;&gt;"",单词表[[#This Row],[学词]]&lt;&gt;""),MAX(单词表[[#This Row],[学英]:[学词]]),"")</f>
        <v>43284.568761574075</v>
      </c>
      <c r="M3947" s="2" t="str">
        <f>IF(AND(单词表[[#This Row],[考英]]&lt;&gt;"",单词表[[#This Row],[考中]]&lt;&gt;""),MAX(单词表[[#This Row],[考英]:[考中]]),"")</f>
        <v/>
      </c>
      <c r="N3947" s="86"/>
    </row>
    <row r="3948" spans="1:14" hidden="1" x14ac:dyDescent="0.15">
      <c r="A3948">
        <v>3948</v>
      </c>
      <c r="B3948" t="s">
        <v>7363</v>
      </c>
      <c r="C3948" t="s">
        <v>7365</v>
      </c>
      <c r="D3948" s="78" t="s">
        <v>7045</v>
      </c>
      <c r="E3948" t="s">
        <v>7056</v>
      </c>
      <c r="F3948" t="s">
        <v>7069</v>
      </c>
      <c r="G3948" s="92">
        <v>43285.441562499997</v>
      </c>
      <c r="H3948" s="92">
        <v>43285.441562499997</v>
      </c>
      <c r="I3948" s="92">
        <v>43285.441562499997</v>
      </c>
      <c r="J3948" s="92"/>
      <c r="K3948" s="92">
        <v>43285.769421296296</v>
      </c>
      <c r="L3948" s="92">
        <f>IF(AND(单词表[[#This Row],[学英]]&lt;&gt;"",单词表[[#This Row],[学中]]&lt;&gt;"",单词表[[#This Row],[学词]]&lt;&gt;""),MAX(单词表[[#This Row],[学英]:[学词]]),"")</f>
        <v>43285.441562499997</v>
      </c>
      <c r="M3948" s="2" t="str">
        <f>IF(AND(单词表[[#This Row],[考英]]&lt;&gt;"",单词表[[#This Row],[考中]]&lt;&gt;""),MAX(单词表[[#This Row],[考英]:[考中]]),"")</f>
        <v/>
      </c>
      <c r="N3948" s="86"/>
    </row>
    <row r="3949" spans="1:14" hidden="1" x14ac:dyDescent="0.15">
      <c r="A3949">
        <v>3949</v>
      </c>
      <c r="B3949" t="s">
        <v>7363</v>
      </c>
      <c r="C3949" t="s">
        <v>7365</v>
      </c>
      <c r="D3949" s="78" t="s">
        <v>7046</v>
      </c>
      <c r="E3949" t="s">
        <v>7054</v>
      </c>
      <c r="F3949" t="s">
        <v>7070</v>
      </c>
      <c r="G3949" s="92">
        <v>43285.443414351852</v>
      </c>
      <c r="H3949" s="92">
        <v>43285.443414351852</v>
      </c>
      <c r="I3949" s="92">
        <v>43285.443414351852</v>
      </c>
      <c r="J3949" s="92"/>
      <c r="K3949" s="92">
        <v>43285.769444444442</v>
      </c>
      <c r="L3949" s="92">
        <f>IF(AND(单词表[[#This Row],[学英]]&lt;&gt;"",单词表[[#This Row],[学中]]&lt;&gt;"",单词表[[#This Row],[学词]]&lt;&gt;""),MAX(单词表[[#This Row],[学英]:[学词]]),"")</f>
        <v>43285.443414351852</v>
      </c>
      <c r="M3949" s="2" t="str">
        <f>IF(AND(单词表[[#This Row],[考英]]&lt;&gt;"",单词表[[#This Row],[考中]]&lt;&gt;""),MAX(单词表[[#This Row],[考英]:[考中]]),"")</f>
        <v/>
      </c>
      <c r="N3949" s="86"/>
    </row>
    <row r="3950" spans="1:14" hidden="1" x14ac:dyDescent="0.15">
      <c r="A3950">
        <v>3950</v>
      </c>
      <c r="B3950" t="s">
        <v>7363</v>
      </c>
      <c r="C3950" t="s">
        <v>7365</v>
      </c>
      <c r="D3950" s="78" t="s">
        <v>7047</v>
      </c>
      <c r="E3950" t="s">
        <v>7054</v>
      </c>
      <c r="F3950" t="s">
        <v>7071</v>
      </c>
      <c r="G3950" s="92">
        <v>43285.444872685184</v>
      </c>
      <c r="H3950" s="92">
        <v>43285.749502314815</v>
      </c>
      <c r="I3950" s="92">
        <v>43285.749502314815</v>
      </c>
      <c r="J3950" s="92"/>
      <c r="K3950" s="92">
        <v>43285.769479166665</v>
      </c>
      <c r="L3950" s="92">
        <f>IF(AND(单词表[[#This Row],[学英]]&lt;&gt;"",单词表[[#This Row],[学中]]&lt;&gt;"",单词表[[#This Row],[学词]]&lt;&gt;""),MAX(单词表[[#This Row],[学英]:[学词]]),"")</f>
        <v>43285.749502314815</v>
      </c>
      <c r="M3950" s="2" t="str">
        <f>IF(AND(单词表[[#This Row],[考英]]&lt;&gt;"",单词表[[#This Row],[考中]]&lt;&gt;""),MAX(单词表[[#This Row],[考英]:[考中]]),"")</f>
        <v/>
      </c>
      <c r="N3950" s="86"/>
    </row>
    <row r="3951" spans="1:14" hidden="1" x14ac:dyDescent="0.15">
      <c r="A3951">
        <v>3951</v>
      </c>
      <c r="B3951" t="s">
        <v>7363</v>
      </c>
      <c r="C3951" t="s">
        <v>7365</v>
      </c>
      <c r="D3951" s="78" t="s">
        <v>7047</v>
      </c>
      <c r="E3951" t="s">
        <v>7055</v>
      </c>
      <c r="F3951" t="s">
        <v>7072</v>
      </c>
      <c r="G3951" s="92">
        <v>43285.444918981484</v>
      </c>
      <c r="H3951" s="92">
        <v>43285.444918981484</v>
      </c>
      <c r="I3951" s="92">
        <v>43285.444918981484</v>
      </c>
      <c r="J3951" s="92"/>
      <c r="K3951" s="92">
        <v>43285.769513888888</v>
      </c>
      <c r="L3951" s="92">
        <f>IF(AND(单词表[[#This Row],[学英]]&lt;&gt;"",单词表[[#This Row],[学中]]&lt;&gt;"",单词表[[#This Row],[学词]]&lt;&gt;""),MAX(单词表[[#This Row],[学英]:[学词]]),"")</f>
        <v>43285.444918981484</v>
      </c>
      <c r="M3951" s="2" t="str">
        <f>IF(AND(单词表[[#This Row],[考英]]&lt;&gt;"",单词表[[#This Row],[考中]]&lt;&gt;""),MAX(单词表[[#This Row],[考英]:[考中]]),"")</f>
        <v/>
      </c>
      <c r="N3951" s="86"/>
    </row>
    <row r="3952" spans="1:14" hidden="1" x14ac:dyDescent="0.15">
      <c r="A3952">
        <v>3952</v>
      </c>
      <c r="B3952" t="s">
        <v>7363</v>
      </c>
      <c r="C3952" t="s">
        <v>7365</v>
      </c>
      <c r="D3952" s="78" t="s">
        <v>7048</v>
      </c>
      <c r="E3952" t="s">
        <v>7055</v>
      </c>
      <c r="F3952" t="s">
        <v>7073</v>
      </c>
      <c r="G3952" s="92">
        <v>43285.444988425923</v>
      </c>
      <c r="H3952" s="92">
        <v>43285.444988425923</v>
      </c>
      <c r="I3952" s="92">
        <v>43285.444988425923</v>
      </c>
      <c r="J3952" s="92"/>
      <c r="K3952" s="92">
        <v>43285.769548611112</v>
      </c>
      <c r="L3952" s="92">
        <f>IF(AND(单词表[[#This Row],[学英]]&lt;&gt;"",单词表[[#This Row],[学中]]&lt;&gt;"",单词表[[#This Row],[学词]]&lt;&gt;""),MAX(单词表[[#This Row],[学英]:[学词]]),"")</f>
        <v>43285.444988425923</v>
      </c>
      <c r="M3952" s="2" t="str">
        <f>IF(AND(单词表[[#This Row],[考英]]&lt;&gt;"",单词表[[#This Row],[考中]]&lt;&gt;""),MAX(单词表[[#This Row],[考英]:[考中]]),"")</f>
        <v/>
      </c>
      <c r="N3952" s="86"/>
    </row>
    <row r="3953" spans="1:14" hidden="1" x14ac:dyDescent="0.15">
      <c r="A3953">
        <v>3953</v>
      </c>
      <c r="B3953" t="s">
        <v>7363</v>
      </c>
      <c r="C3953" t="s">
        <v>7365</v>
      </c>
      <c r="D3953" s="78" t="s">
        <v>7049</v>
      </c>
      <c r="E3953" t="s">
        <v>7054</v>
      </c>
      <c r="F3953" t="s">
        <v>7074</v>
      </c>
      <c r="G3953" s="92">
        <v>43284.570543981485</v>
      </c>
      <c r="H3953" s="92">
        <v>43284.570543981485</v>
      </c>
      <c r="I3953" s="92">
        <v>43284.570543981485</v>
      </c>
      <c r="J3953" s="92"/>
      <c r="K3953" s="92">
        <v>43285.769594907404</v>
      </c>
      <c r="L3953" s="92">
        <f>IF(AND(单词表[[#This Row],[学英]]&lt;&gt;"",单词表[[#This Row],[学中]]&lt;&gt;"",单词表[[#This Row],[学词]]&lt;&gt;""),MAX(单词表[[#This Row],[学英]:[学词]]),"")</f>
        <v>43284.570543981485</v>
      </c>
      <c r="M3953" s="2" t="str">
        <f>IF(AND(单词表[[#This Row],[考英]]&lt;&gt;"",单词表[[#This Row],[考中]]&lt;&gt;""),MAX(单词表[[#This Row],[考英]:[考中]]),"")</f>
        <v/>
      </c>
      <c r="N3953" s="86"/>
    </row>
    <row r="3954" spans="1:14" hidden="1" x14ac:dyDescent="0.15">
      <c r="A3954">
        <v>3954</v>
      </c>
      <c r="B3954" t="s">
        <v>7363</v>
      </c>
      <c r="C3954" t="s">
        <v>7365</v>
      </c>
      <c r="D3954" s="78" t="s">
        <v>7050</v>
      </c>
      <c r="E3954" t="s">
        <v>7054</v>
      </c>
      <c r="F3954" t="s">
        <v>7075</v>
      </c>
      <c r="G3954" s="92">
        <v>43284.570775462962</v>
      </c>
      <c r="H3954" s="92">
        <v>43284.570775462962</v>
      </c>
      <c r="I3954" s="92">
        <v>43284.570775462962</v>
      </c>
      <c r="J3954" s="92"/>
      <c r="K3954" s="92">
        <v>43285.769629629627</v>
      </c>
      <c r="L3954" s="92">
        <f>IF(AND(单词表[[#This Row],[学英]]&lt;&gt;"",单词表[[#This Row],[学中]]&lt;&gt;"",单词表[[#This Row],[学词]]&lt;&gt;""),MAX(单词表[[#This Row],[学英]:[学词]]),"")</f>
        <v>43284.570775462962</v>
      </c>
      <c r="M3954" s="2" t="str">
        <f>IF(AND(单词表[[#This Row],[考英]]&lt;&gt;"",单词表[[#This Row],[考中]]&lt;&gt;""),MAX(单词表[[#This Row],[考英]:[考中]]),"")</f>
        <v/>
      </c>
      <c r="N3954" s="86"/>
    </row>
    <row r="3955" spans="1:14" hidden="1" x14ac:dyDescent="0.15">
      <c r="A3955">
        <v>3955</v>
      </c>
      <c r="B3955" t="s">
        <v>7363</v>
      </c>
      <c r="C3955" t="s">
        <v>7365</v>
      </c>
      <c r="D3955" s="78" t="s">
        <v>7051</v>
      </c>
      <c r="E3955" t="s">
        <v>7056</v>
      </c>
      <c r="F3955" t="s">
        <v>7076</v>
      </c>
      <c r="G3955" s="92">
        <v>43285.452905092592</v>
      </c>
      <c r="H3955" s="92">
        <v>43285.749837962961</v>
      </c>
      <c r="I3955" s="92">
        <v>43285.749837962961</v>
      </c>
      <c r="J3955" s="92"/>
      <c r="K3955" s="92">
        <v>43285.769675925927</v>
      </c>
      <c r="L3955" s="92">
        <f>IF(AND(单词表[[#This Row],[学英]]&lt;&gt;"",单词表[[#This Row],[学中]]&lt;&gt;"",单词表[[#This Row],[学词]]&lt;&gt;""),MAX(单词表[[#This Row],[学英]:[学词]]),"")</f>
        <v>43285.749837962961</v>
      </c>
      <c r="M3955" s="2" t="str">
        <f>IF(AND(单词表[[#This Row],[考英]]&lt;&gt;"",单词表[[#This Row],[考中]]&lt;&gt;""),MAX(单词表[[#This Row],[考英]:[考中]]),"")</f>
        <v/>
      </c>
      <c r="N3955" s="86"/>
    </row>
    <row r="3956" spans="1:14" hidden="1" x14ac:dyDescent="0.15">
      <c r="A3956">
        <v>3956</v>
      </c>
      <c r="B3956" t="s">
        <v>7363</v>
      </c>
      <c r="C3956" t="s">
        <v>7365</v>
      </c>
      <c r="D3956" s="78" t="s">
        <v>7052</v>
      </c>
      <c r="E3956" t="s">
        <v>7056</v>
      </c>
      <c r="F3956" t="s">
        <v>7076</v>
      </c>
      <c r="G3956" s="92">
        <v>43285.452881944446</v>
      </c>
      <c r="H3956" s="92">
        <v>43285.452881944446</v>
      </c>
      <c r="I3956" s="92">
        <v>43285.452881944446</v>
      </c>
      <c r="J3956" s="92"/>
      <c r="K3956" s="92">
        <v>43285.76971064815</v>
      </c>
      <c r="L3956" s="92">
        <f>IF(AND(单词表[[#This Row],[学英]]&lt;&gt;"",单词表[[#This Row],[学中]]&lt;&gt;"",单词表[[#This Row],[学词]]&lt;&gt;""),MAX(单词表[[#This Row],[学英]:[学词]]),"")</f>
        <v>43285.452881944446</v>
      </c>
      <c r="M3956" s="2" t="str">
        <f>IF(AND(单词表[[#This Row],[考英]]&lt;&gt;"",单词表[[#This Row],[考中]]&lt;&gt;""),MAX(单词表[[#This Row],[考英]:[考中]]),"")</f>
        <v/>
      </c>
      <c r="N3956" s="86"/>
    </row>
    <row r="3957" spans="1:14" hidden="1" x14ac:dyDescent="0.15">
      <c r="A3957">
        <v>3957</v>
      </c>
      <c r="B3957" t="s">
        <v>7363</v>
      </c>
      <c r="C3957" t="s">
        <v>7365</v>
      </c>
      <c r="D3957" s="78" t="s">
        <v>7057</v>
      </c>
      <c r="E3957" t="s">
        <v>7054</v>
      </c>
      <c r="F3957" t="s">
        <v>7077</v>
      </c>
      <c r="G3957" s="92">
        <v>43285.452847222223</v>
      </c>
      <c r="H3957" s="92">
        <v>43285.753877314812</v>
      </c>
      <c r="I3957" s="92">
        <v>43285.753877314812</v>
      </c>
      <c r="J3957" s="92"/>
      <c r="K3957" s="92">
        <v>43285.769768518519</v>
      </c>
      <c r="L3957" s="92">
        <f>IF(AND(单词表[[#This Row],[学英]]&lt;&gt;"",单词表[[#This Row],[学中]]&lt;&gt;"",单词表[[#This Row],[学词]]&lt;&gt;""),MAX(单词表[[#This Row],[学英]:[学词]]),"")</f>
        <v>43285.753877314812</v>
      </c>
      <c r="M3957" s="2" t="str">
        <f>IF(AND(单词表[[#This Row],[考英]]&lt;&gt;"",单词表[[#This Row],[考中]]&lt;&gt;""),MAX(单词表[[#This Row],[考英]:[考中]]),"")</f>
        <v/>
      </c>
      <c r="N3957" s="86"/>
    </row>
    <row r="3958" spans="1:14" hidden="1" x14ac:dyDescent="0.15">
      <c r="A3958">
        <v>3958</v>
      </c>
      <c r="B3958" t="s">
        <v>7363</v>
      </c>
      <c r="C3958" t="s">
        <v>7365</v>
      </c>
      <c r="D3958" s="78" t="s">
        <v>7053</v>
      </c>
      <c r="E3958" t="s">
        <v>7054</v>
      </c>
      <c r="F3958" t="s">
        <v>7078</v>
      </c>
      <c r="G3958" s="92">
        <v>43284.571701388886</v>
      </c>
      <c r="H3958" s="92">
        <v>43284.571701388886</v>
      </c>
      <c r="I3958" s="92">
        <v>43284.571701388886</v>
      </c>
      <c r="J3958" s="92"/>
      <c r="K3958" s="92">
        <v>43285.769803240742</v>
      </c>
      <c r="L3958" s="92">
        <f>IF(AND(单词表[[#This Row],[学英]]&lt;&gt;"",单词表[[#This Row],[学中]]&lt;&gt;"",单词表[[#This Row],[学词]]&lt;&gt;""),MAX(单词表[[#This Row],[学英]:[学词]]),"")</f>
        <v>43284.571701388886</v>
      </c>
      <c r="M3958" s="2" t="str">
        <f>IF(AND(单词表[[#This Row],[考英]]&lt;&gt;"",单词表[[#This Row],[考中]]&lt;&gt;""),MAX(单词表[[#This Row],[考英]:[考中]]),"")</f>
        <v/>
      </c>
      <c r="N3958" s="86"/>
    </row>
    <row r="3959" spans="1:14" hidden="1" x14ac:dyDescent="0.15">
      <c r="A3959">
        <v>3959</v>
      </c>
      <c r="B3959" t="s">
        <v>7363</v>
      </c>
      <c r="C3959" t="s">
        <v>7365</v>
      </c>
      <c r="D3959" s="78" t="s">
        <v>7079</v>
      </c>
      <c r="E3959" t="s">
        <v>7095</v>
      </c>
      <c r="F3959" t="s">
        <v>7099</v>
      </c>
      <c r="G3959" s="92">
        <v>43285.451412037037</v>
      </c>
      <c r="H3959" s="92">
        <v>43285.451412037037</v>
      </c>
      <c r="I3959" s="92">
        <v>43285.451412037037</v>
      </c>
      <c r="J3959" s="92"/>
      <c r="K3959" s="92">
        <v>43285.769837962966</v>
      </c>
      <c r="L3959" s="92">
        <f>IF(AND(单词表[[#This Row],[学英]]&lt;&gt;"",单词表[[#This Row],[学中]]&lt;&gt;"",单词表[[#This Row],[学词]]&lt;&gt;""),MAX(单词表[[#This Row],[学英]:[学词]]),"")</f>
        <v>43285.451412037037</v>
      </c>
      <c r="M3959" s="2" t="str">
        <f>IF(AND(单词表[[#This Row],[考英]]&lt;&gt;"",单词表[[#This Row],[考中]]&lt;&gt;""),MAX(单词表[[#This Row],[考英]:[考中]]),"")</f>
        <v/>
      </c>
      <c r="N3959" s="86"/>
    </row>
    <row r="3960" spans="1:14" hidden="1" x14ac:dyDescent="0.15">
      <c r="A3960">
        <v>3960</v>
      </c>
      <c r="B3960" t="s">
        <v>7363</v>
      </c>
      <c r="C3960" t="s">
        <v>7365</v>
      </c>
      <c r="D3960" s="78" t="s">
        <v>7080</v>
      </c>
      <c r="E3960" t="s">
        <v>7096</v>
      </c>
      <c r="F3960" t="s">
        <v>7100</v>
      </c>
      <c r="G3960" s="92">
        <v>43285.451284722221</v>
      </c>
      <c r="H3960" s="92">
        <v>43285.451284722221</v>
      </c>
      <c r="I3960" s="92">
        <v>43285.451284722221</v>
      </c>
      <c r="J3960" s="92"/>
      <c r="K3960" s="92">
        <v>43285.769872685189</v>
      </c>
      <c r="L3960" s="92">
        <f>IF(AND(单词表[[#This Row],[学英]]&lt;&gt;"",单词表[[#This Row],[学中]]&lt;&gt;"",单词表[[#This Row],[学词]]&lt;&gt;""),MAX(单词表[[#This Row],[学英]:[学词]]),"")</f>
        <v>43285.451284722221</v>
      </c>
      <c r="M3960" s="2" t="str">
        <f>IF(AND(单词表[[#This Row],[考英]]&lt;&gt;"",单词表[[#This Row],[考中]]&lt;&gt;""),MAX(单词表[[#This Row],[考英]:[考中]]),"")</f>
        <v/>
      </c>
      <c r="N3960" s="86"/>
    </row>
    <row r="3961" spans="1:14" hidden="1" x14ac:dyDescent="0.15">
      <c r="A3961">
        <v>3961</v>
      </c>
      <c r="B3961" t="s">
        <v>7363</v>
      </c>
      <c r="C3961" t="s">
        <v>7365</v>
      </c>
      <c r="D3961" s="78" t="s">
        <v>7081</v>
      </c>
      <c r="E3961" t="s">
        <v>7097</v>
      </c>
      <c r="F3961" t="s">
        <v>7101</v>
      </c>
      <c r="G3961" s="92">
        <v>43284.571944444448</v>
      </c>
      <c r="H3961" s="92">
        <v>43285.750173611108</v>
      </c>
      <c r="I3961" s="92">
        <v>43285.750173611108</v>
      </c>
      <c r="J3961" s="92"/>
      <c r="K3961" s="92">
        <v>43285.769907407404</v>
      </c>
      <c r="L3961" s="92">
        <f>IF(AND(单词表[[#This Row],[学英]]&lt;&gt;"",单词表[[#This Row],[学中]]&lt;&gt;"",单词表[[#This Row],[学词]]&lt;&gt;""),MAX(单词表[[#This Row],[学英]:[学词]]),"")</f>
        <v>43285.750173611108</v>
      </c>
      <c r="M3961" s="2" t="str">
        <f>IF(AND(单词表[[#This Row],[考英]]&lt;&gt;"",单词表[[#This Row],[考中]]&lt;&gt;""),MAX(单词表[[#This Row],[考英]:[考中]]),"")</f>
        <v/>
      </c>
      <c r="N3961" s="86"/>
    </row>
    <row r="3962" spans="1:14" hidden="1" x14ac:dyDescent="0.15">
      <c r="A3962">
        <v>3962</v>
      </c>
      <c r="B3962" t="s">
        <v>7363</v>
      </c>
      <c r="C3962" t="s">
        <v>7365</v>
      </c>
      <c r="D3962" s="78" t="s">
        <v>7082</v>
      </c>
      <c r="E3962" t="s">
        <v>7098</v>
      </c>
      <c r="F3962" t="s">
        <v>7102</v>
      </c>
      <c r="G3962" s="92">
        <v>43285.451192129629</v>
      </c>
      <c r="H3962" s="92">
        <v>43285.451192129629</v>
      </c>
      <c r="I3962" s="92">
        <v>43285.451192129629</v>
      </c>
      <c r="J3962" s="92"/>
      <c r="K3962" s="92">
        <v>43285.77</v>
      </c>
      <c r="L3962" s="92">
        <f>IF(AND(单词表[[#This Row],[学英]]&lt;&gt;"",单词表[[#This Row],[学中]]&lt;&gt;"",单词表[[#This Row],[学词]]&lt;&gt;""),MAX(单词表[[#This Row],[学英]:[学词]]),"")</f>
        <v>43285.451192129629</v>
      </c>
      <c r="M3962" s="2" t="str">
        <f>IF(AND(单词表[[#This Row],[考英]]&lt;&gt;"",单词表[[#This Row],[考中]]&lt;&gt;""),MAX(单词表[[#This Row],[考英]:[考中]]),"")</f>
        <v/>
      </c>
      <c r="N3962" s="86"/>
    </row>
    <row r="3963" spans="1:14" hidden="1" x14ac:dyDescent="0.15">
      <c r="A3963">
        <v>3963</v>
      </c>
      <c r="B3963" t="s">
        <v>7363</v>
      </c>
      <c r="C3963" t="s">
        <v>7365</v>
      </c>
      <c r="D3963" s="78" t="s">
        <v>7082</v>
      </c>
      <c r="E3963" t="s">
        <v>7096</v>
      </c>
      <c r="F3963" t="s">
        <v>7103</v>
      </c>
      <c r="G3963" s="92">
        <v>43285.451157407406</v>
      </c>
      <c r="H3963" s="92">
        <v>43285.451157407406</v>
      </c>
      <c r="I3963" s="92">
        <v>43285.451168981483</v>
      </c>
      <c r="J3963" s="92"/>
      <c r="K3963" s="92">
        <v>43285.770046296297</v>
      </c>
      <c r="L3963" s="92">
        <f>IF(AND(单词表[[#This Row],[学英]]&lt;&gt;"",单词表[[#This Row],[学中]]&lt;&gt;"",单词表[[#This Row],[学词]]&lt;&gt;""),MAX(单词表[[#This Row],[学英]:[学词]]),"")</f>
        <v>43285.451168981483</v>
      </c>
      <c r="M3963" s="2" t="str">
        <f>IF(AND(单词表[[#This Row],[考英]]&lt;&gt;"",单词表[[#This Row],[考中]]&lt;&gt;""),MAX(单词表[[#This Row],[考英]:[考中]]),"")</f>
        <v/>
      </c>
      <c r="N3963" s="86"/>
    </row>
    <row r="3964" spans="1:14" hidden="1" x14ac:dyDescent="0.15">
      <c r="A3964">
        <v>3964</v>
      </c>
      <c r="B3964" t="s">
        <v>7363</v>
      </c>
      <c r="C3964" t="s">
        <v>7365</v>
      </c>
      <c r="D3964" s="78" t="s">
        <v>7083</v>
      </c>
      <c r="E3964" t="s">
        <v>7098</v>
      </c>
      <c r="F3964" t="s">
        <v>7104</v>
      </c>
      <c r="G3964" s="92">
        <v>43284.572106481479</v>
      </c>
      <c r="H3964" s="92">
        <v>43284.572106481479</v>
      </c>
      <c r="I3964" s="92">
        <v>43284.572106481479</v>
      </c>
      <c r="J3964" s="92"/>
      <c r="K3964" s="92">
        <v>43285.77008101852</v>
      </c>
      <c r="L3964" s="92">
        <f>IF(AND(单词表[[#This Row],[学英]]&lt;&gt;"",单词表[[#This Row],[学中]]&lt;&gt;"",单词表[[#This Row],[学词]]&lt;&gt;""),MAX(单词表[[#This Row],[学英]:[学词]]),"")</f>
        <v>43284.572106481479</v>
      </c>
      <c r="M3964" s="2" t="str">
        <f>IF(AND(单词表[[#This Row],[考英]]&lt;&gt;"",单词表[[#This Row],[考中]]&lt;&gt;""),MAX(单词表[[#This Row],[考英]:[考中]]),"")</f>
        <v/>
      </c>
      <c r="N3964" s="86"/>
    </row>
    <row r="3965" spans="1:14" hidden="1" x14ac:dyDescent="0.15">
      <c r="A3965">
        <v>3965</v>
      </c>
      <c r="B3965" t="s">
        <v>7363</v>
      </c>
      <c r="C3965" t="s">
        <v>7365</v>
      </c>
      <c r="D3965" s="78" t="s">
        <v>7084</v>
      </c>
      <c r="E3965" t="s">
        <v>7096</v>
      </c>
      <c r="F3965" t="s">
        <v>7105</v>
      </c>
      <c r="G3965" s="92">
        <v>43284.572199074071</v>
      </c>
      <c r="H3965" s="92">
        <v>43284.572199074071</v>
      </c>
      <c r="I3965" s="92">
        <v>43284.572199074071</v>
      </c>
      <c r="J3965" s="92"/>
      <c r="K3965" s="92">
        <v>43285.770115740743</v>
      </c>
      <c r="L3965" s="92">
        <f>IF(AND(单词表[[#This Row],[学英]]&lt;&gt;"",单词表[[#This Row],[学中]]&lt;&gt;"",单词表[[#This Row],[学词]]&lt;&gt;""),MAX(单词表[[#This Row],[学英]:[学词]]),"")</f>
        <v>43284.572199074071</v>
      </c>
      <c r="M3965" s="2" t="str">
        <f>IF(AND(单词表[[#This Row],[考英]]&lt;&gt;"",单词表[[#This Row],[考中]]&lt;&gt;""),MAX(单词表[[#This Row],[考英]:[考中]]),"")</f>
        <v/>
      </c>
      <c r="N3965" s="86"/>
    </row>
    <row r="3966" spans="1:14" hidden="1" x14ac:dyDescent="0.15">
      <c r="A3966">
        <v>3966</v>
      </c>
      <c r="B3966" t="s">
        <v>7363</v>
      </c>
      <c r="C3966" t="s">
        <v>7365</v>
      </c>
      <c r="D3966" s="78" t="s">
        <v>7375</v>
      </c>
      <c r="E3966" t="s">
        <v>7098</v>
      </c>
      <c r="F3966" t="s">
        <v>7106</v>
      </c>
      <c r="G3966" s="92">
        <v>43285.451122685183</v>
      </c>
      <c r="H3966" s="92">
        <v>43285.451122685183</v>
      </c>
      <c r="I3966" s="92">
        <v>43285.451122685183</v>
      </c>
      <c r="J3966" s="92"/>
      <c r="K3966" s="92">
        <v>43285.770162037035</v>
      </c>
      <c r="L3966" s="92">
        <f>IF(AND(单词表[[#This Row],[学英]]&lt;&gt;"",单词表[[#This Row],[学中]]&lt;&gt;"",单词表[[#This Row],[学词]]&lt;&gt;""),MAX(单词表[[#This Row],[学英]:[学词]]),"")</f>
        <v>43285.451122685183</v>
      </c>
      <c r="M3966" s="2" t="str">
        <f>IF(AND(单词表[[#This Row],[考英]]&lt;&gt;"",单词表[[#This Row],[考中]]&lt;&gt;""),MAX(单词表[[#This Row],[考英]:[考中]]),"")</f>
        <v/>
      </c>
      <c r="N3966" s="86"/>
    </row>
    <row r="3967" spans="1:14" hidden="1" x14ac:dyDescent="0.15">
      <c r="A3967">
        <v>3967</v>
      </c>
      <c r="B3967" t="s">
        <v>7363</v>
      </c>
      <c r="C3967" t="s">
        <v>7366</v>
      </c>
      <c r="D3967" s="78" t="s">
        <v>7377</v>
      </c>
      <c r="E3967" t="s">
        <v>7096</v>
      </c>
      <c r="F3967" t="s">
        <v>7107</v>
      </c>
      <c r="G3967" s="92">
        <v>43285.772233796299</v>
      </c>
      <c r="H3967" s="92">
        <v>43285.772233796299</v>
      </c>
      <c r="I3967" s="92">
        <v>43285.772233796299</v>
      </c>
      <c r="J3967" s="92"/>
      <c r="K3967" s="92">
        <v>43285.839560185188</v>
      </c>
      <c r="L3967" s="92">
        <f>IF(AND(单词表[[#This Row],[学英]]&lt;&gt;"",单词表[[#This Row],[学中]]&lt;&gt;"",单词表[[#This Row],[学词]]&lt;&gt;""),MAX(单词表[[#This Row],[学英]:[学词]]),"")</f>
        <v>43285.772233796299</v>
      </c>
      <c r="M3967" s="2" t="str">
        <f>IF(AND(单词表[[#This Row],[考英]]&lt;&gt;"",单词表[[#This Row],[考中]]&lt;&gt;""),MAX(单词表[[#This Row],[考英]:[考中]]),"")</f>
        <v/>
      </c>
      <c r="N3967" s="86"/>
    </row>
    <row r="3968" spans="1:14" x14ac:dyDescent="0.15">
      <c r="A3968">
        <v>3968</v>
      </c>
      <c r="B3968" t="s">
        <v>7363</v>
      </c>
      <c r="C3968" t="s">
        <v>7366</v>
      </c>
      <c r="D3968" s="78" t="s">
        <v>7085</v>
      </c>
      <c r="E3968" t="s">
        <v>7098</v>
      </c>
      <c r="F3968" t="s">
        <v>7108</v>
      </c>
      <c r="G3968" s="92">
        <v>43285.772361111114</v>
      </c>
      <c r="H3968" s="92">
        <v>43285.852511574078</v>
      </c>
      <c r="I3968" s="92">
        <v>43285.852511574078</v>
      </c>
      <c r="J3968" s="92"/>
      <c r="K3968" s="92">
        <v>43285.85260416667</v>
      </c>
      <c r="L3968" s="92">
        <f>IF(AND(单词表[[#This Row],[学英]]&lt;&gt;"",单词表[[#This Row],[学中]]&lt;&gt;"",单词表[[#This Row],[学词]]&lt;&gt;""),MAX(单词表[[#This Row],[学英]:[学词]]),"")</f>
        <v>43285.852511574078</v>
      </c>
      <c r="M3968" s="2" t="str">
        <f>IF(AND(单词表[[#This Row],[考英]]&lt;&gt;"",单词表[[#This Row],[考中]]&lt;&gt;""),MAX(单词表[[#This Row],[考英]:[考中]]),"")</f>
        <v/>
      </c>
      <c r="N3968" s="86"/>
    </row>
    <row r="3969" spans="1:14" hidden="1" x14ac:dyDescent="0.15">
      <c r="A3969">
        <v>3969</v>
      </c>
      <c r="B3969" t="s">
        <v>7363</v>
      </c>
      <c r="C3969" t="s">
        <v>7366</v>
      </c>
      <c r="D3969" s="78" t="s">
        <v>7086</v>
      </c>
      <c r="E3969" t="s">
        <v>7096</v>
      </c>
      <c r="F3969" t="s">
        <v>7109</v>
      </c>
      <c r="G3969" s="92">
        <v>43285.777766203704</v>
      </c>
      <c r="H3969" s="92">
        <v>43285.777766203704</v>
      </c>
      <c r="I3969" s="92">
        <v>43285.777766203704</v>
      </c>
      <c r="J3969" s="92"/>
      <c r="K3969" s="92">
        <v>43285.839675925927</v>
      </c>
      <c r="L3969" s="92">
        <f>IF(AND(单词表[[#This Row],[学英]]&lt;&gt;"",单词表[[#This Row],[学中]]&lt;&gt;"",单词表[[#This Row],[学词]]&lt;&gt;""),MAX(单词表[[#This Row],[学英]:[学词]]),"")</f>
        <v>43285.777766203704</v>
      </c>
      <c r="M3969" s="2" t="str">
        <f>IF(AND(单词表[[#This Row],[考英]]&lt;&gt;"",单词表[[#This Row],[考中]]&lt;&gt;""),MAX(单词表[[#This Row],[考英]:[考中]]),"")</f>
        <v/>
      </c>
      <c r="N3969" s="86"/>
    </row>
    <row r="3970" spans="1:14" hidden="1" x14ac:dyDescent="0.15">
      <c r="A3970">
        <v>3970</v>
      </c>
      <c r="B3970" t="s">
        <v>7363</v>
      </c>
      <c r="C3970" t="s">
        <v>7366</v>
      </c>
      <c r="D3970" s="78" t="s">
        <v>7087</v>
      </c>
      <c r="E3970" t="s">
        <v>7098</v>
      </c>
      <c r="F3970" t="s">
        <v>7110</v>
      </c>
      <c r="G3970" s="92">
        <v>43285.77952546296</v>
      </c>
      <c r="H3970" s="92">
        <v>43285.77952546296</v>
      </c>
      <c r="I3970" s="92">
        <v>43285.77952546296</v>
      </c>
      <c r="J3970" s="92"/>
      <c r="K3970" s="92">
        <v>43285.83971064815</v>
      </c>
      <c r="L3970" s="92">
        <f>IF(AND(单词表[[#This Row],[学英]]&lt;&gt;"",单词表[[#This Row],[学中]]&lt;&gt;"",单词表[[#This Row],[学词]]&lt;&gt;""),MAX(单词表[[#This Row],[学英]:[学词]]),"")</f>
        <v>43285.77952546296</v>
      </c>
      <c r="M3970" s="2" t="str">
        <f>IF(AND(单词表[[#This Row],[考英]]&lt;&gt;"",单词表[[#This Row],[考中]]&lt;&gt;""),MAX(单词表[[#This Row],[考英]:[考中]]),"")</f>
        <v/>
      </c>
      <c r="N3970" s="86"/>
    </row>
    <row r="3971" spans="1:14" hidden="1" x14ac:dyDescent="0.15">
      <c r="A3971">
        <v>3971</v>
      </c>
      <c r="B3971" t="s">
        <v>7363</v>
      </c>
      <c r="C3971" t="s">
        <v>7366</v>
      </c>
      <c r="D3971" s="78" t="s">
        <v>7088</v>
      </c>
      <c r="E3971" t="s">
        <v>7096</v>
      </c>
      <c r="F3971" t="s">
        <v>7111</v>
      </c>
      <c r="G3971" s="92">
        <v>43285.779594907406</v>
      </c>
      <c r="H3971" s="92">
        <v>43285.844629629632</v>
      </c>
      <c r="I3971" s="92">
        <v>43285.844629629632</v>
      </c>
      <c r="J3971" s="92"/>
      <c r="K3971" s="92">
        <v>43285.851979166669</v>
      </c>
      <c r="L3971" s="92">
        <f>IF(AND(单词表[[#This Row],[学英]]&lt;&gt;"",单词表[[#This Row],[学中]]&lt;&gt;"",单词表[[#This Row],[学词]]&lt;&gt;""),MAX(单词表[[#This Row],[学英]:[学词]]),"")</f>
        <v>43285.844629629632</v>
      </c>
      <c r="M3971" s="2" t="str">
        <f>IF(AND(单词表[[#This Row],[考英]]&lt;&gt;"",单词表[[#This Row],[考中]]&lt;&gt;""),MAX(单词表[[#This Row],[考英]:[考中]]),"")</f>
        <v/>
      </c>
      <c r="N3971" s="86"/>
    </row>
    <row r="3972" spans="1:14" hidden="1" x14ac:dyDescent="0.15">
      <c r="A3972">
        <v>3972</v>
      </c>
      <c r="B3972" t="s">
        <v>7363</v>
      </c>
      <c r="C3972" t="s">
        <v>7366</v>
      </c>
      <c r="D3972" s="78" t="s">
        <v>7089</v>
      </c>
      <c r="E3972" t="s">
        <v>7096</v>
      </c>
      <c r="F3972" t="s">
        <v>7112</v>
      </c>
      <c r="G3972" s="92">
        <v>43285.782939814817</v>
      </c>
      <c r="H3972" s="92">
        <v>43285.782939814817</v>
      </c>
      <c r="I3972" s="92">
        <v>43285.782939814817</v>
      </c>
      <c r="J3972" s="92"/>
      <c r="K3972" s="92">
        <v>43285.839837962965</v>
      </c>
      <c r="L3972" s="92">
        <f>IF(AND(单词表[[#This Row],[学英]]&lt;&gt;"",单词表[[#This Row],[学中]]&lt;&gt;"",单词表[[#This Row],[学词]]&lt;&gt;""),MAX(单词表[[#This Row],[学英]:[学词]]),"")</f>
        <v>43285.782939814817</v>
      </c>
      <c r="M3972" s="2" t="str">
        <f>IF(AND(单词表[[#This Row],[考英]]&lt;&gt;"",单词表[[#This Row],[考中]]&lt;&gt;""),MAX(单词表[[#This Row],[考英]:[考中]]),"")</f>
        <v/>
      </c>
      <c r="N3972" s="86"/>
    </row>
    <row r="3973" spans="1:14" hidden="1" x14ac:dyDescent="0.15">
      <c r="A3973">
        <v>3973</v>
      </c>
      <c r="B3973" t="s">
        <v>7363</v>
      </c>
      <c r="C3973" t="s">
        <v>7366</v>
      </c>
      <c r="D3973" s="78" t="s">
        <v>7090</v>
      </c>
      <c r="E3973" t="s">
        <v>7096</v>
      </c>
      <c r="F3973" t="s">
        <v>7113</v>
      </c>
      <c r="G3973" s="92">
        <v>43285.785555555558</v>
      </c>
      <c r="H3973" s="92">
        <v>43285.785555555558</v>
      </c>
      <c r="I3973" s="92">
        <v>43285.785555555558</v>
      </c>
      <c r="J3973" s="92"/>
      <c r="K3973" s="92">
        <v>43285.839884259258</v>
      </c>
      <c r="L3973" s="92">
        <f>IF(AND(单词表[[#This Row],[学英]]&lt;&gt;"",单词表[[#This Row],[学中]]&lt;&gt;"",单词表[[#This Row],[学词]]&lt;&gt;""),MAX(单词表[[#This Row],[学英]:[学词]]),"")</f>
        <v>43285.785555555558</v>
      </c>
      <c r="M3973" s="2" t="str">
        <f>IF(AND(单词表[[#This Row],[考英]]&lt;&gt;"",单词表[[#This Row],[考中]]&lt;&gt;""),MAX(单词表[[#This Row],[考英]:[考中]]),"")</f>
        <v/>
      </c>
      <c r="N3973" s="86"/>
    </row>
    <row r="3974" spans="1:14" hidden="1" x14ac:dyDescent="0.15">
      <c r="A3974">
        <v>3974</v>
      </c>
      <c r="B3974" t="s">
        <v>7363</v>
      </c>
      <c r="C3974" t="s">
        <v>7366</v>
      </c>
      <c r="D3974" s="78" t="s">
        <v>7090</v>
      </c>
      <c r="E3974" t="s">
        <v>7097</v>
      </c>
      <c r="F3974" t="s">
        <v>7114</v>
      </c>
      <c r="G3974" s="92">
        <v>43285.786041666666</v>
      </c>
      <c r="H3974" s="92">
        <v>43285.786041666666</v>
      </c>
      <c r="I3974" s="92">
        <v>43285.786041666666</v>
      </c>
      <c r="J3974" s="92"/>
      <c r="K3974" s="92">
        <v>43285.839918981481</v>
      </c>
      <c r="L3974" s="92">
        <f>IF(AND(单词表[[#This Row],[学英]]&lt;&gt;"",单词表[[#This Row],[学中]]&lt;&gt;"",单词表[[#This Row],[学词]]&lt;&gt;""),MAX(单词表[[#This Row],[学英]:[学词]]),"")</f>
        <v>43285.786041666666</v>
      </c>
      <c r="M3974" s="2" t="str">
        <f>IF(AND(单词表[[#This Row],[考英]]&lt;&gt;"",单词表[[#This Row],[考中]]&lt;&gt;""),MAX(单词表[[#This Row],[考英]:[考中]]),"")</f>
        <v/>
      </c>
      <c r="N3974" s="86"/>
    </row>
    <row r="3975" spans="1:14" hidden="1" x14ac:dyDescent="0.15">
      <c r="A3975">
        <v>3975</v>
      </c>
      <c r="B3975" t="s">
        <v>7363</v>
      </c>
      <c r="C3975" t="s">
        <v>7366</v>
      </c>
      <c r="D3975" s="78" t="s">
        <v>7091</v>
      </c>
      <c r="E3975" t="s">
        <v>7096</v>
      </c>
      <c r="F3975" t="s">
        <v>7115</v>
      </c>
      <c r="G3975" s="92">
        <v>43285.786990740744</v>
      </c>
      <c r="H3975" s="92">
        <v>43285.786990740744</v>
      </c>
      <c r="I3975" s="92">
        <v>43285.786990740744</v>
      </c>
      <c r="J3975" s="92"/>
      <c r="K3975" s="92">
        <v>43285.839953703704</v>
      </c>
      <c r="L3975" s="92">
        <f>IF(AND(单词表[[#This Row],[学英]]&lt;&gt;"",单词表[[#This Row],[学中]]&lt;&gt;"",单词表[[#This Row],[学词]]&lt;&gt;""),MAX(单词表[[#This Row],[学英]:[学词]]),"")</f>
        <v>43285.786990740744</v>
      </c>
      <c r="M3975" s="2" t="str">
        <f>IF(AND(单词表[[#This Row],[考英]]&lt;&gt;"",单词表[[#This Row],[考中]]&lt;&gt;""),MAX(单词表[[#This Row],[考英]:[考中]]),"")</f>
        <v/>
      </c>
      <c r="N3975" s="86"/>
    </row>
    <row r="3976" spans="1:14" hidden="1" x14ac:dyDescent="0.15">
      <c r="A3976">
        <v>3976</v>
      </c>
      <c r="B3976" t="s">
        <v>7363</v>
      </c>
      <c r="C3976" t="s">
        <v>7366</v>
      </c>
      <c r="D3976" s="78" t="s">
        <v>7092</v>
      </c>
      <c r="E3976" t="s">
        <v>7098</v>
      </c>
      <c r="F3976" t="s">
        <v>7116</v>
      </c>
      <c r="G3976" s="92">
        <v>43285.788391203707</v>
      </c>
      <c r="H3976" s="92">
        <v>43285.788391203707</v>
      </c>
      <c r="I3976" s="92">
        <v>43285.788391203707</v>
      </c>
      <c r="J3976" s="92"/>
      <c r="K3976" s="92">
        <v>43285.84</v>
      </c>
      <c r="L3976" s="92">
        <f>IF(AND(单词表[[#This Row],[学英]]&lt;&gt;"",单词表[[#This Row],[学中]]&lt;&gt;"",单词表[[#This Row],[学词]]&lt;&gt;""),MAX(单词表[[#This Row],[学英]:[学词]]),"")</f>
        <v>43285.788391203707</v>
      </c>
      <c r="M3976" s="2" t="str">
        <f>IF(AND(单词表[[#This Row],[考英]]&lt;&gt;"",单词表[[#This Row],[考中]]&lt;&gt;""),MAX(单词表[[#This Row],[考英]:[考中]]),"")</f>
        <v/>
      </c>
      <c r="N3976" s="86"/>
    </row>
    <row r="3977" spans="1:14" hidden="1" x14ac:dyDescent="0.15">
      <c r="A3977">
        <v>3977</v>
      </c>
      <c r="B3977" t="s">
        <v>7363</v>
      </c>
      <c r="C3977" t="s">
        <v>7366</v>
      </c>
      <c r="D3977" s="78" t="s">
        <v>7093</v>
      </c>
      <c r="E3977" t="s">
        <v>7098</v>
      </c>
      <c r="F3977" t="s">
        <v>7117</v>
      </c>
      <c r="G3977" s="92">
        <v>43285.788599537038</v>
      </c>
      <c r="H3977" s="92">
        <v>43285.788599537038</v>
      </c>
      <c r="I3977" s="92">
        <v>43285.788599537038</v>
      </c>
      <c r="J3977" s="92"/>
      <c r="K3977" s="92">
        <v>43285.840092592596</v>
      </c>
      <c r="L3977" s="92">
        <f>IF(AND(单词表[[#This Row],[学英]]&lt;&gt;"",单词表[[#This Row],[学中]]&lt;&gt;"",单词表[[#This Row],[学词]]&lt;&gt;""),MAX(单词表[[#This Row],[学英]:[学词]]),"")</f>
        <v>43285.788599537038</v>
      </c>
      <c r="M3977" s="2" t="str">
        <f>IF(AND(单词表[[#This Row],[考英]]&lt;&gt;"",单词表[[#This Row],[考中]]&lt;&gt;""),MAX(单词表[[#This Row],[考英]:[考中]]),"")</f>
        <v/>
      </c>
      <c r="N3977" s="86"/>
    </row>
    <row r="3978" spans="1:14" hidden="1" x14ac:dyDescent="0.15">
      <c r="A3978">
        <v>3978</v>
      </c>
      <c r="B3978" t="s">
        <v>7363</v>
      </c>
      <c r="C3978" t="s">
        <v>7366</v>
      </c>
      <c r="D3978" s="78" t="s">
        <v>7094</v>
      </c>
      <c r="E3978" t="s">
        <v>7096</v>
      </c>
      <c r="F3978" t="s">
        <v>7118</v>
      </c>
      <c r="G3978" s="92">
        <v>43285.775127314817</v>
      </c>
      <c r="H3978" s="92">
        <v>43285.775127314817</v>
      </c>
      <c r="I3978" s="92">
        <v>43285.775127314817</v>
      </c>
      <c r="J3978" s="92"/>
      <c r="K3978" s="92">
        <v>43285.840127314812</v>
      </c>
      <c r="L3978" s="92">
        <f>IF(AND(单词表[[#This Row],[学英]]&lt;&gt;"",单词表[[#This Row],[学中]]&lt;&gt;"",单词表[[#This Row],[学词]]&lt;&gt;""),MAX(单词表[[#This Row],[学英]:[学词]]),"")</f>
        <v>43285.775127314817</v>
      </c>
      <c r="M3978" s="2" t="str">
        <f>IF(AND(单词表[[#This Row],[考英]]&lt;&gt;"",单词表[[#This Row],[考中]]&lt;&gt;""),MAX(单词表[[#This Row],[考英]:[考中]]),"")</f>
        <v/>
      </c>
      <c r="N3978" s="86"/>
    </row>
    <row r="3979" spans="1:14" hidden="1" x14ac:dyDescent="0.15">
      <c r="A3979">
        <v>3979</v>
      </c>
      <c r="B3979" t="s">
        <v>7363</v>
      </c>
      <c r="C3979" t="s">
        <v>7366</v>
      </c>
      <c r="D3979" s="78" t="s">
        <v>7119</v>
      </c>
      <c r="E3979" t="s">
        <v>7151</v>
      </c>
      <c r="F3979" t="s">
        <v>7163</v>
      </c>
      <c r="G3979" s="92">
        <v>43285.775034722225</v>
      </c>
      <c r="H3979" s="92">
        <v>43285.775034722225</v>
      </c>
      <c r="I3979" s="92">
        <v>43285.775034722225</v>
      </c>
      <c r="J3979" s="92"/>
      <c r="K3979" s="92">
        <v>43285.840162037035</v>
      </c>
      <c r="L3979" s="92">
        <f>IF(AND(单词表[[#This Row],[学英]]&lt;&gt;"",单词表[[#This Row],[学中]]&lt;&gt;"",单词表[[#This Row],[学词]]&lt;&gt;""),MAX(单词表[[#This Row],[学英]:[学词]]),"")</f>
        <v>43285.775034722225</v>
      </c>
      <c r="M3979" s="2" t="str">
        <f>IF(AND(单词表[[#This Row],[考英]]&lt;&gt;"",单词表[[#This Row],[考中]]&lt;&gt;""),MAX(单词表[[#This Row],[考英]:[考中]]),"")</f>
        <v/>
      </c>
      <c r="N3979" s="86"/>
    </row>
    <row r="3980" spans="1:14" hidden="1" x14ac:dyDescent="0.15">
      <c r="A3980">
        <v>3980</v>
      </c>
      <c r="B3980" t="s">
        <v>7363</v>
      </c>
      <c r="C3980" t="s">
        <v>7366</v>
      </c>
      <c r="D3980" s="78" t="s">
        <v>7120</v>
      </c>
      <c r="E3980" t="s">
        <v>7151</v>
      </c>
      <c r="F3980" t="s">
        <v>7164</v>
      </c>
      <c r="G3980" s="92">
        <v>43285.828194444446</v>
      </c>
      <c r="H3980" s="92">
        <v>43285.828194444446</v>
      </c>
      <c r="I3980" s="92">
        <v>43285.828194444446</v>
      </c>
      <c r="J3980" s="92"/>
      <c r="K3980" s="92">
        <v>43285.840208333335</v>
      </c>
      <c r="L3980" s="92">
        <f>IF(AND(单词表[[#This Row],[学英]]&lt;&gt;"",单词表[[#This Row],[学中]]&lt;&gt;"",单词表[[#This Row],[学词]]&lt;&gt;""),MAX(单词表[[#This Row],[学英]:[学词]]),"")</f>
        <v>43285.828194444446</v>
      </c>
      <c r="M3980" s="2" t="str">
        <f>IF(AND(单词表[[#This Row],[考英]]&lt;&gt;"",单词表[[#This Row],[考中]]&lt;&gt;""),MAX(单词表[[#This Row],[考英]:[考中]]),"")</f>
        <v/>
      </c>
      <c r="N3980" s="86"/>
    </row>
    <row r="3981" spans="1:14" hidden="1" x14ac:dyDescent="0.15">
      <c r="A3981">
        <v>3981</v>
      </c>
      <c r="B3981" t="s">
        <v>7363</v>
      </c>
      <c r="C3981" t="s">
        <v>7366</v>
      </c>
      <c r="D3981" s="78" t="s">
        <v>7121</v>
      </c>
      <c r="E3981" t="s">
        <v>7153</v>
      </c>
      <c r="F3981" t="s">
        <v>7165</v>
      </c>
      <c r="G3981" s="92">
        <v>43285.838634259257</v>
      </c>
      <c r="H3981" s="92">
        <v>43285.844664351855</v>
      </c>
      <c r="I3981" s="92">
        <v>43285.844664351855</v>
      </c>
      <c r="J3981" s="92"/>
      <c r="K3981" s="92">
        <v>43285.852141203701</v>
      </c>
      <c r="L3981" s="92">
        <f>IF(AND(单词表[[#This Row],[学英]]&lt;&gt;"",单词表[[#This Row],[学中]]&lt;&gt;"",单词表[[#This Row],[学词]]&lt;&gt;""),MAX(单词表[[#This Row],[学英]:[学词]]),"")</f>
        <v>43285.844664351855</v>
      </c>
      <c r="M3981" s="2" t="str">
        <f>IF(AND(单词表[[#This Row],[考英]]&lt;&gt;"",单词表[[#This Row],[考中]]&lt;&gt;""),MAX(单词表[[#This Row],[考英]:[考中]]),"")</f>
        <v/>
      </c>
      <c r="N3981" s="86"/>
    </row>
    <row r="3982" spans="1:14" hidden="1" x14ac:dyDescent="0.15">
      <c r="A3982">
        <v>3982</v>
      </c>
      <c r="B3982" t="s">
        <v>7363</v>
      </c>
      <c r="C3982" t="s">
        <v>7366</v>
      </c>
      <c r="D3982" s="78" t="s">
        <v>7122</v>
      </c>
      <c r="E3982" t="s">
        <v>7152</v>
      </c>
      <c r="F3982" t="s">
        <v>7166</v>
      </c>
      <c r="G3982" s="92">
        <v>43285.837129629632</v>
      </c>
      <c r="H3982" s="92">
        <v>43285.844687500001</v>
      </c>
      <c r="I3982" s="92">
        <v>43285.844687500001</v>
      </c>
      <c r="J3982" s="92"/>
      <c r="K3982" s="92">
        <v>43285.852187500001</v>
      </c>
      <c r="L3982" s="92">
        <f>IF(AND(单词表[[#This Row],[学英]]&lt;&gt;"",单词表[[#This Row],[学中]]&lt;&gt;"",单词表[[#This Row],[学词]]&lt;&gt;""),MAX(单词表[[#This Row],[学英]:[学词]]),"")</f>
        <v>43285.844687500001</v>
      </c>
      <c r="M3982" s="2" t="str">
        <f>IF(AND(单词表[[#This Row],[考英]]&lt;&gt;"",单词表[[#This Row],[考中]]&lt;&gt;""),MAX(单词表[[#This Row],[考英]:[考中]]),"")</f>
        <v/>
      </c>
      <c r="N3982" s="86"/>
    </row>
    <row r="3983" spans="1:14" hidden="1" x14ac:dyDescent="0.15">
      <c r="A3983">
        <v>3983</v>
      </c>
      <c r="B3983" t="s">
        <v>7363</v>
      </c>
      <c r="C3983" t="s">
        <v>7366</v>
      </c>
      <c r="D3983" s="78" t="s">
        <v>7123</v>
      </c>
      <c r="E3983" t="s">
        <v>7153</v>
      </c>
      <c r="F3983" t="s">
        <v>7167</v>
      </c>
      <c r="G3983" s="92">
        <v>43285.77484953704</v>
      </c>
      <c r="H3983" s="92">
        <v>43285.77484953704</v>
      </c>
      <c r="I3983" s="92">
        <v>43285.77484953704</v>
      </c>
      <c r="J3983" s="92"/>
      <c r="K3983" s="92">
        <v>43285.840439814812</v>
      </c>
      <c r="L3983" s="92">
        <f>IF(AND(单词表[[#This Row],[学英]]&lt;&gt;"",单词表[[#This Row],[学中]]&lt;&gt;"",单词表[[#This Row],[学词]]&lt;&gt;""),MAX(单词表[[#This Row],[学英]:[学词]]),"")</f>
        <v>43285.77484953704</v>
      </c>
      <c r="M3983" s="2" t="str">
        <f>IF(AND(单词表[[#This Row],[考英]]&lt;&gt;"",单词表[[#This Row],[考中]]&lt;&gt;""),MAX(单词表[[#This Row],[考英]:[考中]]),"")</f>
        <v/>
      </c>
      <c r="N3983" s="86"/>
    </row>
    <row r="3984" spans="1:14" hidden="1" x14ac:dyDescent="0.15">
      <c r="A3984">
        <v>3984</v>
      </c>
      <c r="B3984" t="s">
        <v>7363</v>
      </c>
      <c r="C3984" t="s">
        <v>7366</v>
      </c>
      <c r="D3984" s="78" t="s">
        <v>7124</v>
      </c>
      <c r="E3984" t="s">
        <v>7154</v>
      </c>
      <c r="F3984" t="s">
        <v>7168</v>
      </c>
      <c r="G3984" s="92">
        <v>43285.77480324074</v>
      </c>
      <c r="H3984" s="92">
        <v>43285.844710648147</v>
      </c>
      <c r="I3984" s="92">
        <v>43285.844710648147</v>
      </c>
      <c r="J3984" s="92"/>
      <c r="K3984" s="92">
        <v>43285.852222222224</v>
      </c>
      <c r="L3984" s="92">
        <f>IF(AND(单词表[[#This Row],[学英]]&lt;&gt;"",单词表[[#This Row],[学中]]&lt;&gt;"",单词表[[#This Row],[学词]]&lt;&gt;""),MAX(单词表[[#This Row],[学英]:[学词]]),"")</f>
        <v>43285.844710648147</v>
      </c>
      <c r="M3984" s="2" t="str">
        <f>IF(AND(单词表[[#This Row],[考英]]&lt;&gt;"",单词表[[#This Row],[考中]]&lt;&gt;""),MAX(单词表[[#This Row],[考英]:[考中]]),"")</f>
        <v/>
      </c>
      <c r="N3984" s="86"/>
    </row>
    <row r="3985" spans="1:14" hidden="1" x14ac:dyDescent="0.15">
      <c r="A3985">
        <v>3985</v>
      </c>
      <c r="B3985" t="s">
        <v>7363</v>
      </c>
      <c r="C3985" t="s">
        <v>7366</v>
      </c>
      <c r="D3985" s="78" t="s">
        <v>7125</v>
      </c>
      <c r="E3985" t="s">
        <v>7155</v>
      </c>
      <c r="F3985" t="s">
        <v>7169</v>
      </c>
      <c r="G3985" s="92">
        <v>43285.837094907409</v>
      </c>
      <c r="H3985" s="92">
        <v>43285.837094907409</v>
      </c>
      <c r="I3985" s="92">
        <v>43285.837094907409</v>
      </c>
      <c r="J3985" s="92"/>
      <c r="K3985" s="92">
        <v>43285.840509259258</v>
      </c>
      <c r="L3985" s="92">
        <f>IF(AND(单词表[[#This Row],[学英]]&lt;&gt;"",单词表[[#This Row],[学中]]&lt;&gt;"",单词表[[#This Row],[学词]]&lt;&gt;""),MAX(单词表[[#This Row],[学英]:[学词]]),"")</f>
        <v>43285.837094907409</v>
      </c>
      <c r="M3985" s="2" t="str">
        <f>IF(AND(单词表[[#This Row],[考英]]&lt;&gt;"",单词表[[#This Row],[考中]]&lt;&gt;""),MAX(单词表[[#This Row],[考英]:[考中]]),"")</f>
        <v/>
      </c>
      <c r="N3985" s="86"/>
    </row>
    <row r="3986" spans="1:14" hidden="1" x14ac:dyDescent="0.15">
      <c r="A3986">
        <v>3986</v>
      </c>
      <c r="B3986" t="s">
        <v>7363</v>
      </c>
      <c r="C3986" t="s">
        <v>7366</v>
      </c>
      <c r="D3986" s="78" t="s">
        <v>7126</v>
      </c>
      <c r="E3986" t="s">
        <v>7156</v>
      </c>
      <c r="F3986" t="s">
        <v>7170</v>
      </c>
      <c r="G3986" s="92">
        <v>43285.774699074071</v>
      </c>
      <c r="H3986" s="92">
        <v>43285.774699074071</v>
      </c>
      <c r="I3986" s="92">
        <v>43285.774699074071</v>
      </c>
      <c r="J3986" s="92"/>
      <c r="K3986" s="92">
        <v>43285.840567129628</v>
      </c>
      <c r="L3986" s="92">
        <f>IF(AND(单词表[[#This Row],[学英]]&lt;&gt;"",单词表[[#This Row],[学中]]&lt;&gt;"",单词表[[#This Row],[学词]]&lt;&gt;""),MAX(单词表[[#This Row],[学英]:[学词]]),"")</f>
        <v>43285.774699074071</v>
      </c>
      <c r="M3986" s="2" t="str">
        <f>IF(AND(单词表[[#This Row],[考英]]&lt;&gt;"",单词表[[#This Row],[考中]]&lt;&gt;""),MAX(单词表[[#This Row],[考英]:[考中]]),"")</f>
        <v/>
      </c>
      <c r="N3986" s="86"/>
    </row>
    <row r="3987" spans="1:14" hidden="1" x14ac:dyDescent="0.15">
      <c r="A3987">
        <v>3987</v>
      </c>
      <c r="B3987" t="s">
        <v>7363</v>
      </c>
      <c r="C3987" t="s">
        <v>7366</v>
      </c>
      <c r="D3987" s="78" t="s">
        <v>7127</v>
      </c>
      <c r="E3987" t="s">
        <v>7156</v>
      </c>
      <c r="F3987" t="s">
        <v>7171</v>
      </c>
      <c r="G3987" s="92">
        <v>43285.774652777778</v>
      </c>
      <c r="H3987" s="92">
        <v>43285.774652777778</v>
      </c>
      <c r="I3987" s="92">
        <v>43285.774652777778</v>
      </c>
      <c r="J3987" s="92"/>
      <c r="K3987" s="92">
        <v>43285.840601851851</v>
      </c>
      <c r="L3987" s="92">
        <f>IF(AND(单词表[[#This Row],[学英]]&lt;&gt;"",单词表[[#This Row],[学中]]&lt;&gt;"",单词表[[#This Row],[学词]]&lt;&gt;""),MAX(单词表[[#This Row],[学英]:[学词]]),"")</f>
        <v>43285.774652777778</v>
      </c>
      <c r="M3987" s="2" t="str">
        <f>IF(AND(单词表[[#This Row],[考英]]&lt;&gt;"",单词表[[#This Row],[考中]]&lt;&gt;""),MAX(单词表[[#This Row],[考英]:[考中]]),"")</f>
        <v/>
      </c>
      <c r="N3987" s="86"/>
    </row>
    <row r="3988" spans="1:14" hidden="1" x14ac:dyDescent="0.15">
      <c r="A3988">
        <v>3988</v>
      </c>
      <c r="B3988" t="s">
        <v>7363</v>
      </c>
      <c r="C3988" t="s">
        <v>7366</v>
      </c>
      <c r="D3988" s="78" t="s">
        <v>7128</v>
      </c>
      <c r="E3988" t="s">
        <v>7154</v>
      </c>
      <c r="F3988" t="s">
        <v>7172</v>
      </c>
      <c r="G3988" s="92">
        <v>43285.838518518518</v>
      </c>
      <c r="H3988" s="92">
        <v>43285.838530092595</v>
      </c>
      <c r="I3988" s="92">
        <v>43285.838530092595</v>
      </c>
      <c r="J3988" s="92"/>
      <c r="K3988" s="92">
        <v>43285.840636574074</v>
      </c>
      <c r="L3988" s="92">
        <f>IF(AND(单词表[[#This Row],[学英]]&lt;&gt;"",单词表[[#This Row],[学中]]&lt;&gt;"",单词表[[#This Row],[学词]]&lt;&gt;""),MAX(单词表[[#This Row],[学英]:[学词]]),"")</f>
        <v>43285.838530092595</v>
      </c>
      <c r="M3988" s="2" t="str">
        <f>IF(AND(单词表[[#This Row],[考英]]&lt;&gt;"",单词表[[#This Row],[考中]]&lt;&gt;""),MAX(单词表[[#This Row],[考英]:[考中]]),"")</f>
        <v/>
      </c>
      <c r="N3988" s="86"/>
    </row>
    <row r="3989" spans="1:14" hidden="1" x14ac:dyDescent="0.15">
      <c r="A3989">
        <v>3989</v>
      </c>
      <c r="B3989" t="s">
        <v>7363</v>
      </c>
      <c r="C3989" t="s">
        <v>7366</v>
      </c>
      <c r="D3989" s="78" t="s">
        <v>7129</v>
      </c>
      <c r="E3989" t="s">
        <v>7156</v>
      </c>
      <c r="F3989" t="s">
        <v>7173</v>
      </c>
      <c r="G3989" s="92">
        <v>43285.774560185186</v>
      </c>
      <c r="H3989" s="92">
        <v>43285.774560185186</v>
      </c>
      <c r="I3989" s="92">
        <v>43285.774560185186</v>
      </c>
      <c r="J3989" s="92"/>
      <c r="K3989" s="92">
        <v>43285.84065972222</v>
      </c>
      <c r="L3989" s="92">
        <f>IF(AND(单词表[[#This Row],[学英]]&lt;&gt;"",单词表[[#This Row],[学中]]&lt;&gt;"",单词表[[#This Row],[学词]]&lt;&gt;""),MAX(单词表[[#This Row],[学英]:[学词]]),"")</f>
        <v>43285.774560185186</v>
      </c>
      <c r="M3989" s="2" t="str">
        <f>IF(AND(单词表[[#This Row],[考英]]&lt;&gt;"",单词表[[#This Row],[考中]]&lt;&gt;""),MAX(单词表[[#This Row],[考英]:[考中]]),"")</f>
        <v/>
      </c>
      <c r="N3989" s="86"/>
    </row>
    <row r="3990" spans="1:14" hidden="1" x14ac:dyDescent="0.15">
      <c r="A3990">
        <v>3990</v>
      </c>
      <c r="B3990" t="s">
        <v>7363</v>
      </c>
      <c r="C3990" t="s">
        <v>7366</v>
      </c>
      <c r="D3990" s="78" t="s">
        <v>7130</v>
      </c>
      <c r="E3990" t="s">
        <v>7154</v>
      </c>
      <c r="F3990" t="s">
        <v>7174</v>
      </c>
      <c r="G3990" s="92">
        <v>43285.836967592593</v>
      </c>
      <c r="H3990" s="92">
        <v>43285.844733796293</v>
      </c>
      <c r="I3990" s="92">
        <v>43285.844733796293</v>
      </c>
      <c r="J3990" s="92"/>
      <c r="K3990" s="92">
        <v>43285.85224537037</v>
      </c>
      <c r="L3990" s="92">
        <f>IF(AND(单词表[[#This Row],[学英]]&lt;&gt;"",单词表[[#This Row],[学中]]&lt;&gt;"",单词表[[#This Row],[学词]]&lt;&gt;""),MAX(单词表[[#This Row],[学英]:[学词]]),"")</f>
        <v>43285.844733796293</v>
      </c>
      <c r="M3990" s="2" t="str">
        <f>IF(AND(单词表[[#This Row],[考英]]&lt;&gt;"",单词表[[#This Row],[考中]]&lt;&gt;""),MAX(单词表[[#This Row],[考英]:[考中]]),"")</f>
        <v/>
      </c>
      <c r="N3990" s="86"/>
    </row>
    <row r="3991" spans="1:14" hidden="1" x14ac:dyDescent="0.15">
      <c r="A3991">
        <v>3991</v>
      </c>
      <c r="B3991" t="s">
        <v>7363</v>
      </c>
      <c r="C3991" t="s">
        <v>7366</v>
      </c>
      <c r="D3991" s="78" t="s">
        <v>7131</v>
      </c>
      <c r="E3991" t="s">
        <v>7157</v>
      </c>
      <c r="F3991" t="s">
        <v>7175</v>
      </c>
      <c r="G3991" s="92">
        <v>43285.838587962964</v>
      </c>
      <c r="H3991" s="92">
        <v>43285.844780092593</v>
      </c>
      <c r="I3991" s="92">
        <v>43285.844780092593</v>
      </c>
      <c r="J3991" s="92"/>
      <c r="K3991" s="92">
        <v>43285.852280092593</v>
      </c>
      <c r="L3991" s="92">
        <f>IF(AND(单词表[[#This Row],[学英]]&lt;&gt;"",单词表[[#This Row],[学中]]&lt;&gt;"",单词表[[#This Row],[学词]]&lt;&gt;""),MAX(单词表[[#This Row],[学英]:[学词]]),"")</f>
        <v>43285.844780092593</v>
      </c>
      <c r="M3991" s="2" t="str">
        <f>IF(AND(单词表[[#This Row],[考英]]&lt;&gt;"",单词表[[#This Row],[考中]]&lt;&gt;""),MAX(单词表[[#This Row],[考英]:[考中]]),"")</f>
        <v/>
      </c>
      <c r="N3991" s="86"/>
    </row>
    <row r="3992" spans="1:14" hidden="1" x14ac:dyDescent="0.15">
      <c r="A3992">
        <v>3992</v>
      </c>
      <c r="B3992" t="s">
        <v>7363</v>
      </c>
      <c r="C3992" t="s">
        <v>7366</v>
      </c>
      <c r="D3992" s="78" t="s">
        <v>7132</v>
      </c>
      <c r="E3992" t="s">
        <v>7157</v>
      </c>
      <c r="F3992" t="s">
        <v>7176</v>
      </c>
      <c r="G3992" s="92">
        <v>43285.830243055556</v>
      </c>
      <c r="H3992" s="92">
        <v>43285.845034722224</v>
      </c>
      <c r="I3992" s="92">
        <v>43285.845034722224</v>
      </c>
      <c r="J3992" s="92"/>
      <c r="K3992" s="92">
        <v>43285.852326388886</v>
      </c>
      <c r="L3992" s="92">
        <f>IF(AND(单词表[[#This Row],[学英]]&lt;&gt;"",单词表[[#This Row],[学中]]&lt;&gt;"",单词表[[#This Row],[学词]]&lt;&gt;""),MAX(单词表[[#This Row],[学英]:[学词]]),"")</f>
        <v>43285.845034722224</v>
      </c>
      <c r="M3992" s="2" t="str">
        <f>IF(AND(单词表[[#This Row],[考英]]&lt;&gt;"",单词表[[#This Row],[考中]]&lt;&gt;""),MAX(单词表[[#This Row],[考英]:[考中]]),"")</f>
        <v/>
      </c>
      <c r="N3992" s="86"/>
    </row>
    <row r="3993" spans="1:14" hidden="1" x14ac:dyDescent="0.15">
      <c r="A3993">
        <v>3993</v>
      </c>
      <c r="B3993" t="s">
        <v>7363</v>
      </c>
      <c r="C3993" t="s">
        <v>7366</v>
      </c>
      <c r="D3993" s="78" t="s">
        <v>7133</v>
      </c>
      <c r="E3993" t="s">
        <v>7158</v>
      </c>
      <c r="F3993" t="s">
        <v>7177</v>
      </c>
      <c r="G3993" s="92">
        <v>43285.77275462963</v>
      </c>
      <c r="H3993" s="92">
        <v>43285.845069444447</v>
      </c>
      <c r="I3993" s="92">
        <v>43285.845069444447</v>
      </c>
      <c r="J3993" s="92"/>
      <c r="K3993" s="92">
        <v>43285.852361111109</v>
      </c>
      <c r="L3993" s="92">
        <f>IF(AND(单词表[[#This Row],[学英]]&lt;&gt;"",单词表[[#This Row],[学中]]&lt;&gt;"",单词表[[#This Row],[学词]]&lt;&gt;""),MAX(单词表[[#This Row],[学英]:[学词]]),"")</f>
        <v>43285.845069444447</v>
      </c>
      <c r="M3993" s="2" t="str">
        <f>IF(AND(单词表[[#This Row],[考英]]&lt;&gt;"",单词表[[#This Row],[考中]]&lt;&gt;""),MAX(单词表[[#This Row],[考英]:[考中]]),"")</f>
        <v/>
      </c>
      <c r="N3993" s="86"/>
    </row>
    <row r="3994" spans="1:14" hidden="1" x14ac:dyDescent="0.15">
      <c r="A3994">
        <v>3994</v>
      </c>
      <c r="B3994" t="s">
        <v>7363</v>
      </c>
      <c r="C3994" t="s">
        <v>7366</v>
      </c>
      <c r="D3994" s="78" t="s">
        <v>7134</v>
      </c>
      <c r="E3994" t="s">
        <v>7159</v>
      </c>
      <c r="F3994" t="s">
        <v>7178</v>
      </c>
      <c r="G3994" s="92">
        <v>43285.82980324074</v>
      </c>
      <c r="H3994" s="92">
        <v>43285.82980324074</v>
      </c>
      <c r="I3994" s="92">
        <v>43285.82980324074</v>
      </c>
      <c r="J3994" s="92"/>
      <c r="K3994" s="92">
        <v>43285.841041666667</v>
      </c>
      <c r="L3994" s="92">
        <f>IF(AND(单词表[[#This Row],[学英]]&lt;&gt;"",单词表[[#This Row],[学中]]&lt;&gt;"",单词表[[#This Row],[学词]]&lt;&gt;""),MAX(单词表[[#This Row],[学英]:[学词]]),"")</f>
        <v>43285.82980324074</v>
      </c>
      <c r="M3994" s="2" t="str">
        <f>IF(AND(单词表[[#This Row],[考英]]&lt;&gt;"",单词表[[#This Row],[考中]]&lt;&gt;""),MAX(单词表[[#This Row],[考英]:[考中]]),"")</f>
        <v/>
      </c>
      <c r="N3994" s="86"/>
    </row>
    <row r="3995" spans="1:14" hidden="1" x14ac:dyDescent="0.15">
      <c r="A3995">
        <v>3995</v>
      </c>
      <c r="B3995" t="s">
        <v>7363</v>
      </c>
      <c r="C3995" t="s">
        <v>7366</v>
      </c>
      <c r="D3995" s="78" t="s">
        <v>7135</v>
      </c>
      <c r="E3995" t="s">
        <v>7153</v>
      </c>
      <c r="F3995" t="s">
        <v>7179</v>
      </c>
      <c r="G3995" s="92">
        <v>43285.772662037038</v>
      </c>
      <c r="H3995" s="92">
        <v>43285.772662037038</v>
      </c>
      <c r="I3995" s="92">
        <v>43285.772662037038</v>
      </c>
      <c r="J3995" s="92"/>
      <c r="K3995" s="92">
        <v>43285.841134259259</v>
      </c>
      <c r="L3995" s="92">
        <f>IF(AND(单词表[[#This Row],[学英]]&lt;&gt;"",单词表[[#This Row],[学中]]&lt;&gt;"",单词表[[#This Row],[学词]]&lt;&gt;""),MAX(单词表[[#This Row],[学英]:[学词]]),"")</f>
        <v>43285.772662037038</v>
      </c>
      <c r="M3995" s="2" t="str">
        <f>IF(AND(单词表[[#This Row],[考英]]&lt;&gt;"",单词表[[#This Row],[考中]]&lt;&gt;""),MAX(单词表[[#This Row],[考英]:[考中]]),"")</f>
        <v/>
      </c>
      <c r="N3995" s="86"/>
    </row>
    <row r="3996" spans="1:14" hidden="1" x14ac:dyDescent="0.15">
      <c r="A3996">
        <v>3996</v>
      </c>
      <c r="B3996" t="s">
        <v>7363</v>
      </c>
      <c r="C3996" t="s">
        <v>7366</v>
      </c>
      <c r="D3996" s="78" t="s">
        <v>7135</v>
      </c>
      <c r="E3996" t="s">
        <v>7154</v>
      </c>
      <c r="F3996" t="s">
        <v>7180</v>
      </c>
      <c r="G3996" s="92">
        <v>43285.772615740738</v>
      </c>
      <c r="H3996" s="92">
        <v>43285.772615740738</v>
      </c>
      <c r="I3996" s="92">
        <v>43285.772615740738</v>
      </c>
      <c r="J3996" s="92"/>
      <c r="K3996" s="92">
        <v>43285.841168981482</v>
      </c>
      <c r="L3996" s="92">
        <f>IF(AND(单词表[[#This Row],[学英]]&lt;&gt;"",单词表[[#This Row],[学中]]&lt;&gt;"",单词表[[#This Row],[学词]]&lt;&gt;""),MAX(单词表[[#This Row],[学英]:[学词]]),"")</f>
        <v>43285.772615740738</v>
      </c>
      <c r="M3996" s="2" t="str">
        <f>IF(AND(单词表[[#This Row],[考英]]&lt;&gt;"",单词表[[#This Row],[考中]]&lt;&gt;""),MAX(单词表[[#This Row],[考英]:[考中]]),"")</f>
        <v/>
      </c>
      <c r="N3996" s="86"/>
    </row>
    <row r="3997" spans="1:14" hidden="1" x14ac:dyDescent="0.15">
      <c r="A3997">
        <v>3997</v>
      </c>
      <c r="B3997" t="s">
        <v>7363</v>
      </c>
      <c r="C3997" t="s">
        <v>7360</v>
      </c>
      <c r="D3997" s="78" t="s">
        <v>7136</v>
      </c>
      <c r="E3997" t="s">
        <v>7156</v>
      </c>
      <c r="F3997" t="s">
        <v>7181</v>
      </c>
      <c r="G3997" s="92"/>
      <c r="H3997" s="92"/>
      <c r="I3997" s="92"/>
      <c r="J3997" s="92"/>
      <c r="K3997" s="92"/>
      <c r="L3997" s="92" t="str">
        <f>IF(AND(单词表[[#This Row],[学英]]&lt;&gt;"",单词表[[#This Row],[学中]]&lt;&gt;"",单词表[[#This Row],[学词]]&lt;&gt;""),MAX(单词表[[#This Row],[学英]:[学词]]),"")</f>
        <v/>
      </c>
      <c r="M3997" s="2" t="str">
        <f>IF(AND(单词表[[#This Row],[考英]]&lt;&gt;"",单词表[[#This Row],[考中]]&lt;&gt;""),MAX(单词表[[#This Row],[考英]:[考中]]),"")</f>
        <v/>
      </c>
      <c r="N3997" s="86"/>
    </row>
    <row r="3998" spans="1:14" hidden="1" x14ac:dyDescent="0.15">
      <c r="A3998">
        <v>3998</v>
      </c>
      <c r="B3998" t="s">
        <v>7363</v>
      </c>
      <c r="C3998" t="s">
        <v>7360</v>
      </c>
      <c r="D3998" s="78" t="s">
        <v>7137</v>
      </c>
      <c r="E3998" t="s">
        <v>7154</v>
      </c>
      <c r="F3998" t="s">
        <v>7182</v>
      </c>
      <c r="G3998" s="92"/>
      <c r="H3998" s="92"/>
      <c r="I3998" s="92"/>
      <c r="J3998" s="92"/>
      <c r="K3998" s="92"/>
      <c r="L3998" s="92" t="str">
        <f>IF(AND(单词表[[#This Row],[学英]]&lt;&gt;"",单词表[[#This Row],[学中]]&lt;&gt;"",单词表[[#This Row],[学词]]&lt;&gt;""),MAX(单词表[[#This Row],[学英]:[学词]]),"")</f>
        <v/>
      </c>
      <c r="M3998" s="2" t="str">
        <f>IF(AND(单词表[[#This Row],[考英]]&lt;&gt;"",单词表[[#This Row],[考中]]&lt;&gt;""),MAX(单词表[[#This Row],[考英]:[考中]]),"")</f>
        <v/>
      </c>
      <c r="N3998" s="86"/>
    </row>
    <row r="3999" spans="1:14" hidden="1" x14ac:dyDescent="0.15">
      <c r="A3999">
        <v>3999</v>
      </c>
      <c r="B3999" t="s">
        <v>7363</v>
      </c>
      <c r="C3999" t="s">
        <v>7360</v>
      </c>
      <c r="D3999" s="78" t="s">
        <v>7138</v>
      </c>
      <c r="E3999" t="s">
        <v>7154</v>
      </c>
      <c r="F3999" t="s">
        <v>7183</v>
      </c>
      <c r="G3999" s="92"/>
      <c r="H3999" s="92"/>
      <c r="I3999" s="92"/>
      <c r="J3999" s="92"/>
      <c r="K3999" s="92"/>
      <c r="L3999" s="92" t="str">
        <f>IF(AND(单词表[[#This Row],[学英]]&lt;&gt;"",单词表[[#This Row],[学中]]&lt;&gt;"",单词表[[#This Row],[学词]]&lt;&gt;""),MAX(单词表[[#This Row],[学英]:[学词]]),"")</f>
        <v/>
      </c>
      <c r="M3999" s="2" t="str">
        <f>IF(AND(单词表[[#This Row],[考英]]&lt;&gt;"",单词表[[#This Row],[考中]]&lt;&gt;""),MAX(单词表[[#This Row],[考英]:[考中]]),"")</f>
        <v/>
      </c>
      <c r="N3999" s="86"/>
    </row>
    <row r="4000" spans="1:14" hidden="1" x14ac:dyDescent="0.15">
      <c r="A4000">
        <v>4000</v>
      </c>
      <c r="B4000" t="s">
        <v>7363</v>
      </c>
      <c r="C4000" t="s">
        <v>7360</v>
      </c>
      <c r="D4000" s="78" t="s">
        <v>7139</v>
      </c>
      <c r="E4000" t="s">
        <v>7154</v>
      </c>
      <c r="F4000" t="s">
        <v>7184</v>
      </c>
      <c r="G4000" s="92"/>
      <c r="H4000" s="92"/>
      <c r="I4000" s="92"/>
      <c r="J4000" s="92"/>
      <c r="K4000" s="92"/>
      <c r="L4000" s="92" t="str">
        <f>IF(AND(单词表[[#This Row],[学英]]&lt;&gt;"",单词表[[#This Row],[学中]]&lt;&gt;"",单词表[[#This Row],[学词]]&lt;&gt;""),MAX(单词表[[#This Row],[学英]:[学词]]),"")</f>
        <v/>
      </c>
      <c r="M4000" s="2" t="str">
        <f>IF(AND(单词表[[#This Row],[考英]]&lt;&gt;"",单词表[[#This Row],[考中]]&lt;&gt;""),MAX(单词表[[#This Row],[考英]:[考中]]),"")</f>
        <v/>
      </c>
      <c r="N4000" s="86"/>
    </row>
    <row r="4001" spans="1:14" hidden="1" x14ac:dyDescent="0.15">
      <c r="A4001">
        <v>4001</v>
      </c>
      <c r="B4001" t="s">
        <v>7363</v>
      </c>
      <c r="C4001" t="s">
        <v>7360</v>
      </c>
      <c r="D4001" s="78" t="s">
        <v>7140</v>
      </c>
      <c r="E4001" t="s">
        <v>7160</v>
      </c>
      <c r="F4001" t="s">
        <v>7185</v>
      </c>
      <c r="G4001" s="92"/>
      <c r="H4001" s="92"/>
      <c r="I4001" s="92"/>
      <c r="J4001" s="92"/>
      <c r="K4001" s="92"/>
      <c r="L4001" s="92" t="str">
        <f>IF(AND(单词表[[#This Row],[学英]]&lt;&gt;"",单词表[[#This Row],[学中]]&lt;&gt;"",单词表[[#This Row],[学词]]&lt;&gt;""),MAX(单词表[[#This Row],[学英]:[学词]]),"")</f>
        <v/>
      </c>
      <c r="M4001" s="2" t="str">
        <f>IF(AND(单词表[[#This Row],[考英]]&lt;&gt;"",单词表[[#This Row],[考中]]&lt;&gt;""),MAX(单词表[[#This Row],[考英]:[考中]]),"")</f>
        <v/>
      </c>
      <c r="N4001" s="86"/>
    </row>
    <row r="4002" spans="1:14" hidden="1" x14ac:dyDescent="0.15">
      <c r="A4002">
        <v>4002</v>
      </c>
      <c r="B4002" t="s">
        <v>7363</v>
      </c>
      <c r="C4002" t="s">
        <v>7360</v>
      </c>
      <c r="D4002" s="78" t="s">
        <v>7141</v>
      </c>
      <c r="E4002" t="s">
        <v>7155</v>
      </c>
      <c r="F4002" t="s">
        <v>7186</v>
      </c>
      <c r="G4002" s="92"/>
      <c r="H4002" s="92"/>
      <c r="I4002" s="92"/>
      <c r="J4002" s="92"/>
      <c r="K4002" s="92"/>
      <c r="L4002" s="92" t="str">
        <f>IF(AND(单词表[[#This Row],[学英]]&lt;&gt;"",单词表[[#This Row],[学中]]&lt;&gt;"",单词表[[#This Row],[学词]]&lt;&gt;""),MAX(单词表[[#This Row],[学英]:[学词]]),"")</f>
        <v/>
      </c>
      <c r="M4002" s="2" t="str">
        <f>IF(AND(单词表[[#This Row],[考英]]&lt;&gt;"",单词表[[#This Row],[考中]]&lt;&gt;""),MAX(单词表[[#This Row],[考英]:[考中]]),"")</f>
        <v/>
      </c>
      <c r="N4002" s="86"/>
    </row>
    <row r="4003" spans="1:14" hidden="1" x14ac:dyDescent="0.15">
      <c r="A4003">
        <v>4003</v>
      </c>
      <c r="B4003" t="s">
        <v>7363</v>
      </c>
      <c r="C4003" t="s">
        <v>7360</v>
      </c>
      <c r="D4003" s="78" t="s">
        <v>7142</v>
      </c>
      <c r="E4003" t="s">
        <v>7161</v>
      </c>
      <c r="F4003" t="s">
        <v>7187</v>
      </c>
      <c r="G4003" s="92"/>
      <c r="H4003" s="92"/>
      <c r="I4003" s="92"/>
      <c r="J4003" s="92"/>
      <c r="K4003" s="92"/>
      <c r="L4003" s="92" t="str">
        <f>IF(AND(单词表[[#This Row],[学英]]&lt;&gt;"",单词表[[#This Row],[学中]]&lt;&gt;"",单词表[[#This Row],[学词]]&lt;&gt;""),MAX(单词表[[#This Row],[学英]:[学词]]),"")</f>
        <v/>
      </c>
      <c r="M4003" s="2" t="str">
        <f>IF(AND(单词表[[#This Row],[考英]]&lt;&gt;"",单词表[[#This Row],[考中]]&lt;&gt;""),MAX(单词表[[#This Row],[考英]:[考中]]),"")</f>
        <v/>
      </c>
      <c r="N4003" s="86"/>
    </row>
    <row r="4004" spans="1:14" hidden="1" x14ac:dyDescent="0.15">
      <c r="A4004">
        <v>4004</v>
      </c>
      <c r="B4004" t="s">
        <v>7363</v>
      </c>
      <c r="C4004" t="s">
        <v>7360</v>
      </c>
      <c r="D4004" s="78" t="s">
        <v>7143</v>
      </c>
      <c r="E4004" t="s">
        <v>7154</v>
      </c>
      <c r="F4004" t="s">
        <v>7188</v>
      </c>
      <c r="G4004" s="92"/>
      <c r="H4004" s="92"/>
      <c r="I4004" s="92"/>
      <c r="J4004" s="92"/>
      <c r="K4004" s="92"/>
      <c r="L4004" s="92" t="str">
        <f>IF(AND(单词表[[#This Row],[学英]]&lt;&gt;"",单词表[[#This Row],[学中]]&lt;&gt;"",单词表[[#This Row],[学词]]&lt;&gt;""),MAX(单词表[[#This Row],[学英]:[学词]]),"")</f>
        <v/>
      </c>
      <c r="M4004" s="2" t="str">
        <f>IF(AND(单词表[[#This Row],[考英]]&lt;&gt;"",单词表[[#This Row],[考中]]&lt;&gt;""),MAX(单词表[[#This Row],[考英]:[考中]]),"")</f>
        <v/>
      </c>
      <c r="N4004" s="86"/>
    </row>
    <row r="4005" spans="1:14" hidden="1" x14ac:dyDescent="0.15">
      <c r="A4005">
        <v>4005</v>
      </c>
      <c r="B4005" t="s">
        <v>7363</v>
      </c>
      <c r="C4005" t="s">
        <v>7360</v>
      </c>
      <c r="D4005" s="78" t="s">
        <v>7144</v>
      </c>
      <c r="E4005" t="s">
        <v>7154</v>
      </c>
      <c r="F4005" t="s">
        <v>7189</v>
      </c>
      <c r="G4005" s="92"/>
      <c r="H4005" s="92"/>
      <c r="I4005" s="92"/>
      <c r="J4005" s="92"/>
      <c r="K4005" s="92"/>
      <c r="L4005" s="92" t="str">
        <f>IF(AND(单词表[[#This Row],[学英]]&lt;&gt;"",单词表[[#This Row],[学中]]&lt;&gt;"",单词表[[#This Row],[学词]]&lt;&gt;""),MAX(单词表[[#This Row],[学英]:[学词]]),"")</f>
        <v/>
      </c>
      <c r="M4005" s="2" t="str">
        <f>IF(AND(单词表[[#This Row],[考英]]&lt;&gt;"",单词表[[#This Row],[考中]]&lt;&gt;""),MAX(单词表[[#This Row],[考英]:[考中]]),"")</f>
        <v/>
      </c>
      <c r="N4005" s="86"/>
    </row>
    <row r="4006" spans="1:14" hidden="1" x14ac:dyDescent="0.15">
      <c r="A4006">
        <v>4006</v>
      </c>
      <c r="B4006" t="s">
        <v>7363</v>
      </c>
      <c r="C4006" t="s">
        <v>7360</v>
      </c>
      <c r="D4006" s="78" t="s">
        <v>7190</v>
      </c>
      <c r="E4006" t="s">
        <v>7152</v>
      </c>
      <c r="F4006" t="s">
        <v>7191</v>
      </c>
      <c r="G4006" s="92"/>
      <c r="H4006" s="92"/>
      <c r="I4006" s="92"/>
      <c r="J4006" s="92"/>
      <c r="K4006" s="92"/>
      <c r="L4006" s="92" t="str">
        <f>IF(AND(单词表[[#This Row],[学英]]&lt;&gt;"",单词表[[#This Row],[学中]]&lt;&gt;"",单词表[[#This Row],[学词]]&lt;&gt;""),MAX(单词表[[#This Row],[学英]:[学词]]),"")</f>
        <v/>
      </c>
      <c r="M4006" s="2" t="str">
        <f>IF(AND(单词表[[#This Row],[考英]]&lt;&gt;"",单词表[[#This Row],[考中]]&lt;&gt;""),MAX(单词表[[#This Row],[考英]:[考中]]),"")</f>
        <v/>
      </c>
      <c r="N4006" s="86"/>
    </row>
    <row r="4007" spans="1:14" hidden="1" x14ac:dyDescent="0.15">
      <c r="A4007">
        <v>4007</v>
      </c>
      <c r="B4007" t="s">
        <v>7363</v>
      </c>
      <c r="C4007" t="s">
        <v>7360</v>
      </c>
      <c r="D4007" s="78" t="s">
        <v>7145</v>
      </c>
      <c r="E4007" t="s">
        <v>7162</v>
      </c>
      <c r="F4007" t="s">
        <v>7192</v>
      </c>
      <c r="G4007" s="92"/>
      <c r="H4007" s="92"/>
      <c r="I4007" s="92"/>
      <c r="J4007" s="92"/>
      <c r="K4007" s="92"/>
      <c r="L4007" s="92" t="str">
        <f>IF(AND(单词表[[#This Row],[学英]]&lt;&gt;"",单词表[[#This Row],[学中]]&lt;&gt;"",单词表[[#This Row],[学词]]&lt;&gt;""),MAX(单词表[[#This Row],[学英]:[学词]]),"")</f>
        <v/>
      </c>
      <c r="M4007" s="2" t="str">
        <f>IF(AND(单词表[[#This Row],[考英]]&lt;&gt;"",单词表[[#This Row],[考中]]&lt;&gt;""),MAX(单词表[[#This Row],[考英]:[考中]]),"")</f>
        <v/>
      </c>
      <c r="N4007" s="86"/>
    </row>
    <row r="4008" spans="1:14" hidden="1" x14ac:dyDescent="0.15">
      <c r="A4008">
        <v>4008</v>
      </c>
      <c r="B4008" t="s">
        <v>7363</v>
      </c>
      <c r="C4008" t="s">
        <v>7360</v>
      </c>
      <c r="D4008" s="78" t="s">
        <v>7146</v>
      </c>
      <c r="E4008" t="s">
        <v>7151</v>
      </c>
      <c r="F4008" t="s">
        <v>7193</v>
      </c>
      <c r="G4008" s="92"/>
      <c r="H4008" s="92"/>
      <c r="I4008" s="92"/>
      <c r="J4008" s="92"/>
      <c r="K4008" s="92"/>
      <c r="L4008" s="92" t="str">
        <f>IF(AND(单词表[[#This Row],[学英]]&lt;&gt;"",单词表[[#This Row],[学中]]&lt;&gt;"",单词表[[#This Row],[学词]]&lt;&gt;""),MAX(单词表[[#This Row],[学英]:[学词]]),"")</f>
        <v/>
      </c>
      <c r="M4008" s="2" t="str">
        <f>IF(AND(单词表[[#This Row],[考英]]&lt;&gt;"",单词表[[#This Row],[考中]]&lt;&gt;""),MAX(单词表[[#This Row],[考英]:[考中]]),"")</f>
        <v/>
      </c>
      <c r="N4008" s="86"/>
    </row>
    <row r="4009" spans="1:14" hidden="1" x14ac:dyDescent="0.15">
      <c r="A4009">
        <v>4009</v>
      </c>
      <c r="B4009" t="s">
        <v>7363</v>
      </c>
      <c r="C4009" t="s">
        <v>7360</v>
      </c>
      <c r="D4009" s="78" t="s">
        <v>7147</v>
      </c>
      <c r="E4009" t="s">
        <v>7162</v>
      </c>
      <c r="F4009" t="s">
        <v>7194</v>
      </c>
      <c r="G4009" s="92"/>
      <c r="H4009" s="92"/>
      <c r="I4009" s="92"/>
      <c r="J4009" s="92"/>
      <c r="K4009" s="92"/>
      <c r="L4009" s="92" t="str">
        <f>IF(AND(单词表[[#This Row],[学英]]&lt;&gt;"",单词表[[#This Row],[学中]]&lt;&gt;"",单词表[[#This Row],[学词]]&lt;&gt;""),MAX(单词表[[#This Row],[学英]:[学词]]),"")</f>
        <v/>
      </c>
      <c r="M4009" s="2" t="str">
        <f>IF(AND(单词表[[#This Row],[考英]]&lt;&gt;"",单词表[[#This Row],[考中]]&lt;&gt;""),MAX(单词表[[#This Row],[考英]:[考中]]),"")</f>
        <v/>
      </c>
      <c r="N4009" s="86"/>
    </row>
    <row r="4010" spans="1:14" hidden="1" x14ac:dyDescent="0.15">
      <c r="A4010">
        <v>4010</v>
      </c>
      <c r="B4010" t="s">
        <v>7363</v>
      </c>
      <c r="C4010" t="s">
        <v>7360</v>
      </c>
      <c r="D4010" s="78" t="s">
        <v>7148</v>
      </c>
      <c r="E4010" t="s">
        <v>7157</v>
      </c>
      <c r="F4010" t="s">
        <v>7195</v>
      </c>
      <c r="G4010" s="92"/>
      <c r="H4010" s="92"/>
      <c r="I4010" s="92"/>
      <c r="J4010" s="92"/>
      <c r="K4010" s="92"/>
      <c r="L4010" s="92" t="str">
        <f>IF(AND(单词表[[#This Row],[学英]]&lt;&gt;"",单词表[[#This Row],[学中]]&lt;&gt;"",单词表[[#This Row],[学词]]&lt;&gt;""),MAX(单词表[[#This Row],[学英]:[学词]]),"")</f>
        <v/>
      </c>
      <c r="M4010" s="2" t="str">
        <f>IF(AND(单词表[[#This Row],[考英]]&lt;&gt;"",单词表[[#This Row],[考中]]&lt;&gt;""),MAX(单词表[[#This Row],[考英]:[考中]]),"")</f>
        <v/>
      </c>
      <c r="N4010" s="86"/>
    </row>
    <row r="4011" spans="1:14" hidden="1" x14ac:dyDescent="0.15">
      <c r="A4011">
        <v>4011</v>
      </c>
      <c r="B4011" t="s">
        <v>7363</v>
      </c>
      <c r="C4011" t="s">
        <v>7360</v>
      </c>
      <c r="D4011" s="78" t="s">
        <v>7149</v>
      </c>
      <c r="E4011" t="s">
        <v>7151</v>
      </c>
      <c r="F4011" t="s">
        <v>7196</v>
      </c>
      <c r="G4011" s="92"/>
      <c r="H4011" s="92"/>
      <c r="I4011" s="92"/>
      <c r="J4011" s="92"/>
      <c r="K4011" s="92"/>
      <c r="L4011" s="92" t="str">
        <f>IF(AND(单词表[[#This Row],[学英]]&lt;&gt;"",单词表[[#This Row],[学中]]&lt;&gt;"",单词表[[#This Row],[学词]]&lt;&gt;""),MAX(单词表[[#This Row],[学英]:[学词]]),"")</f>
        <v/>
      </c>
      <c r="M4011" s="2" t="str">
        <f>IF(AND(单词表[[#This Row],[考英]]&lt;&gt;"",单词表[[#This Row],[考中]]&lt;&gt;""),MAX(单词表[[#This Row],[考英]:[考中]]),"")</f>
        <v/>
      </c>
      <c r="N4011" s="86"/>
    </row>
    <row r="4012" spans="1:14" hidden="1" x14ac:dyDescent="0.15">
      <c r="A4012">
        <v>4012</v>
      </c>
      <c r="B4012" t="s">
        <v>7363</v>
      </c>
      <c r="C4012" t="s">
        <v>7360</v>
      </c>
      <c r="D4012" s="78" t="s">
        <v>7150</v>
      </c>
      <c r="E4012" t="s">
        <v>7154</v>
      </c>
      <c r="F4012" t="s">
        <v>7197</v>
      </c>
      <c r="G4012" s="92"/>
      <c r="H4012" s="92"/>
      <c r="I4012" s="92"/>
      <c r="J4012" s="92"/>
      <c r="K4012" s="92"/>
      <c r="L4012" s="92" t="str">
        <f>IF(AND(单词表[[#This Row],[学英]]&lt;&gt;"",单词表[[#This Row],[学中]]&lt;&gt;"",单词表[[#This Row],[学词]]&lt;&gt;""),MAX(单词表[[#This Row],[学英]:[学词]]),"")</f>
        <v/>
      </c>
      <c r="M4012" s="2" t="str">
        <f>IF(AND(单词表[[#This Row],[考英]]&lt;&gt;"",单词表[[#This Row],[考中]]&lt;&gt;""),MAX(单词表[[#This Row],[考英]:[考中]]),"")</f>
        <v/>
      </c>
      <c r="N4012" s="86"/>
    </row>
    <row r="4013" spans="1:14" hidden="1" x14ac:dyDescent="0.15">
      <c r="A4013">
        <v>4013</v>
      </c>
      <c r="B4013" t="s">
        <v>7363</v>
      </c>
      <c r="C4013" t="s">
        <v>7360</v>
      </c>
      <c r="D4013" s="78" t="s">
        <v>7198</v>
      </c>
      <c r="E4013" t="s">
        <v>7162</v>
      </c>
      <c r="F4013" t="s">
        <v>7220</v>
      </c>
      <c r="G4013" s="92"/>
      <c r="H4013" s="92"/>
      <c r="I4013" s="92"/>
      <c r="J4013" s="92"/>
      <c r="K4013" s="92"/>
      <c r="L4013" s="92" t="str">
        <f>IF(AND(单词表[[#This Row],[学英]]&lt;&gt;"",单词表[[#This Row],[学中]]&lt;&gt;"",单词表[[#This Row],[学词]]&lt;&gt;""),MAX(单词表[[#This Row],[学英]:[学词]]),"")</f>
        <v/>
      </c>
      <c r="M4013" s="2" t="str">
        <f>IF(AND(单词表[[#This Row],[考英]]&lt;&gt;"",单词表[[#This Row],[考中]]&lt;&gt;""),MAX(单词表[[#This Row],[考英]:[考中]]),"")</f>
        <v/>
      </c>
      <c r="N4013" s="86"/>
    </row>
    <row r="4014" spans="1:14" hidden="1" x14ac:dyDescent="0.15">
      <c r="A4014">
        <v>4014</v>
      </c>
      <c r="B4014" t="s">
        <v>7363</v>
      </c>
      <c r="C4014" t="s">
        <v>7360</v>
      </c>
      <c r="D4014" s="78" t="s">
        <v>7199</v>
      </c>
      <c r="E4014" t="s">
        <v>7217</v>
      </c>
      <c r="F4014" t="s">
        <v>7221</v>
      </c>
      <c r="G4014" s="92"/>
      <c r="H4014" s="92"/>
      <c r="I4014" s="92"/>
      <c r="J4014" s="92"/>
      <c r="K4014" s="92"/>
      <c r="L4014" s="92" t="str">
        <f>IF(AND(单词表[[#This Row],[学英]]&lt;&gt;"",单词表[[#This Row],[学中]]&lt;&gt;"",单词表[[#This Row],[学词]]&lt;&gt;""),MAX(单词表[[#This Row],[学英]:[学词]]),"")</f>
        <v/>
      </c>
      <c r="M4014" s="2" t="str">
        <f>IF(AND(单词表[[#This Row],[考英]]&lt;&gt;"",单词表[[#This Row],[考中]]&lt;&gt;""),MAX(单词表[[#This Row],[考英]:[考中]]),"")</f>
        <v/>
      </c>
      <c r="N4014" s="86"/>
    </row>
    <row r="4015" spans="1:14" hidden="1" x14ac:dyDescent="0.15">
      <c r="A4015">
        <v>4015</v>
      </c>
      <c r="B4015" t="s">
        <v>7363</v>
      </c>
      <c r="C4015" t="s">
        <v>7360</v>
      </c>
      <c r="D4015" s="78" t="s">
        <v>7200</v>
      </c>
      <c r="E4015" t="s">
        <v>7153</v>
      </c>
      <c r="F4015" t="s">
        <v>7222</v>
      </c>
      <c r="G4015" s="92"/>
      <c r="H4015" s="92"/>
      <c r="I4015" s="92"/>
      <c r="J4015" s="92"/>
      <c r="K4015" s="92"/>
      <c r="L4015" s="92" t="str">
        <f>IF(AND(单词表[[#This Row],[学英]]&lt;&gt;"",单词表[[#This Row],[学中]]&lt;&gt;"",单词表[[#This Row],[学词]]&lt;&gt;""),MAX(单词表[[#This Row],[学英]:[学词]]),"")</f>
        <v/>
      </c>
      <c r="M4015" s="2" t="str">
        <f>IF(AND(单词表[[#This Row],[考英]]&lt;&gt;"",单词表[[#This Row],[考中]]&lt;&gt;""),MAX(单词表[[#This Row],[考英]:[考中]]),"")</f>
        <v/>
      </c>
      <c r="N4015" s="86"/>
    </row>
    <row r="4016" spans="1:14" hidden="1" x14ac:dyDescent="0.15">
      <c r="A4016">
        <v>4016</v>
      </c>
      <c r="B4016" t="s">
        <v>7363</v>
      </c>
      <c r="C4016" t="s">
        <v>7360</v>
      </c>
      <c r="D4016" s="78" t="s">
        <v>7201</v>
      </c>
      <c r="E4016" t="s">
        <v>7162</v>
      </c>
      <c r="F4016" t="s">
        <v>7223</v>
      </c>
      <c r="G4016" s="92"/>
      <c r="H4016" s="92"/>
      <c r="I4016" s="92"/>
      <c r="J4016" s="92"/>
      <c r="K4016" s="92"/>
      <c r="L4016" s="92" t="str">
        <f>IF(AND(单词表[[#This Row],[学英]]&lt;&gt;"",单词表[[#This Row],[学中]]&lt;&gt;"",单词表[[#This Row],[学词]]&lt;&gt;""),MAX(单词表[[#This Row],[学英]:[学词]]),"")</f>
        <v/>
      </c>
      <c r="M4016" s="2" t="str">
        <f>IF(AND(单词表[[#This Row],[考英]]&lt;&gt;"",单词表[[#This Row],[考中]]&lt;&gt;""),MAX(单词表[[#This Row],[考英]:[考中]]),"")</f>
        <v/>
      </c>
      <c r="N4016" s="86"/>
    </row>
    <row r="4017" spans="1:14" hidden="1" x14ac:dyDescent="0.15">
      <c r="A4017">
        <v>4017</v>
      </c>
      <c r="B4017" t="s">
        <v>7363</v>
      </c>
      <c r="C4017" t="s">
        <v>7360</v>
      </c>
      <c r="D4017" s="78" t="s">
        <v>7202</v>
      </c>
      <c r="E4017" t="s">
        <v>7218</v>
      </c>
      <c r="F4017" t="s">
        <v>7224</v>
      </c>
      <c r="G4017" s="92"/>
      <c r="H4017" s="92"/>
      <c r="I4017" s="92"/>
      <c r="J4017" s="92"/>
      <c r="K4017" s="92"/>
      <c r="L4017" s="92" t="str">
        <f>IF(AND(单词表[[#This Row],[学英]]&lt;&gt;"",单词表[[#This Row],[学中]]&lt;&gt;"",单词表[[#This Row],[学词]]&lt;&gt;""),MAX(单词表[[#This Row],[学英]:[学词]]),"")</f>
        <v/>
      </c>
      <c r="M4017" s="2" t="str">
        <f>IF(AND(单词表[[#This Row],[考英]]&lt;&gt;"",单词表[[#This Row],[考中]]&lt;&gt;""),MAX(单词表[[#This Row],[考英]:[考中]]),"")</f>
        <v/>
      </c>
      <c r="N4017" s="86"/>
    </row>
    <row r="4018" spans="1:14" hidden="1" x14ac:dyDescent="0.15">
      <c r="A4018">
        <v>4018</v>
      </c>
      <c r="B4018" t="s">
        <v>7363</v>
      </c>
      <c r="C4018" t="s">
        <v>7360</v>
      </c>
      <c r="D4018" s="78" t="s">
        <v>7203</v>
      </c>
      <c r="E4018" t="s">
        <v>7154</v>
      </c>
      <c r="F4018" t="s">
        <v>7225</v>
      </c>
      <c r="G4018" s="92"/>
      <c r="H4018" s="92"/>
      <c r="I4018" s="92"/>
      <c r="J4018" s="92"/>
      <c r="K4018" s="92"/>
      <c r="L4018" s="92" t="str">
        <f>IF(AND(单词表[[#This Row],[学英]]&lt;&gt;"",单词表[[#This Row],[学中]]&lt;&gt;"",单词表[[#This Row],[学词]]&lt;&gt;""),MAX(单词表[[#This Row],[学英]:[学词]]),"")</f>
        <v/>
      </c>
      <c r="M4018" s="2" t="str">
        <f>IF(AND(单词表[[#This Row],[考英]]&lt;&gt;"",单词表[[#This Row],[考中]]&lt;&gt;""),MAX(单词表[[#This Row],[考英]:[考中]]),"")</f>
        <v/>
      </c>
      <c r="N4018" s="86"/>
    </row>
    <row r="4019" spans="1:14" hidden="1" x14ac:dyDescent="0.15">
      <c r="A4019">
        <v>4019</v>
      </c>
      <c r="B4019" t="s">
        <v>7363</v>
      </c>
      <c r="C4019" t="s">
        <v>7360</v>
      </c>
      <c r="D4019" s="78" t="s">
        <v>7204</v>
      </c>
      <c r="E4019" t="s">
        <v>7157</v>
      </c>
      <c r="F4019" t="s">
        <v>7226</v>
      </c>
      <c r="G4019" s="92"/>
      <c r="H4019" s="92"/>
      <c r="I4019" s="92"/>
      <c r="J4019" s="92"/>
      <c r="K4019" s="92"/>
      <c r="L4019" s="92" t="str">
        <f>IF(AND(单词表[[#This Row],[学英]]&lt;&gt;"",单词表[[#This Row],[学中]]&lt;&gt;"",单词表[[#This Row],[学词]]&lt;&gt;""),MAX(单词表[[#This Row],[学英]:[学词]]),"")</f>
        <v/>
      </c>
      <c r="M4019" s="2" t="str">
        <f>IF(AND(单词表[[#This Row],[考英]]&lt;&gt;"",单词表[[#This Row],[考中]]&lt;&gt;""),MAX(单词表[[#This Row],[考英]:[考中]]),"")</f>
        <v/>
      </c>
      <c r="N4019" s="86"/>
    </row>
    <row r="4020" spans="1:14" hidden="1" x14ac:dyDescent="0.15">
      <c r="A4020">
        <v>4020</v>
      </c>
      <c r="B4020" t="s">
        <v>7363</v>
      </c>
      <c r="C4020" t="s">
        <v>7360</v>
      </c>
      <c r="D4020" s="78" t="s">
        <v>7205</v>
      </c>
      <c r="E4020" t="s">
        <v>7152</v>
      </c>
      <c r="F4020" t="s">
        <v>7227</v>
      </c>
      <c r="G4020" s="92"/>
      <c r="H4020" s="92"/>
      <c r="I4020" s="92"/>
      <c r="J4020" s="92"/>
      <c r="K4020" s="92"/>
      <c r="L4020" s="92" t="str">
        <f>IF(AND(单词表[[#This Row],[学英]]&lt;&gt;"",单词表[[#This Row],[学中]]&lt;&gt;"",单词表[[#This Row],[学词]]&lt;&gt;""),MAX(单词表[[#This Row],[学英]:[学词]]),"")</f>
        <v/>
      </c>
      <c r="M4020" s="2" t="str">
        <f>IF(AND(单词表[[#This Row],[考英]]&lt;&gt;"",单词表[[#This Row],[考中]]&lt;&gt;""),MAX(单词表[[#This Row],[考英]:[考中]]),"")</f>
        <v/>
      </c>
      <c r="N4020" s="86"/>
    </row>
    <row r="4021" spans="1:14" hidden="1" x14ac:dyDescent="0.15">
      <c r="A4021">
        <v>4021</v>
      </c>
      <c r="B4021" t="s">
        <v>7363</v>
      </c>
      <c r="C4021" t="s">
        <v>7360</v>
      </c>
      <c r="D4021" s="78" t="s">
        <v>7206</v>
      </c>
      <c r="E4021" t="s">
        <v>7219</v>
      </c>
      <c r="F4021" t="s">
        <v>7228</v>
      </c>
      <c r="G4021" s="92"/>
      <c r="H4021" s="92"/>
      <c r="I4021" s="92"/>
      <c r="J4021" s="92"/>
      <c r="K4021" s="92"/>
      <c r="L4021" s="92" t="str">
        <f>IF(AND(单词表[[#This Row],[学英]]&lt;&gt;"",单词表[[#This Row],[学中]]&lt;&gt;"",单词表[[#This Row],[学词]]&lt;&gt;""),MAX(单词表[[#This Row],[学英]:[学词]]),"")</f>
        <v/>
      </c>
      <c r="M4021" s="2" t="str">
        <f>IF(AND(单词表[[#This Row],[考英]]&lt;&gt;"",单词表[[#This Row],[考中]]&lt;&gt;""),MAX(单词表[[#This Row],[考英]:[考中]]),"")</f>
        <v/>
      </c>
      <c r="N4021" s="86"/>
    </row>
    <row r="4022" spans="1:14" hidden="1" x14ac:dyDescent="0.15">
      <c r="A4022">
        <v>4022</v>
      </c>
      <c r="B4022" t="s">
        <v>7363</v>
      </c>
      <c r="C4022" t="s">
        <v>7360</v>
      </c>
      <c r="D4022" s="78" t="s">
        <v>7207</v>
      </c>
      <c r="E4022" t="s">
        <v>7153</v>
      </c>
      <c r="F4022" t="s">
        <v>7229</v>
      </c>
      <c r="G4022" s="92"/>
      <c r="H4022" s="92"/>
      <c r="I4022" s="92"/>
      <c r="J4022" s="92"/>
      <c r="K4022" s="92"/>
      <c r="L4022" s="92" t="str">
        <f>IF(AND(单词表[[#This Row],[学英]]&lt;&gt;"",单词表[[#This Row],[学中]]&lt;&gt;"",单词表[[#This Row],[学词]]&lt;&gt;""),MAX(单词表[[#This Row],[学英]:[学词]]),"")</f>
        <v/>
      </c>
      <c r="M4022" s="2" t="str">
        <f>IF(AND(单词表[[#This Row],[考英]]&lt;&gt;"",单词表[[#This Row],[考中]]&lt;&gt;""),MAX(单词表[[#This Row],[考英]:[考中]]),"")</f>
        <v/>
      </c>
      <c r="N4022" s="86"/>
    </row>
    <row r="4023" spans="1:14" hidden="1" x14ac:dyDescent="0.15">
      <c r="A4023">
        <v>4023</v>
      </c>
      <c r="B4023" t="s">
        <v>7363</v>
      </c>
      <c r="C4023" t="s">
        <v>7360</v>
      </c>
      <c r="D4023" s="78" t="s">
        <v>7208</v>
      </c>
      <c r="E4023" t="s">
        <v>7162</v>
      </c>
      <c r="F4023" t="s">
        <v>7230</v>
      </c>
      <c r="G4023" s="92"/>
      <c r="H4023" s="92"/>
      <c r="I4023" s="92"/>
      <c r="J4023" s="92"/>
      <c r="K4023" s="92"/>
      <c r="L4023" s="92" t="str">
        <f>IF(AND(单词表[[#This Row],[学英]]&lt;&gt;"",单词表[[#This Row],[学中]]&lt;&gt;"",单词表[[#This Row],[学词]]&lt;&gt;""),MAX(单词表[[#This Row],[学英]:[学词]]),"")</f>
        <v/>
      </c>
      <c r="M4023" s="2" t="str">
        <f>IF(AND(单词表[[#This Row],[考英]]&lt;&gt;"",单词表[[#This Row],[考中]]&lt;&gt;""),MAX(单词表[[#This Row],[考英]:[考中]]),"")</f>
        <v/>
      </c>
      <c r="N4023" s="86"/>
    </row>
    <row r="4024" spans="1:14" hidden="1" x14ac:dyDescent="0.15">
      <c r="A4024">
        <v>4024</v>
      </c>
      <c r="B4024" t="s">
        <v>7363</v>
      </c>
      <c r="C4024" t="s">
        <v>7360</v>
      </c>
      <c r="D4024" s="78" t="s">
        <v>7209</v>
      </c>
      <c r="E4024" t="s">
        <v>7154</v>
      </c>
      <c r="F4024" t="s">
        <v>7231</v>
      </c>
      <c r="G4024" s="92"/>
      <c r="H4024" s="92"/>
      <c r="I4024" s="92"/>
      <c r="J4024" s="92"/>
      <c r="K4024" s="92"/>
      <c r="L4024" s="92" t="str">
        <f>IF(AND(单词表[[#This Row],[学英]]&lt;&gt;"",单词表[[#This Row],[学中]]&lt;&gt;"",单词表[[#This Row],[学词]]&lt;&gt;""),MAX(单词表[[#This Row],[学英]:[学词]]),"")</f>
        <v/>
      </c>
      <c r="M4024" s="2" t="str">
        <f>IF(AND(单词表[[#This Row],[考英]]&lt;&gt;"",单词表[[#This Row],[考中]]&lt;&gt;""),MAX(单词表[[#This Row],[考英]:[考中]]),"")</f>
        <v/>
      </c>
      <c r="N4024" s="86"/>
    </row>
    <row r="4025" spans="1:14" hidden="1" x14ac:dyDescent="0.15">
      <c r="A4025">
        <v>4025</v>
      </c>
      <c r="B4025" t="s">
        <v>7363</v>
      </c>
      <c r="C4025" t="s">
        <v>7360</v>
      </c>
      <c r="D4025" s="78" t="s">
        <v>7210</v>
      </c>
      <c r="E4025" t="s">
        <v>7159</v>
      </c>
      <c r="F4025" t="s">
        <v>7232</v>
      </c>
      <c r="G4025" s="92"/>
      <c r="H4025" s="92"/>
      <c r="I4025" s="92"/>
      <c r="J4025" s="92"/>
      <c r="K4025" s="92"/>
      <c r="L4025" s="92" t="str">
        <f>IF(AND(单词表[[#This Row],[学英]]&lt;&gt;"",单词表[[#This Row],[学中]]&lt;&gt;"",单词表[[#This Row],[学词]]&lt;&gt;""),MAX(单词表[[#This Row],[学英]:[学词]]),"")</f>
        <v/>
      </c>
      <c r="M4025" s="2" t="str">
        <f>IF(AND(单词表[[#This Row],[考英]]&lt;&gt;"",单词表[[#This Row],[考中]]&lt;&gt;""),MAX(单词表[[#This Row],[考英]:[考中]]),"")</f>
        <v/>
      </c>
      <c r="N4025" s="86"/>
    </row>
    <row r="4026" spans="1:14" hidden="1" x14ac:dyDescent="0.15">
      <c r="A4026">
        <v>4026</v>
      </c>
      <c r="B4026" t="s">
        <v>7363</v>
      </c>
      <c r="C4026" t="s">
        <v>7360</v>
      </c>
      <c r="D4026" s="78" t="s">
        <v>7211</v>
      </c>
      <c r="E4026" t="s">
        <v>7154</v>
      </c>
      <c r="F4026" t="s">
        <v>7233</v>
      </c>
      <c r="G4026" s="92"/>
      <c r="H4026" s="92"/>
      <c r="I4026" s="92"/>
      <c r="J4026" s="92"/>
      <c r="K4026" s="92"/>
      <c r="L4026" s="92" t="str">
        <f>IF(AND(单词表[[#This Row],[学英]]&lt;&gt;"",单词表[[#This Row],[学中]]&lt;&gt;"",单词表[[#This Row],[学词]]&lt;&gt;""),MAX(单词表[[#This Row],[学英]:[学词]]),"")</f>
        <v/>
      </c>
      <c r="M4026" s="2" t="str">
        <f>IF(AND(单词表[[#This Row],[考英]]&lt;&gt;"",单词表[[#This Row],[考中]]&lt;&gt;""),MAX(单词表[[#This Row],[考英]:[考中]]),"")</f>
        <v/>
      </c>
      <c r="N4026" s="86"/>
    </row>
    <row r="4027" spans="1:14" hidden="1" x14ac:dyDescent="0.15">
      <c r="A4027">
        <v>4027</v>
      </c>
      <c r="B4027" t="s">
        <v>7363</v>
      </c>
      <c r="C4027" t="s">
        <v>7361</v>
      </c>
      <c r="D4027" s="78" t="s">
        <v>7212</v>
      </c>
      <c r="E4027" t="s">
        <v>7154</v>
      </c>
      <c r="F4027" t="s">
        <v>7234</v>
      </c>
      <c r="G4027" s="92"/>
      <c r="H4027" s="92"/>
      <c r="I4027" s="92"/>
      <c r="J4027" s="92"/>
      <c r="K4027" s="92"/>
      <c r="L4027" s="92" t="str">
        <f>IF(AND(单词表[[#This Row],[学英]]&lt;&gt;"",单词表[[#This Row],[学中]]&lt;&gt;"",单词表[[#This Row],[学词]]&lt;&gt;""),MAX(单词表[[#This Row],[学英]:[学词]]),"")</f>
        <v/>
      </c>
      <c r="M4027" s="2" t="str">
        <f>IF(AND(单词表[[#This Row],[考英]]&lt;&gt;"",单词表[[#This Row],[考中]]&lt;&gt;""),MAX(单词表[[#This Row],[考英]:[考中]]),"")</f>
        <v/>
      </c>
      <c r="N4027" s="86"/>
    </row>
    <row r="4028" spans="1:14" hidden="1" x14ac:dyDescent="0.15">
      <c r="A4028">
        <v>4028</v>
      </c>
      <c r="B4028" t="s">
        <v>7363</v>
      </c>
      <c r="C4028" t="s">
        <v>7361</v>
      </c>
      <c r="D4028" s="78" t="s">
        <v>7213</v>
      </c>
      <c r="E4028" t="s">
        <v>7154</v>
      </c>
      <c r="F4028" t="s">
        <v>7235</v>
      </c>
      <c r="G4028" s="92"/>
      <c r="H4028" s="92"/>
      <c r="I4028" s="92"/>
      <c r="J4028" s="92"/>
      <c r="K4028" s="92"/>
      <c r="L4028" s="92" t="str">
        <f>IF(AND(单词表[[#This Row],[学英]]&lt;&gt;"",单词表[[#This Row],[学中]]&lt;&gt;"",单词表[[#This Row],[学词]]&lt;&gt;""),MAX(单词表[[#This Row],[学英]:[学词]]),"")</f>
        <v/>
      </c>
      <c r="M4028" s="2" t="str">
        <f>IF(AND(单词表[[#This Row],[考英]]&lt;&gt;"",单词表[[#This Row],[考中]]&lt;&gt;""),MAX(单词表[[#This Row],[考英]:[考中]]),"")</f>
        <v/>
      </c>
      <c r="N4028" s="86"/>
    </row>
    <row r="4029" spans="1:14" hidden="1" x14ac:dyDescent="0.15">
      <c r="A4029">
        <v>4029</v>
      </c>
      <c r="B4029" t="s">
        <v>7363</v>
      </c>
      <c r="C4029" t="s">
        <v>7361</v>
      </c>
      <c r="D4029" s="78" t="s">
        <v>7214</v>
      </c>
      <c r="E4029" t="s">
        <v>7154</v>
      </c>
      <c r="F4029" t="s">
        <v>7236</v>
      </c>
      <c r="G4029" s="92"/>
      <c r="H4029" s="92"/>
      <c r="I4029" s="92"/>
      <c r="J4029" s="92"/>
      <c r="K4029" s="92"/>
      <c r="L4029" s="9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6"/>
    </row>
    <row r="4030" spans="1:14" hidden="1" x14ac:dyDescent="0.15">
      <c r="A4030">
        <v>4030</v>
      </c>
      <c r="B4030" t="s">
        <v>7363</v>
      </c>
      <c r="C4030" t="s">
        <v>7361</v>
      </c>
      <c r="D4030" s="78" t="s">
        <v>7215</v>
      </c>
      <c r="E4030" t="s">
        <v>7157</v>
      </c>
      <c r="F4030" t="s">
        <v>7237</v>
      </c>
      <c r="G4030" s="92"/>
      <c r="H4030" s="92"/>
      <c r="I4030" s="92"/>
      <c r="J4030" s="92"/>
      <c r="K4030" s="92"/>
      <c r="L4030" s="9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6"/>
    </row>
    <row r="4031" spans="1:14" hidden="1" x14ac:dyDescent="0.15">
      <c r="A4031">
        <v>4031</v>
      </c>
      <c r="B4031" t="s">
        <v>7363</v>
      </c>
      <c r="C4031" t="s">
        <v>7361</v>
      </c>
      <c r="D4031" s="78" t="s">
        <v>7216</v>
      </c>
      <c r="E4031" t="s">
        <v>7152</v>
      </c>
      <c r="F4031" t="s">
        <v>7238</v>
      </c>
      <c r="G4031" s="92"/>
      <c r="H4031" s="92"/>
      <c r="I4031" s="92"/>
      <c r="J4031" s="92"/>
      <c r="K4031" s="92"/>
      <c r="L4031" s="92" t="str">
        <f>IF(AND(单词表[[#This Row],[学英]]&lt;&gt;"",单词表[[#This Row],[学中]]&lt;&gt;"",单词表[[#This Row],[学词]]&lt;&gt;""),MAX(单词表[[#This Row],[学英]:[学词]]),"")</f>
        <v/>
      </c>
      <c r="M4031" s="2" t="str">
        <f>IF(AND(单词表[[#This Row],[考英]]&lt;&gt;"",单词表[[#This Row],[考中]]&lt;&gt;""),MAX(单词表[[#This Row],[考英]:[考中]]),"")</f>
        <v/>
      </c>
      <c r="N4031" s="86"/>
    </row>
    <row r="4032" spans="1:14" hidden="1" x14ac:dyDescent="0.15">
      <c r="A4032">
        <v>4032</v>
      </c>
      <c r="B4032" t="s">
        <v>7363</v>
      </c>
      <c r="C4032" t="s">
        <v>7361</v>
      </c>
      <c r="D4032" s="78" t="s">
        <v>7239</v>
      </c>
      <c r="E4032" t="s">
        <v>7152</v>
      </c>
      <c r="F4032" t="s">
        <v>7257</v>
      </c>
      <c r="G4032" s="92"/>
      <c r="H4032" s="92"/>
      <c r="I4032" s="92"/>
      <c r="J4032" s="92"/>
      <c r="K4032" s="92"/>
      <c r="L4032" s="9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6"/>
    </row>
    <row r="4033" spans="1:14" hidden="1" x14ac:dyDescent="0.15">
      <c r="A4033">
        <v>4033</v>
      </c>
      <c r="B4033" t="s">
        <v>7363</v>
      </c>
      <c r="C4033" t="s">
        <v>7361</v>
      </c>
      <c r="D4033" s="78" t="s">
        <v>7240</v>
      </c>
      <c r="E4033" t="s">
        <v>7253</v>
      </c>
      <c r="F4033" t="s">
        <v>7259</v>
      </c>
      <c r="G4033" s="92"/>
      <c r="H4033" s="92"/>
      <c r="I4033" s="92"/>
      <c r="J4033" s="92"/>
      <c r="K4033" s="92"/>
      <c r="L4033" s="9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6"/>
    </row>
    <row r="4034" spans="1:14" hidden="1" x14ac:dyDescent="0.15">
      <c r="A4034">
        <v>4034</v>
      </c>
      <c r="B4034" t="s">
        <v>7363</v>
      </c>
      <c r="C4034" t="s">
        <v>7361</v>
      </c>
      <c r="D4034" s="78" t="s">
        <v>7240</v>
      </c>
      <c r="E4034" t="s">
        <v>7152</v>
      </c>
      <c r="F4034" t="s">
        <v>7258</v>
      </c>
      <c r="G4034" s="92"/>
      <c r="H4034" s="92"/>
      <c r="I4034" s="92"/>
      <c r="J4034" s="92"/>
      <c r="K4034" s="92"/>
      <c r="L4034" s="9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6"/>
    </row>
    <row r="4035" spans="1:14" hidden="1" x14ac:dyDescent="0.15">
      <c r="A4035">
        <v>4035</v>
      </c>
      <c r="B4035" t="s">
        <v>7363</v>
      </c>
      <c r="C4035" t="s">
        <v>7361</v>
      </c>
      <c r="D4035" s="78" t="s">
        <v>7241</v>
      </c>
      <c r="E4035" t="s">
        <v>7254</v>
      </c>
      <c r="F4035" t="s">
        <v>7260</v>
      </c>
      <c r="G4035" s="92"/>
      <c r="H4035" s="92"/>
      <c r="I4035" s="92"/>
      <c r="J4035" s="92"/>
      <c r="K4035" s="92"/>
      <c r="L4035" s="9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6"/>
    </row>
    <row r="4036" spans="1:14" hidden="1" x14ac:dyDescent="0.15">
      <c r="A4036">
        <v>4036</v>
      </c>
      <c r="B4036" t="s">
        <v>7363</v>
      </c>
      <c r="C4036" t="s">
        <v>7361</v>
      </c>
      <c r="D4036" s="78" t="s">
        <v>7242</v>
      </c>
      <c r="E4036" t="s">
        <v>7217</v>
      </c>
      <c r="F4036" t="s">
        <v>7261</v>
      </c>
      <c r="G4036" s="92"/>
      <c r="H4036" s="92"/>
      <c r="I4036" s="92"/>
      <c r="J4036" s="92"/>
      <c r="K4036" s="92"/>
      <c r="L4036" s="9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6"/>
    </row>
    <row r="4037" spans="1:14" hidden="1" x14ac:dyDescent="0.15">
      <c r="A4037">
        <v>4037</v>
      </c>
      <c r="B4037" t="s">
        <v>7363</v>
      </c>
      <c r="C4037" t="s">
        <v>7361</v>
      </c>
      <c r="D4037" s="78" t="s">
        <v>7243</v>
      </c>
      <c r="E4037" t="s">
        <v>7152</v>
      </c>
      <c r="F4037" t="s">
        <v>7262</v>
      </c>
      <c r="G4037" s="92"/>
      <c r="H4037" s="92"/>
      <c r="I4037" s="92"/>
      <c r="J4037" s="92"/>
      <c r="K4037" s="92"/>
      <c r="L4037" s="9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6"/>
    </row>
    <row r="4038" spans="1:14" hidden="1" x14ac:dyDescent="0.15">
      <c r="A4038">
        <v>4038</v>
      </c>
      <c r="B4038" t="s">
        <v>7363</v>
      </c>
      <c r="C4038" t="s">
        <v>7361</v>
      </c>
      <c r="D4038" s="78" t="s">
        <v>7244</v>
      </c>
      <c r="E4038" t="s">
        <v>7156</v>
      </c>
      <c r="F4038" t="s">
        <v>7263</v>
      </c>
      <c r="G4038" s="92"/>
      <c r="H4038" s="92"/>
      <c r="I4038" s="92"/>
      <c r="J4038" s="92"/>
      <c r="K4038" s="92"/>
      <c r="L4038" s="9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6"/>
    </row>
    <row r="4039" spans="1:14" hidden="1" x14ac:dyDescent="0.15">
      <c r="A4039">
        <v>4039</v>
      </c>
      <c r="B4039" t="s">
        <v>7363</v>
      </c>
      <c r="C4039" t="s">
        <v>7361</v>
      </c>
      <c r="D4039" s="78" t="s">
        <v>7245</v>
      </c>
      <c r="E4039" t="s">
        <v>7255</v>
      </c>
      <c r="F4039" t="s">
        <v>7264</v>
      </c>
      <c r="G4039" s="92"/>
      <c r="H4039" s="92"/>
      <c r="I4039" s="92"/>
      <c r="J4039" s="92"/>
      <c r="K4039" s="92"/>
      <c r="L4039" s="9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6"/>
    </row>
    <row r="4040" spans="1:14" hidden="1" x14ac:dyDescent="0.15">
      <c r="A4040">
        <v>4040</v>
      </c>
      <c r="B4040" t="s">
        <v>7363</v>
      </c>
      <c r="C4040" t="s">
        <v>7361</v>
      </c>
      <c r="D4040" s="78" t="s">
        <v>7246</v>
      </c>
      <c r="E4040" t="s">
        <v>7162</v>
      </c>
      <c r="F4040" t="s">
        <v>7265</v>
      </c>
      <c r="G4040" s="92"/>
      <c r="H4040" s="92"/>
      <c r="I4040" s="92"/>
      <c r="J4040" s="92"/>
      <c r="K4040" s="92"/>
      <c r="L4040" s="9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6"/>
    </row>
    <row r="4041" spans="1:14" hidden="1" x14ac:dyDescent="0.15">
      <c r="A4041">
        <v>4041</v>
      </c>
      <c r="B4041" t="s">
        <v>7363</v>
      </c>
      <c r="C4041" t="s">
        <v>7361</v>
      </c>
      <c r="D4041" s="78" t="s">
        <v>7247</v>
      </c>
      <c r="E4041" t="s">
        <v>7159</v>
      </c>
      <c r="F4041" t="s">
        <v>7266</v>
      </c>
      <c r="G4041" s="92"/>
      <c r="H4041" s="92"/>
      <c r="I4041" s="92"/>
      <c r="J4041" s="92"/>
      <c r="K4041" s="92"/>
      <c r="L4041" s="9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6"/>
    </row>
    <row r="4042" spans="1:14" hidden="1" x14ac:dyDescent="0.15">
      <c r="A4042">
        <v>4042</v>
      </c>
      <c r="B4042" t="s">
        <v>7363</v>
      </c>
      <c r="C4042" t="s">
        <v>7361</v>
      </c>
      <c r="D4042" s="78" t="s">
        <v>7248</v>
      </c>
      <c r="E4042" t="s">
        <v>7256</v>
      </c>
      <c r="F4042" t="s">
        <v>7267</v>
      </c>
      <c r="G4042" s="92"/>
      <c r="H4042" s="92"/>
      <c r="I4042" s="92"/>
      <c r="J4042" s="92"/>
      <c r="K4042" s="92"/>
      <c r="L4042" s="9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6"/>
    </row>
    <row r="4043" spans="1:14" hidden="1" x14ac:dyDescent="0.15">
      <c r="A4043">
        <v>4043</v>
      </c>
      <c r="B4043" t="s">
        <v>7363</v>
      </c>
      <c r="C4043" t="s">
        <v>7361</v>
      </c>
      <c r="D4043" s="78" t="s">
        <v>7249</v>
      </c>
      <c r="E4043" t="s">
        <v>7217</v>
      </c>
      <c r="F4043" t="s">
        <v>7268</v>
      </c>
      <c r="G4043" s="92"/>
      <c r="H4043" s="92"/>
      <c r="I4043" s="92"/>
      <c r="J4043" s="92"/>
      <c r="K4043" s="92"/>
      <c r="L4043" s="9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6"/>
    </row>
    <row r="4044" spans="1:14" hidden="1" x14ac:dyDescent="0.15">
      <c r="A4044">
        <v>4044</v>
      </c>
      <c r="B4044" t="s">
        <v>7363</v>
      </c>
      <c r="C4044" t="s">
        <v>7361</v>
      </c>
      <c r="D4044" s="78" t="s">
        <v>7250</v>
      </c>
      <c r="E4044" t="s">
        <v>7151</v>
      </c>
      <c r="F4044" t="s">
        <v>7269</v>
      </c>
      <c r="G4044" s="92"/>
      <c r="H4044" s="92"/>
      <c r="I4044" s="92"/>
      <c r="J4044" s="92"/>
      <c r="K4044" s="92"/>
      <c r="L4044" s="9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6"/>
    </row>
    <row r="4045" spans="1:14" hidden="1" x14ac:dyDescent="0.15">
      <c r="A4045">
        <v>4045</v>
      </c>
      <c r="B4045" t="s">
        <v>7363</v>
      </c>
      <c r="C4045" t="s">
        <v>7361</v>
      </c>
      <c r="D4045" s="78" t="s">
        <v>7270</v>
      </c>
      <c r="E4045" t="s">
        <v>7271</v>
      </c>
      <c r="F4045" t="s">
        <v>7272</v>
      </c>
      <c r="G4045" s="92"/>
      <c r="H4045" s="92"/>
      <c r="I4045" s="92"/>
      <c r="J4045" s="92"/>
      <c r="K4045" s="92"/>
      <c r="L4045" s="9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6"/>
    </row>
    <row r="4046" spans="1:14" hidden="1" x14ac:dyDescent="0.15">
      <c r="A4046">
        <v>4046</v>
      </c>
      <c r="B4046" t="s">
        <v>7363</v>
      </c>
      <c r="C4046" t="s">
        <v>7361</v>
      </c>
      <c r="D4046" s="78" t="s">
        <v>7251</v>
      </c>
      <c r="E4046" t="s">
        <v>7154</v>
      </c>
      <c r="F4046" t="s">
        <v>7273</v>
      </c>
      <c r="G4046" s="92"/>
      <c r="H4046" s="92"/>
      <c r="I4046" s="92"/>
      <c r="J4046" s="92"/>
      <c r="K4046" s="92"/>
      <c r="L4046" s="9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6"/>
    </row>
    <row r="4047" spans="1:14" hidden="1" x14ac:dyDescent="0.15">
      <c r="A4047">
        <v>4047</v>
      </c>
      <c r="B4047" t="s">
        <v>7363</v>
      </c>
      <c r="C4047" t="s">
        <v>7361</v>
      </c>
      <c r="D4047" s="78" t="s">
        <v>7252</v>
      </c>
      <c r="E4047" t="s">
        <v>7217</v>
      </c>
      <c r="F4047" t="s">
        <v>7274</v>
      </c>
      <c r="G4047" s="92"/>
      <c r="H4047" s="92"/>
      <c r="I4047" s="92"/>
      <c r="J4047" s="92"/>
      <c r="K4047" s="92"/>
      <c r="L4047" s="9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6"/>
    </row>
    <row r="4048" spans="1:14" hidden="1" x14ac:dyDescent="0.15">
      <c r="A4048">
        <v>4048</v>
      </c>
      <c r="B4048" t="s">
        <v>7363</v>
      </c>
      <c r="C4048" t="s">
        <v>7361</v>
      </c>
      <c r="D4048" s="78" t="s">
        <v>7275</v>
      </c>
      <c r="E4048" t="s">
        <v>7217</v>
      </c>
      <c r="F4048" t="s">
        <v>7276</v>
      </c>
      <c r="G4048" s="92"/>
      <c r="H4048" s="92"/>
      <c r="I4048" s="92"/>
      <c r="J4048" s="92"/>
      <c r="K4048" s="92"/>
      <c r="L4048" s="9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6"/>
    </row>
    <row r="4049" spans="1:14" hidden="1" x14ac:dyDescent="0.15">
      <c r="A4049">
        <v>4049</v>
      </c>
      <c r="B4049" t="s">
        <v>7363</v>
      </c>
      <c r="C4049" t="s">
        <v>7361</v>
      </c>
      <c r="D4049" s="78" t="s">
        <v>7277</v>
      </c>
      <c r="E4049" t="s">
        <v>7153</v>
      </c>
      <c r="F4049" t="s">
        <v>7278</v>
      </c>
      <c r="G4049" s="92"/>
      <c r="H4049" s="92"/>
      <c r="I4049" s="92"/>
      <c r="J4049" s="92"/>
      <c r="K4049" s="92"/>
      <c r="L4049" s="9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6"/>
    </row>
    <row r="4050" spans="1:14" hidden="1" x14ac:dyDescent="0.15">
      <c r="A4050">
        <v>4050</v>
      </c>
      <c r="B4050" t="s">
        <v>7363</v>
      </c>
      <c r="C4050" t="s">
        <v>7361</v>
      </c>
      <c r="D4050" s="78" t="s">
        <v>7279</v>
      </c>
      <c r="E4050" t="s">
        <v>7155</v>
      </c>
      <c r="F4050" t="s">
        <v>7321</v>
      </c>
      <c r="G4050" s="92"/>
      <c r="H4050" s="92"/>
      <c r="I4050" s="92"/>
      <c r="J4050" s="92"/>
      <c r="K4050" s="92"/>
      <c r="L4050" s="9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6"/>
    </row>
    <row r="4051" spans="1:14" hidden="1" x14ac:dyDescent="0.15">
      <c r="A4051">
        <v>4051</v>
      </c>
      <c r="B4051" t="s">
        <v>7363</v>
      </c>
      <c r="C4051" t="s">
        <v>7361</v>
      </c>
      <c r="D4051" s="78" t="s">
        <v>7280</v>
      </c>
      <c r="E4051" t="s">
        <v>7316</v>
      </c>
      <c r="F4051" t="s">
        <v>7322</v>
      </c>
      <c r="G4051" s="92"/>
      <c r="H4051" s="92"/>
      <c r="I4051" s="92"/>
      <c r="J4051" s="92"/>
      <c r="K4051" s="92"/>
      <c r="L4051" s="9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6"/>
    </row>
    <row r="4052" spans="1:14" hidden="1" x14ac:dyDescent="0.15">
      <c r="A4052">
        <v>4052</v>
      </c>
      <c r="B4052" t="s">
        <v>7363</v>
      </c>
      <c r="C4052" t="s">
        <v>7361</v>
      </c>
      <c r="D4052" s="78" t="s">
        <v>7281</v>
      </c>
      <c r="E4052" t="s">
        <v>7217</v>
      </c>
      <c r="F4052" t="s">
        <v>7323</v>
      </c>
      <c r="G4052" s="92"/>
      <c r="H4052" s="92"/>
      <c r="I4052" s="92"/>
      <c r="J4052" s="92"/>
      <c r="K4052" s="92"/>
      <c r="L4052" s="9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6"/>
    </row>
    <row r="4053" spans="1:14" hidden="1" x14ac:dyDescent="0.15">
      <c r="A4053">
        <v>4053</v>
      </c>
      <c r="B4053" t="s">
        <v>7363</v>
      </c>
      <c r="C4053" t="s">
        <v>7361</v>
      </c>
      <c r="D4053" s="78" t="s">
        <v>7282</v>
      </c>
      <c r="E4053" t="s">
        <v>7154</v>
      </c>
      <c r="F4053" t="s">
        <v>7324</v>
      </c>
      <c r="G4053" s="92"/>
      <c r="H4053" s="92"/>
      <c r="I4053" s="92"/>
      <c r="J4053" s="92"/>
      <c r="K4053" s="92"/>
      <c r="L4053" s="9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6"/>
    </row>
    <row r="4054" spans="1:14" hidden="1" x14ac:dyDescent="0.15">
      <c r="A4054">
        <v>4054</v>
      </c>
      <c r="B4054" t="s">
        <v>7363</v>
      </c>
      <c r="C4054" t="s">
        <v>7361</v>
      </c>
      <c r="D4054" s="78" t="s">
        <v>7283</v>
      </c>
      <c r="E4054" t="s">
        <v>7151</v>
      </c>
      <c r="F4054" t="s">
        <v>7325</v>
      </c>
      <c r="G4054" s="92"/>
      <c r="H4054" s="92"/>
      <c r="I4054" s="92"/>
      <c r="J4054" s="92"/>
      <c r="K4054" s="92"/>
      <c r="L4054" s="9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6"/>
    </row>
    <row r="4055" spans="1:14" hidden="1" x14ac:dyDescent="0.15">
      <c r="A4055">
        <v>4055</v>
      </c>
      <c r="B4055" t="s">
        <v>7363</v>
      </c>
      <c r="C4055" t="s">
        <v>7361</v>
      </c>
      <c r="D4055" s="78" t="s">
        <v>7284</v>
      </c>
      <c r="E4055" t="s">
        <v>7155</v>
      </c>
      <c r="F4055" t="s">
        <v>7326</v>
      </c>
      <c r="G4055" s="92"/>
      <c r="H4055" s="92"/>
      <c r="I4055" s="92"/>
      <c r="J4055" s="92"/>
      <c r="K4055" s="92"/>
      <c r="L4055" s="9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6"/>
    </row>
    <row r="4056" spans="1:14" hidden="1" x14ac:dyDescent="0.15">
      <c r="A4056">
        <v>4056</v>
      </c>
      <c r="B4056" t="s">
        <v>7363</v>
      </c>
      <c r="C4056" t="s">
        <v>7361</v>
      </c>
      <c r="D4056" s="78" t="s">
        <v>7285</v>
      </c>
      <c r="E4056" t="s">
        <v>7254</v>
      </c>
      <c r="F4056" t="s">
        <v>7327</v>
      </c>
      <c r="G4056" s="92"/>
      <c r="H4056" s="92"/>
      <c r="I4056" s="92"/>
      <c r="J4056" s="92"/>
      <c r="K4056" s="92"/>
      <c r="L4056" s="9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6"/>
    </row>
    <row r="4057" spans="1:14" hidden="1" x14ac:dyDescent="0.15">
      <c r="A4057">
        <v>4057</v>
      </c>
      <c r="B4057" t="s">
        <v>7363</v>
      </c>
      <c r="C4057" t="s">
        <v>7362</v>
      </c>
      <c r="D4057" s="78" t="s">
        <v>7286</v>
      </c>
      <c r="E4057" t="s">
        <v>7254</v>
      </c>
      <c r="F4057" t="s">
        <v>7328</v>
      </c>
      <c r="G4057" s="92"/>
      <c r="H4057" s="92"/>
      <c r="I4057" s="92"/>
      <c r="J4057" s="92"/>
      <c r="K4057" s="92"/>
      <c r="L4057" s="9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6"/>
    </row>
    <row r="4058" spans="1:14" hidden="1" x14ac:dyDescent="0.15">
      <c r="A4058">
        <v>4058</v>
      </c>
      <c r="B4058" t="s">
        <v>7363</v>
      </c>
      <c r="C4058" t="s">
        <v>7362</v>
      </c>
      <c r="D4058" s="78" t="s">
        <v>7287</v>
      </c>
      <c r="E4058" t="s">
        <v>7162</v>
      </c>
      <c r="F4058" t="s">
        <v>7329</v>
      </c>
      <c r="G4058" s="92"/>
      <c r="H4058" s="92"/>
      <c r="I4058" s="92"/>
      <c r="J4058" s="92"/>
      <c r="K4058" s="92"/>
      <c r="L4058" s="9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6"/>
    </row>
    <row r="4059" spans="1:14" hidden="1" x14ac:dyDescent="0.15">
      <c r="A4059">
        <v>4059</v>
      </c>
      <c r="B4059" t="s">
        <v>7363</v>
      </c>
      <c r="C4059" t="s">
        <v>7362</v>
      </c>
      <c r="D4059" s="78" t="s">
        <v>7288</v>
      </c>
      <c r="E4059" t="s">
        <v>7152</v>
      </c>
      <c r="F4059" t="s">
        <v>7330</v>
      </c>
      <c r="G4059" s="92"/>
      <c r="H4059" s="92"/>
      <c r="I4059" s="92"/>
      <c r="J4059" s="92"/>
      <c r="K4059" s="92"/>
      <c r="L4059" s="9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6"/>
    </row>
    <row r="4060" spans="1:14" hidden="1" x14ac:dyDescent="0.15">
      <c r="A4060">
        <v>4060</v>
      </c>
      <c r="B4060" t="s">
        <v>7363</v>
      </c>
      <c r="C4060" t="s">
        <v>7362</v>
      </c>
      <c r="D4060" s="78" t="s">
        <v>7289</v>
      </c>
      <c r="E4060" t="s">
        <v>7218</v>
      </c>
      <c r="F4060" t="s">
        <v>7331</v>
      </c>
      <c r="G4060" s="92"/>
      <c r="H4060" s="92"/>
      <c r="I4060" s="92"/>
      <c r="J4060" s="92"/>
      <c r="K4060" s="92"/>
      <c r="L4060" s="9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6"/>
    </row>
    <row r="4061" spans="1:14" hidden="1" x14ac:dyDescent="0.15">
      <c r="A4061">
        <v>4061</v>
      </c>
      <c r="B4061" t="s">
        <v>7363</v>
      </c>
      <c r="C4061" t="s">
        <v>7362</v>
      </c>
      <c r="D4061" s="78" t="s">
        <v>7290</v>
      </c>
      <c r="E4061" t="s">
        <v>7154</v>
      </c>
      <c r="F4061" t="s">
        <v>7332</v>
      </c>
      <c r="G4061" s="92"/>
      <c r="H4061" s="92"/>
      <c r="I4061" s="92"/>
      <c r="J4061" s="92"/>
      <c r="K4061" s="92"/>
      <c r="L4061" s="9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6"/>
    </row>
    <row r="4062" spans="1:14" hidden="1" x14ac:dyDescent="0.15">
      <c r="A4062">
        <v>4062</v>
      </c>
      <c r="B4062" t="s">
        <v>7363</v>
      </c>
      <c r="C4062" t="s">
        <v>7362</v>
      </c>
      <c r="D4062" s="78" t="s">
        <v>7291</v>
      </c>
      <c r="E4062" t="s">
        <v>7217</v>
      </c>
      <c r="F4062" t="s">
        <v>7333</v>
      </c>
      <c r="G4062" s="92"/>
      <c r="H4062" s="92"/>
      <c r="I4062" s="92"/>
      <c r="J4062" s="92"/>
      <c r="K4062" s="92"/>
      <c r="L4062" s="9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6"/>
    </row>
    <row r="4063" spans="1:14" hidden="1" x14ac:dyDescent="0.15">
      <c r="A4063">
        <v>4063</v>
      </c>
      <c r="B4063" t="s">
        <v>7363</v>
      </c>
      <c r="C4063" t="s">
        <v>7362</v>
      </c>
      <c r="D4063" s="78" t="s">
        <v>7292</v>
      </c>
      <c r="E4063" t="s">
        <v>7154</v>
      </c>
      <c r="F4063" t="s">
        <v>7334</v>
      </c>
      <c r="G4063" s="92"/>
      <c r="H4063" s="92"/>
      <c r="I4063" s="92"/>
      <c r="J4063" s="92"/>
      <c r="K4063" s="92"/>
      <c r="L4063" s="9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6"/>
    </row>
    <row r="4064" spans="1:14" hidden="1" x14ac:dyDescent="0.15">
      <c r="A4064">
        <v>4064</v>
      </c>
      <c r="B4064" t="s">
        <v>7363</v>
      </c>
      <c r="C4064" t="s">
        <v>7362</v>
      </c>
      <c r="D4064" s="78" t="s">
        <v>7292</v>
      </c>
      <c r="E4064" t="s">
        <v>7162</v>
      </c>
      <c r="F4064" t="s">
        <v>7335</v>
      </c>
      <c r="G4064" s="92"/>
      <c r="H4064" s="92"/>
      <c r="I4064" s="92"/>
      <c r="J4064" s="92"/>
      <c r="K4064" s="92"/>
      <c r="L4064" s="9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6"/>
    </row>
    <row r="4065" spans="1:14" hidden="1" x14ac:dyDescent="0.15">
      <c r="A4065">
        <v>4065</v>
      </c>
      <c r="B4065" t="s">
        <v>7363</v>
      </c>
      <c r="C4065" t="s">
        <v>7362</v>
      </c>
      <c r="D4065" s="78" t="s">
        <v>7293</v>
      </c>
      <c r="E4065" t="s">
        <v>7162</v>
      </c>
      <c r="F4065" t="s">
        <v>7336</v>
      </c>
      <c r="G4065" s="92"/>
      <c r="H4065" s="92"/>
      <c r="I4065" s="92"/>
      <c r="J4065" s="92"/>
      <c r="K4065" s="92"/>
      <c r="L4065" s="9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6"/>
    </row>
    <row r="4066" spans="1:14" hidden="1" x14ac:dyDescent="0.15">
      <c r="A4066">
        <v>4066</v>
      </c>
      <c r="B4066" t="s">
        <v>7363</v>
      </c>
      <c r="C4066" t="s">
        <v>7362</v>
      </c>
      <c r="D4066" s="78" t="s">
        <v>7294</v>
      </c>
      <c r="E4066" t="s">
        <v>7152</v>
      </c>
      <c r="F4066" t="s">
        <v>7337</v>
      </c>
      <c r="G4066" s="92"/>
      <c r="H4066" s="92"/>
      <c r="I4066" s="92"/>
      <c r="J4066" s="92"/>
      <c r="K4066" s="92"/>
      <c r="L4066" s="9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6"/>
    </row>
    <row r="4067" spans="1:14" hidden="1" x14ac:dyDescent="0.15">
      <c r="A4067">
        <v>4067</v>
      </c>
      <c r="B4067" t="s">
        <v>7363</v>
      </c>
      <c r="C4067" t="s">
        <v>7362</v>
      </c>
      <c r="D4067" s="78" t="s">
        <v>7295</v>
      </c>
      <c r="E4067" t="s">
        <v>7154</v>
      </c>
      <c r="F4067" t="s">
        <v>7338</v>
      </c>
      <c r="G4067" s="92"/>
      <c r="H4067" s="92"/>
      <c r="I4067" s="92"/>
      <c r="J4067" s="92"/>
      <c r="K4067" s="92"/>
      <c r="L4067" s="9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6"/>
    </row>
    <row r="4068" spans="1:14" hidden="1" x14ac:dyDescent="0.15">
      <c r="A4068">
        <v>4068</v>
      </c>
      <c r="B4068" t="s">
        <v>7363</v>
      </c>
      <c r="C4068" t="s">
        <v>7362</v>
      </c>
      <c r="D4068" s="78" t="s">
        <v>7296</v>
      </c>
      <c r="E4068" t="s">
        <v>7152</v>
      </c>
      <c r="F4068" t="s">
        <v>7339</v>
      </c>
      <c r="G4068" s="92"/>
      <c r="H4068" s="92"/>
      <c r="I4068" s="92"/>
      <c r="J4068" s="92"/>
      <c r="K4068" s="92"/>
      <c r="L4068" s="9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6"/>
    </row>
    <row r="4069" spans="1:14" hidden="1" x14ac:dyDescent="0.15">
      <c r="A4069">
        <v>4069</v>
      </c>
      <c r="B4069" t="s">
        <v>7363</v>
      </c>
      <c r="C4069" t="s">
        <v>7362</v>
      </c>
      <c r="D4069" s="78" t="s">
        <v>7297</v>
      </c>
      <c r="E4069" t="s">
        <v>7154</v>
      </c>
      <c r="F4069" t="s">
        <v>7340</v>
      </c>
      <c r="G4069" s="92"/>
      <c r="H4069" s="92"/>
      <c r="I4069" s="92"/>
      <c r="J4069" s="92"/>
      <c r="K4069" s="92"/>
      <c r="L4069" s="9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6"/>
    </row>
    <row r="4070" spans="1:14" hidden="1" x14ac:dyDescent="0.15">
      <c r="A4070">
        <v>4070</v>
      </c>
      <c r="B4070" t="s">
        <v>7363</v>
      </c>
      <c r="C4070" t="s">
        <v>7362</v>
      </c>
      <c r="D4070" s="78" t="s">
        <v>7298</v>
      </c>
      <c r="E4070" t="s">
        <v>7217</v>
      </c>
      <c r="F4070" t="s">
        <v>7341</v>
      </c>
      <c r="G4070" s="92"/>
      <c r="H4070" s="92"/>
      <c r="I4070" s="92"/>
      <c r="J4070" s="92"/>
      <c r="K4070" s="92"/>
      <c r="L4070" s="9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6"/>
    </row>
    <row r="4071" spans="1:14" hidden="1" x14ac:dyDescent="0.15">
      <c r="A4071">
        <v>4071</v>
      </c>
      <c r="B4071" t="s">
        <v>7363</v>
      </c>
      <c r="C4071" t="s">
        <v>7362</v>
      </c>
      <c r="D4071" s="78" t="s">
        <v>7299</v>
      </c>
      <c r="E4071" t="s">
        <v>7151</v>
      </c>
      <c r="F4071" t="s">
        <v>7342</v>
      </c>
      <c r="G4071" s="92"/>
      <c r="H4071" s="92"/>
      <c r="I4071" s="92"/>
      <c r="J4071" s="92"/>
      <c r="K4071" s="92"/>
      <c r="L4071" s="9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6"/>
    </row>
    <row r="4072" spans="1:14" hidden="1" x14ac:dyDescent="0.15">
      <c r="A4072">
        <v>4072</v>
      </c>
      <c r="B4072" t="s">
        <v>7363</v>
      </c>
      <c r="C4072" t="s">
        <v>7362</v>
      </c>
      <c r="D4072" s="78" t="s">
        <v>7300</v>
      </c>
      <c r="E4072" t="s">
        <v>7317</v>
      </c>
      <c r="F4072" t="s">
        <v>7343</v>
      </c>
      <c r="G4072" s="92"/>
      <c r="H4072" s="92"/>
      <c r="I4072" s="92"/>
      <c r="J4072" s="92"/>
      <c r="K4072" s="92"/>
      <c r="L4072" s="92" t="str">
        <f>IF(AND(单词表[[#This Row],[学英]]&lt;&gt;"",单词表[[#This Row],[学中]]&lt;&gt;"",单词表[[#This Row],[学词]]&lt;&gt;""),MAX(单词表[[#This Row],[学英]:[学词]]),"")</f>
        <v/>
      </c>
      <c r="M4072" s="2" t="str">
        <f>IF(AND(单词表[[#This Row],[考英]]&lt;&gt;"",单词表[[#This Row],[考中]]&lt;&gt;""),MAX(单词表[[#This Row],[考英]:[考中]]),"")</f>
        <v/>
      </c>
      <c r="N4072" s="86"/>
    </row>
    <row r="4073" spans="1:14" hidden="1" x14ac:dyDescent="0.15">
      <c r="A4073">
        <v>4073</v>
      </c>
      <c r="B4073" t="s">
        <v>7363</v>
      </c>
      <c r="C4073" t="s">
        <v>7362</v>
      </c>
      <c r="D4073" s="78" t="s">
        <v>7301</v>
      </c>
      <c r="E4073" t="s">
        <v>7217</v>
      </c>
      <c r="F4073" t="s">
        <v>7344</v>
      </c>
      <c r="G4073" s="92"/>
      <c r="H4073" s="92"/>
      <c r="I4073" s="92"/>
      <c r="J4073" s="92"/>
      <c r="K4073" s="92"/>
      <c r="L4073" s="92" t="str">
        <f>IF(AND(单词表[[#This Row],[学英]]&lt;&gt;"",单词表[[#This Row],[学中]]&lt;&gt;"",单词表[[#This Row],[学词]]&lt;&gt;""),MAX(单词表[[#This Row],[学英]:[学词]]),"")</f>
        <v/>
      </c>
      <c r="M4073" s="2" t="str">
        <f>IF(AND(单词表[[#This Row],[考英]]&lt;&gt;"",单词表[[#This Row],[考中]]&lt;&gt;""),MAX(单词表[[#This Row],[考英]:[考中]]),"")</f>
        <v/>
      </c>
      <c r="N4073" s="86"/>
    </row>
    <row r="4074" spans="1:14" hidden="1" x14ac:dyDescent="0.15">
      <c r="A4074">
        <v>4074</v>
      </c>
      <c r="B4074" t="s">
        <v>7363</v>
      </c>
      <c r="C4074" t="s">
        <v>7362</v>
      </c>
      <c r="D4074" s="78" t="s">
        <v>7302</v>
      </c>
      <c r="E4074" t="s">
        <v>7158</v>
      </c>
      <c r="F4074" t="s">
        <v>7345</v>
      </c>
      <c r="G4074" s="92"/>
      <c r="H4074" s="92"/>
      <c r="I4074" s="92"/>
      <c r="J4074" s="92"/>
      <c r="K4074" s="92"/>
      <c r="L4074" s="92" t="str">
        <f>IF(AND(单词表[[#This Row],[学英]]&lt;&gt;"",单词表[[#This Row],[学中]]&lt;&gt;"",单词表[[#This Row],[学词]]&lt;&gt;""),MAX(单词表[[#This Row],[学英]:[学词]]),"")</f>
        <v/>
      </c>
      <c r="M4074" s="2" t="str">
        <f>IF(AND(单词表[[#This Row],[考英]]&lt;&gt;"",单词表[[#This Row],[考中]]&lt;&gt;""),MAX(单词表[[#This Row],[考英]:[考中]]),"")</f>
        <v/>
      </c>
      <c r="N4074" s="86"/>
    </row>
    <row r="4075" spans="1:14" hidden="1" x14ac:dyDescent="0.15">
      <c r="A4075">
        <v>4075</v>
      </c>
      <c r="B4075" t="s">
        <v>7363</v>
      </c>
      <c r="C4075" t="s">
        <v>7362</v>
      </c>
      <c r="D4075" s="78" t="s">
        <v>7303</v>
      </c>
      <c r="E4075" t="s">
        <v>7151</v>
      </c>
      <c r="F4075" t="s">
        <v>7346</v>
      </c>
      <c r="G4075" s="92"/>
      <c r="H4075" s="92"/>
      <c r="I4075" s="92"/>
      <c r="J4075" s="92"/>
      <c r="K4075" s="92"/>
      <c r="L4075" s="92" t="str">
        <f>IF(AND(单词表[[#This Row],[学英]]&lt;&gt;"",单词表[[#This Row],[学中]]&lt;&gt;"",单词表[[#This Row],[学词]]&lt;&gt;""),MAX(单词表[[#This Row],[学英]:[学词]]),"")</f>
        <v/>
      </c>
      <c r="M4075" s="2" t="str">
        <f>IF(AND(单词表[[#This Row],[考英]]&lt;&gt;"",单词表[[#This Row],[考中]]&lt;&gt;""),MAX(单词表[[#This Row],[考英]:[考中]]),"")</f>
        <v/>
      </c>
      <c r="N4075" s="86"/>
    </row>
    <row r="4076" spans="1:14" hidden="1" x14ac:dyDescent="0.15">
      <c r="A4076">
        <v>4076</v>
      </c>
      <c r="B4076" t="s">
        <v>7363</v>
      </c>
      <c r="C4076" t="s">
        <v>7362</v>
      </c>
      <c r="D4076" s="78" t="s">
        <v>7304</v>
      </c>
      <c r="E4076" t="s">
        <v>7156</v>
      </c>
      <c r="F4076" t="s">
        <v>7347</v>
      </c>
      <c r="G4076" s="92"/>
      <c r="H4076" s="92"/>
      <c r="I4076" s="92"/>
      <c r="J4076" s="92"/>
      <c r="K4076" s="92"/>
      <c r="L4076" s="92" t="str">
        <f>IF(AND(单词表[[#This Row],[学英]]&lt;&gt;"",单词表[[#This Row],[学中]]&lt;&gt;"",单词表[[#This Row],[学词]]&lt;&gt;""),MAX(单词表[[#This Row],[学英]:[学词]]),"")</f>
        <v/>
      </c>
      <c r="M4076" s="2" t="str">
        <f>IF(AND(单词表[[#This Row],[考英]]&lt;&gt;"",单词表[[#This Row],[考中]]&lt;&gt;""),MAX(单词表[[#This Row],[考英]:[考中]]),"")</f>
        <v/>
      </c>
      <c r="N4076" s="86"/>
    </row>
    <row r="4077" spans="1:14" hidden="1" x14ac:dyDescent="0.15">
      <c r="A4077">
        <v>4077</v>
      </c>
      <c r="B4077" t="s">
        <v>7363</v>
      </c>
      <c r="C4077" t="s">
        <v>7362</v>
      </c>
      <c r="D4077" s="78" t="s">
        <v>7305</v>
      </c>
      <c r="E4077" t="s">
        <v>7254</v>
      </c>
      <c r="F4077" t="s">
        <v>7348</v>
      </c>
      <c r="G4077" s="92"/>
      <c r="H4077" s="92"/>
      <c r="I4077" s="92"/>
      <c r="J4077" s="92"/>
      <c r="K4077" s="92"/>
      <c r="L4077" s="92" t="str">
        <f>IF(AND(单词表[[#This Row],[学英]]&lt;&gt;"",单词表[[#This Row],[学中]]&lt;&gt;"",单词表[[#This Row],[学词]]&lt;&gt;""),MAX(单词表[[#This Row],[学英]:[学词]]),"")</f>
        <v/>
      </c>
      <c r="M4077" s="2" t="str">
        <f>IF(AND(单词表[[#This Row],[考英]]&lt;&gt;"",单词表[[#This Row],[考中]]&lt;&gt;""),MAX(单词表[[#This Row],[考英]:[考中]]),"")</f>
        <v/>
      </c>
      <c r="N4077" s="86"/>
    </row>
    <row r="4078" spans="1:14" hidden="1" x14ac:dyDescent="0.15">
      <c r="A4078">
        <v>4078</v>
      </c>
      <c r="B4078" t="s">
        <v>7363</v>
      </c>
      <c r="C4078" t="s">
        <v>7362</v>
      </c>
      <c r="D4078" s="78" t="s">
        <v>7306</v>
      </c>
      <c r="E4078" t="s">
        <v>7156</v>
      </c>
      <c r="F4078" t="s">
        <v>7349</v>
      </c>
      <c r="G4078" s="92"/>
      <c r="H4078" s="92"/>
      <c r="I4078" s="92"/>
      <c r="J4078" s="92"/>
      <c r="K4078" s="92"/>
      <c r="L4078" s="92" t="str">
        <f>IF(AND(单词表[[#This Row],[学英]]&lt;&gt;"",单词表[[#This Row],[学中]]&lt;&gt;"",单词表[[#This Row],[学词]]&lt;&gt;""),MAX(单词表[[#This Row],[学英]:[学词]]),"")</f>
        <v/>
      </c>
      <c r="M4078" s="2" t="str">
        <f>IF(AND(单词表[[#This Row],[考英]]&lt;&gt;"",单词表[[#This Row],[考中]]&lt;&gt;""),MAX(单词表[[#This Row],[考英]:[考中]]),"")</f>
        <v/>
      </c>
      <c r="N4078" s="86"/>
    </row>
    <row r="4079" spans="1:14" hidden="1" x14ac:dyDescent="0.15">
      <c r="A4079">
        <v>4079</v>
      </c>
      <c r="B4079" t="s">
        <v>7363</v>
      </c>
      <c r="C4079" t="s">
        <v>7362</v>
      </c>
      <c r="D4079" s="78" t="s">
        <v>7318</v>
      </c>
      <c r="E4079" t="s">
        <v>7156</v>
      </c>
      <c r="F4079" t="s">
        <v>7350</v>
      </c>
      <c r="G4079" s="92"/>
      <c r="H4079" s="92"/>
      <c r="I4079" s="92"/>
      <c r="J4079" s="92"/>
      <c r="K4079" s="92"/>
      <c r="L4079" s="92" t="str">
        <f>IF(AND(单词表[[#This Row],[学英]]&lt;&gt;"",单词表[[#This Row],[学中]]&lt;&gt;"",单词表[[#This Row],[学词]]&lt;&gt;""),MAX(单词表[[#This Row],[学英]:[学词]]),"")</f>
        <v/>
      </c>
      <c r="M4079" s="2" t="str">
        <f>IF(AND(单词表[[#This Row],[考英]]&lt;&gt;"",单词表[[#This Row],[考中]]&lt;&gt;""),MAX(单词表[[#This Row],[考英]:[考中]]),"")</f>
        <v/>
      </c>
      <c r="N4079" s="86"/>
    </row>
    <row r="4080" spans="1:14" hidden="1" x14ac:dyDescent="0.15">
      <c r="A4080">
        <v>4080</v>
      </c>
      <c r="B4080" t="s">
        <v>7363</v>
      </c>
      <c r="C4080" t="s">
        <v>7362</v>
      </c>
      <c r="D4080" s="78" t="s">
        <v>7307</v>
      </c>
      <c r="E4080" t="s">
        <v>7154</v>
      </c>
      <c r="F4080" t="s">
        <v>7351</v>
      </c>
      <c r="G4080" s="92"/>
      <c r="H4080" s="92"/>
      <c r="I4080" s="92"/>
      <c r="J4080" s="92"/>
      <c r="K4080" s="92"/>
      <c r="L4080" s="92" t="str">
        <f>IF(AND(单词表[[#This Row],[学英]]&lt;&gt;"",单词表[[#This Row],[学中]]&lt;&gt;"",单词表[[#This Row],[学词]]&lt;&gt;""),MAX(单词表[[#This Row],[学英]:[学词]]),"")</f>
        <v/>
      </c>
      <c r="M4080" s="2" t="str">
        <f>IF(AND(单词表[[#This Row],[考英]]&lt;&gt;"",单词表[[#This Row],[考中]]&lt;&gt;""),MAX(单词表[[#This Row],[考英]:[考中]]),"")</f>
        <v/>
      </c>
      <c r="N4080" s="86"/>
    </row>
    <row r="4081" spans="1:14" hidden="1" x14ac:dyDescent="0.15">
      <c r="A4081">
        <v>4081</v>
      </c>
      <c r="B4081" t="s">
        <v>7363</v>
      </c>
      <c r="C4081" t="s">
        <v>7362</v>
      </c>
      <c r="D4081" s="78" t="s">
        <v>7308</v>
      </c>
      <c r="E4081" t="s">
        <v>7319</v>
      </c>
      <c r="F4081" t="s">
        <v>7352</v>
      </c>
      <c r="G4081" s="92"/>
      <c r="H4081" s="92"/>
      <c r="I4081" s="92"/>
      <c r="J4081" s="92"/>
      <c r="K4081" s="92"/>
      <c r="L4081" s="92" t="str">
        <f>IF(AND(单词表[[#This Row],[学英]]&lt;&gt;"",单词表[[#This Row],[学中]]&lt;&gt;"",单词表[[#This Row],[学词]]&lt;&gt;""),MAX(单词表[[#This Row],[学英]:[学词]]),"")</f>
        <v/>
      </c>
      <c r="M4081" s="2" t="str">
        <f>IF(AND(单词表[[#This Row],[考英]]&lt;&gt;"",单词表[[#This Row],[考中]]&lt;&gt;""),MAX(单词表[[#This Row],[考英]:[考中]]),"")</f>
        <v/>
      </c>
      <c r="N4081" s="86"/>
    </row>
    <row r="4082" spans="1:14" hidden="1" x14ac:dyDescent="0.15">
      <c r="A4082">
        <v>4082</v>
      </c>
      <c r="B4082" t="s">
        <v>7363</v>
      </c>
      <c r="C4082" t="s">
        <v>7362</v>
      </c>
      <c r="D4082" s="78" t="s">
        <v>7309</v>
      </c>
      <c r="E4082" t="s">
        <v>7152</v>
      </c>
      <c r="F4082" t="s">
        <v>7353</v>
      </c>
      <c r="G4082" s="92"/>
      <c r="H4082" s="92"/>
      <c r="I4082" s="92"/>
      <c r="J4082" s="92"/>
      <c r="K4082" s="92"/>
      <c r="L4082" s="92" t="str">
        <f>IF(AND(单词表[[#This Row],[学英]]&lt;&gt;"",单词表[[#This Row],[学中]]&lt;&gt;"",单词表[[#This Row],[学词]]&lt;&gt;""),MAX(单词表[[#This Row],[学英]:[学词]]),"")</f>
        <v/>
      </c>
      <c r="M4082" s="2" t="str">
        <f>IF(AND(单词表[[#This Row],[考英]]&lt;&gt;"",单词表[[#This Row],[考中]]&lt;&gt;""),MAX(单词表[[#This Row],[考英]:[考中]]),"")</f>
        <v/>
      </c>
      <c r="N4082" s="86"/>
    </row>
    <row r="4083" spans="1:14" hidden="1" x14ac:dyDescent="0.15">
      <c r="A4083">
        <v>4083</v>
      </c>
      <c r="B4083" t="s">
        <v>7363</v>
      </c>
      <c r="C4083" t="s">
        <v>7362</v>
      </c>
      <c r="D4083" s="78" t="s">
        <v>7310</v>
      </c>
      <c r="E4083" t="s">
        <v>7217</v>
      </c>
      <c r="F4083" t="s">
        <v>7354</v>
      </c>
      <c r="G4083" s="92"/>
      <c r="H4083" s="92"/>
      <c r="I4083" s="92"/>
      <c r="J4083" s="92"/>
      <c r="K4083" s="92"/>
      <c r="L4083" s="92" t="str">
        <f>IF(AND(单词表[[#This Row],[学英]]&lt;&gt;"",单词表[[#This Row],[学中]]&lt;&gt;"",单词表[[#This Row],[学词]]&lt;&gt;""),MAX(单词表[[#This Row],[学英]:[学词]]),"")</f>
        <v/>
      </c>
      <c r="M4083" s="2" t="str">
        <f>IF(AND(单词表[[#This Row],[考英]]&lt;&gt;"",单词表[[#This Row],[考中]]&lt;&gt;""),MAX(单词表[[#This Row],[考英]:[考中]]),"")</f>
        <v/>
      </c>
      <c r="N4083" s="86"/>
    </row>
    <row r="4084" spans="1:14" hidden="1" x14ac:dyDescent="0.15">
      <c r="A4084">
        <v>4084</v>
      </c>
      <c r="B4084" t="s">
        <v>7363</v>
      </c>
      <c r="C4084" t="s">
        <v>7362</v>
      </c>
      <c r="D4084" s="78" t="s">
        <v>7311</v>
      </c>
      <c r="E4084" t="s">
        <v>7217</v>
      </c>
      <c r="F4084" t="s">
        <v>7355</v>
      </c>
      <c r="G4084" s="92"/>
      <c r="H4084" s="92"/>
      <c r="I4084" s="92"/>
      <c r="J4084" s="92"/>
      <c r="K4084" s="92"/>
      <c r="L4084" s="92" t="str">
        <f>IF(AND(单词表[[#This Row],[学英]]&lt;&gt;"",单词表[[#This Row],[学中]]&lt;&gt;"",单词表[[#This Row],[学词]]&lt;&gt;""),MAX(单词表[[#This Row],[学英]:[学词]]),"")</f>
        <v/>
      </c>
      <c r="M4084" s="2" t="str">
        <f>IF(AND(单词表[[#This Row],[考英]]&lt;&gt;"",单词表[[#This Row],[考中]]&lt;&gt;""),MAX(单词表[[#This Row],[考英]:[考中]]),"")</f>
        <v/>
      </c>
      <c r="N4084" s="86"/>
    </row>
    <row r="4085" spans="1:14" hidden="1" x14ac:dyDescent="0.15">
      <c r="A4085">
        <v>4085</v>
      </c>
      <c r="B4085" t="s">
        <v>7363</v>
      </c>
      <c r="C4085" t="s">
        <v>7362</v>
      </c>
      <c r="D4085" s="78" t="s">
        <v>7312</v>
      </c>
      <c r="E4085" t="s">
        <v>7154</v>
      </c>
      <c r="F4085" t="s">
        <v>7356</v>
      </c>
      <c r="G4085" s="92"/>
      <c r="H4085" s="92"/>
      <c r="I4085" s="92"/>
      <c r="J4085" s="92"/>
      <c r="K4085" s="92"/>
      <c r="L4085" s="92" t="str">
        <f>IF(AND(单词表[[#This Row],[学英]]&lt;&gt;"",单词表[[#This Row],[学中]]&lt;&gt;"",单词表[[#This Row],[学词]]&lt;&gt;""),MAX(单词表[[#This Row],[学英]:[学词]]),"")</f>
        <v/>
      </c>
      <c r="M4085" s="2" t="str">
        <f>IF(AND(单词表[[#This Row],[考英]]&lt;&gt;"",单词表[[#This Row],[考中]]&lt;&gt;""),MAX(单词表[[#This Row],[考英]:[考中]]),"")</f>
        <v/>
      </c>
      <c r="N4085" s="86"/>
    </row>
    <row r="4086" spans="1:14" hidden="1" x14ac:dyDescent="0.15">
      <c r="A4086">
        <v>4086</v>
      </c>
      <c r="B4086" t="s">
        <v>7363</v>
      </c>
      <c r="C4086" t="s">
        <v>7362</v>
      </c>
      <c r="D4086" s="78" t="s">
        <v>7313</v>
      </c>
      <c r="E4086" t="s">
        <v>7320</v>
      </c>
      <c r="F4086" t="s">
        <v>7357</v>
      </c>
      <c r="G4086" s="92"/>
      <c r="H4086" s="92"/>
      <c r="I4086" s="92"/>
      <c r="J4086" s="92"/>
      <c r="K4086" s="92"/>
      <c r="L4086" s="92" t="str">
        <f>IF(AND(单词表[[#This Row],[学英]]&lt;&gt;"",单词表[[#This Row],[学中]]&lt;&gt;"",单词表[[#This Row],[学词]]&lt;&gt;""),MAX(单词表[[#This Row],[学英]:[学词]]),"")</f>
        <v/>
      </c>
      <c r="M4086" s="2" t="str">
        <f>IF(AND(单词表[[#This Row],[考英]]&lt;&gt;"",单词表[[#This Row],[考中]]&lt;&gt;""),MAX(单词表[[#This Row],[考英]:[考中]]),"")</f>
        <v/>
      </c>
      <c r="N4086" s="86"/>
    </row>
    <row r="4087" spans="1:14" hidden="1" x14ac:dyDescent="0.15">
      <c r="A4087">
        <v>4087</v>
      </c>
      <c r="B4087" t="s">
        <v>7363</v>
      </c>
      <c r="C4087" t="s">
        <v>7362</v>
      </c>
      <c r="D4087" s="78" t="s">
        <v>7314</v>
      </c>
      <c r="E4087" t="s">
        <v>7159</v>
      </c>
      <c r="F4087" t="s">
        <v>7358</v>
      </c>
      <c r="G4087" s="92"/>
      <c r="H4087" s="92"/>
      <c r="I4087" s="92"/>
      <c r="J4087" s="92"/>
      <c r="K4087" s="92"/>
      <c r="L4087" s="92" t="str">
        <f>IF(AND(单词表[[#This Row],[学英]]&lt;&gt;"",单词表[[#This Row],[学中]]&lt;&gt;"",单词表[[#This Row],[学词]]&lt;&gt;""),MAX(单词表[[#This Row],[学英]:[学词]]),"")</f>
        <v/>
      </c>
      <c r="M4087" s="2" t="str">
        <f>IF(AND(单词表[[#This Row],[考英]]&lt;&gt;"",单词表[[#This Row],[考中]]&lt;&gt;""),MAX(单词表[[#This Row],[考英]:[考中]]),"")</f>
        <v/>
      </c>
      <c r="N4087" s="86"/>
    </row>
    <row r="4088" spans="1:14" hidden="1" x14ac:dyDescent="0.15">
      <c r="A4088">
        <v>4088</v>
      </c>
      <c r="B4088" t="s">
        <v>7363</v>
      </c>
      <c r="C4088" t="s">
        <v>7362</v>
      </c>
      <c r="D4088" s="78" t="s">
        <v>7315</v>
      </c>
      <c r="E4088" t="s">
        <v>7162</v>
      </c>
      <c r="F4088" t="s">
        <v>7359</v>
      </c>
      <c r="G4088" s="92"/>
      <c r="H4088" s="92"/>
      <c r="I4088" s="92"/>
      <c r="J4088" s="92"/>
      <c r="K4088" s="92"/>
      <c r="L4088" s="92" t="str">
        <f>IF(AND(单词表[[#This Row],[学英]]&lt;&gt;"",单词表[[#This Row],[学中]]&lt;&gt;"",单词表[[#This Row],[学词]]&lt;&gt;""),MAX(单词表[[#This Row],[学英]:[学词]]),"")</f>
        <v/>
      </c>
      <c r="M4088" s="2" t="str">
        <f>IF(AND(单词表[[#This Row],[考英]]&lt;&gt;"",单词表[[#This Row],[考中]]&lt;&gt;""),MAX(单词表[[#This Row],[考英]:[考中]]),"")</f>
        <v/>
      </c>
      <c r="N4088" s="86"/>
    </row>
  </sheetData>
  <phoneticPr fontId="1" type="noConversion"/>
  <conditionalFormatting sqref="G2:L4088">
    <cfRule type="cellIs" dxfId="11" priority="3" operator="notEqual">
      <formula>""</formula>
    </cfRule>
  </conditionalFormatting>
  <conditionalFormatting sqref="M2:M4088">
    <cfRule type="expression" dxfId="10" priority="1">
      <formula>AND(L2&lt;&gt;"",M2&lt;L2)</formula>
    </cfRule>
  </conditionalFormatting>
  <dataValidations count="3">
    <dataValidation type="list" allowBlank="1" showInputMessage="1" showErrorMessage="1" sqref="C2:C4088">
      <formula1>INDIRECT(B2)</formula1>
    </dataValidation>
    <dataValidation type="list" allowBlank="1" showInputMessage="1" showErrorMessage="1" sqref="B2:B4088">
      <formula1>单词本</formula1>
    </dataValidation>
    <dataValidation type="list" allowBlank="1" showInputMessage="1" showErrorMessage="1" sqref="E2:E4088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2"/>
  <sheetViews>
    <sheetView workbookViewId="0">
      <selection activeCell="D24" sqref="D24"/>
    </sheetView>
  </sheetViews>
  <sheetFormatPr defaultRowHeight="13.5" x14ac:dyDescent="0.15"/>
  <cols>
    <col min="1" max="1" width="10.875" bestFit="1" customWidth="1"/>
    <col min="2" max="2" width="10.125" bestFit="1" customWidth="1"/>
    <col min="3" max="3" width="12" bestFit="1" customWidth="1"/>
    <col min="4" max="4" width="11" bestFit="1" customWidth="1"/>
    <col min="5" max="5" width="13" bestFit="1" customWidth="1"/>
    <col min="6" max="6" width="17.75" bestFit="1" customWidth="1"/>
    <col min="7" max="7" width="21.375" bestFit="1" customWidth="1"/>
    <col min="8" max="10" width="12.25" customWidth="1"/>
    <col min="14" max="14" width="11.625" bestFit="1" customWidth="1"/>
    <col min="16" max="16" width="9.5" bestFit="1" customWidth="1"/>
    <col min="18" max="18" width="30.875" bestFit="1" customWidth="1"/>
    <col min="19" max="19" width="20.875" customWidth="1"/>
  </cols>
  <sheetData>
    <row r="1" spans="1:19" x14ac:dyDescent="0.15">
      <c r="A1" t="s">
        <v>5920</v>
      </c>
      <c r="B1" t="s">
        <v>5921</v>
      </c>
      <c r="C1" t="s">
        <v>5922</v>
      </c>
      <c r="D1" t="s">
        <v>5923</v>
      </c>
      <c r="E1" t="s">
        <v>5924</v>
      </c>
      <c r="F1" t="s">
        <v>5934</v>
      </c>
      <c r="G1" t="s">
        <v>7364</v>
      </c>
      <c r="H1" t="s">
        <v>5925</v>
      </c>
      <c r="N1" t="s">
        <v>5926</v>
      </c>
      <c r="P1" t="s">
        <v>5929</v>
      </c>
      <c r="Q1" t="s">
        <v>5927</v>
      </c>
      <c r="R1" t="s">
        <v>5866</v>
      </c>
      <c r="S1" t="s">
        <v>5928</v>
      </c>
    </row>
    <row r="2" spans="1:19" x14ac:dyDescent="0.15">
      <c r="A2" t="s">
        <v>1044</v>
      </c>
      <c r="B2" t="s">
        <v>1044</v>
      </c>
      <c r="C2" t="s">
        <v>1044</v>
      </c>
      <c r="D2" t="s">
        <v>1044</v>
      </c>
      <c r="E2" t="s">
        <v>5867</v>
      </c>
      <c r="F2" t="s">
        <v>5935</v>
      </c>
      <c r="G2" t="s">
        <v>7031</v>
      </c>
      <c r="H2" t="s">
        <v>5868</v>
      </c>
      <c r="N2" t="s">
        <v>5869</v>
      </c>
      <c r="O2" t="s">
        <v>5870</v>
      </c>
      <c r="P2">
        <v>0</v>
      </c>
      <c r="Q2" t="s">
        <v>5871</v>
      </c>
      <c r="R2" s="1" t="s">
        <v>5872</v>
      </c>
      <c r="S2" s="1" t="s">
        <v>5873</v>
      </c>
    </row>
    <row r="3" spans="1:19" x14ac:dyDescent="0.15">
      <c r="A3" t="s">
        <v>5</v>
      </c>
      <c r="B3" t="s">
        <v>5874</v>
      </c>
      <c r="C3" t="s">
        <v>51</v>
      </c>
      <c r="D3" t="s">
        <v>446</v>
      </c>
      <c r="E3" t="s">
        <v>5875</v>
      </c>
      <c r="F3" t="s">
        <v>6949</v>
      </c>
      <c r="G3" t="s">
        <v>7032</v>
      </c>
      <c r="N3" t="s">
        <v>5876</v>
      </c>
      <c r="O3" t="s">
        <v>5877</v>
      </c>
      <c r="P3">
        <v>1</v>
      </c>
      <c r="Q3" t="s">
        <v>5894</v>
      </c>
      <c r="R3" s="1" t="s">
        <v>5895</v>
      </c>
      <c r="S3" s="1" t="s">
        <v>5896</v>
      </c>
    </row>
    <row r="4" spans="1:19" x14ac:dyDescent="0.15">
      <c r="A4" t="s">
        <v>6</v>
      </c>
      <c r="B4" t="s">
        <v>6</v>
      </c>
      <c r="C4" t="s">
        <v>52</v>
      </c>
      <c r="D4" t="s">
        <v>495</v>
      </c>
      <c r="E4" t="s">
        <v>5881</v>
      </c>
      <c r="F4" t="s">
        <v>6863</v>
      </c>
      <c r="G4" t="s">
        <v>7033</v>
      </c>
      <c r="N4" t="s">
        <v>5882</v>
      </c>
      <c r="O4" t="s">
        <v>5883</v>
      </c>
      <c r="P4">
        <v>2</v>
      </c>
      <c r="Q4" t="s">
        <v>5899</v>
      </c>
      <c r="R4" s="1" t="s">
        <v>5900</v>
      </c>
      <c r="S4" s="1" t="s">
        <v>5901</v>
      </c>
    </row>
    <row r="5" spans="1:19" x14ac:dyDescent="0.15">
      <c r="A5" t="s">
        <v>7</v>
      </c>
      <c r="B5" t="s">
        <v>7</v>
      </c>
      <c r="C5" t="s">
        <v>53</v>
      </c>
      <c r="D5" t="s">
        <v>548</v>
      </c>
      <c r="F5" t="s">
        <v>6858</v>
      </c>
      <c r="G5" t="s">
        <v>7360</v>
      </c>
      <c r="N5" t="s">
        <v>5887</v>
      </c>
      <c r="O5" t="s">
        <v>5888</v>
      </c>
      <c r="P5">
        <v>3</v>
      </c>
      <c r="Q5" t="s">
        <v>5889</v>
      </c>
      <c r="R5" s="1" t="s">
        <v>5890</v>
      </c>
      <c r="S5" s="1" t="s">
        <v>5891</v>
      </c>
    </row>
    <row r="6" spans="1:19" x14ac:dyDescent="0.15">
      <c r="A6" t="s">
        <v>8</v>
      </c>
      <c r="B6" t="s">
        <v>8</v>
      </c>
      <c r="D6" t="s">
        <v>592</v>
      </c>
      <c r="F6" t="s">
        <v>6859</v>
      </c>
      <c r="G6" t="s">
        <v>7361</v>
      </c>
      <c r="N6" t="s">
        <v>5892</v>
      </c>
      <c r="O6" t="s">
        <v>5893</v>
      </c>
      <c r="P6">
        <v>4</v>
      </c>
      <c r="Q6" t="s">
        <v>5884</v>
      </c>
      <c r="R6" s="1" t="s">
        <v>5885</v>
      </c>
      <c r="S6" s="1" t="s">
        <v>5886</v>
      </c>
    </row>
    <row r="7" spans="1:19" x14ac:dyDescent="0.15">
      <c r="A7" t="s">
        <v>9</v>
      </c>
      <c r="B7" t="s">
        <v>9</v>
      </c>
      <c r="D7" t="s">
        <v>640</v>
      </c>
      <c r="F7" t="s">
        <v>6860</v>
      </c>
      <c r="G7" t="s">
        <v>7362</v>
      </c>
      <c r="N7" t="s">
        <v>5897</v>
      </c>
      <c r="O7" t="s">
        <v>5898</v>
      </c>
      <c r="P7">
        <v>5</v>
      </c>
      <c r="Q7" t="s">
        <v>5878</v>
      </c>
      <c r="R7" s="1" t="s">
        <v>5879</v>
      </c>
      <c r="S7" s="1" t="s">
        <v>5880</v>
      </c>
    </row>
    <row r="8" spans="1:19" x14ac:dyDescent="0.15">
      <c r="A8" t="s">
        <v>10</v>
      </c>
      <c r="B8" t="s">
        <v>10</v>
      </c>
      <c r="D8" t="s">
        <v>692</v>
      </c>
      <c r="F8" t="s">
        <v>6144</v>
      </c>
      <c r="N8" t="s">
        <v>5902</v>
      </c>
      <c r="O8" t="s">
        <v>5903</v>
      </c>
      <c r="P8">
        <v>6</v>
      </c>
      <c r="Q8" t="s">
        <v>5904</v>
      </c>
      <c r="R8" s="1" t="s">
        <v>5905</v>
      </c>
      <c r="S8" s="1" t="s">
        <v>5906</v>
      </c>
    </row>
    <row r="9" spans="1:19" x14ac:dyDescent="0.15">
      <c r="A9" t="s">
        <v>11</v>
      </c>
      <c r="B9" t="s">
        <v>11</v>
      </c>
      <c r="D9" t="s">
        <v>742</v>
      </c>
      <c r="F9" t="s">
        <v>6006</v>
      </c>
      <c r="N9" t="s">
        <v>210</v>
      </c>
      <c r="O9" t="s">
        <v>5907</v>
      </c>
    </row>
    <row r="10" spans="1:19" x14ac:dyDescent="0.15">
      <c r="A10" t="s">
        <v>12</v>
      </c>
      <c r="B10" t="s">
        <v>12</v>
      </c>
      <c r="D10" t="s">
        <v>783</v>
      </c>
      <c r="F10" t="s">
        <v>5937</v>
      </c>
      <c r="N10" t="s">
        <v>5908</v>
      </c>
      <c r="O10" t="s">
        <v>5909</v>
      </c>
    </row>
    <row r="11" spans="1:19" x14ac:dyDescent="0.15">
      <c r="A11" t="s">
        <v>13</v>
      </c>
      <c r="B11" t="s">
        <v>13</v>
      </c>
      <c r="D11" t="s">
        <v>832</v>
      </c>
      <c r="F11" t="s">
        <v>6851</v>
      </c>
      <c r="N11" t="s">
        <v>5910</v>
      </c>
      <c r="O11" t="s">
        <v>5911</v>
      </c>
    </row>
    <row r="12" spans="1:19" x14ac:dyDescent="0.15">
      <c r="A12" t="s">
        <v>14</v>
      </c>
      <c r="B12" t="s">
        <v>14</v>
      </c>
      <c r="D12" t="s">
        <v>873</v>
      </c>
      <c r="F12" t="s">
        <v>6852</v>
      </c>
      <c r="N12" t="s">
        <v>5912</v>
      </c>
      <c r="O12" t="s">
        <v>5913</v>
      </c>
    </row>
    <row r="13" spans="1:19" x14ac:dyDescent="0.15">
      <c r="A13" t="s">
        <v>15</v>
      </c>
      <c r="B13" t="s">
        <v>15</v>
      </c>
      <c r="D13" t="s">
        <v>918</v>
      </c>
      <c r="F13" t="s">
        <v>6853</v>
      </c>
      <c r="N13" t="s">
        <v>5914</v>
      </c>
      <c r="O13" t="s">
        <v>5915</v>
      </c>
    </row>
    <row r="14" spans="1:19" x14ac:dyDescent="0.15">
      <c r="A14" t="s">
        <v>16</v>
      </c>
      <c r="B14" t="s">
        <v>16</v>
      </c>
      <c r="D14" t="s">
        <v>967</v>
      </c>
      <c r="F14" t="s">
        <v>6854</v>
      </c>
      <c r="N14" t="s">
        <v>5916</v>
      </c>
      <c r="O14" t="s">
        <v>5917</v>
      </c>
    </row>
    <row r="15" spans="1:19" x14ac:dyDescent="0.15">
      <c r="A15" t="s">
        <v>17</v>
      </c>
      <c r="B15" t="s">
        <v>17</v>
      </c>
      <c r="F15" t="s">
        <v>6855</v>
      </c>
      <c r="N15" t="s">
        <v>6905</v>
      </c>
      <c r="O15" t="s">
        <v>6906</v>
      </c>
    </row>
    <row r="16" spans="1:19" x14ac:dyDescent="0.15">
      <c r="A16" t="s">
        <v>18</v>
      </c>
      <c r="B16" t="s">
        <v>18</v>
      </c>
      <c r="F16" t="s">
        <v>6856</v>
      </c>
      <c r="N16" t="s">
        <v>5918</v>
      </c>
      <c r="O16" t="s">
        <v>5919</v>
      </c>
    </row>
    <row r="17" spans="1:6" x14ac:dyDescent="0.15">
      <c r="A17" t="s">
        <v>19</v>
      </c>
      <c r="B17" t="s">
        <v>19</v>
      </c>
      <c r="F17" t="s">
        <v>6857</v>
      </c>
    </row>
    <row r="18" spans="1:6" x14ac:dyDescent="0.15">
      <c r="A18" t="s">
        <v>20</v>
      </c>
      <c r="B18" t="s">
        <v>20</v>
      </c>
      <c r="F18" t="s">
        <v>6861</v>
      </c>
    </row>
    <row r="19" spans="1:6" x14ac:dyDescent="0.15">
      <c r="A19" t="s">
        <v>21</v>
      </c>
      <c r="B19" t="s">
        <v>21</v>
      </c>
      <c r="F19" t="s">
        <v>6862</v>
      </c>
    </row>
    <row r="20" spans="1:6" x14ac:dyDescent="0.15">
      <c r="A20" t="s">
        <v>22</v>
      </c>
      <c r="B20" t="s">
        <v>22</v>
      </c>
    </row>
    <row r="21" spans="1:6" x14ac:dyDescent="0.15">
      <c r="A21" t="s">
        <v>23</v>
      </c>
      <c r="B21" t="s">
        <v>23</v>
      </c>
    </row>
    <row r="22" spans="1:6" x14ac:dyDescent="0.15">
      <c r="A22" t="s">
        <v>24</v>
      </c>
      <c r="B22" t="s">
        <v>24</v>
      </c>
    </row>
    <row r="23" spans="1:6" x14ac:dyDescent="0.15">
      <c r="B23" t="s">
        <v>25</v>
      </c>
    </row>
    <row r="24" spans="1:6" x14ac:dyDescent="0.15">
      <c r="B24" t="s">
        <v>26</v>
      </c>
    </row>
    <row r="25" spans="1:6" x14ac:dyDescent="0.15">
      <c r="B25" t="s">
        <v>27</v>
      </c>
    </row>
    <row r="26" spans="1:6" x14ac:dyDescent="0.15">
      <c r="B26" t="s">
        <v>28</v>
      </c>
    </row>
    <row r="27" spans="1:6" x14ac:dyDescent="0.15">
      <c r="B27" t="s">
        <v>29</v>
      </c>
    </row>
    <row r="28" spans="1:6" x14ac:dyDescent="0.15">
      <c r="B28" t="s">
        <v>30</v>
      </c>
    </row>
    <row r="29" spans="1:6" x14ac:dyDescent="0.15">
      <c r="B29" t="s">
        <v>31</v>
      </c>
    </row>
    <row r="30" spans="1:6" x14ac:dyDescent="0.15">
      <c r="B30" t="s">
        <v>32</v>
      </c>
    </row>
    <row r="31" spans="1:6" x14ac:dyDescent="0.15">
      <c r="B31" t="s">
        <v>33</v>
      </c>
    </row>
    <row r="32" spans="1:6" x14ac:dyDescent="0.15">
      <c r="B32" t="s">
        <v>34</v>
      </c>
    </row>
  </sheetData>
  <phoneticPr fontId="1" type="noConversion"/>
  <hyperlinks>
    <hyperlink ref="R8" r:id="rId1"/>
    <hyperlink ref="R3" r:id="rId2"/>
    <hyperlink ref="R2" r:id="rId3"/>
    <hyperlink ref="R5" r:id="rId4"/>
    <hyperlink ref="R4" r:id="rId5"/>
    <hyperlink ref="S5" r:id="rId6"/>
    <hyperlink ref="S8" r:id="rId7"/>
    <hyperlink ref="S3" r:id="rId8"/>
    <hyperlink ref="S4" r:id="rId9"/>
    <hyperlink ref="S2" r:id="rId10"/>
    <hyperlink ref="S6" r:id="rId11"/>
    <hyperlink ref="R6" r:id="rId12"/>
    <hyperlink ref="R7" r:id="rId13"/>
    <hyperlink ref="S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view="pageBreakPreview" zoomScale="60" zoomScaleNormal="75" zoomScalePageLayoutView="70" workbookViewId="0">
      <selection activeCell="H3" sqref="H3"/>
    </sheetView>
  </sheetViews>
  <sheetFormatPr defaultRowHeight="13.5" x14ac:dyDescent="0.15"/>
  <cols>
    <col min="1" max="2" width="2.625" customWidth="1"/>
    <col min="3" max="3" width="54.25" style="68" customWidth="1"/>
    <col min="4" max="4" width="2.625" style="4" customWidth="1"/>
    <col min="5" max="7" width="2.625" customWidth="1"/>
    <col min="8" max="8" width="54.25" style="65" customWidth="1"/>
    <col min="9" max="10" width="2.625" customWidth="1"/>
    <col min="12" max="12" width="13" bestFit="1" customWidth="1"/>
    <col min="13" max="13" width="28.75" customWidth="1"/>
  </cols>
  <sheetData>
    <row r="1" spans="1:13" x14ac:dyDescent="0.15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15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7363</v>
      </c>
    </row>
    <row r="3" spans="1:13" ht="60" customHeight="1" x14ac:dyDescent="0.55000000000000004">
      <c r="A3" s="21"/>
      <c r="B3" s="22"/>
      <c r="C3" s="70" t="s">
        <v>7378</v>
      </c>
      <c r="D3" s="24"/>
      <c r="E3" s="23"/>
      <c r="F3" s="21"/>
      <c r="G3" s="22"/>
      <c r="H3" s="70" t="s">
        <v>7381</v>
      </c>
      <c r="I3" s="22"/>
      <c r="J3" s="23"/>
      <c r="L3" s="54" t="s">
        <v>111</v>
      </c>
      <c r="M3" s="57" t="s">
        <v>1044</v>
      </c>
    </row>
    <row r="4" spans="1:13" ht="27.6" customHeight="1" x14ac:dyDescent="0.2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25">
      <c r="A5" s="21"/>
      <c r="B5" s="22" t="s">
        <v>7379</v>
      </c>
      <c r="C5" s="64"/>
      <c r="D5" s="24"/>
      <c r="E5" s="23"/>
      <c r="F5" s="21"/>
      <c r="G5" s="22" t="s">
        <v>7382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15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15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15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0.55000000000000004">
      <c r="A9" s="21"/>
      <c r="B9" s="22"/>
      <c r="C9" s="70" t="s">
        <v>7384</v>
      </c>
      <c r="D9" s="24"/>
      <c r="E9" s="23"/>
      <c r="F9" s="21"/>
      <c r="G9" s="22"/>
      <c r="H9" s="70" t="s">
        <v>56</v>
      </c>
      <c r="I9" s="22"/>
      <c r="J9" s="23"/>
    </row>
    <row r="10" spans="1:13" ht="27.6" customHeight="1" x14ac:dyDescent="0.15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15">
      <c r="A11" s="21"/>
      <c r="B11" s="22" t="s">
        <v>7385</v>
      </c>
      <c r="C11" s="64"/>
      <c r="D11" s="24"/>
      <c r="E11" s="23"/>
      <c r="F11" s="21"/>
      <c r="G11" s="22" t="s">
        <v>7387</v>
      </c>
      <c r="H11" s="61"/>
      <c r="I11" s="24"/>
      <c r="J11" s="23"/>
    </row>
    <row r="12" spans="1:13" x14ac:dyDescent="0.15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15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15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0.55000000000000004">
      <c r="A15" s="21"/>
      <c r="B15" s="22"/>
      <c r="C15" s="70" t="s">
        <v>500</v>
      </c>
      <c r="D15" s="24"/>
      <c r="E15" s="23"/>
      <c r="F15" s="21"/>
      <c r="G15" s="22"/>
      <c r="H15" s="70" t="s">
        <v>3092</v>
      </c>
      <c r="I15" s="22"/>
      <c r="J15" s="23"/>
    </row>
    <row r="16" spans="1:13" ht="27.6" customHeight="1" x14ac:dyDescent="0.15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15">
      <c r="A17" s="21"/>
      <c r="B17" s="22" t="s">
        <v>7389</v>
      </c>
      <c r="C17" s="64"/>
      <c r="D17" s="24"/>
      <c r="E17" s="23"/>
      <c r="F17" s="21"/>
      <c r="G17" s="22" t="s">
        <v>7391</v>
      </c>
      <c r="H17" s="61"/>
      <c r="I17" s="24"/>
      <c r="J17" s="23"/>
    </row>
    <row r="18" spans="1:10" x14ac:dyDescent="0.15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15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15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0.55000000000000004">
      <c r="A21" s="21"/>
      <c r="B21" s="22"/>
      <c r="C21" s="70" t="s">
        <v>4846</v>
      </c>
      <c r="D21" s="24"/>
      <c r="E21" s="23"/>
      <c r="F21" s="21"/>
      <c r="G21" s="22"/>
      <c r="H21" s="70" t="s">
        <v>518</v>
      </c>
      <c r="I21" s="22"/>
      <c r="J21" s="23"/>
    </row>
    <row r="22" spans="1:10" ht="27.6" customHeight="1" x14ac:dyDescent="0.15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15">
      <c r="A23" s="21"/>
      <c r="B23" s="22" t="s">
        <v>7393</v>
      </c>
      <c r="C23" s="64"/>
      <c r="D23" s="24"/>
      <c r="E23" s="23"/>
      <c r="F23" s="21"/>
      <c r="G23" s="22" t="s">
        <v>7395</v>
      </c>
      <c r="H23" s="61"/>
      <c r="I23" s="24"/>
      <c r="J23" s="23"/>
    </row>
    <row r="24" spans="1:10" x14ac:dyDescent="0.15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15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15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0.55000000000000004">
      <c r="A27" s="21"/>
      <c r="B27" s="22"/>
      <c r="C27" s="70" t="s">
        <v>7397</v>
      </c>
      <c r="D27" s="24"/>
      <c r="E27" s="23"/>
      <c r="F27" s="21"/>
      <c r="G27" s="22"/>
      <c r="H27" s="70" t="s">
        <v>7400</v>
      </c>
      <c r="I27" s="22"/>
      <c r="J27" s="23"/>
    </row>
    <row r="28" spans="1:10" ht="27.6" customHeight="1" x14ac:dyDescent="0.15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15">
      <c r="A29" s="21"/>
      <c r="B29" s="22" t="s">
        <v>7398</v>
      </c>
      <c r="C29" s="64"/>
      <c r="D29" s="24"/>
      <c r="E29" s="23"/>
      <c r="F29" s="21"/>
      <c r="G29" s="22" t="s">
        <v>7401</v>
      </c>
      <c r="H29" s="61"/>
      <c r="I29" s="24"/>
      <c r="J29" s="23"/>
    </row>
    <row r="30" spans="1:10" x14ac:dyDescent="0.15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15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15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0.55000000000000004">
      <c r="A33" s="21"/>
      <c r="B33" s="22"/>
      <c r="C33" s="70" t="s">
        <v>7403</v>
      </c>
      <c r="D33" s="24"/>
      <c r="E33" s="23"/>
      <c r="F33" s="21"/>
      <c r="G33" s="22"/>
      <c r="H33" s="70" t="s">
        <v>7406</v>
      </c>
      <c r="I33" s="22"/>
      <c r="J33" s="23"/>
    </row>
    <row r="34" spans="1:10" ht="27.6" customHeight="1" x14ac:dyDescent="0.15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15">
      <c r="A35" s="21"/>
      <c r="B35" s="22" t="s">
        <v>7404</v>
      </c>
      <c r="C35" s="64"/>
      <c r="D35" s="24"/>
      <c r="E35" s="23"/>
      <c r="F35" s="21"/>
      <c r="G35" s="22" t="s">
        <v>7407</v>
      </c>
      <c r="H35" s="61"/>
      <c r="I35" s="24"/>
      <c r="J35" s="23"/>
    </row>
    <row r="36" spans="1:10" x14ac:dyDescent="0.15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15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15">
      <c r="A38" s="21"/>
      <c r="B38" s="28" t="s">
        <v>7363</v>
      </c>
      <c r="C38" s="64"/>
      <c r="D38" s="24"/>
      <c r="E38" s="23"/>
      <c r="F38" s="21"/>
      <c r="G38" s="28" t="s">
        <v>7363</v>
      </c>
      <c r="H38" s="61"/>
      <c r="I38" s="22"/>
      <c r="J38" s="23"/>
    </row>
    <row r="39" spans="1:10" ht="60" customHeight="1" x14ac:dyDescent="0.4">
      <c r="A39" s="21"/>
      <c r="B39" s="22"/>
      <c r="C39" s="62" t="s">
        <v>7383</v>
      </c>
      <c r="D39" s="24"/>
      <c r="E39" s="23"/>
      <c r="F39" s="21"/>
      <c r="G39" s="22"/>
      <c r="H39" s="62" t="s">
        <v>7380</v>
      </c>
      <c r="I39" s="22"/>
      <c r="J39" s="23"/>
    </row>
    <row r="40" spans="1:10" ht="27.6" customHeight="1" x14ac:dyDescent="0.3">
      <c r="A40" s="21"/>
      <c r="B40" s="22"/>
      <c r="C40" s="69" t="s">
        <v>61</v>
      </c>
      <c r="D40" s="24"/>
      <c r="E40" s="23"/>
      <c r="F40" s="21"/>
      <c r="G40" s="22"/>
      <c r="H40" s="69" t="s">
        <v>36</v>
      </c>
      <c r="I40" s="22"/>
      <c r="J40" s="23"/>
    </row>
    <row r="41" spans="1:10" ht="33.6" customHeight="1" x14ac:dyDescent="0.15">
      <c r="A41" s="21"/>
      <c r="B41" s="22"/>
      <c r="C41" s="64"/>
      <c r="D41" s="24" t="s">
        <v>7365</v>
      </c>
      <c r="E41" s="23"/>
      <c r="F41" s="21"/>
      <c r="G41" s="22"/>
      <c r="H41" s="61"/>
      <c r="I41" s="24" t="s">
        <v>7365</v>
      </c>
      <c r="J41" s="23"/>
    </row>
    <row r="42" spans="1:10" x14ac:dyDescent="0.15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15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15">
      <c r="A44" s="21"/>
      <c r="B44" s="28" t="s">
        <v>7363</v>
      </c>
      <c r="C44" s="64"/>
      <c r="D44" s="24"/>
      <c r="E44" s="23"/>
      <c r="F44" s="21"/>
      <c r="G44" s="28" t="s">
        <v>7363</v>
      </c>
      <c r="H44" s="61"/>
      <c r="I44" s="22"/>
      <c r="J44" s="23"/>
    </row>
    <row r="45" spans="1:10" ht="60" customHeight="1" x14ac:dyDescent="0.4">
      <c r="A45" s="21"/>
      <c r="B45" s="22"/>
      <c r="C45" s="62" t="s">
        <v>7388</v>
      </c>
      <c r="D45" s="24"/>
      <c r="E45" s="23"/>
      <c r="F45" s="21"/>
      <c r="G45" s="22"/>
      <c r="H45" s="62" t="s">
        <v>7386</v>
      </c>
      <c r="I45" s="22"/>
      <c r="J45" s="23"/>
    </row>
    <row r="46" spans="1:10" ht="27.6" customHeight="1" x14ac:dyDescent="0.3">
      <c r="A46" s="21"/>
      <c r="B46" s="22"/>
      <c r="C46" s="69" t="s">
        <v>36</v>
      </c>
      <c r="D46" s="24"/>
      <c r="E46" s="23"/>
      <c r="F46" s="21"/>
      <c r="G46" s="22"/>
      <c r="H46" s="69" t="s">
        <v>36</v>
      </c>
      <c r="I46" s="22"/>
      <c r="J46" s="23"/>
    </row>
    <row r="47" spans="1:10" ht="33.6" customHeight="1" x14ac:dyDescent="0.15">
      <c r="A47" s="21"/>
      <c r="B47" s="22"/>
      <c r="C47" s="64"/>
      <c r="D47" s="24" t="s">
        <v>7365</v>
      </c>
      <c r="E47" s="23"/>
      <c r="F47" s="21"/>
      <c r="G47" s="22"/>
      <c r="H47" s="61"/>
      <c r="I47" s="24" t="s">
        <v>7365</v>
      </c>
      <c r="J47" s="23"/>
    </row>
    <row r="48" spans="1:10" x14ac:dyDescent="0.15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15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15">
      <c r="A50" s="21"/>
      <c r="B50" s="28" t="s">
        <v>7363</v>
      </c>
      <c r="C50" s="64"/>
      <c r="D50" s="24"/>
      <c r="E50" s="23"/>
      <c r="F50" s="21"/>
      <c r="G50" s="28" t="s">
        <v>7363</v>
      </c>
      <c r="H50" s="61"/>
      <c r="I50" s="22"/>
      <c r="J50" s="23"/>
    </row>
    <row r="51" spans="1:10" ht="60" customHeight="1" x14ac:dyDescent="0.4">
      <c r="A51" s="21"/>
      <c r="B51" s="22"/>
      <c r="C51" s="62" t="s">
        <v>7392</v>
      </c>
      <c r="D51" s="24"/>
      <c r="E51" s="23"/>
      <c r="F51" s="21"/>
      <c r="G51" s="22"/>
      <c r="H51" s="62" t="s">
        <v>7390</v>
      </c>
      <c r="I51" s="22"/>
      <c r="J51" s="23"/>
    </row>
    <row r="52" spans="1:10" ht="27.6" customHeight="1" x14ac:dyDescent="0.3">
      <c r="A52" s="21"/>
      <c r="B52" s="22"/>
      <c r="C52" s="69" t="s">
        <v>36</v>
      </c>
      <c r="D52" s="24"/>
      <c r="E52" s="23"/>
      <c r="F52" s="21"/>
      <c r="G52" s="22"/>
      <c r="H52" s="69" t="s">
        <v>61</v>
      </c>
      <c r="I52" s="22"/>
      <c r="J52" s="23"/>
    </row>
    <row r="53" spans="1:10" ht="33.6" customHeight="1" x14ac:dyDescent="0.15">
      <c r="A53" s="21"/>
      <c r="B53" s="22"/>
      <c r="C53" s="64"/>
      <c r="D53" s="24" t="s">
        <v>7365</v>
      </c>
      <c r="E53" s="23"/>
      <c r="F53" s="21"/>
      <c r="G53" s="22"/>
      <c r="H53" s="61"/>
      <c r="I53" s="24" t="s">
        <v>7365</v>
      </c>
      <c r="J53" s="23"/>
    </row>
    <row r="54" spans="1:10" x14ac:dyDescent="0.15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15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15">
      <c r="A56" s="21"/>
      <c r="B56" s="28" t="s">
        <v>7363</v>
      </c>
      <c r="C56" s="64"/>
      <c r="D56" s="24"/>
      <c r="E56" s="23"/>
      <c r="F56" s="21"/>
      <c r="G56" s="28" t="s">
        <v>7363</v>
      </c>
      <c r="H56" s="61"/>
      <c r="I56" s="22"/>
      <c r="J56" s="23"/>
    </row>
    <row r="57" spans="1:10" ht="60" customHeight="1" x14ac:dyDescent="0.4">
      <c r="A57" s="21"/>
      <c r="B57" s="22"/>
      <c r="C57" s="62" t="s">
        <v>7396</v>
      </c>
      <c r="D57" s="24"/>
      <c r="E57" s="23"/>
      <c r="F57" s="21"/>
      <c r="G57" s="22"/>
      <c r="H57" s="62" t="s">
        <v>7394</v>
      </c>
      <c r="I57" s="22"/>
      <c r="J57" s="23"/>
    </row>
    <row r="58" spans="1:10" ht="27.6" customHeight="1" x14ac:dyDescent="0.3">
      <c r="A58" s="21"/>
      <c r="B58" s="22"/>
      <c r="C58" s="69" t="s">
        <v>36</v>
      </c>
      <c r="D58" s="24"/>
      <c r="E58" s="23"/>
      <c r="F58" s="21"/>
      <c r="G58" s="22"/>
      <c r="H58" s="69" t="s">
        <v>36</v>
      </c>
      <c r="I58" s="22"/>
      <c r="J58" s="23"/>
    </row>
    <row r="59" spans="1:10" ht="33.6" customHeight="1" x14ac:dyDescent="0.15">
      <c r="A59" s="21"/>
      <c r="B59" s="22"/>
      <c r="C59" s="64"/>
      <c r="D59" s="24" t="s">
        <v>7365</v>
      </c>
      <c r="E59" s="23"/>
      <c r="F59" s="21"/>
      <c r="G59" s="22"/>
      <c r="H59" s="61"/>
      <c r="I59" s="24" t="s">
        <v>7365</v>
      </c>
      <c r="J59" s="23"/>
    </row>
    <row r="60" spans="1:10" x14ac:dyDescent="0.15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15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15">
      <c r="A62" s="21"/>
      <c r="B62" s="28" t="s">
        <v>7363</v>
      </c>
      <c r="C62" s="64"/>
      <c r="D62" s="24"/>
      <c r="E62" s="23"/>
      <c r="F62" s="21"/>
      <c r="G62" s="28" t="s">
        <v>7363</v>
      </c>
      <c r="H62" s="61"/>
      <c r="I62" s="22"/>
      <c r="J62" s="23"/>
    </row>
    <row r="63" spans="1:10" ht="60" customHeight="1" x14ac:dyDescent="0.4">
      <c r="A63" s="21"/>
      <c r="B63" s="22"/>
      <c r="C63" s="62" t="s">
        <v>7402</v>
      </c>
      <c r="D63" s="24"/>
      <c r="E63" s="23"/>
      <c r="F63" s="21"/>
      <c r="G63" s="22"/>
      <c r="H63" s="62" t="s">
        <v>7399</v>
      </c>
      <c r="I63" s="22"/>
      <c r="J63" s="23"/>
    </row>
    <row r="64" spans="1:10" ht="27.6" customHeight="1" x14ac:dyDescent="0.3">
      <c r="A64" s="21"/>
      <c r="B64" s="22"/>
      <c r="C64" s="69" t="s">
        <v>61</v>
      </c>
      <c r="D64" s="24"/>
      <c r="E64" s="23"/>
      <c r="F64" s="21"/>
      <c r="G64" s="22"/>
      <c r="H64" s="69" t="s">
        <v>36</v>
      </c>
      <c r="I64" s="22"/>
      <c r="J64" s="23"/>
    </row>
    <row r="65" spans="1:10" ht="33.6" customHeight="1" x14ac:dyDescent="0.15">
      <c r="A65" s="21"/>
      <c r="B65" s="22"/>
      <c r="C65" s="64"/>
      <c r="D65" s="24" t="s">
        <v>7365</v>
      </c>
      <c r="E65" s="23"/>
      <c r="F65" s="21"/>
      <c r="G65" s="22"/>
      <c r="H65" s="61"/>
      <c r="I65" s="24" t="s">
        <v>7365</v>
      </c>
      <c r="J65" s="23"/>
    </row>
    <row r="66" spans="1:10" x14ac:dyDescent="0.15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15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15">
      <c r="A68" s="21"/>
      <c r="B68" s="28" t="s">
        <v>7363</v>
      </c>
      <c r="C68" s="64"/>
      <c r="D68" s="24"/>
      <c r="E68" s="23"/>
      <c r="F68" s="21"/>
      <c r="G68" s="28" t="s">
        <v>7363</v>
      </c>
      <c r="H68" s="61"/>
      <c r="I68" s="22"/>
      <c r="J68" s="23"/>
    </row>
    <row r="69" spans="1:10" ht="60" customHeight="1" x14ac:dyDescent="0.4">
      <c r="A69" s="21"/>
      <c r="B69" s="22"/>
      <c r="C69" s="62" t="s">
        <v>7408</v>
      </c>
      <c r="D69" s="24"/>
      <c r="E69" s="23"/>
      <c r="F69" s="21"/>
      <c r="G69" s="22"/>
      <c r="H69" s="62" t="s">
        <v>7405</v>
      </c>
      <c r="I69" s="22"/>
      <c r="J69" s="23"/>
    </row>
    <row r="70" spans="1:10" ht="27.6" customHeight="1" x14ac:dyDescent="0.3">
      <c r="A70" s="21"/>
      <c r="B70" s="22"/>
      <c r="C70" s="69" t="s">
        <v>73</v>
      </c>
      <c r="D70" s="24"/>
      <c r="E70" s="23"/>
      <c r="F70" s="21"/>
      <c r="G70" s="22"/>
      <c r="H70" s="69" t="s">
        <v>36</v>
      </c>
      <c r="I70" s="22"/>
      <c r="J70" s="23"/>
    </row>
    <row r="71" spans="1:10" ht="33.6" customHeight="1" x14ac:dyDescent="0.15">
      <c r="A71" s="21"/>
      <c r="B71" s="22"/>
      <c r="C71" s="64"/>
      <c r="D71" s="24" t="s">
        <v>7365</v>
      </c>
      <c r="E71" s="23"/>
      <c r="F71" s="21"/>
      <c r="G71" s="22"/>
      <c r="H71" s="61"/>
      <c r="I71" s="24" t="s">
        <v>7365</v>
      </c>
      <c r="J71" s="23"/>
    </row>
    <row r="72" spans="1:10" x14ac:dyDescent="0.15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15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15">
      <c r="A74" s="21"/>
      <c r="B74" s="22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0.55000000000000004">
      <c r="A75" s="21"/>
      <c r="B75" s="22"/>
      <c r="C75" s="70" t="s">
        <v>5131</v>
      </c>
      <c r="D75" s="24"/>
      <c r="E75" s="23"/>
      <c r="F75" s="21"/>
      <c r="G75" s="22"/>
      <c r="H75" s="70" t="s">
        <v>7410</v>
      </c>
      <c r="I75" s="22"/>
      <c r="J75" s="23"/>
    </row>
    <row r="76" spans="1:10" ht="27.6" customHeight="1" x14ac:dyDescent="0.15">
      <c r="A76" s="21"/>
      <c r="B76" s="22"/>
      <c r="C76" s="64"/>
      <c r="D76" s="24"/>
      <c r="E76" s="23"/>
      <c r="F76" s="21"/>
      <c r="G76" s="22"/>
      <c r="H76" s="64"/>
      <c r="I76" s="22"/>
      <c r="J76" s="23"/>
    </row>
    <row r="77" spans="1:10" ht="33.6" customHeight="1" x14ac:dyDescent="0.15">
      <c r="A77" s="21"/>
      <c r="B77" s="22" t="s">
        <v>7409</v>
      </c>
      <c r="C77" s="64"/>
      <c r="D77" s="24"/>
      <c r="E77" s="23"/>
      <c r="F77" s="21"/>
      <c r="G77" s="22" t="s">
        <v>7411</v>
      </c>
      <c r="H77" s="61"/>
      <c r="I77" s="24"/>
      <c r="J77" s="23"/>
    </row>
    <row r="78" spans="1:10" x14ac:dyDescent="0.15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15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15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0.55000000000000004">
      <c r="A81" s="21"/>
      <c r="B81" s="22"/>
      <c r="C81" s="70" t="s">
        <v>7410</v>
      </c>
      <c r="D81" s="24"/>
      <c r="E81" s="23"/>
      <c r="F81" s="21"/>
      <c r="G81" s="22"/>
      <c r="H81" s="70" t="s">
        <v>963</v>
      </c>
      <c r="I81" s="22"/>
      <c r="J81" s="23"/>
    </row>
    <row r="82" spans="1:10" ht="27.6" customHeight="1" x14ac:dyDescent="0.15">
      <c r="A82" s="21"/>
      <c r="B82" s="22"/>
      <c r="C82" s="64"/>
      <c r="D82" s="24"/>
      <c r="E82" s="23"/>
      <c r="F82" s="21"/>
      <c r="G82" s="22"/>
      <c r="H82" s="64"/>
      <c r="I82" s="22"/>
      <c r="J82" s="23"/>
    </row>
    <row r="83" spans="1:10" ht="33.6" customHeight="1" x14ac:dyDescent="0.15">
      <c r="A83" s="21"/>
      <c r="B83" s="22" t="s">
        <v>7413</v>
      </c>
      <c r="C83" s="64"/>
      <c r="D83" s="24"/>
      <c r="E83" s="23"/>
      <c r="F83" s="21"/>
      <c r="G83" s="22" t="s">
        <v>7415</v>
      </c>
      <c r="H83" s="61"/>
      <c r="I83" s="24"/>
      <c r="J83" s="23"/>
    </row>
    <row r="84" spans="1:10" x14ac:dyDescent="0.15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15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15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0.55000000000000004">
      <c r="A87" s="21"/>
      <c r="B87" s="22"/>
      <c r="C87" s="70" t="s">
        <v>7417</v>
      </c>
      <c r="D87" s="24"/>
      <c r="E87" s="23"/>
      <c r="F87" s="21"/>
      <c r="G87" s="22"/>
      <c r="H87" s="70" t="s">
        <v>7420</v>
      </c>
      <c r="I87" s="22"/>
      <c r="J87" s="23"/>
    </row>
    <row r="88" spans="1:10" ht="27.6" customHeight="1" x14ac:dyDescent="0.15">
      <c r="A88" s="21"/>
      <c r="B88" s="22"/>
      <c r="C88" s="64"/>
      <c r="D88" s="24"/>
      <c r="E88" s="23"/>
      <c r="F88" s="21"/>
      <c r="G88" s="22"/>
      <c r="H88" s="64"/>
      <c r="I88" s="22"/>
      <c r="J88" s="23"/>
    </row>
    <row r="89" spans="1:10" ht="33.6" customHeight="1" x14ac:dyDescent="0.15">
      <c r="A89" s="21"/>
      <c r="B89" s="22" t="s">
        <v>7418</v>
      </c>
      <c r="C89" s="64"/>
      <c r="D89" s="24"/>
      <c r="E89" s="23"/>
      <c r="F89" s="21"/>
      <c r="G89" s="22" t="s">
        <v>7421</v>
      </c>
      <c r="H89" s="61"/>
      <c r="I89" s="24"/>
      <c r="J89" s="23"/>
    </row>
    <row r="90" spans="1:10" x14ac:dyDescent="0.15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15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15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0.55000000000000004">
      <c r="A93" s="21"/>
      <c r="B93" s="22"/>
      <c r="C93" s="70" t="s">
        <v>7423</v>
      </c>
      <c r="D93" s="24"/>
      <c r="E93" s="23"/>
      <c r="F93" s="21"/>
      <c r="G93" s="22"/>
      <c r="H93" s="70" t="s">
        <v>7426</v>
      </c>
      <c r="I93" s="22"/>
      <c r="J93" s="23"/>
    </row>
    <row r="94" spans="1:10" ht="27.6" customHeight="1" x14ac:dyDescent="0.15">
      <c r="A94" s="21"/>
      <c r="B94" s="22"/>
      <c r="C94" s="64"/>
      <c r="D94" s="24"/>
      <c r="E94" s="23"/>
      <c r="F94" s="21"/>
      <c r="G94" s="22"/>
      <c r="H94" s="64"/>
      <c r="I94" s="22"/>
      <c r="J94" s="23"/>
    </row>
    <row r="95" spans="1:10" ht="33.6" customHeight="1" x14ac:dyDescent="0.15">
      <c r="A95" s="21"/>
      <c r="B95" s="22" t="s">
        <v>7424</v>
      </c>
      <c r="C95" s="64"/>
      <c r="D95" s="24"/>
      <c r="E95" s="23"/>
      <c r="F95" s="21"/>
      <c r="G95" s="22" t="s">
        <v>7427</v>
      </c>
      <c r="H95" s="61"/>
      <c r="I95" s="24"/>
      <c r="J95" s="23"/>
    </row>
    <row r="96" spans="1:10" x14ac:dyDescent="0.15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15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15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0.55000000000000004">
      <c r="A99" s="21"/>
      <c r="B99" s="22"/>
      <c r="C99" s="70" t="s">
        <v>7428</v>
      </c>
      <c r="D99" s="24"/>
      <c r="E99" s="23"/>
      <c r="F99" s="21"/>
      <c r="G99" s="22"/>
      <c r="H99" s="70" t="s">
        <v>4615</v>
      </c>
      <c r="I99" s="22"/>
      <c r="J99" s="23"/>
    </row>
    <row r="100" spans="1:10" ht="27.6" customHeight="1" x14ac:dyDescent="0.15">
      <c r="A100" s="21"/>
      <c r="B100" s="22"/>
      <c r="C100" s="64"/>
      <c r="D100" s="24"/>
      <c r="E100" s="23"/>
      <c r="F100" s="21"/>
      <c r="G100" s="22"/>
      <c r="H100" s="64"/>
      <c r="I100" s="22"/>
      <c r="J100" s="23"/>
    </row>
    <row r="101" spans="1:10" ht="33.6" customHeight="1" x14ac:dyDescent="0.15">
      <c r="A101" s="21"/>
      <c r="B101" s="22" t="s">
        <v>7429</v>
      </c>
      <c r="C101" s="64"/>
      <c r="D101" s="24"/>
      <c r="E101" s="23"/>
      <c r="F101" s="21"/>
      <c r="G101" s="22" t="s">
        <v>7431</v>
      </c>
      <c r="H101" s="61"/>
      <c r="I101" s="24"/>
      <c r="J101" s="23"/>
    </row>
    <row r="102" spans="1:10" x14ac:dyDescent="0.15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15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15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0.55000000000000004">
      <c r="A105" s="21"/>
      <c r="B105" s="22"/>
      <c r="C105" s="70" t="s">
        <v>7432</v>
      </c>
      <c r="D105" s="24"/>
      <c r="E105" s="23"/>
      <c r="F105" s="21"/>
      <c r="G105" s="22"/>
      <c r="H105" s="70" t="s">
        <v>7435</v>
      </c>
      <c r="I105" s="22"/>
      <c r="J105" s="23"/>
    </row>
    <row r="106" spans="1:10" ht="27.6" customHeight="1" x14ac:dyDescent="0.15">
      <c r="A106" s="21"/>
      <c r="B106" s="22"/>
      <c r="C106" s="64"/>
      <c r="D106" s="24"/>
      <c r="E106" s="23"/>
      <c r="F106" s="21"/>
      <c r="G106" s="22"/>
      <c r="H106" s="64"/>
      <c r="I106" s="22"/>
      <c r="J106" s="23"/>
    </row>
    <row r="107" spans="1:10" ht="33.6" customHeight="1" x14ac:dyDescent="0.15">
      <c r="A107" s="21"/>
      <c r="B107" s="22" t="s">
        <v>7433</v>
      </c>
      <c r="C107" s="64"/>
      <c r="D107" s="24"/>
      <c r="E107" s="23"/>
      <c r="F107" s="21"/>
      <c r="G107" s="22" t="s">
        <v>7436</v>
      </c>
      <c r="H107" s="61"/>
      <c r="I107" s="24"/>
      <c r="J107" s="23"/>
    </row>
    <row r="108" spans="1:10" x14ac:dyDescent="0.15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15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15">
      <c r="A110" s="21"/>
      <c r="B110" s="28" t="s">
        <v>7363</v>
      </c>
      <c r="C110" s="64"/>
      <c r="D110" s="24"/>
      <c r="E110" s="23"/>
      <c r="F110" s="21"/>
      <c r="G110" s="28" t="s">
        <v>7363</v>
      </c>
      <c r="H110" s="61"/>
      <c r="I110" s="22"/>
      <c r="J110" s="23"/>
    </row>
    <row r="111" spans="1:10" ht="60" customHeight="1" x14ac:dyDescent="0.4">
      <c r="A111" s="21"/>
      <c r="B111" s="22"/>
      <c r="C111" s="62" t="s">
        <v>7412</v>
      </c>
      <c r="D111" s="24"/>
      <c r="E111" s="23"/>
      <c r="F111" s="21"/>
      <c r="G111" s="22"/>
      <c r="H111" s="62" t="s">
        <v>5132</v>
      </c>
      <c r="I111" s="22"/>
      <c r="J111" s="23"/>
    </row>
    <row r="112" spans="1:10" ht="27.6" customHeight="1" x14ac:dyDescent="0.3">
      <c r="A112" s="21"/>
      <c r="B112" s="22"/>
      <c r="C112" s="69" t="s">
        <v>36</v>
      </c>
      <c r="D112" s="24"/>
      <c r="E112" s="23"/>
      <c r="F112" s="21"/>
      <c r="G112" s="22"/>
      <c r="H112" s="69" t="s">
        <v>36</v>
      </c>
      <c r="I112" s="22"/>
      <c r="J112" s="23"/>
    </row>
    <row r="113" spans="1:10" ht="33.6" customHeight="1" x14ac:dyDescent="0.15">
      <c r="A113" s="21"/>
      <c r="B113" s="22"/>
      <c r="C113" s="64"/>
      <c r="D113" s="24" t="s">
        <v>7365</v>
      </c>
      <c r="E113" s="23"/>
      <c r="F113" s="21"/>
      <c r="G113" s="22"/>
      <c r="H113" s="61"/>
      <c r="I113" s="24" t="s">
        <v>7365</v>
      </c>
      <c r="J113" s="23"/>
    </row>
    <row r="114" spans="1:10" x14ac:dyDescent="0.15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15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15">
      <c r="A116" s="21"/>
      <c r="B116" s="28" t="s">
        <v>7363</v>
      </c>
      <c r="C116" s="64"/>
      <c r="D116" s="24"/>
      <c r="E116" s="23"/>
      <c r="F116" s="21"/>
      <c r="G116" s="28" t="s">
        <v>7363</v>
      </c>
      <c r="H116" s="61"/>
      <c r="I116" s="22"/>
      <c r="J116" s="23"/>
    </row>
    <row r="117" spans="1:10" ht="60" customHeight="1" x14ac:dyDescent="0.4">
      <c r="A117" s="21"/>
      <c r="B117" s="22"/>
      <c r="C117" s="62" t="s">
        <v>7416</v>
      </c>
      <c r="D117" s="24"/>
      <c r="E117" s="23"/>
      <c r="F117" s="21"/>
      <c r="G117" s="22"/>
      <c r="H117" s="62" t="s">
        <v>7414</v>
      </c>
      <c r="I117" s="22"/>
      <c r="J117" s="23"/>
    </row>
    <row r="118" spans="1:10" ht="27.6" customHeight="1" x14ac:dyDescent="0.3">
      <c r="A118" s="21"/>
      <c r="B118" s="22"/>
      <c r="C118" s="69" t="s">
        <v>61</v>
      </c>
      <c r="D118" s="24"/>
      <c r="E118" s="23"/>
      <c r="F118" s="21"/>
      <c r="G118" s="22"/>
      <c r="H118" s="69" t="s">
        <v>61</v>
      </c>
      <c r="I118" s="22"/>
      <c r="J118" s="23"/>
    </row>
    <row r="119" spans="1:10" ht="33.6" customHeight="1" x14ac:dyDescent="0.15">
      <c r="A119" s="21"/>
      <c r="B119" s="22"/>
      <c r="C119" s="64"/>
      <c r="D119" s="24" t="s">
        <v>7365</v>
      </c>
      <c r="E119" s="23"/>
      <c r="F119" s="21"/>
      <c r="G119" s="22"/>
      <c r="H119" s="61"/>
      <c r="I119" s="24" t="s">
        <v>7365</v>
      </c>
      <c r="J119" s="23"/>
    </row>
    <row r="120" spans="1:10" x14ac:dyDescent="0.15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15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15">
      <c r="A122" s="21"/>
      <c r="B122" s="28" t="s">
        <v>7363</v>
      </c>
      <c r="C122" s="64"/>
      <c r="D122" s="24"/>
      <c r="E122" s="23"/>
      <c r="F122" s="21"/>
      <c r="G122" s="28" t="s">
        <v>7363</v>
      </c>
      <c r="H122" s="61"/>
      <c r="I122" s="22"/>
      <c r="J122" s="23"/>
    </row>
    <row r="123" spans="1:10" ht="60" customHeight="1" x14ac:dyDescent="0.4">
      <c r="A123" s="21"/>
      <c r="B123" s="22"/>
      <c r="C123" s="62" t="s">
        <v>7422</v>
      </c>
      <c r="D123" s="24"/>
      <c r="E123" s="23"/>
      <c r="F123" s="21"/>
      <c r="G123" s="22"/>
      <c r="H123" s="62" t="s">
        <v>7419</v>
      </c>
      <c r="I123" s="22"/>
      <c r="J123" s="23"/>
    </row>
    <row r="124" spans="1:10" ht="27.6" customHeight="1" x14ac:dyDescent="0.3">
      <c r="A124" s="21"/>
      <c r="B124" s="22"/>
      <c r="C124" s="69" t="s">
        <v>36</v>
      </c>
      <c r="D124" s="24"/>
      <c r="E124" s="23"/>
      <c r="F124" s="21"/>
      <c r="G124" s="22"/>
      <c r="H124" s="69" t="s">
        <v>36</v>
      </c>
      <c r="I124" s="22"/>
      <c r="J124" s="23"/>
    </row>
    <row r="125" spans="1:10" ht="33.6" customHeight="1" x14ac:dyDescent="0.15">
      <c r="A125" s="21"/>
      <c r="B125" s="22"/>
      <c r="C125" s="64"/>
      <c r="D125" s="24" t="s">
        <v>7365</v>
      </c>
      <c r="E125" s="23"/>
      <c r="F125" s="21"/>
      <c r="G125" s="22"/>
      <c r="H125" s="61"/>
      <c r="I125" s="24" t="s">
        <v>7365</v>
      </c>
      <c r="J125" s="23"/>
    </row>
    <row r="126" spans="1:10" x14ac:dyDescent="0.15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15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15">
      <c r="A128" s="21"/>
      <c r="B128" s="28" t="s">
        <v>7363</v>
      </c>
      <c r="C128" s="64"/>
      <c r="D128" s="24"/>
      <c r="E128" s="23"/>
      <c r="F128" s="21"/>
      <c r="G128" s="28" t="s">
        <v>7363</v>
      </c>
      <c r="H128" s="61"/>
      <c r="I128" s="22"/>
      <c r="J128" s="23"/>
    </row>
    <row r="129" spans="1:10" ht="60" customHeight="1" x14ac:dyDescent="0.4">
      <c r="A129" s="21"/>
      <c r="B129" s="22"/>
      <c r="C129" s="62" t="s">
        <v>7425</v>
      </c>
      <c r="D129" s="24"/>
      <c r="E129" s="23"/>
      <c r="F129" s="21"/>
      <c r="G129" s="22"/>
      <c r="H129" s="62" t="s">
        <v>7425</v>
      </c>
      <c r="I129" s="22"/>
      <c r="J129" s="23"/>
    </row>
    <row r="130" spans="1:10" ht="27.6" customHeight="1" x14ac:dyDescent="0.3">
      <c r="A130" s="21"/>
      <c r="B130" s="22"/>
      <c r="C130" s="69" t="s">
        <v>73</v>
      </c>
      <c r="D130" s="24"/>
      <c r="E130" s="23"/>
      <c r="F130" s="21"/>
      <c r="G130" s="22"/>
      <c r="H130" s="69" t="s">
        <v>73</v>
      </c>
      <c r="I130" s="22"/>
      <c r="J130" s="23"/>
    </row>
    <row r="131" spans="1:10" ht="33.6" customHeight="1" x14ac:dyDescent="0.15">
      <c r="A131" s="21"/>
      <c r="B131" s="22"/>
      <c r="C131" s="64"/>
      <c r="D131" s="24" t="s">
        <v>7365</v>
      </c>
      <c r="E131" s="23"/>
      <c r="F131" s="21"/>
      <c r="G131" s="22"/>
      <c r="H131" s="61"/>
      <c r="I131" s="24" t="s">
        <v>7365</v>
      </c>
      <c r="J131" s="23"/>
    </row>
    <row r="132" spans="1:10" x14ac:dyDescent="0.15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15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15">
      <c r="A134" s="21"/>
      <c r="B134" s="28" t="s">
        <v>7363</v>
      </c>
      <c r="C134" s="64"/>
      <c r="D134" s="24"/>
      <c r="E134" s="23"/>
      <c r="F134" s="21"/>
      <c r="G134" s="28" t="s">
        <v>7363</v>
      </c>
      <c r="H134" s="61"/>
      <c r="I134" s="22"/>
      <c r="J134" s="23"/>
    </row>
    <row r="135" spans="1:10" ht="60" customHeight="1" x14ac:dyDescent="0.4">
      <c r="A135" s="21"/>
      <c r="B135" s="22"/>
      <c r="C135" s="62" t="s">
        <v>296</v>
      </c>
      <c r="D135" s="24"/>
      <c r="E135" s="23"/>
      <c r="F135" s="21"/>
      <c r="G135" s="22"/>
      <c r="H135" s="62" t="s">
        <v>7430</v>
      </c>
      <c r="I135" s="22"/>
      <c r="J135" s="23"/>
    </row>
    <row r="136" spans="1:10" ht="27.6" customHeight="1" x14ac:dyDescent="0.3">
      <c r="A136" s="21"/>
      <c r="B136" s="22"/>
      <c r="C136" s="69" t="s">
        <v>36</v>
      </c>
      <c r="D136" s="24"/>
      <c r="E136" s="23"/>
      <c r="F136" s="21"/>
      <c r="G136" s="22"/>
      <c r="H136" s="69" t="s">
        <v>36</v>
      </c>
      <c r="I136" s="22"/>
      <c r="J136" s="23"/>
    </row>
    <row r="137" spans="1:10" ht="33.6" customHeight="1" x14ac:dyDescent="0.15">
      <c r="A137" s="21"/>
      <c r="B137" s="22"/>
      <c r="C137" s="64"/>
      <c r="D137" s="24" t="s">
        <v>7365</v>
      </c>
      <c r="E137" s="23"/>
      <c r="F137" s="21"/>
      <c r="G137" s="22"/>
      <c r="H137" s="61"/>
      <c r="I137" s="24" t="s">
        <v>7365</v>
      </c>
      <c r="J137" s="23"/>
    </row>
    <row r="138" spans="1:10" x14ac:dyDescent="0.15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15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15">
      <c r="A140" s="21"/>
      <c r="B140" s="28" t="s">
        <v>7363</v>
      </c>
      <c r="C140" s="64"/>
      <c r="D140" s="24"/>
      <c r="E140" s="23"/>
      <c r="F140" s="21"/>
      <c r="G140" s="28" t="s">
        <v>7363</v>
      </c>
      <c r="H140" s="61"/>
      <c r="I140" s="22"/>
      <c r="J140" s="23"/>
    </row>
    <row r="141" spans="1:10" ht="60" customHeight="1" x14ac:dyDescent="0.4">
      <c r="A141" s="21"/>
      <c r="B141" s="22"/>
      <c r="C141" s="62" t="s">
        <v>7437</v>
      </c>
      <c r="D141" s="24"/>
      <c r="E141" s="23"/>
      <c r="F141" s="21"/>
      <c r="G141" s="22"/>
      <c r="H141" s="62" t="s">
        <v>7434</v>
      </c>
      <c r="I141" s="22"/>
      <c r="J141" s="23"/>
    </row>
    <row r="142" spans="1:10" ht="27.6" customHeight="1" x14ac:dyDescent="0.3">
      <c r="A142" s="21"/>
      <c r="B142" s="22"/>
      <c r="C142" s="69" t="s">
        <v>36</v>
      </c>
      <c r="D142" s="24"/>
      <c r="E142" s="23"/>
      <c r="F142" s="21"/>
      <c r="G142" s="22"/>
      <c r="H142" s="69" t="s">
        <v>73</v>
      </c>
      <c r="I142" s="22"/>
      <c r="J142" s="23"/>
    </row>
    <row r="143" spans="1:10" ht="33.6" customHeight="1" x14ac:dyDescent="0.15">
      <c r="A143" s="21"/>
      <c r="B143" s="22"/>
      <c r="C143" s="64"/>
      <c r="D143" s="24" t="s">
        <v>7365</v>
      </c>
      <c r="E143" s="23"/>
      <c r="F143" s="21"/>
      <c r="G143" s="22"/>
      <c r="H143" s="61"/>
      <c r="I143" s="24" t="s">
        <v>7365</v>
      </c>
      <c r="J143" s="23"/>
    </row>
    <row r="144" spans="1:10" x14ac:dyDescent="0.15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15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15">
      <c r="A146" s="21"/>
      <c r="B146" s="22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0.55000000000000004">
      <c r="A147" s="21"/>
      <c r="B147" s="22"/>
      <c r="C147" s="70" t="s">
        <v>7438</v>
      </c>
      <c r="D147" s="24"/>
      <c r="E147" s="23"/>
      <c r="F147" s="21"/>
      <c r="G147" s="22"/>
      <c r="H147" s="70" t="s">
        <v>7441</v>
      </c>
      <c r="I147" s="22"/>
      <c r="J147" s="23"/>
    </row>
    <row r="148" spans="1:10" ht="27.6" customHeight="1" x14ac:dyDescent="0.15">
      <c r="A148" s="21"/>
      <c r="B148" s="22"/>
      <c r="C148" s="64"/>
      <c r="D148" s="24"/>
      <c r="E148" s="23"/>
      <c r="F148" s="21"/>
      <c r="G148" s="22"/>
      <c r="H148" s="64"/>
      <c r="I148" s="22"/>
      <c r="J148" s="23"/>
    </row>
    <row r="149" spans="1:10" ht="33.6" customHeight="1" x14ac:dyDescent="0.15">
      <c r="A149" s="21"/>
      <c r="B149" s="22" t="s">
        <v>7439</v>
      </c>
      <c r="C149" s="64"/>
      <c r="D149" s="24"/>
      <c r="E149" s="23"/>
      <c r="F149" s="21"/>
      <c r="G149" s="22" t="s">
        <v>7442</v>
      </c>
      <c r="H149" s="61"/>
      <c r="I149" s="24"/>
      <c r="J149" s="23"/>
    </row>
    <row r="150" spans="1:10" x14ac:dyDescent="0.15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15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15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0.55000000000000004">
      <c r="A153" s="21"/>
      <c r="B153" s="22"/>
      <c r="C153" s="70" t="s">
        <v>7441</v>
      </c>
      <c r="D153" s="24"/>
      <c r="E153" s="23"/>
      <c r="F153" s="21"/>
      <c r="G153" s="22"/>
      <c r="H153" s="70" t="s">
        <v>7446</v>
      </c>
      <c r="I153" s="22"/>
      <c r="J153" s="23"/>
    </row>
    <row r="154" spans="1:10" ht="27.6" customHeight="1" x14ac:dyDescent="0.15">
      <c r="A154" s="21"/>
      <c r="B154" s="22"/>
      <c r="C154" s="64"/>
      <c r="D154" s="24"/>
      <c r="E154" s="23"/>
      <c r="F154" s="21"/>
      <c r="G154" s="22"/>
      <c r="H154" s="64"/>
      <c r="I154" s="22"/>
      <c r="J154" s="23"/>
    </row>
    <row r="155" spans="1:10" ht="33.6" customHeight="1" x14ac:dyDescent="0.15">
      <c r="A155" s="21"/>
      <c r="B155" s="22" t="s">
        <v>7444</v>
      </c>
      <c r="C155" s="64"/>
      <c r="D155" s="24"/>
      <c r="E155" s="23"/>
      <c r="F155" s="21"/>
      <c r="G155" s="22" t="s">
        <v>7447</v>
      </c>
      <c r="H155" s="61"/>
      <c r="I155" s="24"/>
      <c r="J155" s="23"/>
    </row>
    <row r="156" spans="1:10" x14ac:dyDescent="0.15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15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15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0.55000000000000004">
      <c r="A159" s="21"/>
      <c r="B159" s="22"/>
      <c r="C159" s="70" t="s">
        <v>7449</v>
      </c>
      <c r="D159" s="24"/>
      <c r="E159" s="23"/>
      <c r="F159" s="21"/>
      <c r="G159" s="22"/>
      <c r="H159" s="70" t="s">
        <v>7376</v>
      </c>
      <c r="I159" s="22"/>
      <c r="J159" s="23"/>
    </row>
    <row r="160" spans="1:10" ht="27.6" customHeight="1" x14ac:dyDescent="0.15">
      <c r="A160" s="21"/>
      <c r="B160" s="22"/>
      <c r="C160" s="64"/>
      <c r="D160" s="24"/>
      <c r="E160" s="23"/>
      <c r="F160" s="21"/>
      <c r="G160" s="22"/>
      <c r="H160" s="64"/>
      <c r="I160" s="22"/>
      <c r="J160" s="23"/>
    </row>
    <row r="161" spans="1:10" ht="33.6" customHeight="1" x14ac:dyDescent="0.15">
      <c r="A161" s="21"/>
      <c r="B161" s="22" t="s">
        <v>7450</v>
      </c>
      <c r="C161" s="64"/>
      <c r="D161" s="24"/>
      <c r="E161" s="23"/>
      <c r="F161" s="21"/>
      <c r="G161" s="22" t="s">
        <v>7452</v>
      </c>
      <c r="H161" s="61"/>
      <c r="I161" s="24"/>
      <c r="J161" s="23"/>
    </row>
    <row r="162" spans="1:10" x14ac:dyDescent="0.15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15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15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0.55000000000000004">
      <c r="A165" s="21"/>
      <c r="B165" s="22"/>
      <c r="C165" s="70" t="s">
        <v>7376</v>
      </c>
      <c r="D165" s="24"/>
      <c r="E165" s="23"/>
      <c r="F165" s="21"/>
      <c r="G165" s="22"/>
      <c r="H165" s="70" t="s">
        <v>7456</v>
      </c>
      <c r="I165" s="22"/>
      <c r="J165" s="23"/>
    </row>
    <row r="166" spans="1:10" ht="27.6" customHeight="1" x14ac:dyDescent="0.15">
      <c r="A166" s="21"/>
      <c r="B166" s="22"/>
      <c r="C166" s="64"/>
      <c r="D166" s="24"/>
      <c r="E166" s="23"/>
      <c r="F166" s="21"/>
      <c r="G166" s="22"/>
      <c r="H166" s="64"/>
      <c r="I166" s="22"/>
      <c r="J166" s="23"/>
    </row>
    <row r="167" spans="1:10" ht="33.6" customHeight="1" x14ac:dyDescent="0.15">
      <c r="A167" s="21"/>
      <c r="B167" s="22" t="s">
        <v>7454</v>
      </c>
      <c r="C167" s="64"/>
      <c r="D167" s="24"/>
      <c r="E167" s="23"/>
      <c r="F167" s="21"/>
      <c r="G167" s="22" t="s">
        <v>7457</v>
      </c>
      <c r="H167" s="61"/>
      <c r="I167" s="24"/>
      <c r="J167" s="23"/>
    </row>
    <row r="168" spans="1:10" x14ac:dyDescent="0.15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15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15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0.55000000000000004">
      <c r="A171" s="21"/>
      <c r="B171" s="22"/>
      <c r="C171" s="70" t="s">
        <v>7459</v>
      </c>
      <c r="D171" s="24"/>
      <c r="E171" s="23"/>
      <c r="F171" s="21"/>
      <c r="G171" s="22"/>
      <c r="H171" s="70" t="s">
        <v>7462</v>
      </c>
      <c r="I171" s="22"/>
      <c r="J171" s="23"/>
    </row>
    <row r="172" spans="1:10" ht="27.6" customHeight="1" x14ac:dyDescent="0.15">
      <c r="A172" s="21"/>
      <c r="B172" s="22"/>
      <c r="C172" s="64"/>
      <c r="D172" s="24"/>
      <c r="E172" s="23"/>
      <c r="F172" s="21"/>
      <c r="G172" s="22"/>
      <c r="H172" s="64"/>
      <c r="I172" s="22"/>
      <c r="J172" s="23"/>
    </row>
    <row r="173" spans="1:10" ht="33.6" customHeight="1" x14ac:dyDescent="0.15">
      <c r="A173" s="21"/>
      <c r="B173" s="22" t="s">
        <v>7460</v>
      </c>
      <c r="C173" s="64"/>
      <c r="D173" s="24"/>
      <c r="E173" s="23"/>
      <c r="F173" s="21"/>
      <c r="G173" s="22" t="s">
        <v>7463</v>
      </c>
      <c r="H173" s="61"/>
      <c r="I173" s="24"/>
      <c r="J173" s="23"/>
    </row>
    <row r="174" spans="1:10" x14ac:dyDescent="0.15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15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15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0.55000000000000004">
      <c r="A177" s="21"/>
      <c r="B177" s="22"/>
      <c r="C177" s="70" t="s">
        <v>7465</v>
      </c>
      <c r="D177" s="24"/>
      <c r="E177" s="23"/>
      <c r="F177" s="21"/>
      <c r="G177" s="22"/>
      <c r="H177" s="70" t="s">
        <v>7468</v>
      </c>
      <c r="I177" s="22"/>
      <c r="J177" s="23"/>
    </row>
    <row r="178" spans="1:10" ht="27.6" customHeight="1" x14ac:dyDescent="0.15">
      <c r="A178" s="21"/>
      <c r="B178" s="22"/>
      <c r="C178" s="64"/>
      <c r="D178" s="24"/>
      <c r="E178" s="23"/>
      <c r="F178" s="21"/>
      <c r="G178" s="22"/>
      <c r="H178" s="64"/>
      <c r="I178" s="22"/>
      <c r="J178" s="23"/>
    </row>
    <row r="179" spans="1:10" ht="33.6" customHeight="1" x14ac:dyDescent="0.15">
      <c r="A179" s="21"/>
      <c r="B179" s="22" t="s">
        <v>7466</v>
      </c>
      <c r="C179" s="64"/>
      <c r="D179" s="24"/>
      <c r="E179" s="23"/>
      <c r="F179" s="21"/>
      <c r="G179" s="22" t="s">
        <v>7469</v>
      </c>
      <c r="H179" s="61"/>
      <c r="I179" s="24"/>
      <c r="J179" s="23"/>
    </row>
    <row r="180" spans="1:10" x14ac:dyDescent="0.15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15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15">
      <c r="A182" s="21"/>
      <c r="B182" s="28" t="s">
        <v>7363</v>
      </c>
      <c r="C182" s="64"/>
      <c r="D182" s="24"/>
      <c r="E182" s="23"/>
      <c r="F182" s="21"/>
      <c r="G182" s="28" t="s">
        <v>7363</v>
      </c>
      <c r="H182" s="61"/>
      <c r="I182" s="22"/>
      <c r="J182" s="23"/>
    </row>
    <row r="183" spans="1:10" ht="60" customHeight="1" x14ac:dyDescent="0.4">
      <c r="A183" s="21"/>
      <c r="B183" s="22"/>
      <c r="C183" s="62" t="s">
        <v>7443</v>
      </c>
      <c r="D183" s="24"/>
      <c r="E183" s="23"/>
      <c r="F183" s="21"/>
      <c r="G183" s="22"/>
      <c r="H183" s="62" t="s">
        <v>7440</v>
      </c>
      <c r="I183" s="22"/>
      <c r="J183" s="23"/>
    </row>
    <row r="184" spans="1:10" ht="27.6" customHeight="1" x14ac:dyDescent="0.3">
      <c r="A184" s="21"/>
      <c r="B184" s="22"/>
      <c r="C184" s="69" t="s">
        <v>73</v>
      </c>
      <c r="D184" s="24"/>
      <c r="E184" s="23"/>
      <c r="F184" s="21"/>
      <c r="G184" s="22"/>
      <c r="H184" s="69" t="s">
        <v>61</v>
      </c>
      <c r="I184" s="22"/>
      <c r="J184" s="23"/>
    </row>
    <row r="185" spans="1:10" ht="33.6" customHeight="1" x14ac:dyDescent="0.15">
      <c r="A185" s="21"/>
      <c r="B185" s="22"/>
      <c r="C185" s="64"/>
      <c r="D185" s="24" t="s">
        <v>7365</v>
      </c>
      <c r="E185" s="23"/>
      <c r="F185" s="21"/>
      <c r="G185" s="22"/>
      <c r="H185" s="61"/>
      <c r="I185" s="24" t="s">
        <v>7365</v>
      </c>
      <c r="J185" s="23"/>
    </row>
    <row r="186" spans="1:10" x14ac:dyDescent="0.15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15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15">
      <c r="A188" s="21"/>
      <c r="B188" s="28" t="s">
        <v>7363</v>
      </c>
      <c r="C188" s="64"/>
      <c r="D188" s="24"/>
      <c r="E188" s="23"/>
      <c r="F188" s="21"/>
      <c r="G188" s="28" t="s">
        <v>7363</v>
      </c>
      <c r="H188" s="61"/>
      <c r="I188" s="22"/>
      <c r="J188" s="23"/>
    </row>
    <row r="189" spans="1:10" ht="60" customHeight="1" x14ac:dyDescent="0.4">
      <c r="A189" s="21"/>
      <c r="B189" s="22"/>
      <c r="C189" s="62" t="s">
        <v>7448</v>
      </c>
      <c r="D189" s="24"/>
      <c r="E189" s="23"/>
      <c r="F189" s="21"/>
      <c r="G189" s="22"/>
      <c r="H189" s="62" t="s">
        <v>7445</v>
      </c>
      <c r="I189" s="22"/>
      <c r="J189" s="23"/>
    </row>
    <row r="190" spans="1:10" ht="27.6" customHeight="1" x14ac:dyDescent="0.3">
      <c r="A190" s="21"/>
      <c r="B190" s="22"/>
      <c r="C190" s="69" t="s">
        <v>73</v>
      </c>
      <c r="D190" s="24"/>
      <c r="E190" s="23"/>
      <c r="F190" s="21"/>
      <c r="G190" s="22"/>
      <c r="H190" s="69" t="s">
        <v>36</v>
      </c>
      <c r="I190" s="22"/>
      <c r="J190" s="23"/>
    </row>
    <row r="191" spans="1:10" ht="33.6" customHeight="1" x14ac:dyDescent="0.15">
      <c r="A191" s="21"/>
      <c r="B191" s="22"/>
      <c r="C191" s="64"/>
      <c r="D191" s="24" t="s">
        <v>7365</v>
      </c>
      <c r="E191" s="23"/>
      <c r="F191" s="21"/>
      <c r="G191" s="22"/>
      <c r="H191" s="61"/>
      <c r="I191" s="24" t="s">
        <v>7365</v>
      </c>
      <c r="J191" s="23"/>
    </row>
    <row r="192" spans="1:10" x14ac:dyDescent="0.15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15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15">
      <c r="A194" s="21"/>
      <c r="B194" s="28" t="s">
        <v>7363</v>
      </c>
      <c r="C194" s="64"/>
      <c r="D194" s="24"/>
      <c r="E194" s="23"/>
      <c r="F194" s="21"/>
      <c r="G194" s="28" t="s">
        <v>7363</v>
      </c>
      <c r="H194" s="61"/>
      <c r="I194" s="22"/>
      <c r="J194" s="23"/>
    </row>
    <row r="195" spans="1:10" ht="60" customHeight="1" x14ac:dyDescent="0.4">
      <c r="A195" s="21"/>
      <c r="B195" s="22"/>
      <c r="C195" s="62" t="s">
        <v>7453</v>
      </c>
      <c r="D195" s="24"/>
      <c r="E195" s="23"/>
      <c r="F195" s="21"/>
      <c r="G195" s="22"/>
      <c r="H195" s="62" t="s">
        <v>7451</v>
      </c>
      <c r="I195" s="22"/>
      <c r="J195" s="23"/>
    </row>
    <row r="196" spans="1:10" ht="27.6" customHeight="1" x14ac:dyDescent="0.3">
      <c r="A196" s="21"/>
      <c r="B196" s="22"/>
      <c r="C196" s="69" t="s">
        <v>73</v>
      </c>
      <c r="D196" s="24"/>
      <c r="E196" s="23"/>
      <c r="F196" s="21"/>
      <c r="G196" s="22"/>
      <c r="H196" s="69" t="s">
        <v>36</v>
      </c>
      <c r="I196" s="22"/>
      <c r="J196" s="23"/>
    </row>
    <row r="197" spans="1:10" ht="33.6" customHeight="1" x14ac:dyDescent="0.15">
      <c r="A197" s="21"/>
      <c r="B197" s="22"/>
      <c r="C197" s="64"/>
      <c r="D197" s="24" t="s">
        <v>7365</v>
      </c>
      <c r="E197" s="23"/>
      <c r="F197" s="21"/>
      <c r="G197" s="22"/>
      <c r="H197" s="61"/>
      <c r="I197" s="24" t="s">
        <v>7365</v>
      </c>
      <c r="J197" s="23"/>
    </row>
    <row r="198" spans="1:10" x14ac:dyDescent="0.15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15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15">
      <c r="A200" s="21"/>
      <c r="B200" s="28" t="s">
        <v>7363</v>
      </c>
      <c r="C200" s="64"/>
      <c r="D200" s="24"/>
      <c r="E200" s="23"/>
      <c r="F200" s="21"/>
      <c r="G200" s="28" t="s">
        <v>7363</v>
      </c>
      <c r="H200" s="61"/>
      <c r="I200" s="22"/>
      <c r="J200" s="23"/>
    </row>
    <row r="201" spans="1:10" ht="60" customHeight="1" x14ac:dyDescent="0.4">
      <c r="A201" s="21"/>
      <c r="B201" s="22"/>
      <c r="C201" s="62" t="s">
        <v>7458</v>
      </c>
      <c r="D201" s="24"/>
      <c r="E201" s="23"/>
      <c r="F201" s="21"/>
      <c r="G201" s="22"/>
      <c r="H201" s="62" t="s">
        <v>7455</v>
      </c>
      <c r="I201" s="22"/>
      <c r="J201" s="23"/>
    </row>
    <row r="202" spans="1:10" ht="27.6" customHeight="1" x14ac:dyDescent="0.3">
      <c r="A202" s="21"/>
      <c r="B202" s="22"/>
      <c r="C202" s="69" t="s">
        <v>73</v>
      </c>
      <c r="D202" s="24"/>
      <c r="E202" s="23"/>
      <c r="F202" s="21"/>
      <c r="G202" s="22"/>
      <c r="H202" s="69" t="s">
        <v>36</v>
      </c>
      <c r="I202" s="22"/>
      <c r="J202" s="23"/>
    </row>
    <row r="203" spans="1:10" ht="33.6" customHeight="1" x14ac:dyDescent="0.15">
      <c r="A203" s="21"/>
      <c r="B203" s="22"/>
      <c r="C203" s="64"/>
      <c r="D203" s="24" t="s">
        <v>7366</v>
      </c>
      <c r="E203" s="23"/>
      <c r="F203" s="21"/>
      <c r="G203" s="22"/>
      <c r="H203" s="61"/>
      <c r="I203" s="24" t="s">
        <v>7366</v>
      </c>
      <c r="J203" s="23"/>
    </row>
    <row r="204" spans="1:10" x14ac:dyDescent="0.15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15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15">
      <c r="A206" s="21"/>
      <c r="B206" s="28" t="s">
        <v>7363</v>
      </c>
      <c r="C206" s="64"/>
      <c r="D206" s="24"/>
      <c r="E206" s="23"/>
      <c r="F206" s="21"/>
      <c r="G206" s="28" t="s">
        <v>7363</v>
      </c>
      <c r="H206" s="61"/>
      <c r="I206" s="22"/>
      <c r="J206" s="23"/>
    </row>
    <row r="207" spans="1:10" ht="60" customHeight="1" x14ac:dyDescent="0.4">
      <c r="A207" s="21"/>
      <c r="B207" s="22"/>
      <c r="C207" s="62" t="s">
        <v>7464</v>
      </c>
      <c r="D207" s="24"/>
      <c r="E207" s="23"/>
      <c r="F207" s="21"/>
      <c r="G207" s="22"/>
      <c r="H207" s="62" t="s">
        <v>7461</v>
      </c>
      <c r="I207" s="22"/>
      <c r="J207" s="23"/>
    </row>
    <row r="208" spans="1:10" ht="27.6" customHeight="1" x14ac:dyDescent="0.3">
      <c r="A208" s="21"/>
      <c r="B208" s="22"/>
      <c r="C208" s="69" t="s">
        <v>73</v>
      </c>
      <c r="D208" s="24"/>
      <c r="E208" s="23"/>
      <c r="F208" s="21"/>
      <c r="G208" s="22"/>
      <c r="H208" s="69" t="s">
        <v>36</v>
      </c>
      <c r="I208" s="22"/>
      <c r="J208" s="23"/>
    </row>
    <row r="209" spans="1:10" ht="33.6" customHeight="1" x14ac:dyDescent="0.15">
      <c r="A209" s="21"/>
      <c r="B209" s="22"/>
      <c r="C209" s="64"/>
      <c r="D209" s="24" t="s">
        <v>7366</v>
      </c>
      <c r="E209" s="23"/>
      <c r="F209" s="21"/>
      <c r="G209" s="22"/>
      <c r="H209" s="61"/>
      <c r="I209" s="24" t="s">
        <v>7366</v>
      </c>
      <c r="J209" s="23"/>
    </row>
    <row r="210" spans="1:10" x14ac:dyDescent="0.15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15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15">
      <c r="A212" s="21"/>
      <c r="B212" s="28" t="s">
        <v>7363</v>
      </c>
      <c r="C212" s="64"/>
      <c r="D212" s="24"/>
      <c r="E212" s="23"/>
      <c r="F212" s="21"/>
      <c r="G212" s="28" t="s">
        <v>7363</v>
      </c>
      <c r="H212" s="61"/>
      <c r="I212" s="22"/>
      <c r="J212" s="23"/>
    </row>
    <row r="213" spans="1:10" ht="60" customHeight="1" x14ac:dyDescent="0.4">
      <c r="A213" s="21"/>
      <c r="B213" s="22"/>
      <c r="C213" s="62" t="s">
        <v>7470</v>
      </c>
      <c r="D213" s="24"/>
      <c r="E213" s="23"/>
      <c r="F213" s="21"/>
      <c r="G213" s="22"/>
      <c r="H213" s="62" t="s">
        <v>7467</v>
      </c>
      <c r="I213" s="22"/>
      <c r="J213" s="23"/>
    </row>
    <row r="214" spans="1:10" ht="27.6" customHeight="1" x14ac:dyDescent="0.3">
      <c r="A214" s="21"/>
      <c r="B214" s="22"/>
      <c r="C214" s="69" t="s">
        <v>36</v>
      </c>
      <c r="D214" s="24"/>
      <c r="E214" s="23"/>
      <c r="F214" s="21"/>
      <c r="G214" s="22"/>
      <c r="H214" s="69" t="s">
        <v>36</v>
      </c>
      <c r="I214" s="22"/>
      <c r="J214" s="23"/>
    </row>
    <row r="215" spans="1:10" ht="33.6" customHeight="1" x14ac:dyDescent="0.15">
      <c r="A215" s="21"/>
      <c r="B215" s="22"/>
      <c r="C215" s="64"/>
      <c r="D215" s="24" t="s">
        <v>7366</v>
      </c>
      <c r="E215" s="23"/>
      <c r="F215" s="21"/>
      <c r="G215" s="22"/>
      <c r="H215" s="61"/>
      <c r="I215" s="24" t="s">
        <v>7366</v>
      </c>
      <c r="J215" s="23"/>
    </row>
    <row r="216" spans="1:10" x14ac:dyDescent="0.15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  <row r="217" spans="1:10" x14ac:dyDescent="0.15">
      <c r="A217" s="18"/>
      <c r="B217" s="19"/>
      <c r="C217" s="66"/>
      <c r="D217" s="58"/>
      <c r="E217" s="20"/>
      <c r="F217" s="18"/>
      <c r="G217" s="19"/>
      <c r="H217" s="60"/>
      <c r="I217" s="19"/>
      <c r="J217" s="20"/>
    </row>
    <row r="218" spans="1:10" ht="40.15" customHeight="1" x14ac:dyDescent="0.15">
      <c r="A218" s="21"/>
      <c r="B218" s="22"/>
      <c r="C218" s="64"/>
      <c r="D218" s="24"/>
      <c r="E218" s="23"/>
      <c r="F218" s="21"/>
      <c r="G218" s="28"/>
      <c r="H218" s="61"/>
      <c r="I218" s="22"/>
      <c r="J218" s="23"/>
    </row>
    <row r="219" spans="1:10" ht="60" customHeight="1" x14ac:dyDescent="0.55000000000000004">
      <c r="A219" s="21"/>
      <c r="B219" s="22"/>
      <c r="C219" s="70" t="s">
        <v>7471</v>
      </c>
      <c r="D219" s="24"/>
      <c r="E219" s="23"/>
      <c r="F219" s="21"/>
      <c r="G219" s="22"/>
      <c r="H219" s="70" t="s">
        <v>7471</v>
      </c>
      <c r="I219" s="22"/>
      <c r="J219" s="23"/>
    </row>
    <row r="220" spans="1:10" ht="27.6" customHeight="1" x14ac:dyDescent="0.15">
      <c r="A220" s="21"/>
      <c r="B220" s="22"/>
      <c r="C220" s="64"/>
      <c r="D220" s="24"/>
      <c r="E220" s="23"/>
      <c r="F220" s="21"/>
      <c r="G220" s="22"/>
      <c r="H220" s="64"/>
      <c r="I220" s="22"/>
      <c r="J220" s="23"/>
    </row>
    <row r="221" spans="1:10" ht="33.6" customHeight="1" x14ac:dyDescent="0.15">
      <c r="A221" s="21"/>
      <c r="B221" s="22" t="s">
        <v>7472</v>
      </c>
      <c r="C221" s="64"/>
      <c r="D221" s="24"/>
      <c r="E221" s="23"/>
      <c r="F221" s="21"/>
      <c r="G221" s="22" t="s">
        <v>7474</v>
      </c>
      <c r="H221" s="61"/>
      <c r="I221" s="24"/>
      <c r="J221" s="23"/>
    </row>
    <row r="222" spans="1:10" x14ac:dyDescent="0.15">
      <c r="A222" s="25"/>
      <c r="B222" s="26"/>
      <c r="C222" s="67"/>
      <c r="D222" s="59"/>
      <c r="E222" s="27"/>
      <c r="F222" s="25"/>
      <c r="G222" s="26"/>
      <c r="H222" s="63"/>
      <c r="I222" s="26"/>
      <c r="J222" s="27"/>
    </row>
    <row r="223" spans="1:10" x14ac:dyDescent="0.15">
      <c r="A223" s="18"/>
      <c r="B223" s="19"/>
      <c r="C223" s="66"/>
      <c r="D223" s="58"/>
      <c r="E223" s="20"/>
      <c r="F223" s="18"/>
      <c r="G223" s="19"/>
      <c r="H223" s="60"/>
      <c r="I223" s="19"/>
      <c r="J223" s="20"/>
    </row>
    <row r="224" spans="1:10" ht="40.15" customHeight="1" x14ac:dyDescent="0.15">
      <c r="A224" s="21"/>
      <c r="B224" s="22"/>
      <c r="C224" s="64"/>
      <c r="D224" s="24"/>
      <c r="E224" s="23"/>
      <c r="F224" s="21"/>
      <c r="G224" s="28"/>
      <c r="H224" s="61"/>
      <c r="I224" s="22"/>
      <c r="J224" s="23"/>
    </row>
    <row r="225" spans="1:10" ht="60" customHeight="1" x14ac:dyDescent="0.55000000000000004">
      <c r="A225" s="21"/>
      <c r="B225" s="22"/>
      <c r="C225" s="70" t="s">
        <v>7476</v>
      </c>
      <c r="D225" s="24"/>
      <c r="E225" s="23"/>
      <c r="F225" s="21"/>
      <c r="G225" s="22"/>
      <c r="H225" s="70" t="s">
        <v>7479</v>
      </c>
      <c r="I225" s="22"/>
      <c r="J225" s="23"/>
    </row>
    <row r="226" spans="1:10" ht="27.6" customHeight="1" x14ac:dyDescent="0.15">
      <c r="A226" s="21"/>
      <c r="B226" s="22"/>
      <c r="C226" s="64"/>
      <c r="D226" s="24"/>
      <c r="E226" s="23"/>
      <c r="F226" s="21"/>
      <c r="G226" s="22"/>
      <c r="H226" s="64"/>
      <c r="I226" s="22"/>
      <c r="J226" s="23"/>
    </row>
    <row r="227" spans="1:10" ht="33.6" customHeight="1" x14ac:dyDescent="0.15">
      <c r="A227" s="21"/>
      <c r="B227" s="22" t="s">
        <v>7477</v>
      </c>
      <c r="C227" s="64"/>
      <c r="D227" s="24"/>
      <c r="E227" s="23"/>
      <c r="F227" s="21"/>
      <c r="G227" s="22" t="s">
        <v>7480</v>
      </c>
      <c r="H227" s="61"/>
      <c r="I227" s="24"/>
      <c r="J227" s="23"/>
    </row>
    <row r="228" spans="1:10" x14ac:dyDescent="0.15">
      <c r="A228" s="25"/>
      <c r="B228" s="26"/>
      <c r="C228" s="67"/>
      <c r="D228" s="59"/>
      <c r="E228" s="27"/>
      <c r="F228" s="25"/>
      <c r="G228" s="26"/>
      <c r="H228" s="63"/>
      <c r="I228" s="26"/>
      <c r="J228" s="27"/>
    </row>
    <row r="229" spans="1:10" x14ac:dyDescent="0.15">
      <c r="A229" s="18"/>
      <c r="B229" s="19"/>
      <c r="C229" s="66"/>
      <c r="D229" s="58"/>
      <c r="E229" s="20"/>
      <c r="F229" s="18"/>
      <c r="G229" s="19"/>
      <c r="H229" s="60"/>
      <c r="I229" s="19"/>
      <c r="J229" s="20"/>
    </row>
    <row r="230" spans="1:10" ht="40.15" customHeight="1" x14ac:dyDescent="0.15">
      <c r="A230" s="21"/>
      <c r="B230" s="22"/>
      <c r="C230" s="64"/>
      <c r="D230" s="24"/>
      <c r="E230" s="23"/>
      <c r="F230" s="21"/>
      <c r="G230" s="28"/>
      <c r="H230" s="61"/>
      <c r="I230" s="22"/>
      <c r="J230" s="23"/>
    </row>
    <row r="231" spans="1:10" ht="60" customHeight="1" x14ac:dyDescent="0.55000000000000004">
      <c r="A231" s="21"/>
      <c r="B231" s="22"/>
      <c r="C231" s="70" t="s">
        <v>7482</v>
      </c>
      <c r="D231" s="24"/>
      <c r="E231" s="23"/>
      <c r="F231" s="21"/>
      <c r="G231" s="22"/>
      <c r="H231" s="70" t="s">
        <v>7485</v>
      </c>
      <c r="I231" s="22"/>
      <c r="J231" s="23"/>
    </row>
    <row r="232" spans="1:10" ht="27.6" customHeight="1" x14ac:dyDescent="0.15">
      <c r="A232" s="21"/>
      <c r="B232" s="22"/>
      <c r="C232" s="64"/>
      <c r="D232" s="24"/>
      <c r="E232" s="23"/>
      <c r="F232" s="21"/>
      <c r="G232" s="22"/>
      <c r="H232" s="64"/>
      <c r="I232" s="22"/>
      <c r="J232" s="23"/>
    </row>
    <row r="233" spans="1:10" ht="33.6" customHeight="1" x14ac:dyDescent="0.15">
      <c r="A233" s="21"/>
      <c r="B233" s="22" t="s">
        <v>7483</v>
      </c>
      <c r="C233" s="64"/>
      <c r="D233" s="24"/>
      <c r="E233" s="23"/>
      <c r="F233" s="21"/>
      <c r="G233" s="22" t="s">
        <v>7486</v>
      </c>
      <c r="H233" s="61"/>
      <c r="I233" s="24"/>
      <c r="J233" s="23"/>
    </row>
    <row r="234" spans="1:10" x14ac:dyDescent="0.15">
      <c r="A234" s="25"/>
      <c r="B234" s="26"/>
      <c r="C234" s="67"/>
      <c r="D234" s="59"/>
      <c r="E234" s="27"/>
      <c r="F234" s="25"/>
      <c r="G234" s="26"/>
      <c r="H234" s="63"/>
      <c r="I234" s="26"/>
      <c r="J234" s="27"/>
    </row>
    <row r="235" spans="1:10" x14ac:dyDescent="0.15">
      <c r="A235" s="18"/>
      <c r="B235" s="19"/>
      <c r="C235" s="66"/>
      <c r="D235" s="58"/>
      <c r="E235" s="20"/>
      <c r="F235" s="18"/>
      <c r="G235" s="19"/>
      <c r="H235" s="60"/>
      <c r="I235" s="19"/>
      <c r="J235" s="20"/>
    </row>
    <row r="236" spans="1:10" ht="40.15" customHeight="1" x14ac:dyDescent="0.15">
      <c r="A236" s="21"/>
      <c r="B236" s="22"/>
      <c r="C236" s="64"/>
      <c r="D236" s="24"/>
      <c r="E236" s="23"/>
      <c r="F236" s="21"/>
      <c r="G236" s="28"/>
      <c r="H236" s="61"/>
      <c r="I236" s="22"/>
      <c r="J236" s="23"/>
    </row>
    <row r="237" spans="1:10" ht="60" customHeight="1" x14ac:dyDescent="0.55000000000000004">
      <c r="A237" s="21"/>
      <c r="B237" s="22"/>
      <c r="C237" s="70" t="s">
        <v>5054</v>
      </c>
      <c r="D237" s="24"/>
      <c r="E237" s="23"/>
      <c r="F237" s="21"/>
      <c r="G237" s="22"/>
      <c r="H237" s="70" t="s">
        <v>3817</v>
      </c>
      <c r="I237" s="22"/>
      <c r="J237" s="23"/>
    </row>
    <row r="238" spans="1:10" ht="27.6" customHeight="1" x14ac:dyDescent="0.15">
      <c r="A238" s="21"/>
      <c r="B238" s="22"/>
      <c r="C238" s="64"/>
      <c r="D238" s="24"/>
      <c r="E238" s="23"/>
      <c r="F238" s="21"/>
      <c r="G238" s="22"/>
      <c r="H238" s="64"/>
      <c r="I238" s="22"/>
      <c r="J238" s="23"/>
    </row>
    <row r="239" spans="1:10" ht="33.6" customHeight="1" x14ac:dyDescent="0.15">
      <c r="A239" s="21"/>
      <c r="B239" s="22" t="s">
        <v>7488</v>
      </c>
      <c r="C239" s="64"/>
      <c r="D239" s="24"/>
      <c r="E239" s="23"/>
      <c r="F239" s="21"/>
      <c r="G239" s="22" t="s">
        <v>7490</v>
      </c>
      <c r="H239" s="61"/>
      <c r="I239" s="24"/>
      <c r="J239" s="23"/>
    </row>
    <row r="240" spans="1:10" x14ac:dyDescent="0.15">
      <c r="A240" s="25"/>
      <c r="B240" s="26"/>
      <c r="C240" s="67"/>
      <c r="D240" s="59"/>
      <c r="E240" s="27"/>
      <c r="F240" s="25"/>
      <c r="G240" s="26"/>
      <c r="H240" s="63"/>
      <c r="I240" s="26"/>
      <c r="J240" s="27"/>
    </row>
    <row r="241" spans="1:10" x14ac:dyDescent="0.15">
      <c r="A241" s="18"/>
      <c r="B241" s="19"/>
      <c r="C241" s="66"/>
      <c r="D241" s="58"/>
      <c r="E241" s="20"/>
      <c r="F241" s="18"/>
      <c r="G241" s="19"/>
      <c r="H241" s="60"/>
      <c r="I241" s="19"/>
      <c r="J241" s="20"/>
    </row>
    <row r="242" spans="1:10" ht="40.15" customHeight="1" x14ac:dyDescent="0.15">
      <c r="A242" s="21"/>
      <c r="B242" s="22"/>
      <c r="C242" s="64"/>
      <c r="D242" s="24"/>
      <c r="E242" s="23"/>
      <c r="F242" s="21"/>
      <c r="G242" s="28"/>
      <c r="H242" s="61"/>
      <c r="I242" s="22"/>
      <c r="J242" s="23"/>
    </row>
    <row r="243" spans="1:10" ht="60" customHeight="1" x14ac:dyDescent="0.55000000000000004">
      <c r="A243" s="21"/>
      <c r="B243" s="22"/>
      <c r="C243" s="70" t="s">
        <v>7492</v>
      </c>
      <c r="D243" s="24"/>
      <c r="E243" s="23"/>
      <c r="F243" s="21"/>
      <c r="G243" s="22"/>
      <c r="H243" s="70" t="s">
        <v>4869</v>
      </c>
      <c r="I243" s="22"/>
      <c r="J243" s="23"/>
    </row>
    <row r="244" spans="1:10" ht="27.6" customHeight="1" x14ac:dyDescent="0.15">
      <c r="A244" s="21"/>
      <c r="B244" s="22"/>
      <c r="C244" s="64"/>
      <c r="D244" s="24"/>
      <c r="E244" s="23"/>
      <c r="F244" s="21"/>
      <c r="G244" s="22"/>
      <c r="H244" s="64"/>
      <c r="I244" s="22"/>
      <c r="J244" s="23"/>
    </row>
    <row r="245" spans="1:10" ht="33.6" customHeight="1" x14ac:dyDescent="0.15">
      <c r="A245" s="21"/>
      <c r="B245" s="22" t="s">
        <v>7493</v>
      </c>
      <c r="C245" s="64"/>
      <c r="D245" s="24"/>
      <c r="E245" s="23"/>
      <c r="F245" s="21"/>
      <c r="G245" s="22" t="s">
        <v>7495</v>
      </c>
      <c r="H245" s="61"/>
      <c r="I245" s="24"/>
      <c r="J245" s="23"/>
    </row>
    <row r="246" spans="1:10" x14ac:dyDescent="0.15">
      <c r="A246" s="25"/>
      <c r="B246" s="26"/>
      <c r="C246" s="67"/>
      <c r="D246" s="59"/>
      <c r="E246" s="27"/>
      <c r="F246" s="25"/>
      <c r="G246" s="26"/>
      <c r="H246" s="63"/>
      <c r="I246" s="26"/>
      <c r="J246" s="27"/>
    </row>
    <row r="247" spans="1:10" x14ac:dyDescent="0.15">
      <c r="A247" s="18"/>
      <c r="B247" s="19"/>
      <c r="C247" s="66"/>
      <c r="D247" s="58"/>
      <c r="E247" s="20"/>
      <c r="F247" s="18"/>
      <c r="G247" s="19"/>
      <c r="H247" s="60"/>
      <c r="I247" s="19"/>
      <c r="J247" s="20"/>
    </row>
    <row r="248" spans="1:10" ht="40.15" customHeight="1" x14ac:dyDescent="0.15">
      <c r="A248" s="21"/>
      <c r="B248" s="22"/>
      <c r="C248" s="64"/>
      <c r="D248" s="24"/>
      <c r="E248" s="23"/>
      <c r="F248" s="21"/>
      <c r="G248" s="28"/>
      <c r="H248" s="61"/>
      <c r="I248" s="22"/>
      <c r="J248" s="23"/>
    </row>
    <row r="249" spans="1:10" ht="60" customHeight="1" x14ac:dyDescent="0.55000000000000004">
      <c r="A249" s="21"/>
      <c r="B249" s="22"/>
      <c r="C249" s="70" t="s">
        <v>2251</v>
      </c>
      <c r="D249" s="24"/>
      <c r="E249" s="23"/>
      <c r="F249" s="21"/>
      <c r="G249" s="22"/>
      <c r="H249" s="70" t="s">
        <v>7499</v>
      </c>
      <c r="I249" s="22"/>
      <c r="J249" s="23"/>
    </row>
    <row r="250" spans="1:10" ht="27.6" customHeight="1" x14ac:dyDescent="0.15">
      <c r="A250" s="21"/>
      <c r="B250" s="22"/>
      <c r="C250" s="64"/>
      <c r="D250" s="24"/>
      <c r="E250" s="23"/>
      <c r="F250" s="21"/>
      <c r="G250" s="22"/>
      <c r="H250" s="64"/>
      <c r="I250" s="22"/>
      <c r="J250" s="23"/>
    </row>
    <row r="251" spans="1:10" ht="33.6" customHeight="1" x14ac:dyDescent="0.15">
      <c r="A251" s="21"/>
      <c r="B251" s="22" t="s">
        <v>7497</v>
      </c>
      <c r="C251" s="64"/>
      <c r="D251" s="24"/>
      <c r="E251" s="23"/>
      <c r="F251" s="21"/>
      <c r="G251" s="22" t="s">
        <v>7500</v>
      </c>
      <c r="H251" s="61"/>
      <c r="I251" s="24"/>
      <c r="J251" s="23"/>
    </row>
    <row r="252" spans="1:10" x14ac:dyDescent="0.15">
      <c r="A252" s="25"/>
      <c r="B252" s="26"/>
      <c r="C252" s="67"/>
      <c r="D252" s="59"/>
      <c r="E252" s="27"/>
      <c r="F252" s="25"/>
      <c r="G252" s="26"/>
      <c r="H252" s="63"/>
      <c r="I252" s="26"/>
      <c r="J252" s="27"/>
    </row>
    <row r="253" spans="1:10" x14ac:dyDescent="0.15">
      <c r="A253" s="18"/>
      <c r="B253" s="19"/>
      <c r="C253" s="66"/>
      <c r="D253" s="58"/>
      <c r="E253" s="20"/>
      <c r="F253" s="18"/>
      <c r="G253" s="19"/>
      <c r="H253" s="60"/>
      <c r="I253" s="19"/>
      <c r="J253" s="20"/>
    </row>
    <row r="254" spans="1:10" ht="40.15" customHeight="1" x14ac:dyDescent="0.15">
      <c r="A254" s="21"/>
      <c r="B254" s="28" t="s">
        <v>7363</v>
      </c>
      <c r="C254" s="64"/>
      <c r="D254" s="24"/>
      <c r="E254" s="23"/>
      <c r="F254" s="21"/>
      <c r="G254" s="28" t="s">
        <v>7363</v>
      </c>
      <c r="H254" s="61"/>
      <c r="I254" s="22"/>
      <c r="J254" s="23"/>
    </row>
    <row r="255" spans="1:10" ht="60" customHeight="1" x14ac:dyDescent="0.4">
      <c r="A255" s="21"/>
      <c r="B255" s="22"/>
      <c r="C255" s="62" t="s">
        <v>7475</v>
      </c>
      <c r="D255" s="24"/>
      <c r="E255" s="23"/>
      <c r="F255" s="21"/>
      <c r="G255" s="22"/>
      <c r="H255" s="62" t="s">
        <v>7473</v>
      </c>
      <c r="I255" s="22"/>
      <c r="J255" s="23"/>
    </row>
    <row r="256" spans="1:10" ht="27.6" customHeight="1" x14ac:dyDescent="0.3">
      <c r="A256" s="21"/>
      <c r="B256" s="22"/>
      <c r="C256" s="69" t="s">
        <v>61</v>
      </c>
      <c r="D256" s="24"/>
      <c r="E256" s="23"/>
      <c r="F256" s="21"/>
      <c r="G256" s="22"/>
      <c r="H256" s="69" t="s">
        <v>36</v>
      </c>
      <c r="I256" s="22"/>
      <c r="J256" s="23"/>
    </row>
    <row r="257" spans="1:10" ht="33.6" customHeight="1" x14ac:dyDescent="0.15">
      <c r="A257" s="21"/>
      <c r="B257" s="22"/>
      <c r="C257" s="64"/>
      <c r="D257" s="24" t="s">
        <v>7366</v>
      </c>
      <c r="E257" s="23"/>
      <c r="F257" s="21"/>
      <c r="G257" s="22"/>
      <c r="H257" s="61"/>
      <c r="I257" s="24" t="s">
        <v>7366</v>
      </c>
      <c r="J257" s="23"/>
    </row>
    <row r="258" spans="1:10" x14ac:dyDescent="0.15">
      <c r="A258" s="25"/>
      <c r="B258" s="26"/>
      <c r="C258" s="67"/>
      <c r="D258" s="59"/>
      <c r="E258" s="27"/>
      <c r="F258" s="25"/>
      <c r="G258" s="26"/>
      <c r="H258" s="63"/>
      <c r="I258" s="26"/>
      <c r="J258" s="27"/>
    </row>
    <row r="259" spans="1:10" x14ac:dyDescent="0.15">
      <c r="A259" s="18"/>
      <c r="B259" s="19"/>
      <c r="C259" s="66"/>
      <c r="D259" s="58"/>
      <c r="E259" s="20"/>
      <c r="F259" s="18"/>
      <c r="G259" s="19"/>
      <c r="H259" s="60"/>
      <c r="I259" s="19"/>
      <c r="J259" s="20"/>
    </row>
    <row r="260" spans="1:10" ht="40.15" customHeight="1" x14ac:dyDescent="0.15">
      <c r="A260" s="21"/>
      <c r="B260" s="28" t="s">
        <v>7363</v>
      </c>
      <c r="C260" s="64"/>
      <c r="D260" s="24"/>
      <c r="E260" s="23"/>
      <c r="F260" s="21"/>
      <c r="G260" s="28" t="s">
        <v>7363</v>
      </c>
      <c r="H260" s="61"/>
      <c r="I260" s="22"/>
      <c r="J260" s="23"/>
    </row>
    <row r="261" spans="1:10" ht="60" customHeight="1" x14ac:dyDescent="0.4">
      <c r="A261" s="21"/>
      <c r="B261" s="22"/>
      <c r="C261" s="62" t="s">
        <v>7481</v>
      </c>
      <c r="D261" s="24"/>
      <c r="E261" s="23"/>
      <c r="F261" s="21"/>
      <c r="G261" s="22"/>
      <c r="H261" s="62" t="s">
        <v>7478</v>
      </c>
      <c r="I261" s="22"/>
      <c r="J261" s="23"/>
    </row>
    <row r="262" spans="1:10" ht="27.6" customHeight="1" x14ac:dyDescent="0.3">
      <c r="A262" s="21"/>
      <c r="B262" s="22"/>
      <c r="C262" s="69" t="s">
        <v>73</v>
      </c>
      <c r="D262" s="24"/>
      <c r="E262" s="23"/>
      <c r="F262" s="21"/>
      <c r="G262" s="22"/>
      <c r="H262" s="69" t="s">
        <v>36</v>
      </c>
      <c r="I262" s="22"/>
      <c r="J262" s="23"/>
    </row>
    <row r="263" spans="1:10" ht="33.6" customHeight="1" x14ac:dyDescent="0.15">
      <c r="A263" s="21"/>
      <c r="B263" s="22"/>
      <c r="C263" s="64"/>
      <c r="D263" s="24" t="s">
        <v>7366</v>
      </c>
      <c r="E263" s="23"/>
      <c r="F263" s="21"/>
      <c r="G263" s="22"/>
      <c r="H263" s="61"/>
      <c r="I263" s="24" t="s">
        <v>7366</v>
      </c>
      <c r="J263" s="23"/>
    </row>
    <row r="264" spans="1:10" x14ac:dyDescent="0.15">
      <c r="A264" s="25"/>
      <c r="B264" s="26"/>
      <c r="C264" s="67"/>
      <c r="D264" s="59"/>
      <c r="E264" s="27"/>
      <c r="F264" s="25"/>
      <c r="G264" s="26"/>
      <c r="H264" s="63"/>
      <c r="I264" s="26"/>
      <c r="J264" s="27"/>
    </row>
    <row r="265" spans="1:10" x14ac:dyDescent="0.15">
      <c r="A265" s="18"/>
      <c r="B265" s="19"/>
      <c r="C265" s="66"/>
      <c r="D265" s="58"/>
      <c r="E265" s="20"/>
      <c r="F265" s="18"/>
      <c r="G265" s="19"/>
      <c r="H265" s="60"/>
      <c r="I265" s="19"/>
      <c r="J265" s="20"/>
    </row>
    <row r="266" spans="1:10" ht="40.15" customHeight="1" x14ac:dyDescent="0.15">
      <c r="A266" s="21"/>
      <c r="B266" s="28" t="s">
        <v>7363</v>
      </c>
      <c r="C266" s="64"/>
      <c r="D266" s="24"/>
      <c r="E266" s="23"/>
      <c r="F266" s="21"/>
      <c r="G266" s="28" t="s">
        <v>7363</v>
      </c>
      <c r="H266" s="61"/>
      <c r="I266" s="22"/>
      <c r="J266" s="23"/>
    </row>
    <row r="267" spans="1:10" ht="60" customHeight="1" x14ac:dyDescent="0.4">
      <c r="A267" s="21"/>
      <c r="B267" s="22"/>
      <c r="C267" s="62" t="s">
        <v>7487</v>
      </c>
      <c r="D267" s="24"/>
      <c r="E267" s="23"/>
      <c r="F267" s="21"/>
      <c r="G267" s="22"/>
      <c r="H267" s="62" t="s">
        <v>7484</v>
      </c>
      <c r="I267" s="22"/>
      <c r="J267" s="23"/>
    </row>
    <row r="268" spans="1:10" ht="27.6" customHeight="1" x14ac:dyDescent="0.3">
      <c r="A268" s="21"/>
      <c r="B268" s="22"/>
      <c r="C268" s="69" t="s">
        <v>36</v>
      </c>
      <c r="D268" s="24"/>
      <c r="E268" s="23"/>
      <c r="F268" s="21"/>
      <c r="G268" s="22"/>
      <c r="H268" s="69" t="s">
        <v>73</v>
      </c>
      <c r="I268" s="22"/>
      <c r="J268" s="23"/>
    </row>
    <row r="269" spans="1:10" ht="33.6" customHeight="1" x14ac:dyDescent="0.15">
      <c r="A269" s="21"/>
      <c r="B269" s="22"/>
      <c r="C269" s="64"/>
      <c r="D269" s="24" t="s">
        <v>7366</v>
      </c>
      <c r="E269" s="23"/>
      <c r="F269" s="21"/>
      <c r="G269" s="22"/>
      <c r="H269" s="61"/>
      <c r="I269" s="24" t="s">
        <v>7366</v>
      </c>
      <c r="J269" s="23"/>
    </row>
    <row r="270" spans="1:10" x14ac:dyDescent="0.15">
      <c r="A270" s="25"/>
      <c r="B270" s="26"/>
      <c r="C270" s="67"/>
      <c r="D270" s="59"/>
      <c r="E270" s="27"/>
      <c r="F270" s="25"/>
      <c r="G270" s="26"/>
      <c r="H270" s="63"/>
      <c r="I270" s="26"/>
      <c r="J270" s="27"/>
    </row>
    <row r="271" spans="1:10" x14ac:dyDescent="0.15">
      <c r="A271" s="18"/>
      <c r="B271" s="19"/>
      <c r="C271" s="66"/>
      <c r="D271" s="58"/>
      <c r="E271" s="20"/>
      <c r="F271" s="18"/>
      <c r="G271" s="19"/>
      <c r="H271" s="60"/>
      <c r="I271" s="19"/>
      <c r="J271" s="20"/>
    </row>
    <row r="272" spans="1:10" ht="40.15" customHeight="1" x14ac:dyDescent="0.15">
      <c r="A272" s="21"/>
      <c r="B272" s="28" t="s">
        <v>7363</v>
      </c>
      <c r="C272" s="64"/>
      <c r="D272" s="24"/>
      <c r="E272" s="23"/>
      <c r="F272" s="21"/>
      <c r="G272" s="28" t="s">
        <v>7363</v>
      </c>
      <c r="H272" s="61"/>
      <c r="I272" s="22"/>
      <c r="J272" s="23"/>
    </row>
    <row r="273" spans="1:10" ht="60" customHeight="1" x14ac:dyDescent="0.4">
      <c r="A273" s="21"/>
      <c r="B273" s="22"/>
      <c r="C273" s="62" t="s">
        <v>7491</v>
      </c>
      <c r="D273" s="24"/>
      <c r="E273" s="23"/>
      <c r="F273" s="21"/>
      <c r="G273" s="22"/>
      <c r="H273" s="62" t="s">
        <v>7489</v>
      </c>
      <c r="I273" s="22"/>
      <c r="J273" s="23"/>
    </row>
    <row r="274" spans="1:10" ht="27.6" customHeight="1" x14ac:dyDescent="0.3">
      <c r="A274" s="21"/>
      <c r="B274" s="22"/>
      <c r="C274" s="69" t="s">
        <v>36</v>
      </c>
      <c r="D274" s="24"/>
      <c r="E274" s="23"/>
      <c r="F274" s="21"/>
      <c r="G274" s="22"/>
      <c r="H274" s="69" t="s">
        <v>36</v>
      </c>
      <c r="I274" s="22"/>
      <c r="J274" s="23"/>
    </row>
    <row r="275" spans="1:10" ht="33.6" customHeight="1" x14ac:dyDescent="0.15">
      <c r="A275" s="21"/>
      <c r="B275" s="22"/>
      <c r="C275" s="64"/>
      <c r="D275" s="24" t="s">
        <v>7366</v>
      </c>
      <c r="E275" s="23"/>
      <c r="F275" s="21"/>
      <c r="G275" s="22"/>
      <c r="H275" s="61"/>
      <c r="I275" s="24" t="s">
        <v>7366</v>
      </c>
      <c r="J275" s="23"/>
    </row>
    <row r="276" spans="1:10" x14ac:dyDescent="0.15">
      <c r="A276" s="25"/>
      <c r="B276" s="26"/>
      <c r="C276" s="67"/>
      <c r="D276" s="59"/>
      <c r="E276" s="27"/>
      <c r="F276" s="25"/>
      <c r="G276" s="26"/>
      <c r="H276" s="63"/>
      <c r="I276" s="26"/>
      <c r="J276" s="27"/>
    </row>
    <row r="277" spans="1:10" x14ac:dyDescent="0.15">
      <c r="A277" s="18"/>
      <c r="B277" s="19"/>
      <c r="C277" s="66"/>
      <c r="D277" s="58"/>
      <c r="E277" s="20"/>
      <c r="F277" s="18"/>
      <c r="G277" s="19"/>
      <c r="H277" s="60"/>
      <c r="I277" s="19"/>
      <c r="J277" s="20"/>
    </row>
    <row r="278" spans="1:10" ht="40.15" customHeight="1" x14ac:dyDescent="0.15">
      <c r="A278" s="21"/>
      <c r="B278" s="28" t="s">
        <v>7363</v>
      </c>
      <c r="C278" s="64"/>
      <c r="D278" s="24"/>
      <c r="E278" s="23"/>
      <c r="F278" s="21"/>
      <c r="G278" s="28" t="s">
        <v>7363</v>
      </c>
      <c r="H278" s="61"/>
      <c r="I278" s="22"/>
      <c r="J278" s="23"/>
    </row>
    <row r="279" spans="1:10" ht="60" customHeight="1" x14ac:dyDescent="0.4">
      <c r="A279" s="21"/>
      <c r="B279" s="22"/>
      <c r="C279" s="62" t="s">
        <v>7496</v>
      </c>
      <c r="D279" s="24"/>
      <c r="E279" s="23"/>
      <c r="F279" s="21"/>
      <c r="G279" s="22"/>
      <c r="H279" s="62" t="s">
        <v>7494</v>
      </c>
      <c r="I279" s="22"/>
      <c r="J279" s="23"/>
    </row>
    <row r="280" spans="1:10" ht="27.6" customHeight="1" x14ac:dyDescent="0.3">
      <c r="A280" s="21"/>
      <c r="B280" s="22"/>
      <c r="C280" s="69" t="s">
        <v>61</v>
      </c>
      <c r="D280" s="24"/>
      <c r="E280" s="23"/>
      <c r="F280" s="21"/>
      <c r="G280" s="22"/>
      <c r="H280" s="69" t="s">
        <v>61</v>
      </c>
      <c r="I280" s="22"/>
      <c r="J280" s="23"/>
    </row>
    <row r="281" spans="1:10" ht="33.6" customHeight="1" x14ac:dyDescent="0.15">
      <c r="A281" s="21"/>
      <c r="B281" s="22"/>
      <c r="C281" s="64"/>
      <c r="D281" s="24" t="s">
        <v>7366</v>
      </c>
      <c r="E281" s="23"/>
      <c r="F281" s="21"/>
      <c r="G281" s="22"/>
      <c r="H281" s="61"/>
      <c r="I281" s="24" t="s">
        <v>7366</v>
      </c>
      <c r="J281" s="23"/>
    </row>
    <row r="282" spans="1:10" x14ac:dyDescent="0.15">
      <c r="A282" s="25"/>
      <c r="B282" s="26"/>
      <c r="C282" s="67"/>
      <c r="D282" s="59"/>
      <c r="E282" s="27"/>
      <c r="F282" s="25"/>
      <c r="G282" s="26"/>
      <c r="H282" s="63"/>
      <c r="I282" s="26"/>
      <c r="J282" s="27"/>
    </row>
    <row r="283" spans="1:10" x14ac:dyDescent="0.15">
      <c r="A283" s="18"/>
      <c r="B283" s="19"/>
      <c r="C283" s="66"/>
      <c r="D283" s="58"/>
      <c r="E283" s="20"/>
      <c r="F283" s="18"/>
      <c r="G283" s="19"/>
      <c r="H283" s="60"/>
      <c r="I283" s="19"/>
      <c r="J283" s="20"/>
    </row>
    <row r="284" spans="1:10" ht="40.15" customHeight="1" x14ac:dyDescent="0.15">
      <c r="A284" s="21"/>
      <c r="B284" s="28" t="s">
        <v>7363</v>
      </c>
      <c r="C284" s="64"/>
      <c r="D284" s="24"/>
      <c r="E284" s="23"/>
      <c r="F284" s="21"/>
      <c r="G284" s="28" t="s">
        <v>7363</v>
      </c>
      <c r="H284" s="61"/>
      <c r="I284" s="22"/>
      <c r="J284" s="23"/>
    </row>
    <row r="285" spans="1:10" ht="60" customHeight="1" x14ac:dyDescent="0.4">
      <c r="A285" s="21"/>
      <c r="B285" s="22"/>
      <c r="C285" s="62" t="s">
        <v>7501</v>
      </c>
      <c r="D285" s="24"/>
      <c r="E285" s="23"/>
      <c r="F285" s="21"/>
      <c r="G285" s="22"/>
      <c r="H285" s="62" t="s">
        <v>7498</v>
      </c>
      <c r="I285" s="22"/>
      <c r="J285" s="23"/>
    </row>
    <row r="286" spans="1:10" ht="27.6" customHeight="1" x14ac:dyDescent="0.3">
      <c r="A286" s="21"/>
      <c r="B286" s="22"/>
      <c r="C286" s="69" t="s">
        <v>36</v>
      </c>
      <c r="D286" s="24"/>
      <c r="E286" s="23"/>
      <c r="F286" s="21"/>
      <c r="G286" s="22"/>
      <c r="H286" s="69" t="s">
        <v>61</v>
      </c>
      <c r="I286" s="22"/>
      <c r="J286" s="23"/>
    </row>
    <row r="287" spans="1:10" ht="33.6" customHeight="1" x14ac:dyDescent="0.15">
      <c r="A287" s="21"/>
      <c r="B287" s="22"/>
      <c r="C287" s="64"/>
      <c r="D287" s="24" t="s">
        <v>7366</v>
      </c>
      <c r="E287" s="23"/>
      <c r="F287" s="21"/>
      <c r="G287" s="22"/>
      <c r="H287" s="61"/>
      <c r="I287" s="24" t="s">
        <v>7366</v>
      </c>
      <c r="J287" s="23"/>
    </row>
    <row r="288" spans="1:10" x14ac:dyDescent="0.15">
      <c r="A288" s="25"/>
      <c r="B288" s="26"/>
      <c r="C288" s="67"/>
      <c r="D288" s="59"/>
      <c r="E288" s="27"/>
      <c r="F288" s="25"/>
      <c r="G288" s="26"/>
      <c r="H288" s="63"/>
      <c r="I288" s="26"/>
      <c r="J288" s="27"/>
    </row>
    <row r="289" spans="1:10" x14ac:dyDescent="0.15">
      <c r="A289" s="18"/>
      <c r="B289" s="19"/>
      <c r="C289" s="66"/>
      <c r="D289" s="58"/>
      <c r="E289" s="20"/>
      <c r="F289" s="18"/>
      <c r="G289" s="19"/>
      <c r="H289" s="60"/>
      <c r="I289" s="19"/>
      <c r="J289" s="20"/>
    </row>
    <row r="290" spans="1:10" ht="40.15" customHeight="1" x14ac:dyDescent="0.15">
      <c r="A290" s="21"/>
      <c r="B290" s="22"/>
      <c r="C290" s="64"/>
      <c r="D290" s="24"/>
      <c r="E290" s="23"/>
      <c r="F290" s="21"/>
      <c r="G290" s="28"/>
      <c r="H290" s="61"/>
      <c r="I290" s="22"/>
      <c r="J290" s="23"/>
    </row>
    <row r="291" spans="1:10" ht="60" customHeight="1" x14ac:dyDescent="0.55000000000000004">
      <c r="A291" s="21"/>
      <c r="B291" s="22"/>
      <c r="C291" s="70" t="s">
        <v>5194</v>
      </c>
      <c r="D291" s="24"/>
      <c r="E291" s="23"/>
      <c r="F291" s="21"/>
      <c r="G291" s="22"/>
      <c r="H291" s="70" t="s">
        <v>7504</v>
      </c>
      <c r="I291" s="22"/>
      <c r="J291" s="23"/>
    </row>
    <row r="292" spans="1:10" ht="27.6" customHeight="1" x14ac:dyDescent="0.15">
      <c r="A292" s="21"/>
      <c r="B292" s="22"/>
      <c r="C292" s="64"/>
      <c r="D292" s="24"/>
      <c r="E292" s="23"/>
      <c r="F292" s="21"/>
      <c r="G292" s="22"/>
      <c r="H292" s="64"/>
      <c r="I292" s="22"/>
      <c r="J292" s="23"/>
    </row>
    <row r="293" spans="1:10" ht="33.6" customHeight="1" x14ac:dyDescent="0.15">
      <c r="A293" s="21"/>
      <c r="B293" s="22" t="s">
        <v>7502</v>
      </c>
      <c r="C293" s="64"/>
      <c r="D293" s="24"/>
      <c r="E293" s="23"/>
      <c r="F293" s="21"/>
      <c r="G293" s="22" t="s">
        <v>7505</v>
      </c>
      <c r="H293" s="61"/>
      <c r="I293" s="24"/>
      <c r="J293" s="23"/>
    </row>
    <row r="294" spans="1:10" x14ac:dyDescent="0.15">
      <c r="A294" s="25"/>
      <c r="B294" s="26"/>
      <c r="C294" s="67"/>
      <c r="D294" s="59"/>
      <c r="E294" s="27"/>
      <c r="F294" s="25"/>
      <c r="G294" s="26"/>
      <c r="H294" s="63"/>
      <c r="I294" s="26"/>
      <c r="J294" s="27"/>
    </row>
    <row r="295" spans="1:10" x14ac:dyDescent="0.15">
      <c r="A295" s="18"/>
      <c r="B295" s="19"/>
      <c r="C295" s="66"/>
      <c r="D295" s="58"/>
      <c r="E295" s="20"/>
      <c r="F295" s="18"/>
      <c r="G295" s="19"/>
      <c r="H295" s="60"/>
      <c r="I295" s="19"/>
      <c r="J295" s="20"/>
    </row>
    <row r="296" spans="1:10" ht="40.15" customHeight="1" x14ac:dyDescent="0.15">
      <c r="A296" s="21"/>
      <c r="B296" s="22"/>
      <c r="C296" s="64"/>
      <c r="D296" s="24"/>
      <c r="E296" s="23"/>
      <c r="F296" s="21"/>
      <c r="G296" s="28"/>
      <c r="H296" s="61"/>
      <c r="I296" s="22"/>
      <c r="J296" s="23"/>
    </row>
    <row r="297" spans="1:10" ht="60" customHeight="1" x14ac:dyDescent="0.55000000000000004">
      <c r="A297" s="21"/>
      <c r="B297" s="22"/>
      <c r="C297" s="70" t="s">
        <v>7507</v>
      </c>
      <c r="D297" s="24"/>
      <c r="E297" s="23"/>
      <c r="F297" s="21"/>
      <c r="G297" s="22"/>
      <c r="H297" s="70" t="s">
        <v>7510</v>
      </c>
      <c r="I297" s="22"/>
      <c r="J297" s="23"/>
    </row>
    <row r="298" spans="1:10" ht="27.6" customHeight="1" x14ac:dyDescent="0.15">
      <c r="A298" s="21"/>
      <c r="B298" s="22"/>
      <c r="C298" s="64"/>
      <c r="D298" s="24"/>
      <c r="E298" s="23"/>
      <c r="F298" s="21"/>
      <c r="G298" s="22"/>
      <c r="H298" s="64"/>
      <c r="I298" s="22"/>
      <c r="J298" s="23"/>
    </row>
    <row r="299" spans="1:10" ht="33.6" customHeight="1" x14ac:dyDescent="0.15">
      <c r="A299" s="21"/>
      <c r="B299" s="22" t="s">
        <v>7508</v>
      </c>
      <c r="C299" s="64"/>
      <c r="D299" s="24"/>
      <c r="E299" s="23"/>
      <c r="F299" s="21"/>
      <c r="G299" s="22" t="s">
        <v>7511</v>
      </c>
      <c r="H299" s="61"/>
      <c r="I299" s="24"/>
      <c r="J299" s="23"/>
    </row>
    <row r="300" spans="1:10" x14ac:dyDescent="0.15">
      <c r="A300" s="25"/>
      <c r="B300" s="26"/>
      <c r="C300" s="67"/>
      <c r="D300" s="59"/>
      <c r="E300" s="27"/>
      <c r="F300" s="25"/>
      <c r="G300" s="26"/>
      <c r="H300" s="63"/>
      <c r="I300" s="26"/>
      <c r="J300" s="27"/>
    </row>
    <row r="301" spans="1:10" x14ac:dyDescent="0.15">
      <c r="A301" s="18"/>
      <c r="B301" s="19"/>
      <c r="C301" s="66"/>
      <c r="D301" s="58"/>
      <c r="E301" s="20"/>
      <c r="F301" s="18"/>
      <c r="G301" s="19"/>
      <c r="H301" s="60"/>
      <c r="I301" s="19"/>
      <c r="J301" s="20"/>
    </row>
    <row r="302" spans="1:10" ht="40.15" customHeight="1" x14ac:dyDescent="0.15">
      <c r="A302" s="21"/>
      <c r="B302" s="22"/>
      <c r="C302" s="64"/>
      <c r="D302" s="24"/>
      <c r="E302" s="23"/>
      <c r="F302" s="21"/>
      <c r="G302" s="28"/>
      <c r="H302" s="61"/>
      <c r="I302" s="22"/>
      <c r="J302" s="23"/>
    </row>
    <row r="303" spans="1:10" ht="60" customHeight="1" x14ac:dyDescent="0.55000000000000004">
      <c r="A303" s="21"/>
      <c r="B303" s="22"/>
      <c r="C303" s="70" t="s">
        <v>7513</v>
      </c>
      <c r="D303" s="24"/>
      <c r="E303" s="23"/>
      <c r="F303" s="21"/>
      <c r="G303" s="22"/>
      <c r="H303" s="70" t="s">
        <v>3686</v>
      </c>
      <c r="I303" s="22"/>
      <c r="J303" s="23"/>
    </row>
    <row r="304" spans="1:10" ht="27.6" customHeight="1" x14ac:dyDescent="0.15">
      <c r="A304" s="21"/>
      <c r="B304" s="22"/>
      <c r="C304" s="64"/>
      <c r="D304" s="24"/>
      <c r="E304" s="23"/>
      <c r="F304" s="21"/>
      <c r="G304" s="22"/>
      <c r="H304" s="64"/>
      <c r="I304" s="22"/>
      <c r="J304" s="23"/>
    </row>
    <row r="305" spans="1:10" ht="33.6" customHeight="1" x14ac:dyDescent="0.15">
      <c r="A305" s="21"/>
      <c r="B305" s="22" t="s">
        <v>7514</v>
      </c>
      <c r="C305" s="64"/>
      <c r="D305" s="24"/>
      <c r="E305" s="23"/>
      <c r="F305" s="21"/>
      <c r="G305" s="22" t="s">
        <v>7516</v>
      </c>
      <c r="H305" s="61"/>
      <c r="I305" s="24"/>
      <c r="J305" s="23"/>
    </row>
    <row r="306" spans="1:10" x14ac:dyDescent="0.15">
      <c r="A306" s="25"/>
      <c r="B306" s="26"/>
      <c r="C306" s="67"/>
      <c r="D306" s="59"/>
      <c r="E306" s="27"/>
      <c r="F306" s="25"/>
      <c r="G306" s="26"/>
      <c r="H306" s="63"/>
      <c r="I306" s="26"/>
      <c r="J306" s="27"/>
    </row>
    <row r="307" spans="1:10" x14ac:dyDescent="0.15">
      <c r="A307" s="18"/>
      <c r="B307" s="19"/>
      <c r="C307" s="66"/>
      <c r="D307" s="58"/>
      <c r="E307" s="20"/>
      <c r="F307" s="18"/>
      <c r="G307" s="19"/>
      <c r="H307" s="60"/>
      <c r="I307" s="19"/>
      <c r="J307" s="20"/>
    </row>
    <row r="308" spans="1:10" ht="40.15" customHeight="1" x14ac:dyDescent="0.15">
      <c r="A308" s="21"/>
      <c r="B308" s="22"/>
      <c r="C308" s="64"/>
      <c r="D308" s="24"/>
      <c r="E308" s="23"/>
      <c r="F308" s="21"/>
      <c r="G308" s="28"/>
      <c r="H308" s="61"/>
      <c r="I308" s="22"/>
      <c r="J308" s="23"/>
    </row>
    <row r="309" spans="1:10" ht="60" customHeight="1" x14ac:dyDescent="0.55000000000000004">
      <c r="A309" s="21"/>
      <c r="B309" s="22"/>
      <c r="C309" s="70" t="s">
        <v>7518</v>
      </c>
      <c r="D309" s="24"/>
      <c r="E309" s="23"/>
      <c r="F309" s="21"/>
      <c r="G309" s="22"/>
      <c r="H309" s="70" t="s">
        <v>5323</v>
      </c>
      <c r="I309" s="22"/>
      <c r="J309" s="23"/>
    </row>
    <row r="310" spans="1:10" ht="27.6" customHeight="1" x14ac:dyDescent="0.15">
      <c r="A310" s="21"/>
      <c r="B310" s="22"/>
      <c r="C310" s="64"/>
      <c r="D310" s="24"/>
      <c r="E310" s="23"/>
      <c r="F310" s="21"/>
      <c r="G310" s="22"/>
      <c r="H310" s="64"/>
      <c r="I310" s="22"/>
      <c r="J310" s="23"/>
    </row>
    <row r="311" spans="1:10" ht="33.6" customHeight="1" x14ac:dyDescent="0.15">
      <c r="A311" s="21"/>
      <c r="B311" s="22" t="s">
        <v>7519</v>
      </c>
      <c r="C311" s="64"/>
      <c r="D311" s="24"/>
      <c r="E311" s="23"/>
      <c r="F311" s="21"/>
      <c r="G311" s="22" t="s">
        <v>7521</v>
      </c>
      <c r="H311" s="61"/>
      <c r="I311" s="24"/>
      <c r="J311" s="23"/>
    </row>
    <row r="312" spans="1:10" x14ac:dyDescent="0.15">
      <c r="A312" s="25"/>
      <c r="B312" s="26"/>
      <c r="C312" s="67"/>
      <c r="D312" s="59"/>
      <c r="E312" s="27"/>
      <c r="F312" s="25"/>
      <c r="G312" s="26"/>
      <c r="H312" s="63"/>
      <c r="I312" s="26"/>
      <c r="J312" s="27"/>
    </row>
    <row r="313" spans="1:10" x14ac:dyDescent="0.15">
      <c r="A313" s="18"/>
      <c r="B313" s="19"/>
      <c r="C313" s="66"/>
      <c r="D313" s="58"/>
      <c r="E313" s="20"/>
      <c r="F313" s="18"/>
      <c r="G313" s="19"/>
      <c r="H313" s="60"/>
      <c r="I313" s="19"/>
      <c r="J313" s="20"/>
    </row>
    <row r="314" spans="1:10" ht="40.15" customHeight="1" x14ac:dyDescent="0.15">
      <c r="A314" s="21"/>
      <c r="B314" s="22"/>
      <c r="C314" s="64"/>
      <c r="D314" s="24"/>
      <c r="E314" s="23"/>
      <c r="F314" s="21"/>
      <c r="G314" s="28"/>
      <c r="H314" s="61"/>
      <c r="I314" s="22"/>
      <c r="J314" s="23"/>
    </row>
    <row r="315" spans="1:10" ht="60" customHeight="1" x14ac:dyDescent="0.55000000000000004">
      <c r="A315" s="21"/>
      <c r="B315" s="22"/>
      <c r="C315" s="70" t="s">
        <v>7523</v>
      </c>
      <c r="D315" s="24"/>
      <c r="E315" s="23"/>
      <c r="F315" s="21"/>
      <c r="G315" s="22"/>
      <c r="H315" s="70" t="s">
        <v>7525</v>
      </c>
      <c r="I315" s="22"/>
      <c r="J315" s="23"/>
    </row>
    <row r="316" spans="1:10" ht="27.6" customHeight="1" x14ac:dyDescent="0.15">
      <c r="A316" s="21"/>
      <c r="B316" s="22"/>
      <c r="C316" s="64"/>
      <c r="D316" s="24"/>
      <c r="E316" s="23"/>
      <c r="F316" s="21"/>
      <c r="G316" s="22"/>
      <c r="H316" s="64"/>
      <c r="I316" s="22"/>
      <c r="J316" s="23"/>
    </row>
    <row r="317" spans="1:10" ht="33.6" customHeight="1" x14ac:dyDescent="0.15">
      <c r="A317" s="21"/>
      <c r="B317" s="22" t="s">
        <v>7524</v>
      </c>
      <c r="C317" s="64"/>
      <c r="D317" s="24"/>
      <c r="E317" s="23"/>
      <c r="F317" s="21"/>
      <c r="G317" s="22" t="s">
        <v>7526</v>
      </c>
      <c r="H317" s="61"/>
      <c r="I317" s="24"/>
      <c r="J317" s="23"/>
    </row>
    <row r="318" spans="1:10" x14ac:dyDescent="0.15">
      <c r="A318" s="25"/>
      <c r="B318" s="26"/>
      <c r="C318" s="67"/>
      <c r="D318" s="59"/>
      <c r="E318" s="27"/>
      <c r="F318" s="25"/>
      <c r="G318" s="26"/>
      <c r="H318" s="63"/>
      <c r="I318" s="26"/>
      <c r="J318" s="27"/>
    </row>
    <row r="319" spans="1:10" x14ac:dyDescent="0.15">
      <c r="A319" s="18"/>
      <c r="B319" s="19"/>
      <c r="C319" s="66"/>
      <c r="D319" s="58"/>
      <c r="E319" s="20"/>
      <c r="F319" s="18"/>
      <c r="G319" s="19"/>
      <c r="H319" s="60"/>
      <c r="I319" s="19"/>
      <c r="J319" s="20"/>
    </row>
    <row r="320" spans="1:10" ht="40.15" customHeight="1" x14ac:dyDescent="0.15">
      <c r="A320" s="21"/>
      <c r="B320" s="22"/>
      <c r="C320" s="64"/>
      <c r="D320" s="24"/>
      <c r="E320" s="23"/>
      <c r="F320" s="21"/>
      <c r="G320" s="28"/>
      <c r="H320" s="61"/>
      <c r="I320" s="22"/>
      <c r="J320" s="23"/>
    </row>
    <row r="321" spans="1:10" ht="60" customHeight="1" x14ac:dyDescent="0.55000000000000004">
      <c r="A321" s="21"/>
      <c r="B321" s="22"/>
      <c r="C321" s="70" t="s">
        <v>7528</v>
      </c>
      <c r="D321" s="24"/>
      <c r="E321" s="23"/>
      <c r="F321" s="21"/>
      <c r="G321" s="22"/>
      <c r="H321" s="70" t="s">
        <v>7528</v>
      </c>
      <c r="I321" s="22"/>
      <c r="J321" s="23"/>
    </row>
    <row r="322" spans="1:10" ht="27.6" customHeight="1" x14ac:dyDescent="0.15">
      <c r="A322" s="21"/>
      <c r="B322" s="22"/>
      <c r="C322" s="64"/>
      <c r="D322" s="24"/>
      <c r="E322" s="23"/>
      <c r="F322" s="21"/>
      <c r="G322" s="22"/>
      <c r="H322" s="64"/>
      <c r="I322" s="22"/>
      <c r="J322" s="23"/>
    </row>
    <row r="323" spans="1:10" ht="33.6" customHeight="1" x14ac:dyDescent="0.15">
      <c r="A323" s="21"/>
      <c r="B323" s="22" t="s">
        <v>7529</v>
      </c>
      <c r="C323" s="64"/>
      <c r="D323" s="24"/>
      <c r="E323" s="23"/>
      <c r="F323" s="21"/>
      <c r="G323" s="22" t="s">
        <v>7531</v>
      </c>
      <c r="H323" s="61"/>
      <c r="I323" s="24"/>
      <c r="J323" s="23"/>
    </row>
    <row r="324" spans="1:10" x14ac:dyDescent="0.15">
      <c r="A324" s="25"/>
      <c r="B324" s="26"/>
      <c r="C324" s="67"/>
      <c r="D324" s="59"/>
      <c r="E324" s="27"/>
      <c r="F324" s="25"/>
      <c r="G324" s="26"/>
      <c r="H324" s="63"/>
      <c r="I324" s="26"/>
      <c r="J324" s="27"/>
    </row>
    <row r="325" spans="1:10" x14ac:dyDescent="0.15">
      <c r="A325" s="18"/>
      <c r="B325" s="19"/>
      <c r="C325" s="66"/>
      <c r="D325" s="58"/>
      <c r="E325" s="20"/>
      <c r="F325" s="18"/>
      <c r="G325" s="19"/>
      <c r="H325" s="60"/>
      <c r="I325" s="19"/>
      <c r="J325" s="20"/>
    </row>
    <row r="326" spans="1:10" ht="40.15" customHeight="1" x14ac:dyDescent="0.15">
      <c r="A326" s="21"/>
      <c r="B326" s="28" t="s">
        <v>7363</v>
      </c>
      <c r="C326" s="64"/>
      <c r="D326" s="24"/>
      <c r="E326" s="23"/>
      <c r="F326" s="21"/>
      <c r="G326" s="28" t="s">
        <v>7363</v>
      </c>
      <c r="H326" s="61"/>
      <c r="I326" s="22"/>
      <c r="J326" s="23"/>
    </row>
    <row r="327" spans="1:10" ht="60" customHeight="1" x14ac:dyDescent="0.4">
      <c r="A327" s="21"/>
      <c r="B327" s="22"/>
      <c r="C327" s="62" t="s">
        <v>7506</v>
      </c>
      <c r="D327" s="24"/>
      <c r="E327" s="23"/>
      <c r="F327" s="21"/>
      <c r="G327" s="22"/>
      <c r="H327" s="62" t="s">
        <v>7503</v>
      </c>
      <c r="I327" s="22"/>
      <c r="J327" s="23"/>
    </row>
    <row r="328" spans="1:10" ht="27.6" customHeight="1" x14ac:dyDescent="0.3">
      <c r="A328" s="21"/>
      <c r="B328" s="22"/>
      <c r="C328" s="69" t="s">
        <v>73</v>
      </c>
      <c r="D328" s="24"/>
      <c r="E328" s="23"/>
      <c r="F328" s="21"/>
      <c r="G328" s="22"/>
      <c r="H328" s="69" t="s">
        <v>36</v>
      </c>
      <c r="I328" s="22"/>
      <c r="J328" s="23"/>
    </row>
    <row r="329" spans="1:10" ht="33.6" customHeight="1" x14ac:dyDescent="0.15">
      <c r="A329" s="21"/>
      <c r="B329" s="22"/>
      <c r="C329" s="64"/>
      <c r="D329" s="24" t="s">
        <v>7366</v>
      </c>
      <c r="E329" s="23"/>
      <c r="F329" s="21"/>
      <c r="G329" s="22"/>
      <c r="H329" s="61"/>
      <c r="I329" s="24" t="s">
        <v>7366</v>
      </c>
      <c r="J329" s="23"/>
    </row>
    <row r="330" spans="1:10" x14ac:dyDescent="0.15">
      <c r="A330" s="25"/>
      <c r="B330" s="26"/>
      <c r="C330" s="67"/>
      <c r="D330" s="59"/>
      <c r="E330" s="27"/>
      <c r="F330" s="25"/>
      <c r="G330" s="26"/>
      <c r="H330" s="63"/>
      <c r="I330" s="26"/>
      <c r="J330" s="27"/>
    </row>
    <row r="331" spans="1:10" x14ac:dyDescent="0.15">
      <c r="A331" s="18"/>
      <c r="B331" s="19"/>
      <c r="C331" s="66"/>
      <c r="D331" s="58"/>
      <c r="E331" s="20"/>
      <c r="F331" s="18"/>
      <c r="G331" s="19"/>
      <c r="H331" s="60"/>
      <c r="I331" s="19"/>
      <c r="J331" s="20"/>
    </row>
    <row r="332" spans="1:10" ht="40.15" customHeight="1" x14ac:dyDescent="0.15">
      <c r="A332" s="21"/>
      <c r="B332" s="28" t="s">
        <v>7363</v>
      </c>
      <c r="C332" s="64"/>
      <c r="D332" s="24"/>
      <c r="E332" s="23"/>
      <c r="F332" s="21"/>
      <c r="G332" s="28" t="s">
        <v>7363</v>
      </c>
      <c r="H332" s="61"/>
      <c r="I332" s="22"/>
      <c r="J332" s="23"/>
    </row>
    <row r="333" spans="1:10" ht="60" customHeight="1" x14ac:dyDescent="0.4">
      <c r="A333" s="21"/>
      <c r="B333" s="22"/>
      <c r="C333" s="62" t="s">
        <v>7512</v>
      </c>
      <c r="D333" s="24"/>
      <c r="E333" s="23"/>
      <c r="F333" s="21"/>
      <c r="G333" s="22"/>
      <c r="H333" s="62" t="s">
        <v>7509</v>
      </c>
      <c r="I333" s="22"/>
      <c r="J333" s="23"/>
    </row>
    <row r="334" spans="1:10" ht="27.6" customHeight="1" x14ac:dyDescent="0.3">
      <c r="A334" s="21"/>
      <c r="B334" s="22"/>
      <c r="C334" s="69" t="s">
        <v>36</v>
      </c>
      <c r="D334" s="24"/>
      <c r="E334" s="23"/>
      <c r="F334" s="21"/>
      <c r="G334" s="22"/>
      <c r="H334" s="69" t="s">
        <v>73</v>
      </c>
      <c r="I334" s="22"/>
      <c r="J334" s="23"/>
    </row>
    <row r="335" spans="1:10" ht="33.6" customHeight="1" x14ac:dyDescent="0.15">
      <c r="A335" s="21"/>
      <c r="B335" s="22"/>
      <c r="C335" s="64"/>
      <c r="D335" s="24" t="s">
        <v>7366</v>
      </c>
      <c r="E335" s="23"/>
      <c r="F335" s="21"/>
      <c r="G335" s="22"/>
      <c r="H335" s="61"/>
      <c r="I335" s="24" t="s">
        <v>7366</v>
      </c>
      <c r="J335" s="23"/>
    </row>
    <row r="336" spans="1:10" x14ac:dyDescent="0.15">
      <c r="A336" s="25"/>
      <c r="B336" s="26"/>
      <c r="C336" s="67"/>
      <c r="D336" s="59"/>
      <c r="E336" s="27"/>
      <c r="F336" s="25"/>
      <c r="G336" s="26"/>
      <c r="H336" s="63"/>
      <c r="I336" s="26"/>
      <c r="J336" s="27"/>
    </row>
    <row r="337" spans="1:10" x14ac:dyDescent="0.15">
      <c r="A337" s="18"/>
      <c r="B337" s="19"/>
      <c r="C337" s="66"/>
      <c r="D337" s="58"/>
      <c r="E337" s="20"/>
      <c r="F337" s="18"/>
      <c r="G337" s="19"/>
      <c r="H337" s="60"/>
      <c r="I337" s="19"/>
      <c r="J337" s="20"/>
    </row>
    <row r="338" spans="1:10" ht="40.15" customHeight="1" x14ac:dyDescent="0.15">
      <c r="A338" s="21"/>
      <c r="B338" s="28" t="s">
        <v>7363</v>
      </c>
      <c r="C338" s="64"/>
      <c r="D338" s="24"/>
      <c r="E338" s="23"/>
      <c r="F338" s="21"/>
      <c r="G338" s="28" t="s">
        <v>7363</v>
      </c>
      <c r="H338" s="61"/>
      <c r="I338" s="22"/>
      <c r="J338" s="23"/>
    </row>
    <row r="339" spans="1:10" ht="60" customHeight="1" x14ac:dyDescent="0.4">
      <c r="A339" s="21"/>
      <c r="B339" s="22"/>
      <c r="C339" s="62" t="s">
        <v>7517</v>
      </c>
      <c r="D339" s="24"/>
      <c r="E339" s="23"/>
      <c r="F339" s="21"/>
      <c r="G339" s="22"/>
      <c r="H339" s="62" t="s">
        <v>7515</v>
      </c>
      <c r="I339" s="22"/>
      <c r="J339" s="23"/>
    </row>
    <row r="340" spans="1:10" ht="27.6" customHeight="1" x14ac:dyDescent="0.3">
      <c r="A340" s="21"/>
      <c r="B340" s="22"/>
      <c r="C340" s="69" t="s">
        <v>36</v>
      </c>
      <c r="D340" s="24"/>
      <c r="E340" s="23"/>
      <c r="F340" s="21"/>
      <c r="G340" s="22"/>
      <c r="H340" s="69" t="s">
        <v>73</v>
      </c>
      <c r="I340" s="22"/>
      <c r="J340" s="23"/>
    </row>
    <row r="341" spans="1:10" ht="33.6" customHeight="1" x14ac:dyDescent="0.15">
      <c r="A341" s="21"/>
      <c r="B341" s="22"/>
      <c r="C341" s="64"/>
      <c r="D341" s="24" t="s">
        <v>7366</v>
      </c>
      <c r="E341" s="23"/>
      <c r="F341" s="21"/>
      <c r="G341" s="22"/>
      <c r="H341" s="61"/>
      <c r="I341" s="24" t="s">
        <v>7366</v>
      </c>
      <c r="J341" s="23"/>
    </row>
    <row r="342" spans="1:10" x14ac:dyDescent="0.15">
      <c r="A342" s="25"/>
      <c r="B342" s="26"/>
      <c r="C342" s="67"/>
      <c r="D342" s="59"/>
      <c r="E342" s="27"/>
      <c r="F342" s="25"/>
      <c r="G342" s="26"/>
      <c r="H342" s="63"/>
      <c r="I342" s="26"/>
      <c r="J342" s="27"/>
    </row>
    <row r="343" spans="1:10" x14ac:dyDescent="0.15">
      <c r="A343" s="18"/>
      <c r="B343" s="19"/>
      <c r="C343" s="66"/>
      <c r="D343" s="58"/>
      <c r="E343" s="20"/>
      <c r="F343" s="18"/>
      <c r="G343" s="19"/>
      <c r="H343" s="60"/>
      <c r="I343" s="19"/>
      <c r="J343" s="20"/>
    </row>
    <row r="344" spans="1:10" ht="40.15" customHeight="1" x14ac:dyDescent="0.15">
      <c r="A344" s="21"/>
      <c r="B344" s="28" t="s">
        <v>7363</v>
      </c>
      <c r="C344" s="64"/>
      <c r="D344" s="24"/>
      <c r="E344" s="23"/>
      <c r="F344" s="21"/>
      <c r="G344" s="28" t="s">
        <v>7363</v>
      </c>
      <c r="H344" s="61"/>
      <c r="I344" s="22"/>
      <c r="J344" s="23"/>
    </row>
    <row r="345" spans="1:10" ht="60" customHeight="1" x14ac:dyDescent="0.4">
      <c r="A345" s="21"/>
      <c r="B345" s="22"/>
      <c r="C345" s="62" t="s">
        <v>7522</v>
      </c>
      <c r="D345" s="24"/>
      <c r="E345" s="23"/>
      <c r="F345" s="21"/>
      <c r="G345" s="22"/>
      <c r="H345" s="62" t="s">
        <v>7520</v>
      </c>
      <c r="I345" s="22"/>
      <c r="J345" s="23"/>
    </row>
    <row r="346" spans="1:10" ht="27.6" customHeight="1" x14ac:dyDescent="0.3">
      <c r="A346" s="21"/>
      <c r="B346" s="22"/>
      <c r="C346" s="69" t="s">
        <v>157</v>
      </c>
      <c r="D346" s="24"/>
      <c r="E346" s="23"/>
      <c r="F346" s="21"/>
      <c r="G346" s="22"/>
      <c r="H346" s="69" t="s">
        <v>157</v>
      </c>
      <c r="I346" s="22"/>
      <c r="J346" s="23"/>
    </row>
    <row r="347" spans="1:10" ht="33.6" customHeight="1" x14ac:dyDescent="0.15">
      <c r="A347" s="21"/>
      <c r="B347" s="22"/>
      <c r="C347" s="64"/>
      <c r="D347" s="24" t="s">
        <v>7366</v>
      </c>
      <c r="E347" s="23"/>
      <c r="F347" s="21"/>
      <c r="G347" s="22"/>
      <c r="H347" s="61"/>
      <c r="I347" s="24" t="s">
        <v>7366</v>
      </c>
      <c r="J347" s="23"/>
    </row>
    <row r="348" spans="1:10" x14ac:dyDescent="0.15">
      <c r="A348" s="25"/>
      <c r="B348" s="26"/>
      <c r="C348" s="67"/>
      <c r="D348" s="59"/>
      <c r="E348" s="27"/>
      <c r="F348" s="25"/>
      <c r="G348" s="26"/>
      <c r="H348" s="63"/>
      <c r="I348" s="26"/>
      <c r="J348" s="27"/>
    </row>
    <row r="349" spans="1:10" x14ac:dyDescent="0.15">
      <c r="A349" s="18"/>
      <c r="B349" s="19"/>
      <c r="C349" s="66"/>
      <c r="D349" s="58"/>
      <c r="E349" s="20"/>
      <c r="F349" s="18"/>
      <c r="G349" s="19"/>
      <c r="H349" s="60"/>
      <c r="I349" s="19"/>
      <c r="J349" s="20"/>
    </row>
    <row r="350" spans="1:10" ht="40.15" customHeight="1" x14ac:dyDescent="0.15">
      <c r="A350" s="21"/>
      <c r="B350" s="28" t="s">
        <v>7363</v>
      </c>
      <c r="C350" s="64"/>
      <c r="D350" s="24"/>
      <c r="E350" s="23"/>
      <c r="F350" s="21"/>
      <c r="G350" s="28" t="s">
        <v>7363</v>
      </c>
      <c r="H350" s="61"/>
      <c r="I350" s="22"/>
      <c r="J350" s="23"/>
    </row>
    <row r="351" spans="1:10" ht="60" customHeight="1" x14ac:dyDescent="0.4">
      <c r="A351" s="21"/>
      <c r="B351" s="22"/>
      <c r="C351" s="62" t="s">
        <v>7527</v>
      </c>
      <c r="D351" s="24"/>
      <c r="E351" s="23"/>
      <c r="F351" s="21"/>
      <c r="G351" s="22"/>
      <c r="H351" s="62" t="s">
        <v>1987</v>
      </c>
      <c r="I351" s="22"/>
      <c r="J351" s="23"/>
    </row>
    <row r="352" spans="1:10" ht="27.6" customHeight="1" x14ac:dyDescent="0.3">
      <c r="A352" s="21"/>
      <c r="B352" s="22"/>
      <c r="C352" s="69" t="s">
        <v>36</v>
      </c>
      <c r="D352" s="24"/>
      <c r="E352" s="23"/>
      <c r="F352" s="21"/>
      <c r="G352" s="22"/>
      <c r="H352" s="69" t="s">
        <v>61</v>
      </c>
      <c r="I352" s="22"/>
      <c r="J352" s="23"/>
    </row>
    <row r="353" spans="1:10" ht="33.6" customHeight="1" x14ac:dyDescent="0.15">
      <c r="A353" s="21"/>
      <c r="B353" s="22"/>
      <c r="C353" s="64"/>
      <c r="D353" s="24" t="s">
        <v>7366</v>
      </c>
      <c r="E353" s="23"/>
      <c r="F353" s="21"/>
      <c r="G353" s="22"/>
      <c r="H353" s="61"/>
      <c r="I353" s="24" t="s">
        <v>7366</v>
      </c>
      <c r="J353" s="23"/>
    </row>
    <row r="354" spans="1:10" x14ac:dyDescent="0.15">
      <c r="A354" s="25"/>
      <c r="B354" s="26"/>
      <c r="C354" s="67"/>
      <c r="D354" s="59"/>
      <c r="E354" s="27"/>
      <c r="F354" s="25"/>
      <c r="G354" s="26"/>
      <c r="H354" s="63"/>
      <c r="I354" s="26"/>
      <c r="J354" s="27"/>
    </row>
    <row r="355" spans="1:10" x14ac:dyDescent="0.15">
      <c r="A355" s="18"/>
      <c r="B355" s="19"/>
      <c r="C355" s="66"/>
      <c r="D355" s="58"/>
      <c r="E355" s="20"/>
      <c r="F355" s="18"/>
      <c r="G355" s="19"/>
      <c r="H355" s="60"/>
      <c r="I355" s="19"/>
      <c r="J355" s="20"/>
    </row>
    <row r="356" spans="1:10" ht="40.15" customHeight="1" x14ac:dyDescent="0.15">
      <c r="A356" s="21"/>
      <c r="B356" s="28" t="s">
        <v>7363</v>
      </c>
      <c r="C356" s="64"/>
      <c r="D356" s="24"/>
      <c r="E356" s="23"/>
      <c r="F356" s="21"/>
      <c r="G356" s="28" t="s">
        <v>7363</v>
      </c>
      <c r="H356" s="61"/>
      <c r="I356" s="22"/>
      <c r="J356" s="23"/>
    </row>
    <row r="357" spans="1:10" ht="60" customHeight="1" x14ac:dyDescent="0.4">
      <c r="A357" s="21"/>
      <c r="B357" s="22"/>
      <c r="C357" s="62" t="s">
        <v>3138</v>
      </c>
      <c r="D357" s="24"/>
      <c r="E357" s="23"/>
      <c r="F357" s="21"/>
      <c r="G357" s="22"/>
      <c r="H357" s="62" t="s">
        <v>7530</v>
      </c>
      <c r="I357" s="22"/>
      <c r="J357" s="23"/>
    </row>
    <row r="358" spans="1:10" ht="27.6" customHeight="1" x14ac:dyDescent="0.3">
      <c r="A358" s="21"/>
      <c r="B358" s="22"/>
      <c r="C358" s="69" t="s">
        <v>36</v>
      </c>
      <c r="D358" s="24"/>
      <c r="E358" s="23"/>
      <c r="F358" s="21"/>
      <c r="G358" s="22"/>
      <c r="H358" s="69" t="s">
        <v>61</v>
      </c>
      <c r="I358" s="22"/>
      <c r="J358" s="23"/>
    </row>
    <row r="359" spans="1:10" ht="33.6" customHeight="1" x14ac:dyDescent="0.15">
      <c r="A359" s="21"/>
      <c r="B359" s="22"/>
      <c r="C359" s="64"/>
      <c r="D359" s="24" t="s">
        <v>7366</v>
      </c>
      <c r="E359" s="23"/>
      <c r="F359" s="21"/>
      <c r="G359" s="22"/>
      <c r="H359" s="61"/>
      <c r="I359" s="24" t="s">
        <v>7366</v>
      </c>
      <c r="J359" s="23"/>
    </row>
    <row r="360" spans="1:10" x14ac:dyDescent="0.15">
      <c r="A360" s="25"/>
      <c r="B360" s="26"/>
      <c r="C360" s="67"/>
      <c r="D360" s="59"/>
      <c r="E360" s="27"/>
      <c r="F360" s="25"/>
      <c r="G360" s="26"/>
      <c r="H360" s="63"/>
      <c r="I360" s="26"/>
      <c r="J360" s="27"/>
    </row>
    <row r="361" spans="1:10" x14ac:dyDescent="0.15">
      <c r="A361" s="18"/>
      <c r="B361" s="19"/>
      <c r="C361" s="66"/>
      <c r="D361" s="58"/>
      <c r="E361" s="20"/>
      <c r="F361" s="18"/>
      <c r="G361" s="19"/>
      <c r="H361" s="60"/>
      <c r="I361" s="19"/>
      <c r="J361" s="20"/>
    </row>
    <row r="362" spans="1:10" ht="40.15" customHeight="1" x14ac:dyDescent="0.15">
      <c r="A362" s="21"/>
      <c r="B362" s="22"/>
      <c r="C362" s="64"/>
      <c r="D362" s="24"/>
      <c r="E362" s="23"/>
      <c r="F362" s="21"/>
      <c r="G362" s="28"/>
      <c r="H362" s="61"/>
      <c r="I362" s="22"/>
      <c r="J362" s="23"/>
    </row>
    <row r="363" spans="1:10" ht="60" customHeight="1" x14ac:dyDescent="0.55000000000000004">
      <c r="A363" s="21"/>
      <c r="B363" s="22"/>
      <c r="C363" s="70" t="s">
        <v>4299</v>
      </c>
      <c r="D363" s="24"/>
      <c r="E363" s="23"/>
      <c r="F363" s="21"/>
      <c r="G363" s="22"/>
      <c r="H363" s="70" t="s">
        <v>7534</v>
      </c>
      <c r="I363" s="22"/>
      <c r="J363" s="23"/>
    </row>
    <row r="364" spans="1:10" ht="27.6" customHeight="1" x14ac:dyDescent="0.15">
      <c r="A364" s="21"/>
      <c r="B364" s="22"/>
      <c r="C364" s="64"/>
      <c r="D364" s="24"/>
      <c r="E364" s="23"/>
      <c r="F364" s="21"/>
      <c r="G364" s="22"/>
      <c r="H364" s="64"/>
      <c r="I364" s="22"/>
      <c r="J364" s="23"/>
    </row>
    <row r="365" spans="1:10" ht="33.6" customHeight="1" x14ac:dyDescent="0.15">
      <c r="A365" s="21"/>
      <c r="B365" s="22" t="s">
        <v>7532</v>
      </c>
      <c r="C365" s="64"/>
      <c r="D365" s="24"/>
      <c r="E365" s="23"/>
      <c r="F365" s="21"/>
      <c r="G365" s="22" t="s">
        <v>7535</v>
      </c>
      <c r="H365" s="61"/>
      <c r="I365" s="24"/>
      <c r="J365" s="23"/>
    </row>
    <row r="366" spans="1:10" x14ac:dyDescent="0.15">
      <c r="A366" s="25"/>
      <c r="B366" s="26"/>
      <c r="C366" s="67"/>
      <c r="D366" s="59"/>
      <c r="E366" s="27"/>
      <c r="F366" s="25"/>
      <c r="G366" s="26"/>
      <c r="H366" s="63"/>
      <c r="I366" s="26"/>
      <c r="J366" s="27"/>
    </row>
    <row r="367" spans="1:10" x14ac:dyDescent="0.15">
      <c r="A367" s="18"/>
      <c r="B367" s="19"/>
      <c r="C367" s="66"/>
      <c r="D367" s="58"/>
      <c r="E367" s="20"/>
      <c r="F367" s="18"/>
      <c r="G367" s="19"/>
      <c r="H367" s="60"/>
      <c r="I367" s="19"/>
      <c r="J367" s="20"/>
    </row>
    <row r="368" spans="1:10" ht="40.15" customHeight="1" x14ac:dyDescent="0.15">
      <c r="A368" s="21"/>
      <c r="B368" s="22"/>
      <c r="C368" s="64"/>
      <c r="D368" s="24"/>
      <c r="E368" s="23"/>
      <c r="F368" s="21"/>
      <c r="G368" s="28"/>
      <c r="H368" s="61"/>
      <c r="I368" s="22"/>
      <c r="J368" s="23"/>
    </row>
    <row r="369" spans="1:10" ht="60" customHeight="1" x14ac:dyDescent="0.55000000000000004">
      <c r="A369" s="21"/>
      <c r="B369" s="22"/>
      <c r="C369" s="70" t="s">
        <v>7537</v>
      </c>
      <c r="D369" s="24"/>
      <c r="E369" s="23"/>
      <c r="F369" s="21"/>
      <c r="G369" s="22"/>
      <c r="H369" s="70" t="s">
        <v>7540</v>
      </c>
      <c r="I369" s="22"/>
      <c r="J369" s="23"/>
    </row>
    <row r="370" spans="1:10" ht="27.6" customHeight="1" x14ac:dyDescent="0.15">
      <c r="A370" s="21"/>
      <c r="B370" s="22"/>
      <c r="C370" s="64"/>
      <c r="D370" s="24"/>
      <c r="E370" s="23"/>
      <c r="F370" s="21"/>
      <c r="G370" s="22"/>
      <c r="H370" s="64"/>
      <c r="I370" s="22"/>
      <c r="J370" s="23"/>
    </row>
    <row r="371" spans="1:10" ht="33.6" customHeight="1" x14ac:dyDescent="0.15">
      <c r="A371" s="21"/>
      <c r="B371" s="22" t="s">
        <v>7538</v>
      </c>
      <c r="C371" s="64"/>
      <c r="D371" s="24"/>
      <c r="E371" s="23"/>
      <c r="F371" s="21"/>
      <c r="G371" s="22" t="s">
        <v>7541</v>
      </c>
      <c r="H371" s="61"/>
      <c r="I371" s="24"/>
      <c r="J371" s="23"/>
    </row>
    <row r="372" spans="1:10" x14ac:dyDescent="0.15">
      <c r="A372" s="25"/>
      <c r="B372" s="26"/>
      <c r="C372" s="67"/>
      <c r="D372" s="59"/>
      <c r="E372" s="27"/>
      <c r="F372" s="25"/>
      <c r="G372" s="26"/>
      <c r="H372" s="63"/>
      <c r="I372" s="26"/>
      <c r="J372" s="27"/>
    </row>
    <row r="373" spans="1:10" x14ac:dyDescent="0.15">
      <c r="A373" s="18"/>
      <c r="B373" s="19"/>
      <c r="C373" s="66"/>
      <c r="D373" s="58"/>
      <c r="E373" s="20"/>
      <c r="F373" s="18"/>
      <c r="G373" s="19"/>
      <c r="H373" s="60"/>
      <c r="I373" s="19"/>
      <c r="J373" s="20"/>
    </row>
    <row r="374" spans="1:10" ht="40.15" customHeight="1" x14ac:dyDescent="0.15">
      <c r="A374" s="21"/>
      <c r="B374" s="22"/>
      <c r="C374" s="64"/>
      <c r="D374" s="24"/>
      <c r="E374" s="23"/>
      <c r="F374" s="21"/>
      <c r="G374" s="28"/>
      <c r="H374" s="61"/>
      <c r="I374" s="22"/>
      <c r="J374" s="23"/>
    </row>
    <row r="375" spans="1:10" ht="60" customHeight="1" x14ac:dyDescent="0.55000000000000004">
      <c r="A375" s="21"/>
      <c r="B375" s="22"/>
      <c r="C375" s="70" t="s">
        <v>5024</v>
      </c>
      <c r="D375" s="24"/>
      <c r="E375" s="23"/>
      <c r="F375" s="21"/>
      <c r="G375" s="22"/>
      <c r="H375" s="70" t="s">
        <v>4964</v>
      </c>
      <c r="I375" s="22"/>
      <c r="J375" s="23"/>
    </row>
    <row r="376" spans="1:10" ht="27.6" customHeight="1" x14ac:dyDescent="0.15">
      <c r="A376" s="21"/>
      <c r="B376" s="22"/>
      <c r="C376" s="64"/>
      <c r="D376" s="24"/>
      <c r="E376" s="23"/>
      <c r="F376" s="21"/>
      <c r="G376" s="22"/>
      <c r="H376" s="64"/>
      <c r="I376" s="22"/>
      <c r="J376" s="23"/>
    </row>
    <row r="377" spans="1:10" ht="33.6" customHeight="1" x14ac:dyDescent="0.15">
      <c r="A377" s="21"/>
      <c r="B377" s="22" t="s">
        <v>7543</v>
      </c>
      <c r="C377" s="64"/>
      <c r="D377" s="24"/>
      <c r="E377" s="23"/>
      <c r="F377" s="21"/>
      <c r="G377" s="22" t="s">
        <v>7545</v>
      </c>
      <c r="H377" s="61"/>
      <c r="I377" s="24"/>
      <c r="J377" s="23"/>
    </row>
    <row r="378" spans="1:10" x14ac:dyDescent="0.15">
      <c r="A378" s="25"/>
      <c r="B378" s="26"/>
      <c r="C378" s="67"/>
      <c r="D378" s="59"/>
      <c r="E378" s="27"/>
      <c r="F378" s="25"/>
      <c r="G378" s="26"/>
      <c r="H378" s="63"/>
      <c r="I378" s="26"/>
      <c r="J378" s="27"/>
    </row>
    <row r="379" spans="1:10" x14ac:dyDescent="0.15">
      <c r="A379" s="18"/>
      <c r="B379" s="19"/>
      <c r="C379" s="66"/>
      <c r="D379" s="58"/>
      <c r="E379" s="20"/>
      <c r="F379" s="18"/>
      <c r="G379" s="19"/>
      <c r="H379" s="60"/>
      <c r="I379" s="19"/>
      <c r="J379" s="20"/>
    </row>
    <row r="380" spans="1:10" ht="40.15" customHeight="1" x14ac:dyDescent="0.15">
      <c r="A380" s="21"/>
      <c r="B380" s="22"/>
      <c r="C380" s="64"/>
      <c r="D380" s="24"/>
      <c r="E380" s="23"/>
      <c r="F380" s="21"/>
      <c r="G380" s="28"/>
      <c r="H380" s="61"/>
      <c r="I380" s="22"/>
      <c r="J380" s="23"/>
    </row>
    <row r="381" spans="1:10" ht="60" customHeight="1" x14ac:dyDescent="0.55000000000000004">
      <c r="A381" s="21"/>
      <c r="B381" s="22"/>
      <c r="C381" s="70" t="s">
        <v>7546</v>
      </c>
      <c r="D381" s="24"/>
      <c r="E381" s="23"/>
      <c r="F381" s="21"/>
      <c r="G381" s="22"/>
      <c r="H381" s="70" t="s">
        <v>3035</v>
      </c>
      <c r="I381" s="22"/>
      <c r="J381" s="23"/>
    </row>
    <row r="382" spans="1:10" ht="27.6" customHeight="1" x14ac:dyDescent="0.15">
      <c r="A382" s="21"/>
      <c r="B382" s="22"/>
      <c r="C382" s="64"/>
      <c r="D382" s="24"/>
      <c r="E382" s="23"/>
      <c r="F382" s="21"/>
      <c r="G382" s="22"/>
      <c r="H382" s="64"/>
      <c r="I382" s="22"/>
      <c r="J382" s="23"/>
    </row>
    <row r="383" spans="1:10" ht="33.6" customHeight="1" x14ac:dyDescent="0.15">
      <c r="A383" s="21"/>
      <c r="B383" s="22" t="s">
        <v>7547</v>
      </c>
      <c r="C383" s="64"/>
      <c r="D383" s="24"/>
      <c r="E383" s="23"/>
      <c r="F383" s="21"/>
      <c r="G383" s="22" t="s">
        <v>7549</v>
      </c>
      <c r="H383" s="61"/>
      <c r="I383" s="24"/>
      <c r="J383" s="23"/>
    </row>
    <row r="384" spans="1:10" x14ac:dyDescent="0.15">
      <c r="A384" s="25"/>
      <c r="B384" s="26"/>
      <c r="C384" s="67"/>
      <c r="D384" s="59"/>
      <c r="E384" s="27"/>
      <c r="F384" s="25"/>
      <c r="G384" s="26"/>
      <c r="H384" s="63"/>
      <c r="I384" s="26"/>
      <c r="J384" s="27"/>
    </row>
    <row r="385" spans="1:10" x14ac:dyDescent="0.15">
      <c r="A385" s="18"/>
      <c r="B385" s="19"/>
      <c r="C385" s="66"/>
      <c r="D385" s="58"/>
      <c r="E385" s="20"/>
      <c r="F385" s="18"/>
      <c r="G385" s="19"/>
      <c r="H385" s="60"/>
      <c r="I385" s="19"/>
      <c r="J385" s="20"/>
    </row>
    <row r="386" spans="1:10" ht="40.15" customHeight="1" x14ac:dyDescent="0.15">
      <c r="A386" s="21"/>
      <c r="B386" s="22"/>
      <c r="C386" s="64"/>
      <c r="D386" s="24"/>
      <c r="E386" s="23"/>
      <c r="F386" s="21"/>
      <c r="G386" s="28"/>
      <c r="H386" s="61"/>
      <c r="I386" s="22"/>
      <c r="J386" s="23"/>
    </row>
    <row r="387" spans="1:10" ht="60" customHeight="1" x14ac:dyDescent="0.55000000000000004">
      <c r="A387" s="21"/>
      <c r="B387" s="22"/>
      <c r="C387" s="70" t="s">
        <v>7551</v>
      </c>
      <c r="D387" s="24"/>
      <c r="E387" s="23"/>
      <c r="F387" s="21"/>
      <c r="G387" s="22"/>
      <c r="H387" s="70" t="s">
        <v>7551</v>
      </c>
      <c r="I387" s="22"/>
      <c r="J387" s="23"/>
    </row>
    <row r="388" spans="1:10" ht="27.6" customHeight="1" x14ac:dyDescent="0.15">
      <c r="A388" s="21"/>
      <c r="B388" s="22"/>
      <c r="C388" s="64"/>
      <c r="D388" s="24"/>
      <c r="E388" s="23"/>
      <c r="F388" s="21"/>
      <c r="G388" s="22"/>
      <c r="H388" s="64"/>
      <c r="I388" s="22"/>
      <c r="J388" s="23"/>
    </row>
    <row r="389" spans="1:10" ht="33.6" customHeight="1" x14ac:dyDescent="0.15">
      <c r="A389" s="21"/>
      <c r="B389" s="22" t="s">
        <v>7552</v>
      </c>
      <c r="C389" s="64"/>
      <c r="D389" s="24"/>
      <c r="E389" s="23"/>
      <c r="F389" s="21"/>
      <c r="G389" s="22" t="s">
        <v>7554</v>
      </c>
      <c r="H389" s="61"/>
      <c r="I389" s="24"/>
      <c r="J389" s="23"/>
    </row>
    <row r="390" spans="1:10" x14ac:dyDescent="0.15">
      <c r="A390" s="25"/>
      <c r="B390" s="26"/>
      <c r="C390" s="67"/>
      <c r="D390" s="59"/>
      <c r="E390" s="27"/>
      <c r="F390" s="25"/>
      <c r="G390" s="26"/>
      <c r="H390" s="63"/>
      <c r="I390" s="26"/>
      <c r="J390" s="27"/>
    </row>
    <row r="391" spans="1:10" x14ac:dyDescent="0.15">
      <c r="A391" s="18"/>
      <c r="B391" s="19"/>
      <c r="C391" s="66"/>
      <c r="D391" s="58"/>
      <c r="E391" s="20"/>
      <c r="F391" s="18"/>
      <c r="G391" s="19"/>
      <c r="H391" s="60"/>
      <c r="I391" s="19"/>
      <c r="J391" s="20"/>
    </row>
    <row r="392" spans="1:10" ht="40.15" customHeight="1" x14ac:dyDescent="0.15">
      <c r="A392" s="21"/>
      <c r="B392" s="22"/>
      <c r="C392" s="64"/>
      <c r="D392" s="24"/>
      <c r="E392" s="23"/>
      <c r="F392" s="21"/>
      <c r="G392" s="28"/>
      <c r="H392" s="61"/>
      <c r="I392" s="22"/>
      <c r="J392" s="23"/>
    </row>
    <row r="393" spans="1:10" ht="60" customHeight="1" x14ac:dyDescent="0.55000000000000004">
      <c r="A393" s="21"/>
      <c r="B393" s="22"/>
      <c r="C393" s="70" t="s">
        <v>5427</v>
      </c>
      <c r="D393" s="24"/>
      <c r="E393" s="23"/>
      <c r="F393" s="21"/>
      <c r="G393" s="22"/>
      <c r="H393" s="70" t="s">
        <v>7558</v>
      </c>
      <c r="I393" s="22"/>
      <c r="J393" s="23"/>
    </row>
    <row r="394" spans="1:10" ht="27.6" customHeight="1" x14ac:dyDescent="0.15">
      <c r="A394" s="21"/>
      <c r="B394" s="22"/>
      <c r="C394" s="64"/>
      <c r="D394" s="24"/>
      <c r="E394" s="23"/>
      <c r="F394" s="21"/>
      <c r="G394" s="22"/>
      <c r="H394" s="64"/>
      <c r="I394" s="22"/>
      <c r="J394" s="23"/>
    </row>
    <row r="395" spans="1:10" ht="33.6" customHeight="1" x14ac:dyDescent="0.15">
      <c r="A395" s="21"/>
      <c r="B395" s="22" t="s">
        <v>7556</v>
      </c>
      <c r="C395" s="64"/>
      <c r="D395" s="24"/>
      <c r="E395" s="23"/>
      <c r="F395" s="21"/>
      <c r="G395" s="22" t="s">
        <v>7559</v>
      </c>
      <c r="H395" s="61"/>
      <c r="I395" s="24"/>
      <c r="J395" s="23"/>
    </row>
    <row r="396" spans="1:10" x14ac:dyDescent="0.15">
      <c r="A396" s="25"/>
      <c r="B396" s="26"/>
      <c r="C396" s="67"/>
      <c r="D396" s="59"/>
      <c r="E396" s="27"/>
      <c r="F396" s="25"/>
      <c r="G396" s="26"/>
      <c r="H396" s="63"/>
      <c r="I396" s="26"/>
      <c r="J396" s="27"/>
    </row>
    <row r="397" spans="1:10" x14ac:dyDescent="0.15">
      <c r="A397" s="18"/>
      <c r="B397" s="19"/>
      <c r="C397" s="66"/>
      <c r="D397" s="58"/>
      <c r="E397" s="20"/>
      <c r="F397" s="18"/>
      <c r="G397" s="19"/>
      <c r="H397" s="60"/>
      <c r="I397" s="19"/>
      <c r="J397" s="20"/>
    </row>
    <row r="398" spans="1:10" ht="40.15" customHeight="1" x14ac:dyDescent="0.15">
      <c r="A398" s="21"/>
      <c r="B398" s="28" t="s">
        <v>7363</v>
      </c>
      <c r="C398" s="64"/>
      <c r="D398" s="24"/>
      <c r="E398" s="23"/>
      <c r="F398" s="21"/>
      <c r="G398" s="28" t="s">
        <v>7363</v>
      </c>
      <c r="H398" s="61"/>
      <c r="I398" s="22"/>
      <c r="J398" s="23"/>
    </row>
    <row r="399" spans="1:10" ht="60" customHeight="1" x14ac:dyDescent="0.4">
      <c r="A399" s="21"/>
      <c r="B399" s="22"/>
      <c r="C399" s="62" t="s">
        <v>7536</v>
      </c>
      <c r="D399" s="24"/>
      <c r="E399" s="23"/>
      <c r="F399" s="21"/>
      <c r="G399" s="22"/>
      <c r="H399" s="62" t="s">
        <v>7533</v>
      </c>
      <c r="I399" s="22"/>
      <c r="J399" s="23"/>
    </row>
    <row r="400" spans="1:10" ht="27.6" customHeight="1" x14ac:dyDescent="0.3">
      <c r="A400" s="21"/>
      <c r="B400" s="22"/>
      <c r="C400" s="69" t="s">
        <v>36</v>
      </c>
      <c r="D400" s="24"/>
      <c r="E400" s="23"/>
      <c r="F400" s="21"/>
      <c r="G400" s="22"/>
      <c r="H400" s="69" t="s">
        <v>73</v>
      </c>
      <c r="I400" s="22"/>
      <c r="J400" s="23"/>
    </row>
    <row r="401" spans="1:10" ht="33.6" customHeight="1" x14ac:dyDescent="0.15">
      <c r="A401" s="21"/>
      <c r="B401" s="22"/>
      <c r="C401" s="64"/>
      <c r="D401" s="24" t="s">
        <v>7360</v>
      </c>
      <c r="E401" s="23"/>
      <c r="F401" s="21"/>
      <c r="G401" s="22"/>
      <c r="H401" s="61"/>
      <c r="I401" s="24" t="s">
        <v>7360</v>
      </c>
      <c r="J401" s="23"/>
    </row>
    <row r="402" spans="1:10" x14ac:dyDescent="0.15">
      <c r="A402" s="25"/>
      <c r="B402" s="26"/>
      <c r="C402" s="67"/>
      <c r="D402" s="59"/>
      <c r="E402" s="27"/>
      <c r="F402" s="25"/>
      <c r="G402" s="26"/>
      <c r="H402" s="63"/>
      <c r="I402" s="26"/>
      <c r="J402" s="27"/>
    </row>
    <row r="403" spans="1:10" x14ac:dyDescent="0.15">
      <c r="A403" s="18"/>
      <c r="B403" s="19"/>
      <c r="C403" s="66"/>
      <c r="D403" s="58"/>
      <c r="E403" s="20"/>
      <c r="F403" s="18"/>
      <c r="G403" s="19"/>
      <c r="H403" s="60"/>
      <c r="I403" s="19"/>
      <c r="J403" s="20"/>
    </row>
    <row r="404" spans="1:10" ht="40.15" customHeight="1" x14ac:dyDescent="0.15">
      <c r="A404" s="21"/>
      <c r="B404" s="28" t="s">
        <v>7363</v>
      </c>
      <c r="C404" s="64"/>
      <c r="D404" s="24"/>
      <c r="E404" s="23"/>
      <c r="F404" s="21"/>
      <c r="G404" s="28" t="s">
        <v>7363</v>
      </c>
      <c r="H404" s="61"/>
      <c r="I404" s="22"/>
      <c r="J404" s="23"/>
    </row>
    <row r="405" spans="1:10" ht="60" customHeight="1" x14ac:dyDescent="0.4">
      <c r="A405" s="21"/>
      <c r="B405" s="22"/>
      <c r="C405" s="62" t="s">
        <v>7542</v>
      </c>
      <c r="D405" s="24"/>
      <c r="E405" s="23"/>
      <c r="F405" s="21"/>
      <c r="G405" s="22"/>
      <c r="H405" s="62" t="s">
        <v>7539</v>
      </c>
      <c r="I405" s="22"/>
      <c r="J405" s="23"/>
    </row>
    <row r="406" spans="1:10" ht="27.6" customHeight="1" x14ac:dyDescent="0.3">
      <c r="A406" s="21"/>
      <c r="B406" s="22"/>
      <c r="C406" s="69" t="s">
        <v>36</v>
      </c>
      <c r="D406" s="24"/>
      <c r="E406" s="23"/>
      <c r="F406" s="21"/>
      <c r="G406" s="22"/>
      <c r="H406" s="69" t="s">
        <v>36</v>
      </c>
      <c r="I406" s="22"/>
      <c r="J406" s="23"/>
    </row>
    <row r="407" spans="1:10" ht="33.6" customHeight="1" x14ac:dyDescent="0.15">
      <c r="A407" s="21"/>
      <c r="B407" s="22"/>
      <c r="C407" s="64"/>
      <c r="D407" s="24" t="s">
        <v>7360</v>
      </c>
      <c r="E407" s="23"/>
      <c r="F407" s="21"/>
      <c r="G407" s="22"/>
      <c r="H407" s="61"/>
      <c r="I407" s="24" t="s">
        <v>7360</v>
      </c>
      <c r="J407" s="23"/>
    </row>
    <row r="408" spans="1:10" x14ac:dyDescent="0.15">
      <c r="A408" s="25"/>
      <c r="B408" s="26"/>
      <c r="C408" s="67"/>
      <c r="D408" s="59"/>
      <c r="E408" s="27"/>
      <c r="F408" s="25"/>
      <c r="G408" s="26"/>
      <c r="H408" s="63"/>
      <c r="I408" s="26"/>
      <c r="J408" s="27"/>
    </row>
    <row r="409" spans="1:10" x14ac:dyDescent="0.15">
      <c r="A409" s="18"/>
      <c r="B409" s="19"/>
      <c r="C409" s="66"/>
      <c r="D409" s="58"/>
      <c r="E409" s="20"/>
      <c r="F409" s="18"/>
      <c r="G409" s="19"/>
      <c r="H409" s="60"/>
      <c r="I409" s="19"/>
      <c r="J409" s="20"/>
    </row>
    <row r="410" spans="1:10" ht="40.15" customHeight="1" x14ac:dyDescent="0.15">
      <c r="A410" s="21"/>
      <c r="B410" s="28" t="s">
        <v>7363</v>
      </c>
      <c r="C410" s="64"/>
      <c r="D410" s="24"/>
      <c r="E410" s="23"/>
      <c r="F410" s="21"/>
      <c r="G410" s="28" t="s">
        <v>7363</v>
      </c>
      <c r="H410" s="61"/>
      <c r="I410" s="22"/>
      <c r="J410" s="23"/>
    </row>
    <row r="411" spans="1:10" ht="60" customHeight="1" x14ac:dyDescent="0.4">
      <c r="A411" s="21"/>
      <c r="B411" s="22"/>
      <c r="C411" s="62" t="s">
        <v>4965</v>
      </c>
      <c r="D411" s="24"/>
      <c r="E411" s="23"/>
      <c r="F411" s="21"/>
      <c r="G411" s="22"/>
      <c r="H411" s="62" t="s">
        <v>7544</v>
      </c>
      <c r="I411" s="22"/>
      <c r="J411" s="23"/>
    </row>
    <row r="412" spans="1:10" ht="27.6" customHeight="1" x14ac:dyDescent="0.3">
      <c r="A412" s="21"/>
      <c r="B412" s="22"/>
      <c r="C412" s="69" t="s">
        <v>36</v>
      </c>
      <c r="D412" s="24"/>
      <c r="E412" s="23"/>
      <c r="F412" s="21"/>
      <c r="G412" s="22"/>
      <c r="H412" s="69" t="s">
        <v>61</v>
      </c>
      <c r="I412" s="22"/>
      <c r="J412" s="23"/>
    </row>
    <row r="413" spans="1:10" ht="33.6" customHeight="1" x14ac:dyDescent="0.15">
      <c r="A413" s="21"/>
      <c r="B413" s="22"/>
      <c r="C413" s="64"/>
      <c r="D413" s="24" t="s">
        <v>7360</v>
      </c>
      <c r="E413" s="23"/>
      <c r="F413" s="21"/>
      <c r="G413" s="22"/>
      <c r="H413" s="61"/>
      <c r="I413" s="24" t="s">
        <v>7360</v>
      </c>
      <c r="J413" s="23"/>
    </row>
    <row r="414" spans="1:10" x14ac:dyDescent="0.15">
      <c r="A414" s="25"/>
      <c r="B414" s="26"/>
      <c r="C414" s="67"/>
      <c r="D414" s="59"/>
      <c r="E414" s="27"/>
      <c r="F414" s="25"/>
      <c r="G414" s="26"/>
      <c r="H414" s="63"/>
      <c r="I414" s="26"/>
      <c r="J414" s="27"/>
    </row>
    <row r="415" spans="1:10" x14ac:dyDescent="0.15">
      <c r="A415" s="18"/>
      <c r="B415" s="19"/>
      <c r="C415" s="66"/>
      <c r="D415" s="58"/>
      <c r="E415" s="20"/>
      <c r="F415" s="18"/>
      <c r="G415" s="19"/>
      <c r="H415" s="60"/>
      <c r="I415" s="19"/>
      <c r="J415" s="20"/>
    </row>
    <row r="416" spans="1:10" ht="40.15" customHeight="1" x14ac:dyDescent="0.15">
      <c r="A416" s="21"/>
      <c r="B416" s="28" t="s">
        <v>7363</v>
      </c>
      <c r="C416" s="64"/>
      <c r="D416" s="24"/>
      <c r="E416" s="23"/>
      <c r="F416" s="21"/>
      <c r="G416" s="28" t="s">
        <v>7363</v>
      </c>
      <c r="H416" s="61"/>
      <c r="I416" s="22"/>
      <c r="J416" s="23"/>
    </row>
    <row r="417" spans="1:10" ht="60" customHeight="1" x14ac:dyDescent="0.4">
      <c r="A417" s="21"/>
      <c r="B417" s="22"/>
      <c r="C417" s="62" t="s">
        <v>7550</v>
      </c>
      <c r="D417" s="24"/>
      <c r="E417" s="23"/>
      <c r="F417" s="21"/>
      <c r="G417" s="22"/>
      <c r="H417" s="62" t="s">
        <v>7548</v>
      </c>
      <c r="I417" s="22"/>
      <c r="J417" s="23"/>
    </row>
    <row r="418" spans="1:10" ht="27.6" customHeight="1" x14ac:dyDescent="0.3">
      <c r="A418" s="21"/>
      <c r="B418" s="22"/>
      <c r="C418" s="69" t="s">
        <v>36</v>
      </c>
      <c r="D418" s="24"/>
      <c r="E418" s="23"/>
      <c r="F418" s="21"/>
      <c r="G418" s="22"/>
      <c r="H418" s="69" t="s">
        <v>61</v>
      </c>
      <c r="I418" s="22"/>
      <c r="J418" s="23"/>
    </row>
    <row r="419" spans="1:10" ht="33.6" customHeight="1" x14ac:dyDescent="0.15">
      <c r="A419" s="21"/>
      <c r="B419" s="22"/>
      <c r="C419" s="64"/>
      <c r="D419" s="24" t="s">
        <v>7360</v>
      </c>
      <c r="E419" s="23"/>
      <c r="F419" s="21"/>
      <c r="G419" s="22"/>
      <c r="H419" s="61"/>
      <c r="I419" s="24" t="s">
        <v>7360</v>
      </c>
      <c r="J419" s="23"/>
    </row>
    <row r="420" spans="1:10" x14ac:dyDescent="0.15">
      <c r="A420" s="25"/>
      <c r="B420" s="26"/>
      <c r="C420" s="67"/>
      <c r="D420" s="59"/>
      <c r="E420" s="27"/>
      <c r="F420" s="25"/>
      <c r="G420" s="26"/>
      <c r="H420" s="63"/>
      <c r="I420" s="26"/>
      <c r="J420" s="27"/>
    </row>
    <row r="421" spans="1:10" x14ac:dyDescent="0.15">
      <c r="A421" s="18"/>
      <c r="B421" s="19"/>
      <c r="C421" s="66"/>
      <c r="D421" s="58"/>
      <c r="E421" s="20"/>
      <c r="F421" s="18"/>
      <c r="G421" s="19"/>
      <c r="H421" s="60"/>
      <c r="I421" s="19"/>
      <c r="J421" s="20"/>
    </row>
    <row r="422" spans="1:10" ht="40.15" customHeight="1" x14ac:dyDescent="0.15">
      <c r="A422" s="21"/>
      <c r="B422" s="28" t="s">
        <v>7363</v>
      </c>
      <c r="C422" s="64"/>
      <c r="D422" s="24"/>
      <c r="E422" s="23"/>
      <c r="F422" s="21"/>
      <c r="G422" s="28" t="s">
        <v>7363</v>
      </c>
      <c r="H422" s="61"/>
      <c r="I422" s="22"/>
      <c r="J422" s="23"/>
    </row>
    <row r="423" spans="1:10" ht="60" customHeight="1" x14ac:dyDescent="0.4">
      <c r="A423" s="21"/>
      <c r="B423" s="22"/>
      <c r="C423" s="62" t="s">
        <v>7555</v>
      </c>
      <c r="D423" s="24"/>
      <c r="E423" s="23"/>
      <c r="F423" s="21"/>
      <c r="G423" s="22"/>
      <c r="H423" s="62" t="s">
        <v>7553</v>
      </c>
      <c r="I423" s="22"/>
      <c r="J423" s="23"/>
    </row>
    <row r="424" spans="1:10" ht="27.6" customHeight="1" x14ac:dyDescent="0.3">
      <c r="A424" s="21"/>
      <c r="B424" s="22"/>
      <c r="C424" s="69" t="s">
        <v>61</v>
      </c>
      <c r="D424" s="24"/>
      <c r="E424" s="23"/>
      <c r="F424" s="21"/>
      <c r="G424" s="22"/>
      <c r="H424" s="69" t="s">
        <v>36</v>
      </c>
      <c r="I424" s="22"/>
      <c r="J424" s="23"/>
    </row>
    <row r="425" spans="1:10" ht="33.6" customHeight="1" x14ac:dyDescent="0.15">
      <c r="A425" s="21"/>
      <c r="B425" s="22"/>
      <c r="C425" s="64"/>
      <c r="D425" s="24" t="s">
        <v>7360</v>
      </c>
      <c r="E425" s="23"/>
      <c r="F425" s="21"/>
      <c r="G425" s="22"/>
      <c r="H425" s="61"/>
      <c r="I425" s="24" t="s">
        <v>7360</v>
      </c>
      <c r="J425" s="23"/>
    </row>
    <row r="426" spans="1:10" x14ac:dyDescent="0.15">
      <c r="A426" s="25"/>
      <c r="B426" s="26"/>
      <c r="C426" s="67"/>
      <c r="D426" s="59"/>
      <c r="E426" s="27"/>
      <c r="F426" s="25"/>
      <c r="G426" s="26"/>
      <c r="H426" s="63"/>
      <c r="I426" s="26"/>
      <c r="J426" s="27"/>
    </row>
    <row r="427" spans="1:10" x14ac:dyDescent="0.15">
      <c r="A427" s="18"/>
      <c r="B427" s="19"/>
      <c r="C427" s="66"/>
      <c r="D427" s="58"/>
      <c r="E427" s="20"/>
      <c r="F427" s="18"/>
      <c r="G427" s="19"/>
      <c r="H427" s="60"/>
      <c r="I427" s="19"/>
      <c r="J427" s="20"/>
    </row>
    <row r="428" spans="1:10" ht="40.15" customHeight="1" x14ac:dyDescent="0.15">
      <c r="A428" s="21"/>
      <c r="B428" s="28" t="s">
        <v>7363</v>
      </c>
      <c r="C428" s="64"/>
      <c r="D428" s="24"/>
      <c r="E428" s="23"/>
      <c r="F428" s="21"/>
      <c r="G428" s="28" t="s">
        <v>7363</v>
      </c>
      <c r="H428" s="61"/>
      <c r="I428" s="22"/>
      <c r="J428" s="23"/>
    </row>
    <row r="429" spans="1:10" ht="60" customHeight="1" x14ac:dyDescent="0.4">
      <c r="A429" s="21"/>
      <c r="B429" s="22"/>
      <c r="C429" s="62" t="s">
        <v>7560</v>
      </c>
      <c r="D429" s="24"/>
      <c r="E429" s="23"/>
      <c r="F429" s="21"/>
      <c r="G429" s="22"/>
      <c r="H429" s="62" t="s">
        <v>7557</v>
      </c>
      <c r="I429" s="22"/>
      <c r="J429" s="23"/>
    </row>
    <row r="430" spans="1:10" ht="27.6" customHeight="1" x14ac:dyDescent="0.3">
      <c r="A430" s="21"/>
      <c r="B430" s="22"/>
      <c r="C430" s="69" t="s">
        <v>36</v>
      </c>
      <c r="D430" s="24"/>
      <c r="E430" s="23"/>
      <c r="F430" s="21"/>
      <c r="G430" s="22"/>
      <c r="H430" s="69" t="s">
        <v>73</v>
      </c>
      <c r="I430" s="22"/>
      <c r="J430" s="23"/>
    </row>
    <row r="431" spans="1:10" ht="33.6" customHeight="1" x14ac:dyDescent="0.15">
      <c r="A431" s="21"/>
      <c r="B431" s="22"/>
      <c r="C431" s="64"/>
      <c r="D431" s="24" t="s">
        <v>7360</v>
      </c>
      <c r="E431" s="23"/>
      <c r="F431" s="21"/>
      <c r="G431" s="22"/>
      <c r="H431" s="61"/>
      <c r="I431" s="24" t="s">
        <v>7360</v>
      </c>
      <c r="J431" s="23"/>
    </row>
    <row r="432" spans="1:10" x14ac:dyDescent="0.15">
      <c r="A432" s="25"/>
      <c r="B432" s="26"/>
      <c r="C432" s="67"/>
      <c r="D432" s="59"/>
      <c r="E432" s="27"/>
      <c r="F432" s="25"/>
      <c r="G432" s="26"/>
      <c r="H432" s="63"/>
      <c r="I432" s="26"/>
      <c r="J432" s="27"/>
    </row>
    <row r="433" spans="1:10" x14ac:dyDescent="0.15">
      <c r="A433" s="18"/>
      <c r="B433" s="19"/>
      <c r="C433" s="66"/>
      <c r="D433" s="58"/>
      <c r="E433" s="20"/>
      <c r="F433" s="18"/>
      <c r="G433" s="19"/>
      <c r="H433" s="60"/>
      <c r="I433" s="19"/>
      <c r="J433" s="20"/>
    </row>
    <row r="434" spans="1:10" ht="40.15" customHeight="1" x14ac:dyDescent="0.15">
      <c r="A434" s="21"/>
      <c r="B434" s="22"/>
      <c r="C434" s="64"/>
      <c r="D434" s="24"/>
      <c r="E434" s="23"/>
      <c r="F434" s="21"/>
      <c r="G434" s="28"/>
      <c r="H434" s="61"/>
      <c r="I434" s="22"/>
      <c r="J434" s="23"/>
    </row>
    <row r="435" spans="1:10" ht="60" customHeight="1" x14ac:dyDescent="0.55000000000000004">
      <c r="A435" s="21"/>
      <c r="B435" s="22"/>
      <c r="C435" s="70" t="s">
        <v>2593</v>
      </c>
      <c r="D435" s="24"/>
      <c r="E435" s="23"/>
      <c r="F435" s="21"/>
      <c r="G435" s="22"/>
      <c r="H435" s="70" t="s">
        <v>7563</v>
      </c>
      <c r="I435" s="22"/>
      <c r="J435" s="23"/>
    </row>
    <row r="436" spans="1:10" ht="27.6" customHeight="1" x14ac:dyDescent="0.15">
      <c r="A436" s="21"/>
      <c r="B436" s="22"/>
      <c r="C436" s="64"/>
      <c r="D436" s="24"/>
      <c r="E436" s="23"/>
      <c r="F436" s="21"/>
      <c r="G436" s="22"/>
      <c r="H436" s="64"/>
      <c r="I436" s="22"/>
      <c r="J436" s="23"/>
    </row>
    <row r="437" spans="1:10" ht="33.6" customHeight="1" x14ac:dyDescent="0.15">
      <c r="A437" s="21"/>
      <c r="B437" s="22" t="s">
        <v>7561</v>
      </c>
      <c r="C437" s="64"/>
      <c r="D437" s="24"/>
      <c r="E437" s="23"/>
      <c r="F437" s="21"/>
      <c r="G437" s="22" t="s">
        <v>7564</v>
      </c>
      <c r="H437" s="61"/>
      <c r="I437" s="24"/>
      <c r="J437" s="23"/>
    </row>
    <row r="438" spans="1:10" x14ac:dyDescent="0.15">
      <c r="A438" s="25"/>
      <c r="B438" s="26"/>
      <c r="C438" s="67"/>
      <c r="D438" s="59"/>
      <c r="E438" s="27"/>
      <c r="F438" s="25"/>
      <c r="G438" s="26"/>
      <c r="H438" s="63"/>
      <c r="I438" s="26"/>
      <c r="J438" s="27"/>
    </row>
    <row r="439" spans="1:10" x14ac:dyDescent="0.15">
      <c r="A439" s="18"/>
      <c r="B439" s="19"/>
      <c r="C439" s="66"/>
      <c r="D439" s="58"/>
      <c r="E439" s="20"/>
      <c r="F439" s="18"/>
      <c r="G439" s="19"/>
      <c r="H439" s="60"/>
      <c r="I439" s="19"/>
      <c r="J439" s="20"/>
    </row>
    <row r="440" spans="1:10" ht="40.15" customHeight="1" x14ac:dyDescent="0.15">
      <c r="A440" s="21"/>
      <c r="B440" s="22"/>
      <c r="C440" s="64"/>
      <c r="D440" s="24"/>
      <c r="E440" s="23"/>
      <c r="F440" s="21"/>
      <c r="G440" s="28"/>
      <c r="H440" s="61"/>
      <c r="I440" s="22"/>
      <c r="J440" s="23"/>
    </row>
    <row r="441" spans="1:10" ht="60" customHeight="1" x14ac:dyDescent="0.55000000000000004">
      <c r="A441" s="21"/>
      <c r="B441" s="22"/>
      <c r="C441" s="70" t="s">
        <v>7566</v>
      </c>
      <c r="D441" s="24"/>
      <c r="E441" s="23"/>
      <c r="F441" s="21"/>
      <c r="G441" s="22"/>
      <c r="H441" s="70" t="s">
        <v>7569</v>
      </c>
      <c r="I441" s="22"/>
      <c r="J441" s="23"/>
    </row>
    <row r="442" spans="1:10" ht="27.6" customHeight="1" x14ac:dyDescent="0.15">
      <c r="A442" s="21"/>
      <c r="B442" s="22"/>
      <c r="C442" s="64"/>
      <c r="D442" s="24"/>
      <c r="E442" s="23"/>
      <c r="F442" s="21"/>
      <c r="G442" s="22"/>
      <c r="H442" s="64"/>
      <c r="I442" s="22"/>
      <c r="J442" s="23"/>
    </row>
    <row r="443" spans="1:10" ht="33.6" customHeight="1" x14ac:dyDescent="0.15">
      <c r="A443" s="21"/>
      <c r="B443" s="22" t="s">
        <v>7567</v>
      </c>
      <c r="C443" s="64"/>
      <c r="D443" s="24"/>
      <c r="E443" s="23"/>
      <c r="F443" s="21"/>
      <c r="G443" s="22" t="s">
        <v>7570</v>
      </c>
      <c r="H443" s="61"/>
      <c r="I443" s="24"/>
      <c r="J443" s="23"/>
    </row>
    <row r="444" spans="1:10" x14ac:dyDescent="0.15">
      <c r="A444" s="25"/>
      <c r="B444" s="26"/>
      <c r="C444" s="67"/>
      <c r="D444" s="59"/>
      <c r="E444" s="27"/>
      <c r="F444" s="25"/>
      <c r="G444" s="26"/>
      <c r="H444" s="63"/>
      <c r="I444" s="26"/>
      <c r="J444" s="27"/>
    </row>
    <row r="445" spans="1:10" x14ac:dyDescent="0.15">
      <c r="A445" s="18"/>
      <c r="B445" s="19"/>
      <c r="C445" s="66"/>
      <c r="D445" s="58"/>
      <c r="E445" s="20"/>
      <c r="F445" s="18"/>
      <c r="G445" s="19"/>
      <c r="H445" s="60"/>
      <c r="I445" s="19"/>
      <c r="J445" s="20"/>
    </row>
    <row r="446" spans="1:10" ht="40.15" customHeight="1" x14ac:dyDescent="0.15">
      <c r="A446" s="21"/>
      <c r="B446" s="22"/>
      <c r="C446" s="64"/>
      <c r="D446" s="24"/>
      <c r="E446" s="23"/>
      <c r="F446" s="21"/>
      <c r="G446" s="28"/>
      <c r="H446" s="61"/>
      <c r="I446" s="22"/>
      <c r="J446" s="23"/>
    </row>
    <row r="447" spans="1:10" ht="60" customHeight="1" x14ac:dyDescent="0.55000000000000004">
      <c r="A447" s="21"/>
      <c r="B447" s="22"/>
      <c r="C447" s="70" t="s">
        <v>7572</v>
      </c>
      <c r="D447" s="24"/>
      <c r="E447" s="23"/>
      <c r="F447" s="21"/>
      <c r="G447" s="22"/>
      <c r="H447" s="70" t="s">
        <v>7575</v>
      </c>
      <c r="I447" s="22"/>
      <c r="J447" s="23"/>
    </row>
    <row r="448" spans="1:10" ht="27.6" customHeight="1" x14ac:dyDescent="0.15">
      <c r="A448" s="21"/>
      <c r="B448" s="22"/>
      <c r="C448" s="64"/>
      <c r="D448" s="24"/>
      <c r="E448" s="23"/>
      <c r="F448" s="21"/>
      <c r="G448" s="22"/>
      <c r="H448" s="64"/>
      <c r="I448" s="22"/>
      <c r="J448" s="23"/>
    </row>
    <row r="449" spans="1:10" ht="33.6" customHeight="1" x14ac:dyDescent="0.15">
      <c r="A449" s="21"/>
      <c r="B449" s="22" t="s">
        <v>7573</v>
      </c>
      <c r="C449" s="64"/>
      <c r="D449" s="24"/>
      <c r="E449" s="23"/>
      <c r="F449" s="21"/>
      <c r="G449" s="22" t="s">
        <v>7576</v>
      </c>
      <c r="H449" s="61"/>
      <c r="I449" s="24"/>
      <c r="J449" s="23"/>
    </row>
    <row r="450" spans="1:10" x14ac:dyDescent="0.15">
      <c r="A450" s="25"/>
      <c r="B450" s="26"/>
      <c r="C450" s="67"/>
      <c r="D450" s="59"/>
      <c r="E450" s="27"/>
      <c r="F450" s="25"/>
      <c r="G450" s="26"/>
      <c r="H450" s="63"/>
      <c r="I450" s="26"/>
      <c r="J450" s="27"/>
    </row>
    <row r="451" spans="1:10" x14ac:dyDescent="0.15">
      <c r="A451" s="18"/>
      <c r="B451" s="19"/>
      <c r="C451" s="66"/>
      <c r="D451" s="58"/>
      <c r="E451" s="20"/>
      <c r="F451" s="18"/>
      <c r="G451" s="19"/>
      <c r="H451" s="60"/>
      <c r="I451" s="19"/>
      <c r="J451" s="20"/>
    </row>
    <row r="452" spans="1:10" ht="40.15" customHeight="1" x14ac:dyDescent="0.15">
      <c r="A452" s="21"/>
      <c r="B452" s="22"/>
      <c r="C452" s="64"/>
      <c r="D452" s="24"/>
      <c r="E452" s="23"/>
      <c r="F452" s="21"/>
      <c r="G452" s="28"/>
      <c r="H452" s="61"/>
      <c r="I452" s="22"/>
      <c r="J452" s="23"/>
    </row>
    <row r="453" spans="1:10" ht="60" customHeight="1" x14ac:dyDescent="0.55000000000000004">
      <c r="A453" s="21"/>
      <c r="B453" s="22"/>
      <c r="C453" s="70" t="s">
        <v>7578</v>
      </c>
      <c r="D453" s="24"/>
      <c r="E453" s="23"/>
      <c r="F453" s="21"/>
      <c r="G453" s="22"/>
      <c r="H453" s="70" t="s">
        <v>7581</v>
      </c>
      <c r="I453" s="22"/>
      <c r="J453" s="23"/>
    </row>
    <row r="454" spans="1:10" ht="27.6" customHeight="1" x14ac:dyDescent="0.15">
      <c r="A454" s="21"/>
      <c r="B454" s="22"/>
      <c r="C454" s="64"/>
      <c r="D454" s="24"/>
      <c r="E454" s="23"/>
      <c r="F454" s="21"/>
      <c r="G454" s="22"/>
      <c r="H454" s="64"/>
      <c r="I454" s="22"/>
      <c r="J454" s="23"/>
    </row>
    <row r="455" spans="1:10" ht="33.6" customHeight="1" x14ac:dyDescent="0.15">
      <c r="A455" s="21"/>
      <c r="B455" s="22" t="s">
        <v>7579</v>
      </c>
      <c r="C455" s="64"/>
      <c r="D455" s="24"/>
      <c r="E455" s="23"/>
      <c r="F455" s="21"/>
      <c r="G455" s="22" t="s">
        <v>7582</v>
      </c>
      <c r="H455" s="61"/>
      <c r="I455" s="24"/>
      <c r="J455" s="23"/>
    </row>
    <row r="456" spans="1:10" x14ac:dyDescent="0.15">
      <c r="A456" s="25"/>
      <c r="B456" s="26"/>
      <c r="C456" s="67"/>
      <c r="D456" s="59"/>
      <c r="E456" s="27"/>
      <c r="F456" s="25"/>
      <c r="G456" s="26"/>
      <c r="H456" s="63"/>
      <c r="I456" s="26"/>
      <c r="J456" s="27"/>
    </row>
    <row r="457" spans="1:10" x14ac:dyDescent="0.15">
      <c r="A457" s="18"/>
      <c r="B457" s="19"/>
      <c r="C457" s="66"/>
      <c r="D457" s="58"/>
      <c r="E457" s="20"/>
      <c r="F457" s="18"/>
      <c r="G457" s="19"/>
      <c r="H457" s="60"/>
      <c r="I457" s="19"/>
      <c r="J457" s="20"/>
    </row>
    <row r="458" spans="1:10" ht="40.15" customHeight="1" x14ac:dyDescent="0.15">
      <c r="A458" s="21"/>
      <c r="B458" s="22"/>
      <c r="C458" s="64"/>
      <c r="D458" s="24"/>
      <c r="E458" s="23"/>
      <c r="F458" s="21"/>
      <c r="G458" s="28"/>
      <c r="H458" s="61"/>
      <c r="I458" s="22"/>
      <c r="J458" s="23"/>
    </row>
    <row r="459" spans="1:10" ht="60" customHeight="1" x14ac:dyDescent="0.55000000000000004">
      <c r="A459" s="21"/>
      <c r="B459" s="22"/>
      <c r="C459" s="70" t="s">
        <v>7584</v>
      </c>
      <c r="D459" s="24"/>
      <c r="E459" s="23"/>
      <c r="F459" s="21"/>
      <c r="G459" s="22"/>
      <c r="H459" s="70" t="s">
        <v>7587</v>
      </c>
      <c r="I459" s="22"/>
      <c r="J459" s="23"/>
    </row>
    <row r="460" spans="1:10" ht="27.6" customHeight="1" x14ac:dyDescent="0.15">
      <c r="A460" s="21"/>
      <c r="B460" s="22"/>
      <c r="C460" s="64"/>
      <c r="D460" s="24"/>
      <c r="E460" s="23"/>
      <c r="F460" s="21"/>
      <c r="G460" s="22"/>
      <c r="H460" s="64"/>
      <c r="I460" s="22"/>
      <c r="J460" s="23"/>
    </row>
    <row r="461" spans="1:10" ht="33.6" customHeight="1" x14ac:dyDescent="0.15">
      <c r="A461" s="21"/>
      <c r="B461" s="22" t="s">
        <v>7585</v>
      </c>
      <c r="C461" s="64"/>
      <c r="D461" s="24"/>
      <c r="E461" s="23"/>
      <c r="F461" s="21"/>
      <c r="G461" s="22" t="s">
        <v>7588</v>
      </c>
      <c r="H461" s="61"/>
      <c r="I461" s="24"/>
      <c r="J461" s="23"/>
    </row>
    <row r="462" spans="1:10" x14ac:dyDescent="0.15">
      <c r="A462" s="25"/>
      <c r="B462" s="26"/>
      <c r="C462" s="67"/>
      <c r="D462" s="59"/>
      <c r="E462" s="27"/>
      <c r="F462" s="25"/>
      <c r="G462" s="26"/>
      <c r="H462" s="63"/>
      <c r="I462" s="26"/>
      <c r="J462" s="27"/>
    </row>
    <row r="463" spans="1:10" x14ac:dyDescent="0.15">
      <c r="A463" s="18"/>
      <c r="B463" s="19"/>
      <c r="C463" s="66"/>
      <c r="D463" s="58"/>
      <c r="E463" s="20"/>
      <c r="F463" s="18"/>
      <c r="G463" s="19"/>
      <c r="H463" s="60"/>
      <c r="I463" s="19"/>
      <c r="J463" s="20"/>
    </row>
    <row r="464" spans="1:10" ht="40.15" customHeight="1" x14ac:dyDescent="0.15">
      <c r="A464" s="21"/>
      <c r="B464" s="22"/>
      <c r="C464" s="64"/>
      <c r="D464" s="24"/>
      <c r="E464" s="23"/>
      <c r="F464" s="21"/>
      <c r="G464" s="28"/>
      <c r="H464" s="61"/>
      <c r="I464" s="22"/>
      <c r="J464" s="23"/>
    </row>
    <row r="465" spans="1:10" ht="60" customHeight="1" x14ac:dyDescent="0.55000000000000004">
      <c r="A465" s="21"/>
      <c r="B465" s="22"/>
      <c r="C465" s="70" t="s">
        <v>7590</v>
      </c>
      <c r="D465" s="24"/>
      <c r="E465" s="23"/>
      <c r="F465" s="21"/>
      <c r="G465" s="22"/>
      <c r="H465" s="70" t="s">
        <v>697</v>
      </c>
      <c r="I465" s="22"/>
      <c r="J465" s="23"/>
    </row>
    <row r="466" spans="1:10" ht="27.6" customHeight="1" x14ac:dyDescent="0.15">
      <c r="A466" s="21"/>
      <c r="B466" s="22"/>
      <c r="C466" s="64"/>
      <c r="D466" s="24"/>
      <c r="E466" s="23"/>
      <c r="F466" s="21"/>
      <c r="G466" s="22"/>
      <c r="H466" s="64"/>
      <c r="I466" s="22"/>
      <c r="J466" s="23"/>
    </row>
    <row r="467" spans="1:10" ht="33.6" customHeight="1" x14ac:dyDescent="0.15">
      <c r="A467" s="21"/>
      <c r="B467" s="22" t="s">
        <v>7591</v>
      </c>
      <c r="C467" s="64"/>
      <c r="D467" s="24"/>
      <c r="E467" s="23"/>
      <c r="F467" s="21"/>
      <c r="G467" s="22" t="s">
        <v>7593</v>
      </c>
      <c r="H467" s="61"/>
      <c r="I467" s="24"/>
      <c r="J467" s="23"/>
    </row>
    <row r="468" spans="1:10" x14ac:dyDescent="0.15">
      <c r="A468" s="25"/>
      <c r="B468" s="26"/>
      <c r="C468" s="67"/>
      <c r="D468" s="59"/>
      <c r="E468" s="27"/>
      <c r="F468" s="25"/>
      <c r="G468" s="26"/>
      <c r="H468" s="63"/>
      <c r="I468" s="26"/>
      <c r="J468" s="27"/>
    </row>
    <row r="469" spans="1:10" x14ac:dyDescent="0.15">
      <c r="A469" s="18"/>
      <c r="B469" s="19"/>
      <c r="C469" s="66"/>
      <c r="D469" s="58"/>
      <c r="E469" s="20"/>
      <c r="F469" s="18"/>
      <c r="G469" s="19"/>
      <c r="H469" s="60"/>
      <c r="I469" s="19"/>
      <c r="J469" s="20"/>
    </row>
    <row r="470" spans="1:10" ht="40.15" customHeight="1" x14ac:dyDescent="0.15">
      <c r="A470" s="21"/>
      <c r="B470" s="28" t="s">
        <v>7363</v>
      </c>
      <c r="C470" s="64"/>
      <c r="D470" s="24"/>
      <c r="E470" s="23"/>
      <c r="F470" s="21"/>
      <c r="G470" s="28" t="s">
        <v>7363</v>
      </c>
      <c r="H470" s="61"/>
      <c r="I470" s="22"/>
      <c r="J470" s="23"/>
    </row>
    <row r="471" spans="1:10" ht="60" customHeight="1" x14ac:dyDescent="0.4">
      <c r="A471" s="21"/>
      <c r="B471" s="22"/>
      <c r="C471" s="62" t="s">
        <v>7565</v>
      </c>
      <c r="D471" s="24"/>
      <c r="E471" s="23"/>
      <c r="F471" s="21"/>
      <c r="G471" s="22"/>
      <c r="H471" s="62" t="s">
        <v>7562</v>
      </c>
      <c r="I471" s="22"/>
      <c r="J471" s="23"/>
    </row>
    <row r="472" spans="1:10" ht="27.6" customHeight="1" x14ac:dyDescent="0.3">
      <c r="A472" s="21"/>
      <c r="B472" s="22"/>
      <c r="C472" s="69" t="s">
        <v>157</v>
      </c>
      <c r="D472" s="24"/>
      <c r="E472" s="23"/>
      <c r="F472" s="21"/>
      <c r="G472" s="22"/>
      <c r="H472" s="69" t="s">
        <v>73</v>
      </c>
      <c r="I472" s="22"/>
      <c r="J472" s="23"/>
    </row>
    <row r="473" spans="1:10" ht="33.6" customHeight="1" x14ac:dyDescent="0.15">
      <c r="A473" s="21"/>
      <c r="B473" s="22"/>
      <c r="C473" s="64"/>
      <c r="D473" s="24" t="s">
        <v>7360</v>
      </c>
      <c r="E473" s="23"/>
      <c r="F473" s="21"/>
      <c r="G473" s="22"/>
      <c r="H473" s="61"/>
      <c r="I473" s="24" t="s">
        <v>7360</v>
      </c>
      <c r="J473" s="23"/>
    </row>
    <row r="474" spans="1:10" x14ac:dyDescent="0.15">
      <c r="A474" s="25"/>
      <c r="B474" s="26"/>
      <c r="C474" s="67"/>
      <c r="D474" s="59"/>
      <c r="E474" s="27"/>
      <c r="F474" s="25"/>
      <c r="G474" s="26"/>
      <c r="H474" s="63"/>
      <c r="I474" s="26"/>
      <c r="J474" s="27"/>
    </row>
    <row r="475" spans="1:10" x14ac:dyDescent="0.15">
      <c r="A475" s="18"/>
      <c r="B475" s="19"/>
      <c r="C475" s="66"/>
      <c r="D475" s="58"/>
      <c r="E475" s="20"/>
      <c r="F475" s="18"/>
      <c r="G475" s="19"/>
      <c r="H475" s="60"/>
      <c r="I475" s="19"/>
      <c r="J475" s="20"/>
    </row>
    <row r="476" spans="1:10" ht="40.15" customHeight="1" x14ac:dyDescent="0.15">
      <c r="A476" s="21"/>
      <c r="B476" s="28" t="s">
        <v>7363</v>
      </c>
      <c r="C476" s="64"/>
      <c r="D476" s="24"/>
      <c r="E476" s="23"/>
      <c r="F476" s="21"/>
      <c r="G476" s="28" t="s">
        <v>7363</v>
      </c>
      <c r="H476" s="61"/>
      <c r="I476" s="22"/>
      <c r="J476" s="23"/>
    </row>
    <row r="477" spans="1:10" ht="60" customHeight="1" x14ac:dyDescent="0.4">
      <c r="A477" s="21"/>
      <c r="B477" s="22"/>
      <c r="C477" s="62" t="s">
        <v>7571</v>
      </c>
      <c r="D477" s="24"/>
      <c r="E477" s="23"/>
      <c r="F477" s="21"/>
      <c r="G477" s="22"/>
      <c r="H477" s="62" t="s">
        <v>7568</v>
      </c>
      <c r="I477" s="22"/>
      <c r="J477" s="23"/>
    </row>
    <row r="478" spans="1:10" ht="27.6" customHeight="1" x14ac:dyDescent="0.3">
      <c r="A478" s="21"/>
      <c r="B478" s="22"/>
      <c r="C478" s="69" t="s">
        <v>36</v>
      </c>
      <c r="D478" s="24"/>
      <c r="E478" s="23"/>
      <c r="F478" s="21"/>
      <c r="G478" s="22"/>
      <c r="H478" s="69" t="s">
        <v>36</v>
      </c>
      <c r="I478" s="22"/>
      <c r="J478" s="23"/>
    </row>
    <row r="479" spans="1:10" ht="33.6" customHeight="1" x14ac:dyDescent="0.15">
      <c r="A479" s="21"/>
      <c r="B479" s="22"/>
      <c r="C479" s="64"/>
      <c r="D479" s="24" t="s">
        <v>7360</v>
      </c>
      <c r="E479" s="23"/>
      <c r="F479" s="21"/>
      <c r="G479" s="22"/>
      <c r="H479" s="61"/>
      <c r="I479" s="24" t="s">
        <v>7360</v>
      </c>
      <c r="J479" s="23"/>
    </row>
    <row r="480" spans="1:10" x14ac:dyDescent="0.15">
      <c r="A480" s="25"/>
      <c r="B480" s="26"/>
      <c r="C480" s="67"/>
      <c r="D480" s="59"/>
      <c r="E480" s="27"/>
      <c r="F480" s="25"/>
      <c r="G480" s="26"/>
      <c r="H480" s="63"/>
      <c r="I480" s="26"/>
      <c r="J480" s="27"/>
    </row>
    <row r="481" spans="1:10" x14ac:dyDescent="0.15">
      <c r="A481" s="18"/>
      <c r="B481" s="19"/>
      <c r="C481" s="66"/>
      <c r="D481" s="58"/>
      <c r="E481" s="20"/>
      <c r="F481" s="18"/>
      <c r="G481" s="19"/>
      <c r="H481" s="60"/>
      <c r="I481" s="19"/>
      <c r="J481" s="20"/>
    </row>
    <row r="482" spans="1:10" ht="40.15" customHeight="1" x14ac:dyDescent="0.15">
      <c r="A482" s="21"/>
      <c r="B482" s="28" t="s">
        <v>7363</v>
      </c>
      <c r="C482" s="64"/>
      <c r="D482" s="24"/>
      <c r="E482" s="23"/>
      <c r="F482" s="21"/>
      <c r="G482" s="28" t="s">
        <v>7363</v>
      </c>
      <c r="H482" s="61"/>
      <c r="I482" s="22"/>
      <c r="J482" s="23"/>
    </row>
    <row r="483" spans="1:10" ht="60" customHeight="1" x14ac:dyDescent="0.4">
      <c r="A483" s="21"/>
      <c r="B483" s="22"/>
      <c r="C483" s="62" t="s">
        <v>7577</v>
      </c>
      <c r="D483" s="24"/>
      <c r="E483" s="23"/>
      <c r="F483" s="21"/>
      <c r="G483" s="22"/>
      <c r="H483" s="62" t="s">
        <v>7574</v>
      </c>
      <c r="I483" s="22"/>
      <c r="J483" s="23"/>
    </row>
    <row r="484" spans="1:10" ht="27.6" customHeight="1" x14ac:dyDescent="0.3">
      <c r="A484" s="21"/>
      <c r="B484" s="22"/>
      <c r="C484" s="69" t="s">
        <v>36</v>
      </c>
      <c r="D484" s="24"/>
      <c r="E484" s="23"/>
      <c r="F484" s="21"/>
      <c r="G484" s="22"/>
      <c r="H484" s="69" t="s">
        <v>73</v>
      </c>
      <c r="I484" s="22"/>
      <c r="J484" s="23"/>
    </row>
    <row r="485" spans="1:10" ht="33.6" customHeight="1" x14ac:dyDescent="0.15">
      <c r="A485" s="21"/>
      <c r="B485" s="22"/>
      <c r="C485" s="64"/>
      <c r="D485" s="24" t="s">
        <v>7360</v>
      </c>
      <c r="E485" s="23"/>
      <c r="F485" s="21"/>
      <c r="G485" s="22"/>
      <c r="H485" s="61"/>
      <c r="I485" s="24" t="s">
        <v>7360</v>
      </c>
      <c r="J485" s="23"/>
    </row>
    <row r="486" spans="1:10" x14ac:dyDescent="0.15">
      <c r="A486" s="25"/>
      <c r="B486" s="26"/>
      <c r="C486" s="67"/>
      <c r="D486" s="59"/>
      <c r="E486" s="27"/>
      <c r="F486" s="25"/>
      <c r="G486" s="26"/>
      <c r="H486" s="63"/>
      <c r="I486" s="26"/>
      <c r="J486" s="27"/>
    </row>
    <row r="487" spans="1:10" x14ac:dyDescent="0.15">
      <c r="A487" s="18"/>
      <c r="B487" s="19"/>
      <c r="C487" s="66"/>
      <c r="D487" s="58"/>
      <c r="E487" s="20"/>
      <c r="F487" s="18"/>
      <c r="G487" s="19"/>
      <c r="H487" s="60"/>
      <c r="I487" s="19"/>
      <c r="J487" s="20"/>
    </row>
    <row r="488" spans="1:10" ht="40.15" customHeight="1" x14ac:dyDescent="0.15">
      <c r="A488" s="21"/>
      <c r="B488" s="28" t="s">
        <v>7363</v>
      </c>
      <c r="C488" s="64"/>
      <c r="D488" s="24"/>
      <c r="E488" s="23"/>
      <c r="F488" s="21"/>
      <c r="G488" s="28" t="s">
        <v>7363</v>
      </c>
      <c r="H488" s="61"/>
      <c r="I488" s="22"/>
      <c r="J488" s="23"/>
    </row>
    <row r="489" spans="1:10" ht="60" customHeight="1" x14ac:dyDescent="0.4">
      <c r="A489" s="21"/>
      <c r="B489" s="22"/>
      <c r="C489" s="62" t="s">
        <v>7583</v>
      </c>
      <c r="D489" s="24"/>
      <c r="E489" s="23"/>
      <c r="F489" s="21"/>
      <c r="G489" s="22"/>
      <c r="H489" s="62" t="s">
        <v>7580</v>
      </c>
      <c r="I489" s="22"/>
      <c r="J489" s="23"/>
    </row>
    <row r="490" spans="1:10" ht="27.6" customHeight="1" x14ac:dyDescent="0.3">
      <c r="A490" s="21"/>
      <c r="B490" s="22"/>
      <c r="C490" s="69" t="s">
        <v>73</v>
      </c>
      <c r="D490" s="24"/>
      <c r="E490" s="23"/>
      <c r="F490" s="21"/>
      <c r="G490" s="22"/>
      <c r="H490" s="69" t="s">
        <v>61</v>
      </c>
      <c r="I490" s="22"/>
      <c r="J490" s="23"/>
    </row>
    <row r="491" spans="1:10" ht="33.6" customHeight="1" x14ac:dyDescent="0.15">
      <c r="A491" s="21"/>
      <c r="B491" s="22"/>
      <c r="C491" s="64"/>
      <c r="D491" s="24" t="s">
        <v>7360</v>
      </c>
      <c r="E491" s="23"/>
      <c r="F491" s="21"/>
      <c r="G491" s="22"/>
      <c r="H491" s="61"/>
      <c r="I491" s="24" t="s">
        <v>7360</v>
      </c>
      <c r="J491" s="23"/>
    </row>
    <row r="492" spans="1:10" x14ac:dyDescent="0.15">
      <c r="A492" s="25"/>
      <c r="B492" s="26"/>
      <c r="C492" s="67"/>
      <c r="D492" s="59"/>
      <c r="E492" s="27"/>
      <c r="F492" s="25"/>
      <c r="G492" s="26"/>
      <c r="H492" s="63"/>
      <c r="I492" s="26"/>
      <c r="J492" s="27"/>
    </row>
    <row r="493" spans="1:10" x14ac:dyDescent="0.15">
      <c r="A493" s="18"/>
      <c r="B493" s="19"/>
      <c r="C493" s="66"/>
      <c r="D493" s="58"/>
      <c r="E493" s="20"/>
      <c r="F493" s="18"/>
      <c r="G493" s="19"/>
      <c r="H493" s="60"/>
      <c r="I493" s="19"/>
      <c r="J493" s="20"/>
    </row>
    <row r="494" spans="1:10" ht="40.15" customHeight="1" x14ac:dyDescent="0.15">
      <c r="A494" s="21"/>
      <c r="B494" s="28" t="s">
        <v>7363</v>
      </c>
      <c r="C494" s="64"/>
      <c r="D494" s="24"/>
      <c r="E494" s="23"/>
      <c r="F494" s="21"/>
      <c r="G494" s="28" t="s">
        <v>7363</v>
      </c>
      <c r="H494" s="61"/>
      <c r="I494" s="22"/>
      <c r="J494" s="23"/>
    </row>
    <row r="495" spans="1:10" ht="60" customHeight="1" x14ac:dyDescent="0.4">
      <c r="A495" s="21"/>
      <c r="B495" s="22"/>
      <c r="C495" s="62" t="s">
        <v>7589</v>
      </c>
      <c r="D495" s="24"/>
      <c r="E495" s="23"/>
      <c r="F495" s="21"/>
      <c r="G495" s="22"/>
      <c r="H495" s="62" t="s">
        <v>7586</v>
      </c>
      <c r="I495" s="22"/>
      <c r="J495" s="23"/>
    </row>
    <row r="496" spans="1:10" ht="27.6" customHeight="1" x14ac:dyDescent="0.3">
      <c r="A496" s="21"/>
      <c r="B496" s="22"/>
      <c r="C496" s="69" t="s">
        <v>36</v>
      </c>
      <c r="D496" s="24"/>
      <c r="E496" s="23"/>
      <c r="F496" s="21"/>
      <c r="G496" s="22"/>
      <c r="H496" s="69" t="s">
        <v>73</v>
      </c>
      <c r="I496" s="22"/>
      <c r="J496" s="23"/>
    </row>
    <row r="497" spans="1:10" ht="33.6" customHeight="1" x14ac:dyDescent="0.15">
      <c r="A497" s="21"/>
      <c r="B497" s="22"/>
      <c r="C497" s="64"/>
      <c r="D497" s="24" t="s">
        <v>7360</v>
      </c>
      <c r="E497" s="23"/>
      <c r="F497" s="21"/>
      <c r="G497" s="22"/>
      <c r="H497" s="61"/>
      <c r="I497" s="24" t="s">
        <v>7360</v>
      </c>
      <c r="J497" s="23"/>
    </row>
    <row r="498" spans="1:10" x14ac:dyDescent="0.15">
      <c r="A498" s="25"/>
      <c r="B498" s="26"/>
      <c r="C498" s="67"/>
      <c r="D498" s="59"/>
      <c r="E498" s="27"/>
      <c r="F498" s="25"/>
      <c r="G498" s="26"/>
      <c r="H498" s="63"/>
      <c r="I498" s="26"/>
      <c r="J498" s="27"/>
    </row>
    <row r="499" spans="1:10" x14ac:dyDescent="0.15">
      <c r="A499" s="18"/>
      <c r="B499" s="19"/>
      <c r="C499" s="66"/>
      <c r="D499" s="58"/>
      <c r="E499" s="20"/>
      <c r="F499" s="18"/>
      <c r="G499" s="19"/>
      <c r="H499" s="60"/>
      <c r="I499" s="19"/>
      <c r="J499" s="20"/>
    </row>
    <row r="500" spans="1:10" ht="40.15" customHeight="1" x14ac:dyDescent="0.15">
      <c r="A500" s="21"/>
      <c r="B500" s="28" t="s">
        <v>7363</v>
      </c>
      <c r="C500" s="64"/>
      <c r="D500" s="24"/>
      <c r="E500" s="23"/>
      <c r="F500" s="21"/>
      <c r="G500" s="28" t="s">
        <v>7363</v>
      </c>
      <c r="H500" s="61"/>
      <c r="I500" s="22"/>
      <c r="J500" s="23"/>
    </row>
    <row r="501" spans="1:10" ht="60" customHeight="1" x14ac:dyDescent="0.4">
      <c r="A501" s="21"/>
      <c r="B501" s="22"/>
      <c r="C501" s="62" t="s">
        <v>7594</v>
      </c>
      <c r="D501" s="24"/>
      <c r="E501" s="23"/>
      <c r="F501" s="21"/>
      <c r="G501" s="22"/>
      <c r="H501" s="62" t="s">
        <v>7592</v>
      </c>
      <c r="I501" s="22"/>
      <c r="J501" s="23"/>
    </row>
    <row r="502" spans="1:10" ht="27.6" customHeight="1" x14ac:dyDescent="0.3">
      <c r="A502" s="21"/>
      <c r="B502" s="22"/>
      <c r="C502" s="69" t="s">
        <v>61</v>
      </c>
      <c r="D502" s="24"/>
      <c r="E502" s="23"/>
      <c r="F502" s="21"/>
      <c r="G502" s="22"/>
      <c r="H502" s="69" t="s">
        <v>157</v>
      </c>
      <c r="I502" s="22"/>
      <c r="J502" s="23"/>
    </row>
    <row r="503" spans="1:10" ht="33.6" customHeight="1" x14ac:dyDescent="0.15">
      <c r="A503" s="21"/>
      <c r="B503" s="22"/>
      <c r="C503" s="64"/>
      <c r="D503" s="24" t="s">
        <v>7360</v>
      </c>
      <c r="E503" s="23"/>
      <c r="F503" s="21"/>
      <c r="G503" s="22"/>
      <c r="H503" s="61"/>
      <c r="I503" s="24" t="s">
        <v>7360</v>
      </c>
      <c r="J503" s="23"/>
    </row>
    <row r="504" spans="1:10" x14ac:dyDescent="0.15">
      <c r="A504" s="25"/>
      <c r="B504" s="26"/>
      <c r="C504" s="67"/>
      <c r="D504" s="59"/>
      <c r="E504" s="27"/>
      <c r="F504" s="25"/>
      <c r="G504" s="26"/>
      <c r="H504" s="63"/>
      <c r="I504" s="26"/>
      <c r="J504" s="27"/>
    </row>
    <row r="505" spans="1:10" x14ac:dyDescent="0.15">
      <c r="A505" s="18"/>
      <c r="B505" s="19"/>
      <c r="C505" s="66"/>
      <c r="D505" s="58"/>
      <c r="E505" s="20"/>
      <c r="F505" s="18"/>
      <c r="G505" s="19"/>
      <c r="H505" s="60"/>
      <c r="I505" s="19"/>
      <c r="J505" s="20"/>
    </row>
    <row r="506" spans="1:10" ht="40.15" customHeight="1" x14ac:dyDescent="0.15">
      <c r="A506" s="21"/>
      <c r="B506" s="22"/>
      <c r="C506" s="64"/>
      <c r="D506" s="24"/>
      <c r="E506" s="23"/>
      <c r="F506" s="21"/>
      <c r="G506" s="28"/>
      <c r="H506" s="61"/>
      <c r="I506" s="22"/>
      <c r="J506" s="23"/>
    </row>
    <row r="507" spans="1:10" ht="60" customHeight="1" x14ac:dyDescent="0.55000000000000004">
      <c r="A507" s="21"/>
      <c r="B507" s="22"/>
      <c r="C507" s="70" t="s">
        <v>7595</v>
      </c>
      <c r="D507" s="24"/>
      <c r="E507" s="23"/>
      <c r="F507" s="21"/>
      <c r="G507" s="22"/>
      <c r="H507" s="70" t="s">
        <v>2071</v>
      </c>
      <c r="I507" s="22"/>
      <c r="J507" s="23"/>
    </row>
    <row r="508" spans="1:10" ht="27.6" customHeight="1" x14ac:dyDescent="0.15">
      <c r="A508" s="21"/>
      <c r="B508" s="22"/>
      <c r="C508" s="64"/>
      <c r="D508" s="24"/>
      <c r="E508" s="23"/>
      <c r="F508" s="21"/>
      <c r="G508" s="22"/>
      <c r="H508" s="64"/>
      <c r="I508" s="22"/>
      <c r="J508" s="23"/>
    </row>
    <row r="509" spans="1:10" ht="33.6" customHeight="1" x14ac:dyDescent="0.15">
      <c r="A509" s="21"/>
      <c r="B509" s="22" t="s">
        <v>7596</v>
      </c>
      <c r="C509" s="64"/>
      <c r="D509" s="24"/>
      <c r="E509" s="23"/>
      <c r="F509" s="21"/>
      <c r="G509" s="22" t="s">
        <v>7598</v>
      </c>
      <c r="H509" s="61"/>
      <c r="I509" s="24"/>
      <c r="J509" s="23"/>
    </row>
    <row r="510" spans="1:10" x14ac:dyDescent="0.15">
      <c r="A510" s="25"/>
      <c r="B510" s="26"/>
      <c r="C510" s="67"/>
      <c r="D510" s="59"/>
      <c r="E510" s="27"/>
      <c r="F510" s="25"/>
      <c r="G510" s="26"/>
      <c r="H510" s="63"/>
      <c r="I510" s="26"/>
      <c r="J510" s="27"/>
    </row>
    <row r="511" spans="1:10" x14ac:dyDescent="0.15">
      <c r="A511" s="18"/>
      <c r="B511" s="19"/>
      <c r="C511" s="66"/>
      <c r="D511" s="58"/>
      <c r="E511" s="20"/>
      <c r="F511" s="18"/>
      <c r="G511" s="19"/>
      <c r="H511" s="60"/>
      <c r="I511" s="19"/>
      <c r="J511" s="20"/>
    </row>
    <row r="512" spans="1:10" ht="40.15" customHeight="1" x14ac:dyDescent="0.15">
      <c r="A512" s="21"/>
      <c r="B512" s="22"/>
      <c r="C512" s="64"/>
      <c r="D512" s="24"/>
      <c r="E512" s="23"/>
      <c r="F512" s="21"/>
      <c r="G512" s="28"/>
      <c r="H512" s="61"/>
      <c r="I512" s="22"/>
      <c r="J512" s="23"/>
    </row>
    <row r="513" spans="1:10" ht="60" customHeight="1" x14ac:dyDescent="0.55000000000000004">
      <c r="A513" s="21"/>
      <c r="B513" s="22"/>
      <c r="C513" s="70" t="s">
        <v>7600</v>
      </c>
      <c r="D513" s="24"/>
      <c r="E513" s="23"/>
      <c r="F513" s="21"/>
      <c r="G513" s="22"/>
      <c r="H513" s="70" t="s">
        <v>7603</v>
      </c>
      <c r="I513" s="22"/>
      <c r="J513" s="23"/>
    </row>
    <row r="514" spans="1:10" ht="27.6" customHeight="1" x14ac:dyDescent="0.15">
      <c r="A514" s="21"/>
      <c r="B514" s="22"/>
      <c r="C514" s="64"/>
      <c r="D514" s="24"/>
      <c r="E514" s="23"/>
      <c r="F514" s="21"/>
      <c r="G514" s="22"/>
      <c r="H514" s="64"/>
      <c r="I514" s="22"/>
      <c r="J514" s="23"/>
    </row>
    <row r="515" spans="1:10" ht="33.6" customHeight="1" x14ac:dyDescent="0.15">
      <c r="A515" s="21"/>
      <c r="B515" s="22" t="s">
        <v>7601</v>
      </c>
      <c r="C515" s="64"/>
      <c r="D515" s="24"/>
      <c r="E515" s="23"/>
      <c r="F515" s="21"/>
      <c r="G515" s="22" t="s">
        <v>7604</v>
      </c>
      <c r="H515" s="61"/>
      <c r="I515" s="24"/>
      <c r="J515" s="23"/>
    </row>
    <row r="516" spans="1:10" x14ac:dyDescent="0.15">
      <c r="A516" s="25"/>
      <c r="B516" s="26"/>
      <c r="C516" s="67"/>
      <c r="D516" s="59"/>
      <c r="E516" s="27"/>
      <c r="F516" s="25"/>
      <c r="G516" s="26"/>
      <c r="H516" s="63"/>
      <c r="I516" s="26"/>
      <c r="J516" s="27"/>
    </row>
    <row r="517" spans="1:10" x14ac:dyDescent="0.15">
      <c r="A517" s="18"/>
      <c r="B517" s="19"/>
      <c r="C517" s="66"/>
      <c r="D517" s="58"/>
      <c r="E517" s="20"/>
      <c r="F517" s="18"/>
      <c r="G517" s="19"/>
      <c r="H517" s="60"/>
      <c r="I517" s="19"/>
      <c r="J517" s="20"/>
    </row>
    <row r="518" spans="1:10" ht="40.15" customHeight="1" x14ac:dyDescent="0.15">
      <c r="A518" s="21"/>
      <c r="B518" s="22"/>
      <c r="C518" s="64"/>
      <c r="D518" s="24"/>
      <c r="E518" s="23"/>
      <c r="F518" s="21"/>
      <c r="G518" s="28"/>
      <c r="H518" s="61"/>
      <c r="I518" s="22"/>
      <c r="J518" s="23"/>
    </row>
    <row r="519" spans="1:10" ht="60" customHeight="1" x14ac:dyDescent="0.55000000000000004">
      <c r="A519" s="21"/>
      <c r="B519" s="22"/>
      <c r="C519" s="70" t="s">
        <v>642</v>
      </c>
      <c r="D519" s="24"/>
      <c r="E519" s="23"/>
      <c r="F519" s="21"/>
      <c r="G519" s="22"/>
      <c r="H519" s="70" t="s">
        <v>4457</v>
      </c>
      <c r="I519" s="22"/>
      <c r="J519" s="23"/>
    </row>
    <row r="520" spans="1:10" ht="27.6" customHeight="1" x14ac:dyDescent="0.15">
      <c r="A520" s="21"/>
      <c r="B520" s="22"/>
      <c r="C520" s="64"/>
      <c r="D520" s="24"/>
      <c r="E520" s="23"/>
      <c r="F520" s="21"/>
      <c r="G520" s="22"/>
      <c r="H520" s="64"/>
      <c r="I520" s="22"/>
      <c r="J520" s="23"/>
    </row>
    <row r="521" spans="1:10" ht="33.6" customHeight="1" x14ac:dyDescent="0.15">
      <c r="A521" s="21"/>
      <c r="B521" s="22" t="s">
        <v>7606</v>
      </c>
      <c r="C521" s="64"/>
      <c r="D521" s="24"/>
      <c r="E521" s="23"/>
      <c r="F521" s="21"/>
      <c r="G521" s="22" t="s">
        <v>7607</v>
      </c>
      <c r="H521" s="61"/>
      <c r="I521" s="24"/>
      <c r="J521" s="23"/>
    </row>
    <row r="522" spans="1:10" x14ac:dyDescent="0.15">
      <c r="A522" s="25"/>
      <c r="B522" s="26"/>
      <c r="C522" s="67"/>
      <c r="D522" s="59"/>
      <c r="E522" s="27"/>
      <c r="F522" s="25"/>
      <c r="G522" s="26"/>
      <c r="H522" s="63"/>
      <c r="I522" s="26"/>
      <c r="J522" s="27"/>
    </row>
    <row r="523" spans="1:10" x14ac:dyDescent="0.15">
      <c r="A523" s="18"/>
      <c r="B523" s="19"/>
      <c r="C523" s="66"/>
      <c r="D523" s="58"/>
      <c r="E523" s="20"/>
      <c r="F523" s="18"/>
      <c r="G523" s="19"/>
      <c r="H523" s="60"/>
      <c r="I523" s="19"/>
      <c r="J523" s="20"/>
    </row>
    <row r="524" spans="1:10" ht="40.15" customHeight="1" x14ac:dyDescent="0.15">
      <c r="A524" s="21"/>
      <c r="B524" s="22"/>
      <c r="C524" s="64"/>
      <c r="D524" s="24"/>
      <c r="E524" s="23"/>
      <c r="F524" s="21"/>
      <c r="G524" s="28"/>
      <c r="H524" s="61"/>
      <c r="I524" s="22"/>
      <c r="J524" s="23"/>
    </row>
    <row r="525" spans="1:10" ht="60" customHeight="1" x14ac:dyDescent="0.55000000000000004">
      <c r="A525" s="21"/>
      <c r="B525" s="22"/>
      <c r="C525" s="70" t="s">
        <v>7609</v>
      </c>
      <c r="D525" s="24"/>
      <c r="E525" s="23"/>
      <c r="F525" s="21"/>
      <c r="G525" s="22"/>
      <c r="H525" s="70" t="s">
        <v>7611</v>
      </c>
      <c r="I525" s="22"/>
      <c r="J525" s="23"/>
    </row>
    <row r="526" spans="1:10" ht="27.6" customHeight="1" x14ac:dyDescent="0.15">
      <c r="A526" s="21"/>
      <c r="B526" s="22"/>
      <c r="C526" s="64"/>
      <c r="D526" s="24"/>
      <c r="E526" s="23"/>
      <c r="F526" s="21"/>
      <c r="G526" s="22"/>
      <c r="H526" s="64"/>
      <c r="I526" s="22"/>
      <c r="J526" s="23"/>
    </row>
    <row r="527" spans="1:10" ht="33.6" customHeight="1" x14ac:dyDescent="0.15">
      <c r="A527" s="21"/>
      <c r="B527" s="22" t="s">
        <v>7610</v>
      </c>
      <c r="C527" s="64"/>
      <c r="D527" s="24"/>
      <c r="E527" s="23"/>
      <c r="F527" s="21"/>
      <c r="G527" s="22" t="s">
        <v>7612</v>
      </c>
      <c r="H527" s="61"/>
      <c r="I527" s="24"/>
      <c r="J527" s="23"/>
    </row>
    <row r="528" spans="1:10" x14ac:dyDescent="0.15">
      <c r="A528" s="25"/>
      <c r="B528" s="26"/>
      <c r="C528" s="67"/>
      <c r="D528" s="59"/>
      <c r="E528" s="27"/>
      <c r="F528" s="25"/>
      <c r="G528" s="26"/>
      <c r="H528" s="63"/>
      <c r="I528" s="26"/>
      <c r="J528" s="27"/>
    </row>
    <row r="529" spans="1:10" x14ac:dyDescent="0.15">
      <c r="A529" s="18"/>
      <c r="B529" s="19"/>
      <c r="C529" s="66"/>
      <c r="D529" s="58"/>
      <c r="E529" s="20"/>
      <c r="F529" s="18"/>
      <c r="G529" s="19"/>
      <c r="H529" s="60"/>
      <c r="I529" s="19"/>
      <c r="J529" s="20"/>
    </row>
    <row r="530" spans="1:10" ht="40.15" customHeight="1" x14ac:dyDescent="0.15">
      <c r="A530" s="21"/>
      <c r="B530" s="22"/>
      <c r="C530" s="64"/>
      <c r="D530" s="24"/>
      <c r="E530" s="23"/>
      <c r="F530" s="21"/>
      <c r="G530" s="28"/>
      <c r="H530" s="61"/>
      <c r="I530" s="22"/>
      <c r="J530" s="23"/>
    </row>
    <row r="531" spans="1:10" ht="60" customHeight="1" x14ac:dyDescent="0.55000000000000004">
      <c r="A531" s="21"/>
      <c r="B531" s="22"/>
      <c r="C531" s="70" t="s">
        <v>3442</v>
      </c>
      <c r="D531" s="24"/>
      <c r="E531" s="23"/>
      <c r="F531" s="21"/>
      <c r="G531" s="22"/>
      <c r="H531" s="70" t="s">
        <v>4574</v>
      </c>
      <c r="I531" s="22"/>
      <c r="J531" s="23"/>
    </row>
    <row r="532" spans="1:10" ht="27.6" customHeight="1" x14ac:dyDescent="0.15">
      <c r="A532" s="21"/>
      <c r="B532" s="22"/>
      <c r="C532" s="64"/>
      <c r="D532" s="24"/>
      <c r="E532" s="23"/>
      <c r="F532" s="21"/>
      <c r="G532" s="22"/>
      <c r="H532" s="64"/>
      <c r="I532" s="22"/>
      <c r="J532" s="23"/>
    </row>
    <row r="533" spans="1:10" ht="33.6" customHeight="1" x14ac:dyDescent="0.15">
      <c r="A533" s="21"/>
      <c r="B533" s="22" t="s">
        <v>7614</v>
      </c>
      <c r="C533" s="64"/>
      <c r="D533" s="24"/>
      <c r="E533" s="23"/>
      <c r="F533" s="21"/>
      <c r="G533" s="22" t="s">
        <v>7616</v>
      </c>
      <c r="H533" s="61"/>
      <c r="I533" s="24"/>
      <c r="J533" s="23"/>
    </row>
    <row r="534" spans="1:10" x14ac:dyDescent="0.15">
      <c r="A534" s="25"/>
      <c r="B534" s="26"/>
      <c r="C534" s="67"/>
      <c r="D534" s="59"/>
      <c r="E534" s="27"/>
      <c r="F534" s="25"/>
      <c r="G534" s="26"/>
      <c r="H534" s="63"/>
      <c r="I534" s="26"/>
      <c r="J534" s="27"/>
    </row>
    <row r="535" spans="1:10" x14ac:dyDescent="0.15">
      <c r="A535" s="18"/>
      <c r="B535" s="19"/>
      <c r="C535" s="66"/>
      <c r="D535" s="58"/>
      <c r="E535" s="20"/>
      <c r="F535" s="18"/>
      <c r="G535" s="19"/>
      <c r="H535" s="60"/>
      <c r="I535" s="19"/>
      <c r="J535" s="20"/>
    </row>
    <row r="536" spans="1:10" ht="40.15" customHeight="1" x14ac:dyDescent="0.15">
      <c r="A536" s="21"/>
      <c r="B536" s="22"/>
      <c r="C536" s="64"/>
      <c r="D536" s="24"/>
      <c r="E536" s="23"/>
      <c r="F536" s="21"/>
      <c r="G536" s="28"/>
      <c r="H536" s="61"/>
      <c r="I536" s="22"/>
      <c r="J536" s="23"/>
    </row>
    <row r="537" spans="1:10" ht="60" customHeight="1" x14ac:dyDescent="0.55000000000000004">
      <c r="A537" s="21"/>
      <c r="B537" s="22"/>
      <c r="C537" s="70" t="s">
        <v>7618</v>
      </c>
      <c r="D537" s="24"/>
      <c r="E537" s="23"/>
      <c r="F537" s="21"/>
      <c r="G537" s="22"/>
      <c r="H537" s="70" t="s">
        <v>7621</v>
      </c>
      <c r="I537" s="22"/>
      <c r="J537" s="23"/>
    </row>
    <row r="538" spans="1:10" ht="27.6" customHeight="1" x14ac:dyDescent="0.15">
      <c r="A538" s="21"/>
      <c r="B538" s="22"/>
      <c r="C538" s="64"/>
      <c r="D538" s="24"/>
      <c r="E538" s="23"/>
      <c r="F538" s="21"/>
      <c r="G538" s="22"/>
      <c r="H538" s="64"/>
      <c r="I538" s="22"/>
      <c r="J538" s="23"/>
    </row>
    <row r="539" spans="1:10" ht="33.6" customHeight="1" x14ac:dyDescent="0.15">
      <c r="A539" s="21"/>
      <c r="B539" s="22" t="s">
        <v>7619</v>
      </c>
      <c r="C539" s="64"/>
      <c r="D539" s="24"/>
      <c r="E539" s="23"/>
      <c r="F539" s="21"/>
      <c r="G539" s="22" t="s">
        <v>7622</v>
      </c>
      <c r="H539" s="61"/>
      <c r="I539" s="24"/>
      <c r="J539" s="23"/>
    </row>
    <row r="540" spans="1:10" x14ac:dyDescent="0.15">
      <c r="A540" s="25"/>
      <c r="B540" s="26"/>
      <c r="C540" s="67"/>
      <c r="D540" s="59"/>
      <c r="E540" s="27"/>
      <c r="F540" s="25"/>
      <c r="G540" s="26"/>
      <c r="H540" s="63"/>
      <c r="I540" s="26"/>
      <c r="J540" s="27"/>
    </row>
    <row r="541" spans="1:10" x14ac:dyDescent="0.15">
      <c r="A541" s="18"/>
      <c r="B541" s="19"/>
      <c r="C541" s="66"/>
      <c r="D541" s="58"/>
      <c r="E541" s="20"/>
      <c r="F541" s="18"/>
      <c r="G541" s="19"/>
      <c r="H541" s="60"/>
      <c r="I541" s="19"/>
      <c r="J541" s="20"/>
    </row>
    <row r="542" spans="1:10" ht="40.15" customHeight="1" x14ac:dyDescent="0.15">
      <c r="A542" s="21"/>
      <c r="B542" s="28" t="s">
        <v>7363</v>
      </c>
      <c r="C542" s="64"/>
      <c r="D542" s="24"/>
      <c r="E542" s="23"/>
      <c r="F542" s="21"/>
      <c r="G542" s="28" t="s">
        <v>7363</v>
      </c>
      <c r="H542" s="61"/>
      <c r="I542" s="22"/>
      <c r="J542" s="23"/>
    </row>
    <row r="543" spans="1:10" ht="60" customHeight="1" x14ac:dyDescent="0.4">
      <c r="A543" s="21"/>
      <c r="B543" s="22"/>
      <c r="C543" s="62" t="s">
        <v>7599</v>
      </c>
      <c r="D543" s="24"/>
      <c r="E543" s="23"/>
      <c r="F543" s="21"/>
      <c r="G543" s="22"/>
      <c r="H543" s="62" t="s">
        <v>7597</v>
      </c>
      <c r="I543" s="22"/>
      <c r="J543" s="23"/>
    </row>
    <row r="544" spans="1:10" ht="27.6" customHeight="1" x14ac:dyDescent="0.3">
      <c r="A544" s="21"/>
      <c r="B544" s="22"/>
      <c r="C544" s="69" t="s">
        <v>61</v>
      </c>
      <c r="D544" s="24"/>
      <c r="E544" s="23"/>
      <c r="F544" s="21"/>
      <c r="G544" s="22"/>
      <c r="H544" s="69" t="s">
        <v>61</v>
      </c>
      <c r="I544" s="22"/>
      <c r="J544" s="23"/>
    </row>
    <row r="545" spans="1:10" ht="33.6" customHeight="1" x14ac:dyDescent="0.15">
      <c r="A545" s="21"/>
      <c r="B545" s="22"/>
      <c r="C545" s="64"/>
      <c r="D545" s="24" t="s">
        <v>7360</v>
      </c>
      <c r="E545" s="23"/>
      <c r="F545" s="21"/>
      <c r="G545" s="22"/>
      <c r="H545" s="61"/>
      <c r="I545" s="24" t="s">
        <v>7360</v>
      </c>
      <c r="J545" s="23"/>
    </row>
    <row r="546" spans="1:10" x14ac:dyDescent="0.15">
      <c r="A546" s="25"/>
      <c r="B546" s="26"/>
      <c r="C546" s="67"/>
      <c r="D546" s="59"/>
      <c r="E546" s="27"/>
      <c r="F546" s="25"/>
      <c r="G546" s="26"/>
      <c r="H546" s="63"/>
      <c r="I546" s="26"/>
      <c r="J546" s="27"/>
    </row>
    <row r="547" spans="1:10" x14ac:dyDescent="0.15">
      <c r="A547" s="18"/>
      <c r="B547" s="19"/>
      <c r="C547" s="66"/>
      <c r="D547" s="58"/>
      <c r="E547" s="20"/>
      <c r="F547" s="18"/>
      <c r="G547" s="19"/>
      <c r="H547" s="60"/>
      <c r="I547" s="19"/>
      <c r="J547" s="20"/>
    </row>
    <row r="548" spans="1:10" ht="40.15" customHeight="1" x14ac:dyDescent="0.15">
      <c r="A548" s="21"/>
      <c r="B548" s="28" t="s">
        <v>7363</v>
      </c>
      <c r="C548" s="64"/>
      <c r="D548" s="24"/>
      <c r="E548" s="23"/>
      <c r="F548" s="21"/>
      <c r="G548" s="28" t="s">
        <v>7363</v>
      </c>
      <c r="H548" s="61"/>
      <c r="I548" s="22"/>
      <c r="J548" s="23"/>
    </row>
    <row r="549" spans="1:10" ht="60" customHeight="1" x14ac:dyDescent="0.4">
      <c r="A549" s="21"/>
      <c r="B549" s="22"/>
      <c r="C549" s="62" t="s">
        <v>7605</v>
      </c>
      <c r="D549" s="24"/>
      <c r="E549" s="23"/>
      <c r="F549" s="21"/>
      <c r="G549" s="22"/>
      <c r="H549" s="62" t="s">
        <v>7602</v>
      </c>
      <c r="I549" s="22"/>
      <c r="J549" s="23"/>
    </row>
    <row r="550" spans="1:10" ht="27.6" customHeight="1" x14ac:dyDescent="0.3">
      <c r="A550" s="21"/>
      <c r="B550" s="22"/>
      <c r="C550" s="69" t="s">
        <v>36</v>
      </c>
      <c r="D550" s="24"/>
      <c r="E550" s="23"/>
      <c r="F550" s="21"/>
      <c r="G550" s="22"/>
      <c r="H550" s="69" t="s">
        <v>73</v>
      </c>
      <c r="I550" s="22"/>
      <c r="J550" s="23"/>
    </row>
    <row r="551" spans="1:10" ht="33.6" customHeight="1" x14ac:dyDescent="0.15">
      <c r="A551" s="21"/>
      <c r="B551" s="22"/>
      <c r="C551" s="64"/>
      <c r="D551" s="24" t="s">
        <v>7360</v>
      </c>
      <c r="E551" s="23"/>
      <c r="F551" s="21"/>
      <c r="G551" s="22"/>
      <c r="H551" s="61"/>
      <c r="I551" s="24" t="s">
        <v>7360</v>
      </c>
      <c r="J551" s="23"/>
    </row>
    <row r="552" spans="1:10" x14ac:dyDescent="0.15">
      <c r="A552" s="25"/>
      <c r="B552" s="26"/>
      <c r="C552" s="67"/>
      <c r="D552" s="59"/>
      <c r="E552" s="27"/>
      <c r="F552" s="25"/>
      <c r="G552" s="26"/>
      <c r="H552" s="63"/>
      <c r="I552" s="26"/>
      <c r="J552" s="27"/>
    </row>
    <row r="553" spans="1:10" x14ac:dyDescent="0.15">
      <c r="A553" s="18"/>
      <c r="B553" s="19"/>
      <c r="C553" s="66"/>
      <c r="D553" s="58"/>
      <c r="E553" s="20"/>
      <c r="F553" s="18"/>
      <c r="G553" s="19"/>
      <c r="H553" s="60"/>
      <c r="I553" s="19"/>
      <c r="J553" s="20"/>
    </row>
    <row r="554" spans="1:10" ht="40.15" customHeight="1" x14ac:dyDescent="0.15">
      <c r="A554" s="21"/>
      <c r="B554" s="28" t="s">
        <v>7363</v>
      </c>
      <c r="C554" s="64"/>
      <c r="D554" s="24"/>
      <c r="E554" s="23"/>
      <c r="F554" s="21"/>
      <c r="G554" s="28" t="s">
        <v>7363</v>
      </c>
      <c r="H554" s="61"/>
      <c r="I554" s="22"/>
      <c r="J554" s="23"/>
    </row>
    <row r="555" spans="1:10" ht="60" customHeight="1" x14ac:dyDescent="0.4">
      <c r="A555" s="21"/>
      <c r="B555" s="22"/>
      <c r="C555" s="62" t="s">
        <v>7608</v>
      </c>
      <c r="D555" s="24"/>
      <c r="E555" s="23"/>
      <c r="F555" s="21"/>
      <c r="G555" s="22"/>
      <c r="H555" s="62" t="s">
        <v>643</v>
      </c>
      <c r="I555" s="22"/>
      <c r="J555" s="23"/>
    </row>
    <row r="556" spans="1:10" ht="27.6" customHeight="1" x14ac:dyDescent="0.3">
      <c r="A556" s="21"/>
      <c r="B556" s="22"/>
      <c r="C556" s="69" t="s">
        <v>36</v>
      </c>
      <c r="D556" s="24"/>
      <c r="E556" s="23"/>
      <c r="F556" s="21"/>
      <c r="G556" s="22"/>
      <c r="H556" s="69" t="s">
        <v>36</v>
      </c>
      <c r="I556" s="22"/>
      <c r="J556" s="23"/>
    </row>
    <row r="557" spans="1:10" ht="33.6" customHeight="1" x14ac:dyDescent="0.15">
      <c r="A557" s="21"/>
      <c r="B557" s="22"/>
      <c r="C557" s="64"/>
      <c r="D557" s="24" t="s">
        <v>7360</v>
      </c>
      <c r="E557" s="23"/>
      <c r="F557" s="21"/>
      <c r="G557" s="22"/>
      <c r="H557" s="61"/>
      <c r="I557" s="24" t="s">
        <v>7360</v>
      </c>
      <c r="J557" s="23"/>
    </row>
    <row r="558" spans="1:10" x14ac:dyDescent="0.15">
      <c r="A558" s="25"/>
      <c r="B558" s="26"/>
      <c r="C558" s="67"/>
      <c r="D558" s="59"/>
      <c r="E558" s="27"/>
      <c r="F558" s="25"/>
      <c r="G558" s="26"/>
      <c r="H558" s="63"/>
      <c r="I558" s="26"/>
      <c r="J558" s="27"/>
    </row>
    <row r="559" spans="1:10" x14ac:dyDescent="0.15">
      <c r="A559" s="18"/>
      <c r="B559" s="19"/>
      <c r="C559" s="66"/>
      <c r="D559" s="58"/>
      <c r="E559" s="20"/>
      <c r="F559" s="18"/>
      <c r="G559" s="19"/>
      <c r="H559" s="60"/>
      <c r="I559" s="19"/>
      <c r="J559" s="20"/>
    </row>
    <row r="560" spans="1:10" ht="40.15" customHeight="1" x14ac:dyDescent="0.15">
      <c r="A560" s="21"/>
      <c r="B560" s="28" t="s">
        <v>7363</v>
      </c>
      <c r="C560" s="64"/>
      <c r="D560" s="24"/>
      <c r="E560" s="23"/>
      <c r="F560" s="21"/>
      <c r="G560" s="28" t="s">
        <v>7363</v>
      </c>
      <c r="H560" s="61"/>
      <c r="I560" s="22"/>
      <c r="J560" s="23"/>
    </row>
    <row r="561" spans="1:10" ht="60" customHeight="1" x14ac:dyDescent="0.4">
      <c r="A561" s="21"/>
      <c r="B561" s="22"/>
      <c r="C561" s="62" t="s">
        <v>7613</v>
      </c>
      <c r="D561" s="24"/>
      <c r="E561" s="23"/>
      <c r="F561" s="21"/>
      <c r="G561" s="22"/>
      <c r="H561" s="62" t="s">
        <v>4191</v>
      </c>
      <c r="I561" s="22"/>
      <c r="J561" s="23"/>
    </row>
    <row r="562" spans="1:10" ht="27.6" customHeight="1" x14ac:dyDescent="0.3">
      <c r="A562" s="21"/>
      <c r="B562" s="22"/>
      <c r="C562" s="69" t="s">
        <v>36</v>
      </c>
      <c r="D562" s="24"/>
      <c r="E562" s="23"/>
      <c r="F562" s="21"/>
      <c r="G562" s="22"/>
      <c r="H562" s="69" t="s">
        <v>36</v>
      </c>
      <c r="I562" s="22"/>
      <c r="J562" s="23"/>
    </row>
    <row r="563" spans="1:10" ht="33.6" customHeight="1" x14ac:dyDescent="0.15">
      <c r="A563" s="21"/>
      <c r="B563" s="22"/>
      <c r="C563" s="64"/>
      <c r="D563" s="24" t="s">
        <v>7361</v>
      </c>
      <c r="E563" s="23"/>
      <c r="F563" s="21"/>
      <c r="G563" s="22"/>
      <c r="H563" s="61"/>
      <c r="I563" s="24" t="s">
        <v>7361</v>
      </c>
      <c r="J563" s="23"/>
    </row>
    <row r="564" spans="1:10" x14ac:dyDescent="0.15">
      <c r="A564" s="25"/>
      <c r="B564" s="26"/>
      <c r="C564" s="67"/>
      <c r="D564" s="59"/>
      <c r="E564" s="27"/>
      <c r="F564" s="25"/>
      <c r="G564" s="26"/>
      <c r="H564" s="63"/>
      <c r="I564" s="26"/>
      <c r="J564" s="27"/>
    </row>
    <row r="565" spans="1:10" x14ac:dyDescent="0.15">
      <c r="A565" s="18"/>
      <c r="B565" s="19"/>
      <c r="C565" s="66"/>
      <c r="D565" s="58"/>
      <c r="E565" s="20"/>
      <c r="F565" s="18"/>
      <c r="G565" s="19"/>
      <c r="H565" s="60"/>
      <c r="I565" s="19"/>
      <c r="J565" s="20"/>
    </row>
    <row r="566" spans="1:10" ht="40.15" customHeight="1" x14ac:dyDescent="0.15">
      <c r="A566" s="21"/>
      <c r="B566" s="28" t="s">
        <v>7363</v>
      </c>
      <c r="C566" s="64"/>
      <c r="D566" s="24"/>
      <c r="E566" s="23"/>
      <c r="F566" s="21"/>
      <c r="G566" s="28" t="s">
        <v>7363</v>
      </c>
      <c r="H566" s="61"/>
      <c r="I566" s="22"/>
      <c r="J566" s="23"/>
    </row>
    <row r="567" spans="1:10" ht="60" customHeight="1" x14ac:dyDescent="0.4">
      <c r="A567" s="21"/>
      <c r="B567" s="22"/>
      <c r="C567" s="62" t="s">
        <v>7617</v>
      </c>
      <c r="D567" s="24"/>
      <c r="E567" s="23"/>
      <c r="F567" s="21"/>
      <c r="G567" s="22"/>
      <c r="H567" s="62" t="s">
        <v>7615</v>
      </c>
      <c r="I567" s="22"/>
      <c r="J567" s="23"/>
    </row>
    <row r="568" spans="1:10" ht="27.6" customHeight="1" x14ac:dyDescent="0.3">
      <c r="A568" s="21"/>
      <c r="B568" s="22"/>
      <c r="C568" s="69" t="s">
        <v>157</v>
      </c>
      <c r="D568" s="24"/>
      <c r="E568" s="23"/>
      <c r="F568" s="21"/>
      <c r="G568" s="22"/>
      <c r="H568" s="69" t="s">
        <v>36</v>
      </c>
      <c r="I568" s="22"/>
      <c r="J568" s="23"/>
    </row>
    <row r="569" spans="1:10" ht="33.6" customHeight="1" x14ac:dyDescent="0.15">
      <c r="A569" s="21"/>
      <c r="B569" s="22"/>
      <c r="C569" s="64"/>
      <c r="D569" s="24" t="s">
        <v>7361</v>
      </c>
      <c r="E569" s="23"/>
      <c r="F569" s="21"/>
      <c r="G569" s="22"/>
      <c r="H569" s="61"/>
      <c r="I569" s="24" t="s">
        <v>7361</v>
      </c>
      <c r="J569" s="23"/>
    </row>
    <row r="570" spans="1:10" x14ac:dyDescent="0.15">
      <c r="A570" s="25"/>
      <c r="B570" s="26"/>
      <c r="C570" s="67"/>
      <c r="D570" s="59"/>
      <c r="E570" s="27"/>
      <c r="F570" s="25"/>
      <c r="G570" s="26"/>
      <c r="H570" s="63"/>
      <c r="I570" s="26"/>
      <c r="J570" s="27"/>
    </row>
    <row r="571" spans="1:10" x14ac:dyDescent="0.15">
      <c r="A571" s="18"/>
      <c r="B571" s="19"/>
      <c r="C571" s="66"/>
      <c r="D571" s="58"/>
      <c r="E571" s="20"/>
      <c r="F571" s="18"/>
      <c r="G571" s="19"/>
      <c r="H571" s="60"/>
      <c r="I571" s="19"/>
      <c r="J571" s="20"/>
    </row>
    <row r="572" spans="1:10" ht="40.15" customHeight="1" x14ac:dyDescent="0.15">
      <c r="A572" s="21"/>
      <c r="B572" s="28" t="s">
        <v>7363</v>
      </c>
      <c r="C572" s="64"/>
      <c r="D572" s="24"/>
      <c r="E572" s="23"/>
      <c r="F572" s="21"/>
      <c r="G572" s="28" t="s">
        <v>7363</v>
      </c>
      <c r="H572" s="61"/>
      <c r="I572" s="22"/>
      <c r="J572" s="23"/>
    </row>
    <row r="573" spans="1:10" ht="60" customHeight="1" x14ac:dyDescent="0.4">
      <c r="A573" s="21"/>
      <c r="B573" s="22"/>
      <c r="C573" s="62" t="s">
        <v>7623</v>
      </c>
      <c r="D573" s="24"/>
      <c r="E573" s="23"/>
      <c r="F573" s="21"/>
      <c r="G573" s="22"/>
      <c r="H573" s="62" t="s">
        <v>7620</v>
      </c>
      <c r="I573" s="22"/>
      <c r="J573" s="23"/>
    </row>
    <row r="574" spans="1:10" ht="27.6" customHeight="1" x14ac:dyDescent="0.3">
      <c r="A574" s="21"/>
      <c r="B574" s="22"/>
      <c r="C574" s="69" t="s">
        <v>61</v>
      </c>
      <c r="D574" s="24"/>
      <c r="E574" s="23"/>
      <c r="F574" s="21"/>
      <c r="G574" s="22"/>
      <c r="H574" s="69" t="s">
        <v>61</v>
      </c>
      <c r="I574" s="22"/>
      <c r="J574" s="23"/>
    </row>
    <row r="575" spans="1:10" ht="33.6" customHeight="1" x14ac:dyDescent="0.15">
      <c r="A575" s="21"/>
      <c r="B575" s="22"/>
      <c r="C575" s="64"/>
      <c r="D575" s="24" t="s">
        <v>7361</v>
      </c>
      <c r="E575" s="23"/>
      <c r="F575" s="21"/>
      <c r="G575" s="22"/>
      <c r="H575" s="61"/>
      <c r="I575" s="24" t="s">
        <v>7361</v>
      </c>
      <c r="J575" s="23"/>
    </row>
    <row r="576" spans="1:10" x14ac:dyDescent="0.15">
      <c r="A576" s="25"/>
      <c r="B576" s="26"/>
      <c r="C576" s="67"/>
      <c r="D576" s="59"/>
      <c r="E576" s="27"/>
      <c r="F576" s="25"/>
      <c r="G576" s="26"/>
      <c r="H576" s="63"/>
      <c r="I576" s="26"/>
      <c r="J576" s="27"/>
    </row>
    <row r="577" spans="1:10" x14ac:dyDescent="0.15">
      <c r="A577" s="18"/>
      <c r="B577" s="19"/>
      <c r="C577" s="66"/>
      <c r="D577" s="58"/>
      <c r="E577" s="20"/>
      <c r="F577" s="18"/>
      <c r="G577" s="19"/>
      <c r="H577" s="60"/>
      <c r="I577" s="19"/>
      <c r="J577" s="20"/>
    </row>
    <row r="578" spans="1:10" ht="40.15" customHeight="1" x14ac:dyDescent="0.15">
      <c r="A578" s="21"/>
      <c r="B578" s="22"/>
      <c r="C578" s="64"/>
      <c r="D578" s="24"/>
      <c r="E578" s="23"/>
      <c r="F578" s="21"/>
      <c r="G578" s="28"/>
      <c r="H578" s="61"/>
      <c r="I578" s="22"/>
      <c r="J578" s="23"/>
    </row>
    <row r="579" spans="1:10" ht="60" customHeight="1" x14ac:dyDescent="0.55000000000000004">
      <c r="A579" s="21"/>
      <c r="B579" s="22"/>
      <c r="C579" s="70" t="s">
        <v>7624</v>
      </c>
      <c r="D579" s="24"/>
      <c r="E579" s="23"/>
      <c r="F579" s="21"/>
      <c r="G579" s="22"/>
      <c r="H579" s="70" t="s">
        <v>7624</v>
      </c>
      <c r="I579" s="22"/>
      <c r="J579" s="23"/>
    </row>
    <row r="580" spans="1:10" ht="27.6" customHeight="1" x14ac:dyDescent="0.15">
      <c r="A580" s="21"/>
      <c r="B580" s="22"/>
      <c r="C580" s="64"/>
      <c r="D580" s="24"/>
      <c r="E580" s="23"/>
      <c r="F580" s="21"/>
      <c r="G580" s="22"/>
      <c r="H580" s="64"/>
      <c r="I580" s="22"/>
      <c r="J580" s="23"/>
    </row>
    <row r="581" spans="1:10" ht="33.6" customHeight="1" x14ac:dyDescent="0.15">
      <c r="A581" s="21"/>
      <c r="B581" s="22" t="s">
        <v>7625</v>
      </c>
      <c r="C581" s="64"/>
      <c r="D581" s="24"/>
      <c r="E581" s="23"/>
      <c r="F581" s="21"/>
      <c r="G581" s="22" t="s">
        <v>7627</v>
      </c>
      <c r="H581" s="61"/>
      <c r="I581" s="24"/>
      <c r="J581" s="23"/>
    </row>
    <row r="582" spans="1:10" x14ac:dyDescent="0.15">
      <c r="A582" s="25"/>
      <c r="B582" s="26"/>
      <c r="C582" s="67"/>
      <c r="D582" s="59"/>
      <c r="E582" s="27"/>
      <c r="F582" s="25"/>
      <c r="G582" s="26"/>
      <c r="H582" s="63"/>
      <c r="I582" s="26"/>
      <c r="J582" s="27"/>
    </row>
    <row r="583" spans="1:10" x14ac:dyDescent="0.15">
      <c r="A583" s="18"/>
      <c r="B583" s="19"/>
      <c r="C583" s="66"/>
      <c r="D583" s="58"/>
      <c r="E583" s="20"/>
      <c r="F583" s="18"/>
      <c r="G583" s="19"/>
      <c r="H583" s="60"/>
      <c r="I583" s="19"/>
      <c r="J583" s="20"/>
    </row>
    <row r="584" spans="1:10" ht="40.15" customHeight="1" x14ac:dyDescent="0.15">
      <c r="A584" s="21"/>
      <c r="B584" s="22"/>
      <c r="C584" s="64"/>
      <c r="D584" s="24"/>
      <c r="E584" s="23"/>
      <c r="F584" s="21"/>
      <c r="G584" s="28"/>
      <c r="H584" s="61"/>
      <c r="I584" s="22"/>
      <c r="J584" s="23"/>
    </row>
    <row r="585" spans="1:10" ht="60" customHeight="1" x14ac:dyDescent="0.55000000000000004">
      <c r="A585" s="21"/>
      <c r="B585" s="22"/>
      <c r="C585" s="70" t="s">
        <v>7629</v>
      </c>
      <c r="D585" s="24"/>
      <c r="E585" s="23"/>
      <c r="F585" s="21"/>
      <c r="G585" s="22"/>
      <c r="H585" s="70" t="s">
        <v>7632</v>
      </c>
      <c r="I585" s="22"/>
      <c r="J585" s="23"/>
    </row>
    <row r="586" spans="1:10" ht="27.6" customHeight="1" x14ac:dyDescent="0.15">
      <c r="A586" s="21"/>
      <c r="B586" s="22"/>
      <c r="C586" s="64"/>
      <c r="D586" s="24"/>
      <c r="E586" s="23"/>
      <c r="F586" s="21"/>
      <c r="G586" s="22"/>
      <c r="H586" s="64"/>
      <c r="I586" s="22"/>
      <c r="J586" s="23"/>
    </row>
    <row r="587" spans="1:10" ht="33.6" customHeight="1" x14ac:dyDescent="0.15">
      <c r="A587" s="21"/>
      <c r="B587" s="22" t="s">
        <v>7630</v>
      </c>
      <c r="C587" s="64"/>
      <c r="D587" s="24"/>
      <c r="E587" s="23"/>
      <c r="F587" s="21"/>
      <c r="G587" s="22" t="s">
        <v>7633</v>
      </c>
      <c r="H587" s="61"/>
      <c r="I587" s="24"/>
      <c r="J587" s="23"/>
    </row>
    <row r="588" spans="1:10" x14ac:dyDescent="0.15">
      <c r="A588" s="25"/>
      <c r="B588" s="26"/>
      <c r="C588" s="67"/>
      <c r="D588" s="59"/>
      <c r="E588" s="27"/>
      <c r="F588" s="25"/>
      <c r="G588" s="26"/>
      <c r="H588" s="63"/>
      <c r="I588" s="26"/>
      <c r="J588" s="27"/>
    </row>
    <row r="589" spans="1:10" x14ac:dyDescent="0.15">
      <c r="A589" s="18"/>
      <c r="B589" s="19"/>
      <c r="C589" s="66"/>
      <c r="D589" s="58"/>
      <c r="E589" s="20"/>
      <c r="F589" s="18"/>
      <c r="G589" s="19"/>
      <c r="H589" s="60"/>
      <c r="I589" s="19"/>
      <c r="J589" s="20"/>
    </row>
    <row r="590" spans="1:10" ht="40.15" customHeight="1" x14ac:dyDescent="0.15">
      <c r="A590" s="21"/>
      <c r="B590" s="22"/>
      <c r="C590" s="64"/>
      <c r="D590" s="24"/>
      <c r="E590" s="23"/>
      <c r="F590" s="21"/>
      <c r="G590" s="28"/>
      <c r="H590" s="61"/>
      <c r="I590" s="22"/>
      <c r="J590" s="23"/>
    </row>
    <row r="591" spans="1:10" ht="60" customHeight="1" x14ac:dyDescent="0.55000000000000004">
      <c r="A591" s="21"/>
      <c r="B591" s="22"/>
      <c r="C591" s="70" t="s">
        <v>7635</v>
      </c>
      <c r="D591" s="24"/>
      <c r="E591" s="23"/>
      <c r="F591" s="21"/>
      <c r="G591" s="22"/>
      <c r="H591" s="70" t="s">
        <v>7638</v>
      </c>
      <c r="I591" s="22"/>
      <c r="J591" s="23"/>
    </row>
    <row r="592" spans="1:10" ht="27.6" customHeight="1" x14ac:dyDescent="0.15">
      <c r="A592" s="21"/>
      <c r="B592" s="22"/>
      <c r="C592" s="64"/>
      <c r="D592" s="24"/>
      <c r="E592" s="23"/>
      <c r="F592" s="21"/>
      <c r="G592" s="22"/>
      <c r="H592" s="64"/>
      <c r="I592" s="22"/>
      <c r="J592" s="23"/>
    </row>
    <row r="593" spans="1:10" ht="33.6" customHeight="1" x14ac:dyDescent="0.15">
      <c r="A593" s="21"/>
      <c r="B593" s="22" t="s">
        <v>7636</v>
      </c>
      <c r="C593" s="64"/>
      <c r="D593" s="24"/>
      <c r="E593" s="23"/>
      <c r="F593" s="21"/>
      <c r="G593" s="22" t="s">
        <v>7639</v>
      </c>
      <c r="H593" s="61"/>
      <c r="I593" s="24"/>
      <c r="J593" s="23"/>
    </row>
    <row r="594" spans="1:10" x14ac:dyDescent="0.15">
      <c r="A594" s="25"/>
      <c r="B594" s="26"/>
      <c r="C594" s="67"/>
      <c r="D594" s="59"/>
      <c r="E594" s="27"/>
      <c r="F594" s="25"/>
      <c r="G594" s="26"/>
      <c r="H594" s="63"/>
      <c r="I594" s="26"/>
      <c r="J594" s="27"/>
    </row>
    <row r="595" spans="1:10" x14ac:dyDescent="0.15">
      <c r="A595" s="18"/>
      <c r="B595" s="19"/>
      <c r="C595" s="66"/>
      <c r="D595" s="58"/>
      <c r="E595" s="20"/>
      <c r="F595" s="18"/>
      <c r="G595" s="19"/>
      <c r="H595" s="60"/>
      <c r="I595" s="19"/>
      <c r="J595" s="20"/>
    </row>
    <row r="596" spans="1:10" ht="40.15" customHeight="1" x14ac:dyDescent="0.15">
      <c r="A596" s="21"/>
      <c r="B596" s="22"/>
      <c r="C596" s="64"/>
      <c r="D596" s="24"/>
      <c r="E596" s="23"/>
      <c r="F596" s="21"/>
      <c r="G596" s="28"/>
      <c r="H596" s="61"/>
      <c r="I596" s="22"/>
      <c r="J596" s="23"/>
    </row>
    <row r="597" spans="1:10" ht="60" customHeight="1" x14ac:dyDescent="0.55000000000000004">
      <c r="A597" s="21"/>
      <c r="B597" s="22"/>
      <c r="C597" s="70" t="s">
        <v>7641</v>
      </c>
      <c r="D597" s="24"/>
      <c r="E597" s="23"/>
      <c r="F597" s="21"/>
      <c r="G597" s="22"/>
      <c r="H597" s="70" t="s">
        <v>7644</v>
      </c>
      <c r="I597" s="22"/>
      <c r="J597" s="23"/>
    </row>
    <row r="598" spans="1:10" ht="27.6" customHeight="1" x14ac:dyDescent="0.15">
      <c r="A598" s="21"/>
      <c r="B598" s="22"/>
      <c r="C598" s="64"/>
      <c r="D598" s="24"/>
      <c r="E598" s="23"/>
      <c r="F598" s="21"/>
      <c r="G598" s="22"/>
      <c r="H598" s="64"/>
      <c r="I598" s="22"/>
      <c r="J598" s="23"/>
    </row>
    <row r="599" spans="1:10" ht="33.6" customHeight="1" x14ac:dyDescent="0.15">
      <c r="A599" s="21"/>
      <c r="B599" s="22" t="s">
        <v>7642</v>
      </c>
      <c r="C599" s="64"/>
      <c r="D599" s="24"/>
      <c r="E599" s="23"/>
      <c r="F599" s="21"/>
      <c r="G599" s="22" t="s">
        <v>7645</v>
      </c>
      <c r="H599" s="61"/>
      <c r="I599" s="24"/>
      <c r="J599" s="23"/>
    </row>
    <row r="600" spans="1:10" x14ac:dyDescent="0.15">
      <c r="A600" s="25"/>
      <c r="B600" s="26"/>
      <c r="C600" s="67"/>
      <c r="D600" s="59"/>
      <c r="E600" s="27"/>
      <c r="F600" s="25"/>
      <c r="G600" s="26"/>
      <c r="H600" s="63"/>
      <c r="I600" s="26"/>
      <c r="J600" s="27"/>
    </row>
    <row r="601" spans="1:10" x14ac:dyDescent="0.15">
      <c r="A601" s="18"/>
      <c r="B601" s="19"/>
      <c r="C601" s="66"/>
      <c r="D601" s="58"/>
      <c r="E601" s="20"/>
      <c r="F601" s="18"/>
      <c r="G601" s="19"/>
      <c r="H601" s="60"/>
      <c r="I601" s="19"/>
      <c r="J601" s="20"/>
    </row>
    <row r="602" spans="1:10" ht="40.15" customHeight="1" x14ac:dyDescent="0.15">
      <c r="A602" s="21"/>
      <c r="B602" s="22"/>
      <c r="C602" s="64"/>
      <c r="D602" s="24"/>
      <c r="E602" s="23"/>
      <c r="F602" s="21"/>
      <c r="G602" s="28"/>
      <c r="H602" s="61"/>
      <c r="I602" s="22"/>
      <c r="J602" s="23"/>
    </row>
    <row r="603" spans="1:10" ht="60" customHeight="1" x14ac:dyDescent="0.55000000000000004">
      <c r="A603" s="21"/>
      <c r="B603" s="22"/>
      <c r="C603" s="70" t="s">
        <v>7647</v>
      </c>
      <c r="D603" s="24"/>
      <c r="E603" s="23"/>
      <c r="F603" s="21"/>
      <c r="G603" s="22"/>
      <c r="H603" s="70" t="s">
        <v>7650</v>
      </c>
      <c r="I603" s="22"/>
      <c r="J603" s="23"/>
    </row>
    <row r="604" spans="1:10" ht="27.6" customHeight="1" x14ac:dyDescent="0.15">
      <c r="A604" s="21"/>
      <c r="B604" s="22"/>
      <c r="C604" s="64"/>
      <c r="D604" s="24"/>
      <c r="E604" s="23"/>
      <c r="F604" s="21"/>
      <c r="G604" s="22"/>
      <c r="H604" s="64"/>
      <c r="I604" s="22"/>
      <c r="J604" s="23"/>
    </row>
    <row r="605" spans="1:10" ht="33.6" customHeight="1" x14ac:dyDescent="0.15">
      <c r="A605" s="21"/>
      <c r="B605" s="22" t="s">
        <v>7648</v>
      </c>
      <c r="C605" s="64"/>
      <c r="D605" s="24"/>
      <c r="E605" s="23"/>
      <c r="F605" s="21"/>
      <c r="G605" s="22" t="s">
        <v>7651</v>
      </c>
      <c r="H605" s="61"/>
      <c r="I605" s="24"/>
      <c r="J605" s="23"/>
    </row>
    <row r="606" spans="1:10" x14ac:dyDescent="0.15">
      <c r="A606" s="25"/>
      <c r="B606" s="26"/>
      <c r="C606" s="67"/>
      <c r="D606" s="59"/>
      <c r="E606" s="27"/>
      <c r="F606" s="25"/>
      <c r="G606" s="26"/>
      <c r="H606" s="63"/>
      <c r="I606" s="26"/>
      <c r="J606" s="27"/>
    </row>
    <row r="607" spans="1:10" x14ac:dyDescent="0.15">
      <c r="A607" s="18"/>
      <c r="B607" s="19"/>
      <c r="C607" s="66"/>
      <c r="D607" s="58"/>
      <c r="E607" s="20"/>
      <c r="F607" s="18"/>
      <c r="G607" s="19"/>
      <c r="H607" s="60"/>
      <c r="I607" s="19"/>
      <c r="J607" s="20"/>
    </row>
    <row r="608" spans="1:10" ht="40.15" customHeight="1" x14ac:dyDescent="0.15">
      <c r="A608" s="21"/>
      <c r="B608" s="22"/>
      <c r="C608" s="64"/>
      <c r="D608" s="24"/>
      <c r="E608" s="23"/>
      <c r="F608" s="21"/>
      <c r="G608" s="28"/>
      <c r="H608" s="61"/>
      <c r="I608" s="22"/>
      <c r="J608" s="23"/>
    </row>
    <row r="609" spans="1:10" ht="60" customHeight="1" x14ac:dyDescent="0.55000000000000004">
      <c r="A609" s="21"/>
      <c r="B609" s="22"/>
      <c r="C609" s="70" t="s">
        <v>7653</v>
      </c>
      <c r="D609" s="24"/>
      <c r="E609" s="23"/>
      <c r="F609" s="21"/>
      <c r="G609" s="22"/>
      <c r="H609" s="70" t="s">
        <v>7656</v>
      </c>
      <c r="I609" s="22"/>
      <c r="J609" s="23"/>
    </row>
    <row r="610" spans="1:10" ht="27.6" customHeight="1" x14ac:dyDescent="0.15">
      <c r="A610" s="21"/>
      <c r="B610" s="22"/>
      <c r="C610" s="64"/>
      <c r="D610" s="24"/>
      <c r="E610" s="23"/>
      <c r="F610" s="21"/>
      <c r="G610" s="22"/>
      <c r="H610" s="64"/>
      <c r="I610" s="22"/>
      <c r="J610" s="23"/>
    </row>
    <row r="611" spans="1:10" ht="33.6" customHeight="1" x14ac:dyDescent="0.15">
      <c r="A611" s="21"/>
      <c r="B611" s="22" t="s">
        <v>7654</v>
      </c>
      <c r="C611" s="64"/>
      <c r="D611" s="24"/>
      <c r="E611" s="23"/>
      <c r="F611" s="21"/>
      <c r="G611" s="22" t="s">
        <v>7657</v>
      </c>
      <c r="H611" s="61"/>
      <c r="I611" s="24"/>
      <c r="J611" s="23"/>
    </row>
    <row r="612" spans="1:10" x14ac:dyDescent="0.15">
      <c r="A612" s="25"/>
      <c r="B612" s="26"/>
      <c r="C612" s="67"/>
      <c r="D612" s="59"/>
      <c r="E612" s="27"/>
      <c r="F612" s="25"/>
      <c r="G612" s="26"/>
      <c r="H612" s="63"/>
      <c r="I612" s="26"/>
      <c r="J612" s="27"/>
    </row>
    <row r="613" spans="1:10" x14ac:dyDescent="0.15">
      <c r="A613" s="18"/>
      <c r="B613" s="19"/>
      <c r="C613" s="66"/>
      <c r="D613" s="58"/>
      <c r="E613" s="20"/>
      <c r="F613" s="18"/>
      <c r="G613" s="19"/>
      <c r="H613" s="60"/>
      <c r="I613" s="19"/>
      <c r="J613" s="20"/>
    </row>
    <row r="614" spans="1:10" ht="40.15" customHeight="1" x14ac:dyDescent="0.15">
      <c r="A614" s="21"/>
      <c r="B614" s="28" t="s">
        <v>7363</v>
      </c>
      <c r="C614" s="64"/>
      <c r="D614" s="24"/>
      <c r="E614" s="23"/>
      <c r="F614" s="21"/>
      <c r="G614" s="28" t="s">
        <v>7363</v>
      </c>
      <c r="H614" s="61"/>
      <c r="I614" s="22"/>
      <c r="J614" s="23"/>
    </row>
    <row r="615" spans="1:10" ht="60" customHeight="1" x14ac:dyDescent="0.4">
      <c r="A615" s="21"/>
      <c r="B615" s="22"/>
      <c r="C615" s="62" t="s">
        <v>7628</v>
      </c>
      <c r="D615" s="24"/>
      <c r="E615" s="23"/>
      <c r="F615" s="21"/>
      <c r="G615" s="22"/>
      <c r="H615" s="62" t="s">
        <v>7626</v>
      </c>
      <c r="I615" s="22"/>
      <c r="J615" s="23"/>
    </row>
    <row r="616" spans="1:10" ht="27.6" customHeight="1" x14ac:dyDescent="0.3">
      <c r="A616" s="21"/>
      <c r="B616" s="22"/>
      <c r="C616" s="69" t="s">
        <v>61</v>
      </c>
      <c r="D616" s="24"/>
      <c r="E616" s="23"/>
      <c r="F616" s="21"/>
      <c r="G616" s="22"/>
      <c r="H616" s="69" t="s">
        <v>36</v>
      </c>
      <c r="I616" s="22"/>
      <c r="J616" s="23"/>
    </row>
    <row r="617" spans="1:10" ht="33.6" customHeight="1" x14ac:dyDescent="0.15">
      <c r="A617" s="21"/>
      <c r="B617" s="22"/>
      <c r="C617" s="64"/>
      <c r="D617" s="24" t="s">
        <v>7361</v>
      </c>
      <c r="E617" s="23"/>
      <c r="F617" s="21"/>
      <c r="G617" s="22"/>
      <c r="H617" s="61"/>
      <c r="I617" s="24" t="s">
        <v>7361</v>
      </c>
      <c r="J617" s="23"/>
    </row>
    <row r="618" spans="1:10" x14ac:dyDescent="0.15">
      <c r="A618" s="25"/>
      <c r="B618" s="26"/>
      <c r="C618" s="67"/>
      <c r="D618" s="59"/>
      <c r="E618" s="27"/>
      <c r="F618" s="25"/>
      <c r="G618" s="26"/>
      <c r="H618" s="63"/>
      <c r="I618" s="26"/>
      <c r="J618" s="27"/>
    </row>
    <row r="619" spans="1:10" x14ac:dyDescent="0.15">
      <c r="A619" s="18"/>
      <c r="B619" s="19"/>
      <c r="C619" s="66"/>
      <c r="D619" s="58"/>
      <c r="E619" s="20"/>
      <c r="F619" s="18"/>
      <c r="G619" s="19"/>
      <c r="H619" s="60"/>
      <c r="I619" s="19"/>
      <c r="J619" s="20"/>
    </row>
    <row r="620" spans="1:10" ht="40.15" customHeight="1" x14ac:dyDescent="0.15">
      <c r="A620" s="21"/>
      <c r="B620" s="28" t="s">
        <v>7363</v>
      </c>
      <c r="C620" s="64"/>
      <c r="D620" s="24"/>
      <c r="E620" s="23"/>
      <c r="F620" s="21"/>
      <c r="G620" s="28" t="s">
        <v>7363</v>
      </c>
      <c r="H620" s="61"/>
      <c r="I620" s="22"/>
      <c r="J620" s="23"/>
    </row>
    <row r="621" spans="1:10" ht="60" customHeight="1" x14ac:dyDescent="0.4">
      <c r="A621" s="21"/>
      <c r="B621" s="22"/>
      <c r="C621" s="62" t="s">
        <v>7634</v>
      </c>
      <c r="D621" s="24"/>
      <c r="E621" s="23"/>
      <c r="F621" s="21"/>
      <c r="G621" s="22"/>
      <c r="H621" s="62" t="s">
        <v>7631</v>
      </c>
      <c r="I621" s="22"/>
      <c r="J621" s="23"/>
    </row>
    <row r="622" spans="1:10" ht="27.6" customHeight="1" x14ac:dyDescent="0.3">
      <c r="A622" s="21"/>
      <c r="B622" s="22"/>
      <c r="C622" s="69" t="s">
        <v>36</v>
      </c>
      <c r="D622" s="24"/>
      <c r="E622" s="23"/>
      <c r="F622" s="21"/>
      <c r="G622" s="22"/>
      <c r="H622" s="69" t="s">
        <v>73</v>
      </c>
      <c r="I622" s="22"/>
      <c r="J622" s="23"/>
    </row>
    <row r="623" spans="1:10" ht="33.6" customHeight="1" x14ac:dyDescent="0.15">
      <c r="A623" s="21"/>
      <c r="B623" s="22"/>
      <c r="C623" s="64"/>
      <c r="D623" s="24" t="s">
        <v>7361</v>
      </c>
      <c r="E623" s="23"/>
      <c r="F623" s="21"/>
      <c r="G623" s="22"/>
      <c r="H623" s="61"/>
      <c r="I623" s="24" t="s">
        <v>7361</v>
      </c>
      <c r="J623" s="23"/>
    </row>
    <row r="624" spans="1:10" x14ac:dyDescent="0.15">
      <c r="A624" s="25"/>
      <c r="B624" s="26"/>
      <c r="C624" s="67"/>
      <c r="D624" s="59"/>
      <c r="E624" s="27"/>
      <c r="F624" s="25"/>
      <c r="G624" s="26"/>
      <c r="H624" s="63"/>
      <c r="I624" s="26"/>
      <c r="J624" s="27"/>
    </row>
    <row r="625" spans="1:10" x14ac:dyDescent="0.15">
      <c r="A625" s="18"/>
      <c r="B625" s="19"/>
      <c r="C625" s="66"/>
      <c r="D625" s="58"/>
      <c r="E625" s="20"/>
      <c r="F625" s="18"/>
      <c r="G625" s="19"/>
      <c r="H625" s="60"/>
      <c r="I625" s="19"/>
      <c r="J625" s="20"/>
    </row>
    <row r="626" spans="1:10" ht="40.15" customHeight="1" x14ac:dyDescent="0.15">
      <c r="A626" s="21"/>
      <c r="B626" s="28" t="s">
        <v>7363</v>
      </c>
      <c r="C626" s="64"/>
      <c r="D626" s="24"/>
      <c r="E626" s="23"/>
      <c r="F626" s="21"/>
      <c r="G626" s="28" t="s">
        <v>7363</v>
      </c>
      <c r="H626" s="61"/>
      <c r="I626" s="22"/>
      <c r="J626" s="23"/>
    </row>
    <row r="627" spans="1:10" ht="60" customHeight="1" x14ac:dyDescent="0.4">
      <c r="A627" s="21"/>
      <c r="B627" s="22"/>
      <c r="C627" s="62" t="s">
        <v>7640</v>
      </c>
      <c r="D627" s="24"/>
      <c r="E627" s="23"/>
      <c r="F627" s="21"/>
      <c r="G627" s="22"/>
      <c r="H627" s="62" t="s">
        <v>7637</v>
      </c>
      <c r="I627" s="22"/>
      <c r="J627" s="23"/>
    </row>
    <row r="628" spans="1:10" ht="27.6" customHeight="1" x14ac:dyDescent="0.3">
      <c r="A628" s="21"/>
      <c r="B628" s="22"/>
      <c r="C628" s="69" t="s">
        <v>73</v>
      </c>
      <c r="D628" s="24"/>
      <c r="E628" s="23"/>
      <c r="F628" s="21"/>
      <c r="G628" s="22"/>
      <c r="H628" s="69" t="s">
        <v>61</v>
      </c>
      <c r="I628" s="22"/>
      <c r="J628" s="23"/>
    </row>
    <row r="629" spans="1:10" ht="33.6" customHeight="1" x14ac:dyDescent="0.15">
      <c r="A629" s="21"/>
      <c r="B629" s="22"/>
      <c r="C629" s="64"/>
      <c r="D629" s="24" t="s">
        <v>7361</v>
      </c>
      <c r="E629" s="23"/>
      <c r="F629" s="21"/>
      <c r="G629" s="22"/>
      <c r="H629" s="61"/>
      <c r="I629" s="24" t="s">
        <v>7361</v>
      </c>
      <c r="J629" s="23"/>
    </row>
    <row r="630" spans="1:10" x14ac:dyDescent="0.15">
      <c r="A630" s="25"/>
      <c r="B630" s="26"/>
      <c r="C630" s="67"/>
      <c r="D630" s="59"/>
      <c r="E630" s="27"/>
      <c r="F630" s="25"/>
      <c r="G630" s="26"/>
      <c r="H630" s="63"/>
      <c r="I630" s="26"/>
      <c r="J630" s="27"/>
    </row>
    <row r="631" spans="1:10" x14ac:dyDescent="0.15">
      <c r="A631" s="18"/>
      <c r="B631" s="19"/>
      <c r="C631" s="66"/>
      <c r="D631" s="58"/>
      <c r="E631" s="20"/>
      <c r="F631" s="18"/>
      <c r="G631" s="19"/>
      <c r="H631" s="60"/>
      <c r="I631" s="19"/>
      <c r="J631" s="20"/>
    </row>
    <row r="632" spans="1:10" ht="40.15" customHeight="1" x14ac:dyDescent="0.15">
      <c r="A632" s="21"/>
      <c r="B632" s="28" t="s">
        <v>7363</v>
      </c>
      <c r="C632" s="64"/>
      <c r="D632" s="24"/>
      <c r="E632" s="23"/>
      <c r="F632" s="21"/>
      <c r="G632" s="28" t="s">
        <v>7363</v>
      </c>
      <c r="H632" s="61"/>
      <c r="I632" s="22"/>
      <c r="J632" s="23"/>
    </row>
    <row r="633" spans="1:10" ht="60" customHeight="1" x14ac:dyDescent="0.4">
      <c r="A633" s="21"/>
      <c r="B633" s="22"/>
      <c r="C633" s="62" t="s">
        <v>7646</v>
      </c>
      <c r="D633" s="24"/>
      <c r="E633" s="23"/>
      <c r="F633" s="21"/>
      <c r="G633" s="22"/>
      <c r="H633" s="62" t="s">
        <v>7643</v>
      </c>
      <c r="I633" s="22"/>
      <c r="J633" s="23"/>
    </row>
    <row r="634" spans="1:10" ht="27.6" customHeight="1" x14ac:dyDescent="0.3">
      <c r="A634" s="21"/>
      <c r="B634" s="22"/>
      <c r="C634" s="69" t="s">
        <v>73</v>
      </c>
      <c r="D634" s="24"/>
      <c r="E634" s="23"/>
      <c r="F634" s="21"/>
      <c r="G634" s="22"/>
      <c r="H634" s="69" t="s">
        <v>73</v>
      </c>
      <c r="I634" s="22"/>
      <c r="J634" s="23"/>
    </row>
    <row r="635" spans="1:10" ht="33.6" customHeight="1" x14ac:dyDescent="0.15">
      <c r="A635" s="21"/>
      <c r="B635" s="22"/>
      <c r="C635" s="64"/>
      <c r="D635" s="24" t="s">
        <v>7361</v>
      </c>
      <c r="E635" s="23"/>
      <c r="F635" s="21"/>
      <c r="G635" s="22"/>
      <c r="H635" s="61"/>
      <c r="I635" s="24" t="s">
        <v>7361</v>
      </c>
      <c r="J635" s="23"/>
    </row>
    <row r="636" spans="1:10" x14ac:dyDescent="0.15">
      <c r="A636" s="25"/>
      <c r="B636" s="26"/>
      <c r="C636" s="67"/>
      <c r="D636" s="59"/>
      <c r="E636" s="27"/>
      <c r="F636" s="25"/>
      <c r="G636" s="26"/>
      <c r="H636" s="63"/>
      <c r="I636" s="26"/>
      <c r="J636" s="27"/>
    </row>
    <row r="637" spans="1:10" x14ac:dyDescent="0.15">
      <c r="A637" s="18"/>
      <c r="B637" s="19"/>
      <c r="C637" s="66"/>
      <c r="D637" s="58"/>
      <c r="E637" s="20"/>
      <c r="F637" s="18"/>
      <c r="G637" s="19"/>
      <c r="H637" s="60"/>
      <c r="I637" s="19"/>
      <c r="J637" s="20"/>
    </row>
    <row r="638" spans="1:10" ht="40.15" customHeight="1" x14ac:dyDescent="0.15">
      <c r="A638" s="21"/>
      <c r="B638" s="28" t="s">
        <v>7363</v>
      </c>
      <c r="C638" s="64"/>
      <c r="D638" s="24"/>
      <c r="E638" s="23"/>
      <c r="F638" s="21"/>
      <c r="G638" s="28" t="s">
        <v>7363</v>
      </c>
      <c r="H638" s="61"/>
      <c r="I638" s="22"/>
      <c r="J638" s="23"/>
    </row>
    <row r="639" spans="1:10" ht="60" customHeight="1" x14ac:dyDescent="0.4">
      <c r="A639" s="21"/>
      <c r="B639" s="22"/>
      <c r="C639" s="62" t="s">
        <v>7652</v>
      </c>
      <c r="D639" s="24"/>
      <c r="E639" s="23"/>
      <c r="F639" s="21"/>
      <c r="G639" s="22"/>
      <c r="H639" s="62" t="s">
        <v>7649</v>
      </c>
      <c r="I639" s="22"/>
      <c r="J639" s="23"/>
    </row>
    <row r="640" spans="1:10" ht="27.6" customHeight="1" x14ac:dyDescent="0.3">
      <c r="A640" s="21"/>
      <c r="B640" s="22"/>
      <c r="C640" s="69" t="s">
        <v>36</v>
      </c>
      <c r="D640" s="24"/>
      <c r="E640" s="23"/>
      <c r="F640" s="21"/>
      <c r="G640" s="22"/>
      <c r="H640" s="69" t="s">
        <v>36</v>
      </c>
      <c r="I640" s="22"/>
      <c r="J640" s="23"/>
    </row>
    <row r="641" spans="1:10" ht="33.6" customHeight="1" x14ac:dyDescent="0.15">
      <c r="A641" s="21"/>
      <c r="B641" s="22"/>
      <c r="C641" s="64"/>
      <c r="D641" s="24" t="s">
        <v>7361</v>
      </c>
      <c r="E641" s="23"/>
      <c r="F641" s="21"/>
      <c r="G641" s="22"/>
      <c r="H641" s="61"/>
      <c r="I641" s="24" t="s">
        <v>7361</v>
      </c>
      <c r="J641" s="23"/>
    </row>
    <row r="642" spans="1:10" x14ac:dyDescent="0.15">
      <c r="A642" s="25"/>
      <c r="B642" s="26"/>
      <c r="C642" s="67"/>
      <c r="D642" s="59"/>
      <c r="E642" s="27"/>
      <c r="F642" s="25"/>
      <c r="G642" s="26"/>
      <c r="H642" s="63"/>
      <c r="I642" s="26"/>
      <c r="J642" s="27"/>
    </row>
    <row r="643" spans="1:10" x14ac:dyDescent="0.15">
      <c r="A643" s="18"/>
      <c r="B643" s="19"/>
      <c r="C643" s="66"/>
      <c r="D643" s="58"/>
      <c r="E643" s="20"/>
      <c r="F643" s="18"/>
      <c r="G643" s="19"/>
      <c r="H643" s="60"/>
      <c r="I643" s="19"/>
      <c r="J643" s="20"/>
    </row>
    <row r="644" spans="1:10" ht="40.15" customHeight="1" x14ac:dyDescent="0.15">
      <c r="A644" s="21"/>
      <c r="B644" s="28" t="s">
        <v>7363</v>
      </c>
      <c r="C644" s="64"/>
      <c r="D644" s="24"/>
      <c r="E644" s="23"/>
      <c r="F644" s="21"/>
      <c r="G644" s="28" t="s">
        <v>7363</v>
      </c>
      <c r="H644" s="61"/>
      <c r="I644" s="22"/>
      <c r="J644" s="23"/>
    </row>
    <row r="645" spans="1:10" ht="60" customHeight="1" x14ac:dyDescent="0.4">
      <c r="A645" s="21"/>
      <c r="B645" s="22"/>
      <c r="C645" s="62" t="s">
        <v>7658</v>
      </c>
      <c r="D645" s="24"/>
      <c r="E645" s="23"/>
      <c r="F645" s="21"/>
      <c r="G645" s="22"/>
      <c r="H645" s="62" t="s">
        <v>7655</v>
      </c>
      <c r="I645" s="22"/>
      <c r="J645" s="23"/>
    </row>
    <row r="646" spans="1:10" ht="27.6" customHeight="1" x14ac:dyDescent="0.3">
      <c r="A646" s="21"/>
      <c r="B646" s="22"/>
      <c r="C646" s="69" t="s">
        <v>36</v>
      </c>
      <c r="D646" s="24"/>
      <c r="E646" s="23"/>
      <c r="F646" s="21"/>
      <c r="G646" s="22"/>
      <c r="H646" s="69" t="s">
        <v>36</v>
      </c>
      <c r="I646" s="22"/>
      <c r="J646" s="23"/>
    </row>
    <row r="647" spans="1:10" ht="33.6" customHeight="1" x14ac:dyDescent="0.15">
      <c r="A647" s="21"/>
      <c r="B647" s="22"/>
      <c r="C647" s="64"/>
      <c r="D647" s="24" t="s">
        <v>7361</v>
      </c>
      <c r="E647" s="23"/>
      <c r="F647" s="21"/>
      <c r="G647" s="22"/>
      <c r="H647" s="61"/>
      <c r="I647" s="24" t="s">
        <v>7361</v>
      </c>
      <c r="J647" s="23"/>
    </row>
    <row r="648" spans="1:10" x14ac:dyDescent="0.15">
      <c r="A648" s="25"/>
      <c r="B648" s="26"/>
      <c r="C648" s="67"/>
      <c r="D648" s="59"/>
      <c r="E648" s="27"/>
      <c r="F648" s="25"/>
      <c r="G648" s="26"/>
      <c r="H648" s="63"/>
      <c r="I648" s="26"/>
      <c r="J648" s="27"/>
    </row>
    <row r="649" spans="1:10" x14ac:dyDescent="0.15">
      <c r="A649" s="18"/>
      <c r="B649" s="19"/>
      <c r="C649" s="66"/>
      <c r="D649" s="58"/>
      <c r="E649" s="20"/>
      <c r="F649" s="18"/>
      <c r="G649" s="19"/>
      <c r="H649" s="60"/>
      <c r="I649" s="19"/>
      <c r="J649" s="20"/>
    </row>
    <row r="650" spans="1:10" ht="40.15" customHeight="1" x14ac:dyDescent="0.15">
      <c r="A650" s="21"/>
      <c r="B650" s="22"/>
      <c r="C650" s="64"/>
      <c r="D650" s="24"/>
      <c r="E650" s="23"/>
      <c r="F650" s="21"/>
      <c r="G650" s="28"/>
      <c r="H650" s="61"/>
      <c r="I650" s="22"/>
      <c r="J650" s="23"/>
    </row>
    <row r="651" spans="1:10" ht="60" customHeight="1" x14ac:dyDescent="0.55000000000000004">
      <c r="A651" s="21"/>
      <c r="B651" s="22"/>
      <c r="C651" s="70" t="s">
        <v>7656</v>
      </c>
      <c r="D651" s="24"/>
      <c r="E651" s="23"/>
      <c r="F651" s="21"/>
      <c r="G651" s="22"/>
      <c r="H651" s="70" t="s">
        <v>7661</v>
      </c>
      <c r="I651" s="22"/>
      <c r="J651" s="23"/>
    </row>
    <row r="652" spans="1:10" ht="27.6" customHeight="1" x14ac:dyDescent="0.15">
      <c r="A652" s="21"/>
      <c r="B652" s="22"/>
      <c r="C652" s="64"/>
      <c r="D652" s="24"/>
      <c r="E652" s="23"/>
      <c r="F652" s="21"/>
      <c r="G652" s="22"/>
      <c r="H652" s="64"/>
      <c r="I652" s="22"/>
      <c r="J652" s="23"/>
    </row>
    <row r="653" spans="1:10" ht="33.6" customHeight="1" x14ac:dyDescent="0.15">
      <c r="A653" s="21"/>
      <c r="B653" s="22" t="s">
        <v>7659</v>
      </c>
      <c r="C653" s="64"/>
      <c r="D653" s="24"/>
      <c r="E653" s="23"/>
      <c r="F653" s="21"/>
      <c r="G653" s="22" t="s">
        <v>7662</v>
      </c>
      <c r="H653" s="61"/>
      <c r="I653" s="24"/>
      <c r="J653" s="23"/>
    </row>
    <row r="654" spans="1:10" x14ac:dyDescent="0.15">
      <c r="A654" s="25"/>
      <c r="B654" s="26"/>
      <c r="C654" s="67"/>
      <c r="D654" s="59"/>
      <c r="E654" s="27"/>
      <c r="F654" s="25"/>
      <c r="G654" s="26"/>
      <c r="H654" s="63"/>
      <c r="I654" s="26"/>
      <c r="J654" s="27"/>
    </row>
    <row r="655" spans="1:10" x14ac:dyDescent="0.15">
      <c r="A655" s="18"/>
      <c r="B655" s="19"/>
      <c r="C655" s="66"/>
      <c r="D655" s="58"/>
      <c r="E655" s="20"/>
      <c r="F655" s="18"/>
      <c r="G655" s="19"/>
      <c r="H655" s="60"/>
      <c r="I655" s="19"/>
      <c r="J655" s="20"/>
    </row>
    <row r="656" spans="1:10" ht="40.15" customHeight="1" x14ac:dyDescent="0.15">
      <c r="A656" s="21"/>
      <c r="B656" s="22"/>
      <c r="C656" s="64"/>
      <c r="D656" s="24"/>
      <c r="E656" s="23"/>
      <c r="F656" s="21"/>
      <c r="G656" s="28"/>
      <c r="H656" s="61"/>
      <c r="I656" s="22"/>
      <c r="J656" s="23"/>
    </row>
    <row r="657" spans="1:10" ht="60" customHeight="1" x14ac:dyDescent="0.55000000000000004">
      <c r="A657" s="21"/>
      <c r="B657" s="22"/>
      <c r="C657" s="70" t="s">
        <v>7664</v>
      </c>
      <c r="D657" s="24"/>
      <c r="E657" s="23"/>
      <c r="F657" s="21"/>
      <c r="G657" s="22"/>
      <c r="H657" s="70" t="s">
        <v>7667</v>
      </c>
      <c r="I657" s="22"/>
      <c r="J657" s="23"/>
    </row>
    <row r="658" spans="1:10" ht="27.6" customHeight="1" x14ac:dyDescent="0.15">
      <c r="A658" s="21"/>
      <c r="B658" s="22"/>
      <c r="C658" s="64"/>
      <c r="D658" s="24"/>
      <c r="E658" s="23"/>
      <c r="F658" s="21"/>
      <c r="G658" s="22"/>
      <c r="H658" s="64"/>
      <c r="I658" s="22"/>
      <c r="J658" s="23"/>
    </row>
    <row r="659" spans="1:10" ht="33.6" customHeight="1" x14ac:dyDescent="0.15">
      <c r="A659" s="21"/>
      <c r="B659" s="22" t="s">
        <v>7665</v>
      </c>
      <c r="C659" s="64"/>
      <c r="D659" s="24"/>
      <c r="E659" s="23"/>
      <c r="F659" s="21"/>
      <c r="G659" s="22" t="s">
        <v>7668</v>
      </c>
      <c r="H659" s="61"/>
      <c r="I659" s="24"/>
      <c r="J659" s="23"/>
    </row>
    <row r="660" spans="1:10" x14ac:dyDescent="0.15">
      <c r="A660" s="25"/>
      <c r="B660" s="26"/>
      <c r="C660" s="67"/>
      <c r="D660" s="59"/>
      <c r="E660" s="27"/>
      <c r="F660" s="25"/>
      <c r="G660" s="26"/>
      <c r="H660" s="63"/>
      <c r="I660" s="26"/>
      <c r="J660" s="27"/>
    </row>
    <row r="661" spans="1:10" x14ac:dyDescent="0.15">
      <c r="A661" s="18"/>
      <c r="B661" s="19"/>
      <c r="C661" s="66"/>
      <c r="D661" s="58"/>
      <c r="E661" s="20"/>
      <c r="F661" s="18"/>
      <c r="G661" s="19"/>
      <c r="H661" s="60"/>
      <c r="I661" s="19"/>
      <c r="J661" s="20"/>
    </row>
    <row r="662" spans="1:10" ht="40.15" customHeight="1" x14ac:dyDescent="0.15">
      <c r="A662" s="21"/>
      <c r="B662" s="22"/>
      <c r="C662" s="64"/>
      <c r="D662" s="24"/>
      <c r="E662" s="23"/>
      <c r="F662" s="21"/>
      <c r="G662" s="28"/>
      <c r="H662" s="61"/>
      <c r="I662" s="22"/>
      <c r="J662" s="23"/>
    </row>
    <row r="663" spans="1:10" ht="60" customHeight="1" x14ac:dyDescent="0.55000000000000004">
      <c r="A663" s="21"/>
      <c r="B663" s="22"/>
      <c r="C663" s="70" t="s">
        <v>7667</v>
      </c>
      <c r="D663" s="24"/>
      <c r="E663" s="23"/>
      <c r="F663" s="21"/>
      <c r="G663" s="22"/>
      <c r="H663" s="70" t="s">
        <v>3033</v>
      </c>
      <c r="I663" s="22"/>
      <c r="J663" s="23"/>
    </row>
    <row r="664" spans="1:10" ht="27.6" customHeight="1" x14ac:dyDescent="0.15">
      <c r="A664" s="21"/>
      <c r="B664" s="22"/>
      <c r="C664" s="64"/>
      <c r="D664" s="24"/>
      <c r="E664" s="23"/>
      <c r="F664" s="21"/>
      <c r="G664" s="22"/>
      <c r="H664" s="64"/>
      <c r="I664" s="22"/>
      <c r="J664" s="23"/>
    </row>
    <row r="665" spans="1:10" ht="33.6" customHeight="1" x14ac:dyDescent="0.15">
      <c r="A665" s="21"/>
      <c r="B665" s="22" t="s">
        <v>7670</v>
      </c>
      <c r="C665" s="64"/>
      <c r="D665" s="24"/>
      <c r="E665" s="23"/>
      <c r="F665" s="21"/>
      <c r="G665" s="22" t="s">
        <v>7671</v>
      </c>
      <c r="H665" s="61"/>
      <c r="I665" s="24"/>
      <c r="J665" s="23"/>
    </row>
    <row r="666" spans="1:10" x14ac:dyDescent="0.15">
      <c r="A666" s="25"/>
      <c r="B666" s="26"/>
      <c r="C666" s="67"/>
      <c r="D666" s="59"/>
      <c r="E666" s="27"/>
      <c r="F666" s="25"/>
      <c r="G666" s="26"/>
      <c r="H666" s="63"/>
      <c r="I666" s="26"/>
      <c r="J666" s="27"/>
    </row>
    <row r="667" spans="1:10" x14ac:dyDescent="0.15">
      <c r="A667" s="18"/>
      <c r="B667" s="19"/>
      <c r="C667" s="66"/>
      <c r="D667" s="58"/>
      <c r="E667" s="20"/>
      <c r="F667" s="18"/>
      <c r="G667" s="19"/>
      <c r="H667" s="60"/>
      <c r="I667" s="19"/>
      <c r="J667" s="20"/>
    </row>
    <row r="668" spans="1:10" ht="40.15" customHeight="1" x14ac:dyDescent="0.15">
      <c r="A668" s="21"/>
      <c r="B668" s="22"/>
      <c r="C668" s="64"/>
      <c r="D668" s="24"/>
      <c r="E668" s="23"/>
      <c r="F668" s="21"/>
      <c r="G668" s="28"/>
      <c r="H668" s="61"/>
      <c r="I668" s="22"/>
      <c r="J668" s="23"/>
    </row>
    <row r="669" spans="1:10" ht="60" customHeight="1" x14ac:dyDescent="0.55000000000000004">
      <c r="A669" s="21"/>
      <c r="B669" s="22"/>
      <c r="C669" s="70" t="s">
        <v>7673</v>
      </c>
      <c r="D669" s="24"/>
      <c r="E669" s="23"/>
      <c r="F669" s="21"/>
      <c r="G669" s="22"/>
      <c r="H669" s="70" t="s">
        <v>7676</v>
      </c>
      <c r="I669" s="22"/>
      <c r="J669" s="23"/>
    </row>
    <row r="670" spans="1:10" ht="27.6" customHeight="1" x14ac:dyDescent="0.15">
      <c r="A670" s="21"/>
      <c r="B670" s="22"/>
      <c r="C670" s="64"/>
      <c r="D670" s="24"/>
      <c r="E670" s="23"/>
      <c r="F670" s="21"/>
      <c r="G670" s="22"/>
      <c r="H670" s="64"/>
      <c r="I670" s="22"/>
      <c r="J670" s="23"/>
    </row>
    <row r="671" spans="1:10" ht="33.6" customHeight="1" x14ac:dyDescent="0.15">
      <c r="A671" s="21"/>
      <c r="B671" s="22" t="s">
        <v>7674</v>
      </c>
      <c r="C671" s="64"/>
      <c r="D671" s="24"/>
      <c r="E671" s="23"/>
      <c r="F671" s="21"/>
      <c r="G671" s="22" t="s">
        <v>7677</v>
      </c>
      <c r="H671" s="61"/>
      <c r="I671" s="24"/>
      <c r="J671" s="23"/>
    </row>
    <row r="672" spans="1:10" x14ac:dyDescent="0.15">
      <c r="A672" s="25"/>
      <c r="B672" s="26"/>
      <c r="C672" s="67"/>
      <c r="D672" s="59"/>
      <c r="E672" s="27"/>
      <c r="F672" s="25"/>
      <c r="G672" s="26"/>
      <c r="H672" s="63"/>
      <c r="I672" s="26"/>
      <c r="J672" s="27"/>
    </row>
    <row r="673" spans="1:10" x14ac:dyDescent="0.15">
      <c r="A673" s="18"/>
      <c r="B673" s="19"/>
      <c r="C673" s="66"/>
      <c r="D673" s="58"/>
      <c r="E673" s="20"/>
      <c r="F673" s="18"/>
      <c r="G673" s="19"/>
      <c r="H673" s="60"/>
      <c r="I673" s="19"/>
      <c r="J673" s="20"/>
    </row>
    <row r="674" spans="1:10" ht="40.15" customHeight="1" x14ac:dyDescent="0.15">
      <c r="A674" s="21"/>
      <c r="B674" s="22"/>
      <c r="C674" s="64"/>
      <c r="D674" s="24"/>
      <c r="E674" s="23"/>
      <c r="F674" s="21"/>
      <c r="G674" s="28"/>
      <c r="H674" s="61"/>
      <c r="I674" s="22"/>
      <c r="J674" s="23"/>
    </row>
    <row r="675" spans="1:10" ht="60" customHeight="1" x14ac:dyDescent="0.55000000000000004">
      <c r="A675" s="21"/>
      <c r="B675" s="22"/>
      <c r="C675" s="70" t="s">
        <v>7679</v>
      </c>
      <c r="D675" s="24"/>
      <c r="E675" s="23"/>
      <c r="F675" s="21"/>
      <c r="G675" s="22"/>
      <c r="H675" s="70" t="s">
        <v>7682</v>
      </c>
      <c r="I675" s="22"/>
      <c r="J675" s="23"/>
    </row>
    <row r="676" spans="1:10" ht="27.6" customHeight="1" x14ac:dyDescent="0.15">
      <c r="A676" s="21"/>
      <c r="B676" s="22"/>
      <c r="C676" s="64"/>
      <c r="D676" s="24"/>
      <c r="E676" s="23"/>
      <c r="F676" s="21"/>
      <c r="G676" s="22"/>
      <c r="H676" s="64"/>
      <c r="I676" s="22"/>
      <c r="J676" s="23"/>
    </row>
    <row r="677" spans="1:10" ht="33.6" customHeight="1" x14ac:dyDescent="0.15">
      <c r="A677" s="21"/>
      <c r="B677" s="22" t="s">
        <v>7680</v>
      </c>
      <c r="C677" s="64"/>
      <c r="D677" s="24"/>
      <c r="E677" s="23"/>
      <c r="F677" s="21"/>
      <c r="G677" s="22" t="s">
        <v>7683</v>
      </c>
      <c r="H677" s="61"/>
      <c r="I677" s="24"/>
      <c r="J677" s="23"/>
    </row>
    <row r="678" spans="1:10" x14ac:dyDescent="0.15">
      <c r="A678" s="25"/>
      <c r="B678" s="26"/>
      <c r="C678" s="67"/>
      <c r="D678" s="59"/>
      <c r="E678" s="27"/>
      <c r="F678" s="25"/>
      <c r="G678" s="26"/>
      <c r="H678" s="63"/>
      <c r="I678" s="26"/>
      <c r="J678" s="27"/>
    </row>
    <row r="679" spans="1:10" x14ac:dyDescent="0.15">
      <c r="A679" s="18"/>
      <c r="B679" s="19"/>
      <c r="C679" s="66"/>
      <c r="D679" s="58"/>
      <c r="E679" s="20"/>
      <c r="F679" s="18"/>
      <c r="G679" s="19"/>
      <c r="H679" s="60"/>
      <c r="I679" s="19"/>
      <c r="J679" s="20"/>
    </row>
    <row r="680" spans="1:10" ht="40.15" customHeight="1" x14ac:dyDescent="0.15">
      <c r="A680" s="21"/>
      <c r="B680" s="22"/>
      <c r="C680" s="64"/>
      <c r="D680" s="24"/>
      <c r="E680" s="23"/>
      <c r="F680" s="21"/>
      <c r="G680" s="28"/>
      <c r="H680" s="61"/>
      <c r="I680" s="22"/>
      <c r="J680" s="23"/>
    </row>
    <row r="681" spans="1:10" ht="60" customHeight="1" x14ac:dyDescent="0.55000000000000004">
      <c r="A681" s="21"/>
      <c r="B681" s="22"/>
      <c r="C681" s="70" t="s">
        <v>297</v>
      </c>
      <c r="D681" s="24"/>
      <c r="E681" s="23"/>
      <c r="F681" s="21"/>
      <c r="G681" s="22"/>
      <c r="H681" s="70" t="s">
        <v>7687</v>
      </c>
      <c r="I681" s="22"/>
      <c r="J681" s="23"/>
    </row>
    <row r="682" spans="1:10" ht="27.6" customHeight="1" x14ac:dyDescent="0.15">
      <c r="A682" s="21"/>
      <c r="B682" s="22"/>
      <c r="C682" s="64"/>
      <c r="D682" s="24"/>
      <c r="E682" s="23"/>
      <c r="F682" s="21"/>
      <c r="G682" s="22"/>
      <c r="H682" s="64"/>
      <c r="I682" s="22"/>
      <c r="J682" s="23"/>
    </row>
    <row r="683" spans="1:10" ht="33.6" customHeight="1" x14ac:dyDescent="0.15">
      <c r="A683" s="21"/>
      <c r="B683" s="22" t="s">
        <v>7685</v>
      </c>
      <c r="C683" s="64"/>
      <c r="D683" s="24"/>
      <c r="E683" s="23"/>
      <c r="F683" s="21"/>
      <c r="G683" s="22" t="s">
        <v>7688</v>
      </c>
      <c r="H683" s="61"/>
      <c r="I683" s="24"/>
      <c r="J683" s="23"/>
    </row>
    <row r="684" spans="1:10" x14ac:dyDescent="0.15">
      <c r="A684" s="25"/>
      <c r="B684" s="26"/>
      <c r="C684" s="67"/>
      <c r="D684" s="59"/>
      <c r="E684" s="27"/>
      <c r="F684" s="25"/>
      <c r="G684" s="26"/>
      <c r="H684" s="63"/>
      <c r="I684" s="26"/>
      <c r="J684" s="27"/>
    </row>
    <row r="685" spans="1:10" x14ac:dyDescent="0.15">
      <c r="A685" s="18"/>
      <c r="B685" s="19"/>
      <c r="C685" s="66"/>
      <c r="D685" s="58"/>
      <c r="E685" s="20"/>
      <c r="F685" s="18"/>
      <c r="G685" s="19"/>
      <c r="H685" s="60"/>
      <c r="I685" s="19"/>
      <c r="J685" s="20"/>
    </row>
    <row r="686" spans="1:10" ht="40.15" customHeight="1" x14ac:dyDescent="0.15">
      <c r="A686" s="21"/>
      <c r="B686" s="28" t="s">
        <v>7363</v>
      </c>
      <c r="C686" s="64"/>
      <c r="D686" s="24"/>
      <c r="E686" s="23"/>
      <c r="F686" s="21"/>
      <c r="G686" s="28" t="s">
        <v>7363</v>
      </c>
      <c r="H686" s="61"/>
      <c r="I686" s="22"/>
      <c r="J686" s="23"/>
    </row>
    <row r="687" spans="1:10" ht="60" customHeight="1" x14ac:dyDescent="0.4">
      <c r="A687" s="21"/>
      <c r="B687" s="22"/>
      <c r="C687" s="62" t="s">
        <v>7663</v>
      </c>
      <c r="D687" s="24"/>
      <c r="E687" s="23"/>
      <c r="F687" s="21"/>
      <c r="G687" s="22"/>
      <c r="H687" s="62" t="s">
        <v>7660</v>
      </c>
      <c r="I687" s="22"/>
      <c r="J687" s="23"/>
    </row>
    <row r="688" spans="1:10" ht="27.6" customHeight="1" x14ac:dyDescent="0.3">
      <c r="A688" s="21"/>
      <c r="B688" s="22"/>
      <c r="C688" s="69" t="s">
        <v>36</v>
      </c>
      <c r="D688" s="24"/>
      <c r="E688" s="23"/>
      <c r="F688" s="21"/>
      <c r="G688" s="22"/>
      <c r="H688" s="69" t="s">
        <v>61</v>
      </c>
      <c r="I688" s="22"/>
      <c r="J688" s="23"/>
    </row>
    <row r="689" spans="1:10" ht="33.6" customHeight="1" x14ac:dyDescent="0.15">
      <c r="A689" s="21"/>
      <c r="B689" s="22"/>
      <c r="C689" s="64"/>
      <c r="D689" s="24" t="s">
        <v>7361</v>
      </c>
      <c r="E689" s="23"/>
      <c r="F689" s="21"/>
      <c r="G689" s="22"/>
      <c r="H689" s="61"/>
      <c r="I689" s="24" t="s">
        <v>7361</v>
      </c>
      <c r="J689" s="23"/>
    </row>
    <row r="690" spans="1:10" x14ac:dyDescent="0.15">
      <c r="A690" s="25"/>
      <c r="B690" s="26"/>
      <c r="C690" s="67"/>
      <c r="D690" s="59"/>
      <c r="E690" s="27"/>
      <c r="F690" s="25"/>
      <c r="G690" s="26"/>
      <c r="H690" s="63"/>
      <c r="I690" s="26"/>
      <c r="J690" s="27"/>
    </row>
    <row r="691" spans="1:10" x14ac:dyDescent="0.15">
      <c r="A691" s="18"/>
      <c r="B691" s="19"/>
      <c r="C691" s="66"/>
      <c r="D691" s="58"/>
      <c r="E691" s="20"/>
      <c r="F691" s="18"/>
      <c r="G691" s="19"/>
      <c r="H691" s="60"/>
      <c r="I691" s="19"/>
      <c r="J691" s="20"/>
    </row>
    <row r="692" spans="1:10" ht="40.15" customHeight="1" x14ac:dyDescent="0.15">
      <c r="A692" s="21"/>
      <c r="B692" s="28" t="s">
        <v>7363</v>
      </c>
      <c r="C692" s="64"/>
      <c r="D692" s="24"/>
      <c r="E692" s="23"/>
      <c r="F692" s="21"/>
      <c r="G692" s="28" t="s">
        <v>7363</v>
      </c>
      <c r="H692" s="61"/>
      <c r="I692" s="22"/>
      <c r="J692" s="23"/>
    </row>
    <row r="693" spans="1:10" ht="60" customHeight="1" x14ac:dyDescent="0.4">
      <c r="A693" s="21"/>
      <c r="B693" s="22"/>
      <c r="C693" s="62" t="s">
        <v>7669</v>
      </c>
      <c r="D693" s="24"/>
      <c r="E693" s="23"/>
      <c r="F693" s="21"/>
      <c r="G693" s="22"/>
      <c r="H693" s="62" t="s">
        <v>7666</v>
      </c>
      <c r="I693" s="22"/>
      <c r="J693" s="23"/>
    </row>
    <row r="694" spans="1:10" ht="27.6" customHeight="1" x14ac:dyDescent="0.3">
      <c r="A694" s="21"/>
      <c r="B694" s="22"/>
      <c r="C694" s="69" t="s">
        <v>36</v>
      </c>
      <c r="D694" s="24"/>
      <c r="E694" s="23"/>
      <c r="F694" s="21"/>
      <c r="G694" s="22"/>
      <c r="H694" s="69" t="s">
        <v>36</v>
      </c>
      <c r="I694" s="22"/>
      <c r="J694" s="23"/>
    </row>
    <row r="695" spans="1:10" ht="33.6" customHeight="1" x14ac:dyDescent="0.15">
      <c r="A695" s="21"/>
      <c r="B695" s="22"/>
      <c r="C695" s="64"/>
      <c r="D695" s="24" t="s">
        <v>7361</v>
      </c>
      <c r="E695" s="23"/>
      <c r="F695" s="21"/>
      <c r="G695" s="22"/>
      <c r="H695" s="61"/>
      <c r="I695" s="24" t="s">
        <v>7361</v>
      </c>
      <c r="J695" s="23"/>
    </row>
    <row r="696" spans="1:10" x14ac:dyDescent="0.15">
      <c r="A696" s="25"/>
      <c r="B696" s="26"/>
      <c r="C696" s="67"/>
      <c r="D696" s="59"/>
      <c r="E696" s="27"/>
      <c r="F696" s="25"/>
      <c r="G696" s="26"/>
      <c r="H696" s="63"/>
      <c r="I696" s="26"/>
      <c r="J696" s="27"/>
    </row>
    <row r="697" spans="1:10" x14ac:dyDescent="0.15">
      <c r="A697" s="18"/>
      <c r="B697" s="19"/>
      <c r="C697" s="66"/>
      <c r="D697" s="58"/>
      <c r="E697" s="20"/>
      <c r="F697" s="18"/>
      <c r="G697" s="19"/>
      <c r="H697" s="60"/>
      <c r="I697" s="19"/>
      <c r="J697" s="20"/>
    </row>
    <row r="698" spans="1:10" ht="40.15" customHeight="1" x14ac:dyDescent="0.15">
      <c r="A698" s="21"/>
      <c r="B698" s="28" t="s">
        <v>7363</v>
      </c>
      <c r="C698" s="64"/>
      <c r="D698" s="24"/>
      <c r="E698" s="23"/>
      <c r="F698" s="21"/>
      <c r="G698" s="28" t="s">
        <v>7363</v>
      </c>
      <c r="H698" s="61"/>
      <c r="I698" s="22"/>
      <c r="J698" s="23"/>
    </row>
    <row r="699" spans="1:10" ht="60" customHeight="1" x14ac:dyDescent="0.4">
      <c r="A699" s="21"/>
      <c r="B699" s="22"/>
      <c r="C699" s="62" t="s">
        <v>7672</v>
      </c>
      <c r="D699" s="24"/>
      <c r="E699" s="23"/>
      <c r="F699" s="21"/>
      <c r="G699" s="22"/>
      <c r="H699" s="62" t="s">
        <v>2394</v>
      </c>
      <c r="I699" s="22"/>
      <c r="J699" s="23"/>
    </row>
    <row r="700" spans="1:10" ht="27.6" customHeight="1" x14ac:dyDescent="0.3">
      <c r="A700" s="21"/>
      <c r="B700" s="22"/>
      <c r="C700" s="69" t="s">
        <v>36</v>
      </c>
      <c r="D700" s="24"/>
      <c r="E700" s="23"/>
      <c r="F700" s="21"/>
      <c r="G700" s="22"/>
      <c r="H700" s="69" t="s">
        <v>61</v>
      </c>
      <c r="I700" s="22"/>
      <c r="J700" s="23"/>
    </row>
    <row r="701" spans="1:10" ht="33.6" customHeight="1" x14ac:dyDescent="0.15">
      <c r="A701" s="21"/>
      <c r="B701" s="22"/>
      <c r="C701" s="64"/>
      <c r="D701" s="24" t="s">
        <v>7361</v>
      </c>
      <c r="E701" s="23"/>
      <c r="F701" s="21"/>
      <c r="G701" s="22"/>
      <c r="H701" s="61"/>
      <c r="I701" s="24" t="s">
        <v>7361</v>
      </c>
      <c r="J701" s="23"/>
    </row>
    <row r="702" spans="1:10" x14ac:dyDescent="0.15">
      <c r="A702" s="25"/>
      <c r="B702" s="26"/>
      <c r="C702" s="67"/>
      <c r="D702" s="59"/>
      <c r="E702" s="27"/>
      <c r="F702" s="25"/>
      <c r="G702" s="26"/>
      <c r="H702" s="63"/>
      <c r="I702" s="26"/>
      <c r="J702" s="27"/>
    </row>
    <row r="703" spans="1:10" x14ac:dyDescent="0.15">
      <c r="A703" s="18"/>
      <c r="B703" s="19"/>
      <c r="C703" s="66"/>
      <c r="D703" s="58"/>
      <c r="E703" s="20"/>
      <c r="F703" s="18"/>
      <c r="G703" s="19"/>
      <c r="H703" s="60"/>
      <c r="I703" s="19"/>
      <c r="J703" s="20"/>
    </row>
    <row r="704" spans="1:10" ht="40.15" customHeight="1" x14ac:dyDescent="0.15">
      <c r="A704" s="21"/>
      <c r="B704" s="28" t="s">
        <v>7363</v>
      </c>
      <c r="C704" s="64"/>
      <c r="D704" s="24"/>
      <c r="E704" s="23"/>
      <c r="F704" s="21"/>
      <c r="G704" s="28" t="s">
        <v>7363</v>
      </c>
      <c r="H704" s="61"/>
      <c r="I704" s="22"/>
      <c r="J704" s="23"/>
    </row>
    <row r="705" spans="1:10" ht="60" customHeight="1" x14ac:dyDescent="0.4">
      <c r="A705" s="21"/>
      <c r="B705" s="22"/>
      <c r="C705" s="62" t="s">
        <v>7678</v>
      </c>
      <c r="D705" s="24"/>
      <c r="E705" s="23"/>
      <c r="F705" s="21"/>
      <c r="G705" s="22"/>
      <c r="H705" s="62" t="s">
        <v>7675</v>
      </c>
      <c r="I705" s="22"/>
      <c r="J705" s="23"/>
    </row>
    <row r="706" spans="1:10" ht="27.6" customHeight="1" x14ac:dyDescent="0.3">
      <c r="A706" s="21"/>
      <c r="B706" s="22"/>
      <c r="C706" s="69" t="s">
        <v>36</v>
      </c>
      <c r="D706" s="24"/>
      <c r="E706" s="23"/>
      <c r="F706" s="21"/>
      <c r="G706" s="22"/>
      <c r="H706" s="69" t="s">
        <v>157</v>
      </c>
      <c r="I706" s="22"/>
      <c r="J706" s="23"/>
    </row>
    <row r="707" spans="1:10" ht="33.6" customHeight="1" x14ac:dyDescent="0.15">
      <c r="A707" s="21"/>
      <c r="B707" s="22"/>
      <c r="C707" s="64"/>
      <c r="D707" s="24" t="s">
        <v>7361</v>
      </c>
      <c r="E707" s="23"/>
      <c r="F707" s="21"/>
      <c r="G707" s="22"/>
      <c r="H707" s="61"/>
      <c r="I707" s="24" t="s">
        <v>7361</v>
      </c>
      <c r="J707" s="23"/>
    </row>
    <row r="708" spans="1:10" x14ac:dyDescent="0.15">
      <c r="A708" s="25"/>
      <c r="B708" s="26"/>
      <c r="C708" s="67"/>
      <c r="D708" s="59"/>
      <c r="E708" s="27"/>
      <c r="F708" s="25"/>
      <c r="G708" s="26"/>
      <c r="H708" s="63"/>
      <c r="I708" s="26"/>
      <c r="J708" s="27"/>
    </row>
    <row r="709" spans="1:10" x14ac:dyDescent="0.15">
      <c r="A709" s="18"/>
      <c r="B709" s="19"/>
      <c r="C709" s="66"/>
      <c r="D709" s="58"/>
      <c r="E709" s="20"/>
      <c r="F709" s="18"/>
      <c r="G709" s="19"/>
      <c r="H709" s="60"/>
      <c r="I709" s="19"/>
      <c r="J709" s="20"/>
    </row>
    <row r="710" spans="1:10" ht="40.15" customHeight="1" x14ac:dyDescent="0.15">
      <c r="A710" s="21"/>
      <c r="B710" s="28" t="s">
        <v>7363</v>
      </c>
      <c r="C710" s="64"/>
      <c r="D710" s="24"/>
      <c r="E710" s="23"/>
      <c r="F710" s="21"/>
      <c r="G710" s="28" t="s">
        <v>7363</v>
      </c>
      <c r="H710" s="61"/>
      <c r="I710" s="22"/>
      <c r="J710" s="23"/>
    </row>
    <row r="711" spans="1:10" ht="60" customHeight="1" x14ac:dyDescent="0.4">
      <c r="A711" s="21"/>
      <c r="B711" s="22"/>
      <c r="C711" s="62" t="s">
        <v>7684</v>
      </c>
      <c r="D711" s="24"/>
      <c r="E711" s="23"/>
      <c r="F711" s="21"/>
      <c r="G711" s="22"/>
      <c r="H711" s="62" t="s">
        <v>7681</v>
      </c>
      <c r="I711" s="22"/>
      <c r="J711" s="23"/>
    </row>
    <row r="712" spans="1:10" ht="27.6" customHeight="1" x14ac:dyDescent="0.3">
      <c r="A712" s="21"/>
      <c r="B712" s="22"/>
      <c r="C712" s="69" t="s">
        <v>36</v>
      </c>
      <c r="D712" s="24"/>
      <c r="E712" s="23"/>
      <c r="F712" s="21"/>
      <c r="G712" s="22"/>
      <c r="H712" s="69" t="s">
        <v>36</v>
      </c>
      <c r="I712" s="22"/>
      <c r="J712" s="23"/>
    </row>
    <row r="713" spans="1:10" ht="33.6" customHeight="1" x14ac:dyDescent="0.15">
      <c r="A713" s="21"/>
      <c r="B713" s="22"/>
      <c r="C713" s="64"/>
      <c r="D713" s="24" t="s">
        <v>7361</v>
      </c>
      <c r="E713" s="23"/>
      <c r="F713" s="21"/>
      <c r="G713" s="22"/>
      <c r="H713" s="61"/>
      <c r="I713" s="24" t="s">
        <v>7361</v>
      </c>
      <c r="J713" s="23"/>
    </row>
    <row r="714" spans="1:10" x14ac:dyDescent="0.15">
      <c r="A714" s="25"/>
      <c r="B714" s="26"/>
      <c r="C714" s="67"/>
      <c r="D714" s="59"/>
      <c r="E714" s="27"/>
      <c r="F714" s="25"/>
      <c r="G714" s="26"/>
      <c r="H714" s="63"/>
      <c r="I714" s="26"/>
      <c r="J714" s="27"/>
    </row>
    <row r="715" spans="1:10" x14ac:dyDescent="0.15">
      <c r="A715" s="18"/>
      <c r="B715" s="19"/>
      <c r="C715" s="66"/>
      <c r="D715" s="58"/>
      <c r="E715" s="20"/>
      <c r="F715" s="18"/>
      <c r="G715" s="19"/>
      <c r="H715" s="60"/>
      <c r="I715" s="19"/>
      <c r="J715" s="20"/>
    </row>
    <row r="716" spans="1:10" ht="40.15" customHeight="1" x14ac:dyDescent="0.15">
      <c r="A716" s="21"/>
      <c r="B716" s="28" t="s">
        <v>7363</v>
      </c>
      <c r="C716" s="64"/>
      <c r="D716" s="24"/>
      <c r="E716" s="23"/>
      <c r="F716" s="21"/>
      <c r="G716" s="28" t="s">
        <v>7363</v>
      </c>
      <c r="H716" s="61"/>
      <c r="I716" s="22"/>
      <c r="J716" s="23"/>
    </row>
    <row r="717" spans="1:10" ht="60" customHeight="1" x14ac:dyDescent="0.4">
      <c r="A717" s="21"/>
      <c r="B717" s="22"/>
      <c r="C717" s="62" t="s">
        <v>7689</v>
      </c>
      <c r="D717" s="24"/>
      <c r="E717" s="23"/>
      <c r="F717" s="21"/>
      <c r="G717" s="22"/>
      <c r="H717" s="62" t="s">
        <v>7686</v>
      </c>
      <c r="I717" s="22"/>
      <c r="J717" s="23"/>
    </row>
    <row r="718" spans="1:10" ht="27.6" customHeight="1" x14ac:dyDescent="0.3">
      <c r="A718" s="21"/>
      <c r="B718" s="22"/>
      <c r="C718" s="69" t="s">
        <v>73</v>
      </c>
      <c r="D718" s="24"/>
      <c r="E718" s="23"/>
      <c r="F718" s="21"/>
      <c r="G718" s="22"/>
      <c r="H718" s="69" t="s">
        <v>36</v>
      </c>
      <c r="I718" s="22"/>
      <c r="J718" s="23"/>
    </row>
    <row r="719" spans="1:10" ht="33.6" customHeight="1" x14ac:dyDescent="0.15">
      <c r="A719" s="21"/>
      <c r="B719" s="22"/>
      <c r="C719" s="64"/>
      <c r="D719" s="24" t="s">
        <v>7361</v>
      </c>
      <c r="E719" s="23"/>
      <c r="F719" s="21"/>
      <c r="G719" s="22"/>
      <c r="H719" s="61"/>
      <c r="I719" s="24" t="s">
        <v>7361</v>
      </c>
      <c r="J719" s="23"/>
    </row>
    <row r="720" spans="1:10" x14ac:dyDescent="0.15">
      <c r="A720" s="25"/>
      <c r="B720" s="26"/>
      <c r="C720" s="67"/>
      <c r="D720" s="59"/>
      <c r="E720" s="27"/>
      <c r="F720" s="25"/>
      <c r="G720" s="26"/>
      <c r="H720" s="63"/>
      <c r="I720" s="26"/>
      <c r="J720" s="27"/>
    </row>
    <row r="721" spans="1:10" x14ac:dyDescent="0.15">
      <c r="A721" s="18"/>
      <c r="B721" s="19"/>
      <c r="C721" s="66"/>
      <c r="D721" s="58"/>
      <c r="E721" s="20"/>
      <c r="F721" s="18"/>
      <c r="G721" s="19"/>
      <c r="H721" s="60"/>
      <c r="I721" s="19"/>
      <c r="J721" s="20"/>
    </row>
    <row r="722" spans="1:10" ht="40.15" customHeight="1" x14ac:dyDescent="0.15">
      <c r="A722" s="21"/>
      <c r="B722" s="22"/>
      <c r="C722" s="64"/>
      <c r="D722" s="24"/>
      <c r="E722" s="23"/>
      <c r="F722" s="21"/>
      <c r="G722" s="28"/>
      <c r="H722" s="61"/>
      <c r="I722" s="22"/>
      <c r="J722" s="23"/>
    </row>
    <row r="723" spans="1:10" ht="60" customHeight="1" x14ac:dyDescent="0.55000000000000004">
      <c r="A723" s="21"/>
      <c r="B723" s="22"/>
      <c r="C723" s="70" t="s">
        <v>7690</v>
      </c>
      <c r="D723" s="24"/>
      <c r="E723" s="23"/>
      <c r="F723" s="21"/>
      <c r="G723" s="22"/>
      <c r="H723" s="70" t="s">
        <v>7693</v>
      </c>
      <c r="I723" s="22"/>
      <c r="J723" s="23"/>
    </row>
    <row r="724" spans="1:10" ht="27.6" customHeight="1" x14ac:dyDescent="0.15">
      <c r="A724" s="21"/>
      <c r="B724" s="22"/>
      <c r="C724" s="64"/>
      <c r="D724" s="24"/>
      <c r="E724" s="23"/>
      <c r="F724" s="21"/>
      <c r="G724" s="22"/>
      <c r="H724" s="64"/>
      <c r="I724" s="22"/>
      <c r="J724" s="23"/>
    </row>
    <row r="725" spans="1:10" ht="33.6" customHeight="1" x14ac:dyDescent="0.15">
      <c r="A725" s="21"/>
      <c r="B725" s="22" t="s">
        <v>7691</v>
      </c>
      <c r="C725" s="64"/>
      <c r="D725" s="24"/>
      <c r="E725" s="23"/>
      <c r="F725" s="21"/>
      <c r="G725" s="22" t="s">
        <v>7694</v>
      </c>
      <c r="H725" s="61"/>
      <c r="I725" s="24"/>
      <c r="J725" s="23"/>
    </row>
    <row r="726" spans="1:10" x14ac:dyDescent="0.15">
      <c r="A726" s="25"/>
      <c r="B726" s="26"/>
      <c r="C726" s="67"/>
      <c r="D726" s="59"/>
      <c r="E726" s="27"/>
      <c r="F726" s="25"/>
      <c r="G726" s="26"/>
      <c r="H726" s="63"/>
      <c r="I726" s="26"/>
      <c r="J726" s="27"/>
    </row>
    <row r="727" spans="1:10" x14ac:dyDescent="0.15">
      <c r="A727" s="18"/>
      <c r="B727" s="19"/>
      <c r="C727" s="66"/>
      <c r="D727" s="58"/>
      <c r="E727" s="20"/>
      <c r="F727" s="18"/>
      <c r="G727" s="19"/>
      <c r="H727" s="60"/>
      <c r="I727" s="19"/>
      <c r="J727" s="20"/>
    </row>
    <row r="728" spans="1:10" ht="40.15" customHeight="1" x14ac:dyDescent="0.15">
      <c r="A728" s="21"/>
      <c r="B728" s="22"/>
      <c r="C728" s="64"/>
      <c r="D728" s="24"/>
      <c r="E728" s="23"/>
      <c r="F728" s="21"/>
      <c r="G728" s="28"/>
      <c r="H728" s="61"/>
      <c r="I728" s="22"/>
      <c r="J728" s="23"/>
    </row>
    <row r="729" spans="1:10" ht="60" customHeight="1" x14ac:dyDescent="0.55000000000000004">
      <c r="A729" s="21"/>
      <c r="B729" s="22"/>
      <c r="C729" s="70" t="s">
        <v>828</v>
      </c>
      <c r="D729" s="24"/>
      <c r="E729" s="23"/>
      <c r="F729" s="21"/>
      <c r="G729" s="22"/>
      <c r="H729" s="70" t="s">
        <v>7698</v>
      </c>
      <c r="I729" s="22"/>
      <c r="J729" s="23"/>
    </row>
    <row r="730" spans="1:10" ht="27.6" customHeight="1" x14ac:dyDescent="0.15">
      <c r="A730" s="21"/>
      <c r="B730" s="22"/>
      <c r="C730" s="64"/>
      <c r="D730" s="24"/>
      <c r="E730" s="23"/>
      <c r="F730" s="21"/>
      <c r="G730" s="22"/>
      <c r="H730" s="64"/>
      <c r="I730" s="22"/>
      <c r="J730" s="23"/>
    </row>
    <row r="731" spans="1:10" ht="33.6" customHeight="1" x14ac:dyDescent="0.15">
      <c r="A731" s="21"/>
      <c r="B731" s="22" t="s">
        <v>7696</v>
      </c>
      <c r="C731" s="64"/>
      <c r="D731" s="24"/>
      <c r="E731" s="23"/>
      <c r="F731" s="21"/>
      <c r="G731" s="22" t="s">
        <v>7699</v>
      </c>
      <c r="H731" s="61"/>
      <c r="I731" s="24"/>
      <c r="J731" s="23"/>
    </row>
    <row r="732" spans="1:10" x14ac:dyDescent="0.15">
      <c r="A732" s="25"/>
      <c r="B732" s="26"/>
      <c r="C732" s="67"/>
      <c r="D732" s="59"/>
      <c r="E732" s="27"/>
      <c r="F732" s="25"/>
      <c r="G732" s="26"/>
      <c r="H732" s="63"/>
      <c r="I732" s="26"/>
      <c r="J732" s="27"/>
    </row>
    <row r="733" spans="1:10" x14ac:dyDescent="0.15">
      <c r="A733" s="18"/>
      <c r="B733" s="19"/>
      <c r="C733" s="66"/>
      <c r="D733" s="58"/>
      <c r="E733" s="20"/>
      <c r="F733" s="18"/>
      <c r="G733" s="19"/>
      <c r="H733" s="60"/>
      <c r="I733" s="19"/>
      <c r="J733" s="20"/>
    </row>
    <row r="734" spans="1:10" ht="40.15" customHeight="1" x14ac:dyDescent="0.15">
      <c r="A734" s="21"/>
      <c r="B734" s="22"/>
      <c r="C734" s="64"/>
      <c r="D734" s="24"/>
      <c r="E734" s="23"/>
      <c r="F734" s="21"/>
      <c r="G734" s="28"/>
      <c r="H734" s="61"/>
      <c r="I734" s="22"/>
      <c r="J734" s="23"/>
    </row>
    <row r="735" spans="1:10" ht="60" customHeight="1" x14ac:dyDescent="0.55000000000000004">
      <c r="A735" s="21"/>
      <c r="B735" s="22"/>
      <c r="C735" s="70" t="s">
        <v>7701</v>
      </c>
      <c r="D735" s="24"/>
      <c r="E735" s="23"/>
      <c r="F735" s="21"/>
      <c r="G735" s="22"/>
      <c r="H735" s="70" t="s">
        <v>250</v>
      </c>
      <c r="I735" s="22"/>
      <c r="J735" s="23"/>
    </row>
    <row r="736" spans="1:10" ht="27.6" customHeight="1" x14ac:dyDescent="0.15">
      <c r="A736" s="21"/>
      <c r="B736" s="22"/>
      <c r="C736" s="64"/>
      <c r="D736" s="24"/>
      <c r="E736" s="23"/>
      <c r="F736" s="21"/>
      <c r="G736" s="22"/>
      <c r="H736" s="64"/>
      <c r="I736" s="22"/>
      <c r="J736" s="23"/>
    </row>
    <row r="737" spans="1:10" ht="33.6" customHeight="1" x14ac:dyDescent="0.15">
      <c r="A737" s="21"/>
      <c r="B737" s="22" t="s">
        <v>7702</v>
      </c>
      <c r="C737" s="64"/>
      <c r="D737" s="24"/>
      <c r="E737" s="23"/>
      <c r="F737" s="21"/>
      <c r="G737" s="22" t="s">
        <v>7704</v>
      </c>
      <c r="H737" s="61"/>
      <c r="I737" s="24"/>
      <c r="J737" s="23"/>
    </row>
    <row r="738" spans="1:10" x14ac:dyDescent="0.15">
      <c r="A738" s="25"/>
      <c r="B738" s="26"/>
      <c r="C738" s="67"/>
      <c r="D738" s="59"/>
      <c r="E738" s="27"/>
      <c r="F738" s="25"/>
      <c r="G738" s="26"/>
      <c r="H738" s="63"/>
      <c r="I738" s="26"/>
      <c r="J738" s="27"/>
    </row>
    <row r="739" spans="1:10" x14ac:dyDescent="0.15">
      <c r="A739" s="18"/>
      <c r="B739" s="19"/>
      <c r="C739" s="66"/>
      <c r="D739" s="58"/>
      <c r="E739" s="20"/>
      <c r="F739" s="18"/>
      <c r="G739" s="19"/>
      <c r="H739" s="60"/>
      <c r="I739" s="19"/>
      <c r="J739" s="20"/>
    </row>
    <row r="740" spans="1:10" ht="40.15" customHeight="1" x14ac:dyDescent="0.15">
      <c r="A740" s="21"/>
      <c r="B740" s="22"/>
      <c r="C740" s="64"/>
      <c r="D740" s="24"/>
      <c r="E740" s="23"/>
      <c r="F740" s="21"/>
      <c r="G740" s="28"/>
      <c r="H740" s="61"/>
      <c r="I740" s="22"/>
      <c r="J740" s="23"/>
    </row>
    <row r="741" spans="1:10" ht="60" customHeight="1" x14ac:dyDescent="0.55000000000000004">
      <c r="A741" s="21"/>
      <c r="B741" s="22"/>
      <c r="C741" s="70" t="s">
        <v>7706</v>
      </c>
      <c r="D741" s="24"/>
      <c r="E741" s="23"/>
      <c r="F741" s="21"/>
      <c r="G741" s="22"/>
      <c r="H741" s="70" t="s">
        <v>7706</v>
      </c>
      <c r="I741" s="22"/>
      <c r="J741" s="23"/>
    </row>
    <row r="742" spans="1:10" ht="27.6" customHeight="1" x14ac:dyDescent="0.15">
      <c r="A742" s="21"/>
      <c r="B742" s="22"/>
      <c r="C742" s="64"/>
      <c r="D742" s="24"/>
      <c r="E742" s="23"/>
      <c r="F742" s="21"/>
      <c r="G742" s="22"/>
      <c r="H742" s="64"/>
      <c r="I742" s="22"/>
      <c r="J742" s="23"/>
    </row>
    <row r="743" spans="1:10" ht="33.6" customHeight="1" x14ac:dyDescent="0.15">
      <c r="A743" s="21"/>
      <c r="B743" s="22" t="s">
        <v>7707</v>
      </c>
      <c r="C743" s="64"/>
      <c r="D743" s="24"/>
      <c r="E743" s="23"/>
      <c r="F743" s="21"/>
      <c r="G743" s="22" t="s">
        <v>7709</v>
      </c>
      <c r="H743" s="61"/>
      <c r="I743" s="24"/>
      <c r="J743" s="23"/>
    </row>
    <row r="744" spans="1:10" x14ac:dyDescent="0.15">
      <c r="A744" s="25"/>
      <c r="B744" s="26"/>
      <c r="C744" s="67"/>
      <c r="D744" s="59"/>
      <c r="E744" s="27"/>
      <c r="F744" s="25"/>
      <c r="G744" s="26"/>
      <c r="H744" s="63"/>
      <c r="I744" s="26"/>
      <c r="J744" s="27"/>
    </row>
    <row r="745" spans="1:10" x14ac:dyDescent="0.15">
      <c r="A745" s="18"/>
      <c r="B745" s="19"/>
      <c r="C745" s="66"/>
      <c r="D745" s="58"/>
      <c r="E745" s="20"/>
      <c r="F745" s="18"/>
      <c r="G745" s="19"/>
      <c r="H745" s="60"/>
      <c r="I745" s="19"/>
      <c r="J745" s="20"/>
    </row>
    <row r="746" spans="1:10" ht="40.15" customHeight="1" x14ac:dyDescent="0.15">
      <c r="A746" s="21"/>
      <c r="B746" s="22"/>
      <c r="C746" s="64"/>
      <c r="D746" s="24"/>
      <c r="E746" s="23"/>
      <c r="F746" s="21"/>
      <c r="G746" s="28"/>
      <c r="H746" s="61"/>
      <c r="I746" s="22"/>
      <c r="J746" s="23"/>
    </row>
    <row r="747" spans="1:10" ht="60" customHeight="1" x14ac:dyDescent="0.55000000000000004">
      <c r="A747" s="21"/>
      <c r="B747" s="22"/>
      <c r="C747" s="70" t="s">
        <v>7711</v>
      </c>
      <c r="D747" s="24"/>
      <c r="E747" s="23"/>
      <c r="F747" s="21"/>
      <c r="G747" s="22"/>
      <c r="H747" s="70" t="s">
        <v>375</v>
      </c>
      <c r="I747" s="22"/>
      <c r="J747" s="23"/>
    </row>
    <row r="748" spans="1:10" ht="27.6" customHeight="1" x14ac:dyDescent="0.15">
      <c r="A748" s="21"/>
      <c r="B748" s="22"/>
      <c r="C748" s="64"/>
      <c r="D748" s="24"/>
      <c r="E748" s="23"/>
      <c r="F748" s="21"/>
      <c r="G748" s="22"/>
      <c r="H748" s="64"/>
      <c r="I748" s="22"/>
      <c r="J748" s="23"/>
    </row>
    <row r="749" spans="1:10" ht="33.6" customHeight="1" x14ac:dyDescent="0.15">
      <c r="A749" s="21"/>
      <c r="B749" s="22" t="s">
        <v>7712</v>
      </c>
      <c r="C749" s="64"/>
      <c r="D749" s="24"/>
      <c r="E749" s="23"/>
      <c r="F749" s="21"/>
      <c r="G749" s="22" t="s">
        <v>7714</v>
      </c>
      <c r="H749" s="61"/>
      <c r="I749" s="24"/>
      <c r="J749" s="23"/>
    </row>
    <row r="750" spans="1:10" x14ac:dyDescent="0.15">
      <c r="A750" s="25"/>
      <c r="B750" s="26"/>
      <c r="C750" s="67"/>
      <c r="D750" s="59"/>
      <c r="E750" s="27"/>
      <c r="F750" s="25"/>
      <c r="G750" s="26"/>
      <c r="H750" s="63"/>
      <c r="I750" s="26"/>
      <c r="J750" s="27"/>
    </row>
    <row r="751" spans="1:10" x14ac:dyDescent="0.15">
      <c r="A751" s="18"/>
      <c r="B751" s="19"/>
      <c r="C751" s="66"/>
      <c r="D751" s="58"/>
      <c r="E751" s="20"/>
      <c r="F751" s="18"/>
      <c r="G751" s="19"/>
      <c r="H751" s="60"/>
      <c r="I751" s="19"/>
      <c r="J751" s="20"/>
    </row>
    <row r="752" spans="1:10" ht="40.15" customHeight="1" x14ac:dyDescent="0.15">
      <c r="A752" s="21"/>
      <c r="B752" s="22"/>
      <c r="C752" s="64"/>
      <c r="D752" s="24"/>
      <c r="E752" s="23"/>
      <c r="F752" s="21"/>
      <c r="G752" s="28"/>
      <c r="H752" s="61"/>
      <c r="I752" s="22"/>
      <c r="J752" s="23"/>
    </row>
    <row r="753" spans="1:10" ht="60" customHeight="1" x14ac:dyDescent="0.55000000000000004">
      <c r="A753" s="21"/>
      <c r="B753" s="22"/>
      <c r="C753" s="70" t="s">
        <v>7715</v>
      </c>
      <c r="D753" s="24"/>
      <c r="E753" s="23"/>
      <c r="F753" s="21"/>
      <c r="G753" s="22"/>
      <c r="H753" s="70" t="s">
        <v>7718</v>
      </c>
      <c r="I753" s="22"/>
      <c r="J753" s="23"/>
    </row>
    <row r="754" spans="1:10" ht="27.6" customHeight="1" x14ac:dyDescent="0.15">
      <c r="A754" s="21"/>
      <c r="B754" s="22"/>
      <c r="C754" s="64"/>
      <c r="D754" s="24"/>
      <c r="E754" s="23"/>
      <c r="F754" s="21"/>
      <c r="G754" s="22"/>
      <c r="H754" s="64"/>
      <c r="I754" s="22"/>
      <c r="J754" s="23"/>
    </row>
    <row r="755" spans="1:10" ht="33.6" customHeight="1" x14ac:dyDescent="0.15">
      <c r="A755" s="21"/>
      <c r="B755" s="22" t="s">
        <v>7716</v>
      </c>
      <c r="C755" s="64"/>
      <c r="D755" s="24"/>
      <c r="E755" s="23"/>
      <c r="F755" s="21"/>
      <c r="G755" s="22" t="s">
        <v>7719</v>
      </c>
      <c r="H755" s="61"/>
      <c r="I755" s="24"/>
      <c r="J755" s="23"/>
    </row>
    <row r="756" spans="1:10" x14ac:dyDescent="0.15">
      <c r="A756" s="25"/>
      <c r="B756" s="26"/>
      <c r="C756" s="67"/>
      <c r="D756" s="59"/>
      <c r="E756" s="27"/>
      <c r="F756" s="25"/>
      <c r="G756" s="26"/>
      <c r="H756" s="63"/>
      <c r="I756" s="26"/>
      <c r="J756" s="27"/>
    </row>
    <row r="757" spans="1:10" x14ac:dyDescent="0.15">
      <c r="A757" s="18"/>
      <c r="B757" s="19"/>
      <c r="C757" s="66"/>
      <c r="D757" s="58"/>
      <c r="E757" s="20"/>
      <c r="F757" s="18"/>
      <c r="G757" s="19"/>
      <c r="H757" s="60"/>
      <c r="I757" s="19"/>
      <c r="J757" s="20"/>
    </row>
    <row r="758" spans="1:10" ht="40.15" customHeight="1" x14ac:dyDescent="0.15">
      <c r="A758" s="21"/>
      <c r="B758" s="28" t="s">
        <v>7363</v>
      </c>
      <c r="C758" s="64"/>
      <c r="D758" s="24"/>
      <c r="E758" s="23"/>
      <c r="F758" s="21"/>
      <c r="G758" s="28" t="s">
        <v>7363</v>
      </c>
      <c r="H758" s="61"/>
      <c r="I758" s="22"/>
      <c r="J758" s="23"/>
    </row>
    <row r="759" spans="1:10" ht="60" customHeight="1" x14ac:dyDescent="0.4">
      <c r="A759" s="21"/>
      <c r="B759" s="22"/>
      <c r="C759" s="62" t="s">
        <v>7695</v>
      </c>
      <c r="D759" s="24"/>
      <c r="E759" s="23"/>
      <c r="F759" s="21"/>
      <c r="G759" s="22"/>
      <c r="H759" s="62" t="s">
        <v>7692</v>
      </c>
      <c r="I759" s="22"/>
      <c r="J759" s="23"/>
    </row>
    <row r="760" spans="1:10" ht="27.6" customHeight="1" x14ac:dyDescent="0.3">
      <c r="A760" s="21"/>
      <c r="B760" s="22"/>
      <c r="C760" s="69" t="s">
        <v>73</v>
      </c>
      <c r="D760" s="24"/>
      <c r="E760" s="23"/>
      <c r="F760" s="21"/>
      <c r="G760" s="22"/>
      <c r="H760" s="69" t="s">
        <v>73</v>
      </c>
      <c r="I760" s="22"/>
      <c r="J760" s="23"/>
    </row>
    <row r="761" spans="1:10" ht="33.6" customHeight="1" x14ac:dyDescent="0.15">
      <c r="A761" s="21"/>
      <c r="B761" s="22"/>
      <c r="C761" s="64"/>
      <c r="D761" s="24" t="s">
        <v>7362</v>
      </c>
      <c r="E761" s="23"/>
      <c r="F761" s="21"/>
      <c r="G761" s="22"/>
      <c r="H761" s="61"/>
      <c r="I761" s="24" t="s">
        <v>7362</v>
      </c>
      <c r="J761" s="23"/>
    </row>
    <row r="762" spans="1:10" x14ac:dyDescent="0.15">
      <c r="A762" s="25"/>
      <c r="B762" s="26"/>
      <c r="C762" s="67"/>
      <c r="D762" s="59"/>
      <c r="E762" s="27"/>
      <c r="F762" s="25"/>
      <c r="G762" s="26"/>
      <c r="H762" s="63"/>
      <c r="I762" s="26"/>
      <c r="J762" s="27"/>
    </row>
    <row r="763" spans="1:10" x14ac:dyDescent="0.15">
      <c r="A763" s="18"/>
      <c r="B763" s="19"/>
      <c r="C763" s="66"/>
      <c r="D763" s="58"/>
      <c r="E763" s="20"/>
      <c r="F763" s="18"/>
      <c r="G763" s="19"/>
      <c r="H763" s="60"/>
      <c r="I763" s="19"/>
      <c r="J763" s="20"/>
    </row>
    <row r="764" spans="1:10" ht="40.15" customHeight="1" x14ac:dyDescent="0.15">
      <c r="A764" s="21"/>
      <c r="B764" s="28" t="s">
        <v>7363</v>
      </c>
      <c r="C764" s="64"/>
      <c r="D764" s="24"/>
      <c r="E764" s="23"/>
      <c r="F764" s="21"/>
      <c r="G764" s="28" t="s">
        <v>7363</v>
      </c>
      <c r="H764" s="61"/>
      <c r="I764" s="22"/>
      <c r="J764" s="23"/>
    </row>
    <row r="765" spans="1:10" ht="60" customHeight="1" x14ac:dyDescent="0.4">
      <c r="A765" s="21"/>
      <c r="B765" s="22"/>
      <c r="C765" s="62" t="s">
        <v>7700</v>
      </c>
      <c r="D765" s="24"/>
      <c r="E765" s="23"/>
      <c r="F765" s="21"/>
      <c r="G765" s="22"/>
      <c r="H765" s="62" t="s">
        <v>7697</v>
      </c>
      <c r="I765" s="22"/>
      <c r="J765" s="23"/>
    </row>
    <row r="766" spans="1:10" ht="27.6" customHeight="1" x14ac:dyDescent="0.3">
      <c r="A766" s="21"/>
      <c r="B766" s="22"/>
      <c r="C766" s="69" t="s">
        <v>73</v>
      </c>
      <c r="D766" s="24"/>
      <c r="E766" s="23"/>
      <c r="F766" s="21"/>
      <c r="G766" s="22"/>
      <c r="H766" s="69" t="s">
        <v>61</v>
      </c>
      <c r="I766" s="22"/>
      <c r="J766" s="23"/>
    </row>
    <row r="767" spans="1:10" ht="33.6" customHeight="1" x14ac:dyDescent="0.15">
      <c r="A767" s="21"/>
      <c r="B767" s="22"/>
      <c r="C767" s="64"/>
      <c r="D767" s="24" t="s">
        <v>7362</v>
      </c>
      <c r="E767" s="23"/>
      <c r="F767" s="21"/>
      <c r="G767" s="22"/>
      <c r="H767" s="61"/>
      <c r="I767" s="24" t="s">
        <v>7362</v>
      </c>
      <c r="J767" s="23"/>
    </row>
    <row r="768" spans="1:10" x14ac:dyDescent="0.15">
      <c r="A768" s="25"/>
      <c r="B768" s="26"/>
      <c r="C768" s="67"/>
      <c r="D768" s="59"/>
      <c r="E768" s="27"/>
      <c r="F768" s="25"/>
      <c r="G768" s="26"/>
      <c r="H768" s="63"/>
      <c r="I768" s="26"/>
      <c r="J768" s="27"/>
    </row>
    <row r="769" spans="1:10" x14ac:dyDescent="0.15">
      <c r="A769" s="18"/>
      <c r="B769" s="19"/>
      <c r="C769" s="66"/>
      <c r="D769" s="58"/>
      <c r="E769" s="20"/>
      <c r="F769" s="18"/>
      <c r="G769" s="19"/>
      <c r="H769" s="60"/>
      <c r="I769" s="19"/>
      <c r="J769" s="20"/>
    </row>
    <row r="770" spans="1:10" ht="40.15" customHeight="1" x14ac:dyDescent="0.15">
      <c r="A770" s="21"/>
      <c r="B770" s="28" t="s">
        <v>7363</v>
      </c>
      <c r="C770" s="64"/>
      <c r="D770" s="24"/>
      <c r="E770" s="23"/>
      <c r="F770" s="21"/>
      <c r="G770" s="28" t="s">
        <v>7363</v>
      </c>
      <c r="H770" s="61"/>
      <c r="I770" s="22"/>
      <c r="J770" s="23"/>
    </row>
    <row r="771" spans="1:10" ht="60" customHeight="1" x14ac:dyDescent="0.4">
      <c r="A771" s="21"/>
      <c r="B771" s="22"/>
      <c r="C771" s="62" t="s">
        <v>7705</v>
      </c>
      <c r="D771" s="24"/>
      <c r="E771" s="23"/>
      <c r="F771" s="21"/>
      <c r="G771" s="22"/>
      <c r="H771" s="62" t="s">
        <v>7703</v>
      </c>
      <c r="I771" s="22"/>
      <c r="J771" s="23"/>
    </row>
    <row r="772" spans="1:10" ht="27.6" customHeight="1" x14ac:dyDescent="0.3">
      <c r="A772" s="21"/>
      <c r="B772" s="22"/>
      <c r="C772" s="69" t="s">
        <v>36</v>
      </c>
      <c r="D772" s="24"/>
      <c r="E772" s="23"/>
      <c r="F772" s="21"/>
      <c r="G772" s="22"/>
      <c r="H772" s="69" t="s">
        <v>36</v>
      </c>
      <c r="I772" s="22"/>
      <c r="J772" s="23"/>
    </row>
    <row r="773" spans="1:10" ht="33.6" customHeight="1" x14ac:dyDescent="0.15">
      <c r="A773" s="21"/>
      <c r="B773" s="22"/>
      <c r="C773" s="64"/>
      <c r="D773" s="24" t="s">
        <v>7362</v>
      </c>
      <c r="E773" s="23"/>
      <c r="F773" s="21"/>
      <c r="G773" s="22"/>
      <c r="H773" s="61"/>
      <c r="I773" s="24" t="s">
        <v>7362</v>
      </c>
      <c r="J773" s="23"/>
    </row>
    <row r="774" spans="1:10" x14ac:dyDescent="0.15">
      <c r="A774" s="25"/>
      <c r="B774" s="26"/>
      <c r="C774" s="67"/>
      <c r="D774" s="59"/>
      <c r="E774" s="27"/>
      <c r="F774" s="25"/>
      <c r="G774" s="26"/>
      <c r="H774" s="63"/>
      <c r="I774" s="26"/>
      <c r="J774" s="27"/>
    </row>
    <row r="775" spans="1:10" x14ac:dyDescent="0.15">
      <c r="A775" s="18"/>
      <c r="B775" s="19"/>
      <c r="C775" s="66"/>
      <c r="D775" s="58"/>
      <c r="E775" s="20"/>
      <c r="F775" s="18"/>
      <c r="G775" s="19"/>
      <c r="H775" s="60"/>
      <c r="I775" s="19"/>
      <c r="J775" s="20"/>
    </row>
    <row r="776" spans="1:10" ht="40.15" customHeight="1" x14ac:dyDescent="0.15">
      <c r="A776" s="21"/>
      <c r="B776" s="28" t="s">
        <v>7363</v>
      </c>
      <c r="C776" s="64"/>
      <c r="D776" s="24"/>
      <c r="E776" s="23"/>
      <c r="F776" s="21"/>
      <c r="G776" s="28" t="s">
        <v>7363</v>
      </c>
      <c r="H776" s="61"/>
      <c r="I776" s="22"/>
      <c r="J776" s="23"/>
    </row>
    <row r="777" spans="1:10" ht="60" customHeight="1" x14ac:dyDescent="0.4">
      <c r="A777" s="21"/>
      <c r="B777" s="22"/>
      <c r="C777" s="62" t="s">
        <v>7710</v>
      </c>
      <c r="D777" s="24"/>
      <c r="E777" s="23"/>
      <c r="F777" s="21"/>
      <c r="G777" s="22"/>
      <c r="H777" s="62" t="s">
        <v>7708</v>
      </c>
      <c r="I777" s="22"/>
      <c r="J777" s="23"/>
    </row>
    <row r="778" spans="1:10" ht="27.6" customHeight="1" x14ac:dyDescent="0.3">
      <c r="A778" s="21"/>
      <c r="B778" s="22"/>
      <c r="C778" s="69" t="s">
        <v>73</v>
      </c>
      <c r="D778" s="24"/>
      <c r="E778" s="23"/>
      <c r="F778" s="21"/>
      <c r="G778" s="22"/>
      <c r="H778" s="69" t="s">
        <v>36</v>
      </c>
      <c r="I778" s="22"/>
      <c r="J778" s="23"/>
    </row>
    <row r="779" spans="1:10" ht="33.6" customHeight="1" x14ac:dyDescent="0.15">
      <c r="A779" s="21"/>
      <c r="B779" s="22"/>
      <c r="C779" s="64"/>
      <c r="D779" s="24" t="s">
        <v>7362</v>
      </c>
      <c r="E779" s="23"/>
      <c r="F779" s="21"/>
      <c r="G779" s="22"/>
      <c r="H779" s="61"/>
      <c r="I779" s="24" t="s">
        <v>7362</v>
      </c>
      <c r="J779" s="23"/>
    </row>
    <row r="780" spans="1:10" x14ac:dyDescent="0.15">
      <c r="A780" s="25"/>
      <c r="B780" s="26"/>
      <c r="C780" s="67"/>
      <c r="D780" s="59"/>
      <c r="E780" s="27"/>
      <c r="F780" s="25"/>
      <c r="G780" s="26"/>
      <c r="H780" s="63"/>
      <c r="I780" s="26"/>
      <c r="J780" s="27"/>
    </row>
    <row r="781" spans="1:10" x14ac:dyDescent="0.15">
      <c r="A781" s="18"/>
      <c r="B781" s="19"/>
      <c r="C781" s="66"/>
      <c r="D781" s="58"/>
      <c r="E781" s="20"/>
      <c r="F781" s="18"/>
      <c r="G781" s="19"/>
      <c r="H781" s="60"/>
      <c r="I781" s="19"/>
      <c r="J781" s="20"/>
    </row>
    <row r="782" spans="1:10" ht="40.15" customHeight="1" x14ac:dyDescent="0.15">
      <c r="A782" s="21"/>
      <c r="B782" s="28" t="s">
        <v>7363</v>
      </c>
      <c r="C782" s="64"/>
      <c r="D782" s="24"/>
      <c r="E782" s="23"/>
      <c r="F782" s="21"/>
      <c r="G782" s="28" t="s">
        <v>7363</v>
      </c>
      <c r="H782" s="61"/>
      <c r="I782" s="22"/>
      <c r="J782" s="23"/>
    </row>
    <row r="783" spans="1:10" ht="60" customHeight="1" x14ac:dyDescent="0.4">
      <c r="A783" s="21"/>
      <c r="B783" s="22"/>
      <c r="C783" s="62" t="s">
        <v>554</v>
      </c>
      <c r="D783" s="24"/>
      <c r="E783" s="23"/>
      <c r="F783" s="21"/>
      <c r="G783" s="22"/>
      <c r="H783" s="62" t="s">
        <v>7713</v>
      </c>
      <c r="I783" s="22"/>
      <c r="J783" s="23"/>
    </row>
    <row r="784" spans="1:10" ht="27.6" customHeight="1" x14ac:dyDescent="0.3">
      <c r="A784" s="21"/>
      <c r="B784" s="22"/>
      <c r="C784" s="69" t="s">
        <v>61</v>
      </c>
      <c r="D784" s="24"/>
      <c r="E784" s="23"/>
      <c r="F784" s="21"/>
      <c r="G784" s="22"/>
      <c r="H784" s="69" t="s">
        <v>73</v>
      </c>
      <c r="I784" s="22"/>
      <c r="J784" s="23"/>
    </row>
    <row r="785" spans="1:10" ht="33.6" customHeight="1" x14ac:dyDescent="0.15">
      <c r="A785" s="21"/>
      <c r="B785" s="22"/>
      <c r="C785" s="64"/>
      <c r="D785" s="24" t="s">
        <v>7362</v>
      </c>
      <c r="E785" s="23"/>
      <c r="F785" s="21"/>
      <c r="G785" s="22"/>
      <c r="H785" s="61"/>
      <c r="I785" s="24" t="s">
        <v>7362</v>
      </c>
      <c r="J785" s="23"/>
    </row>
    <row r="786" spans="1:10" x14ac:dyDescent="0.15">
      <c r="A786" s="25"/>
      <c r="B786" s="26"/>
      <c r="C786" s="67"/>
      <c r="D786" s="59"/>
      <c r="E786" s="27"/>
      <c r="F786" s="25"/>
      <c r="G786" s="26"/>
      <c r="H786" s="63"/>
      <c r="I786" s="26"/>
      <c r="J786" s="27"/>
    </row>
    <row r="787" spans="1:10" x14ac:dyDescent="0.15">
      <c r="A787" s="18"/>
      <c r="B787" s="19"/>
      <c r="C787" s="66"/>
      <c r="D787" s="58"/>
      <c r="E787" s="20"/>
      <c r="F787" s="18"/>
      <c r="G787" s="19"/>
      <c r="H787" s="60"/>
      <c r="I787" s="19"/>
      <c r="J787" s="20"/>
    </row>
    <row r="788" spans="1:10" ht="40.15" customHeight="1" x14ac:dyDescent="0.15">
      <c r="A788" s="21"/>
      <c r="B788" s="28" t="s">
        <v>7363</v>
      </c>
      <c r="C788" s="64"/>
      <c r="D788" s="24"/>
      <c r="E788" s="23"/>
      <c r="F788" s="21"/>
      <c r="G788" s="28" t="s">
        <v>7363</v>
      </c>
      <c r="H788" s="61"/>
      <c r="I788" s="22"/>
      <c r="J788" s="23"/>
    </row>
    <row r="789" spans="1:10" ht="60" customHeight="1" x14ac:dyDescent="0.4">
      <c r="A789" s="21"/>
      <c r="B789" s="22"/>
      <c r="C789" s="62" t="s">
        <v>7720</v>
      </c>
      <c r="D789" s="24"/>
      <c r="E789" s="23"/>
      <c r="F789" s="21"/>
      <c r="G789" s="22"/>
      <c r="H789" s="62" t="s">
        <v>7717</v>
      </c>
      <c r="I789" s="22"/>
      <c r="J789" s="23"/>
    </row>
    <row r="790" spans="1:10" ht="27.6" customHeight="1" x14ac:dyDescent="0.3">
      <c r="A790" s="21"/>
      <c r="B790" s="22"/>
      <c r="C790" s="69" t="s">
        <v>61</v>
      </c>
      <c r="D790" s="24"/>
      <c r="E790" s="23"/>
      <c r="F790" s="21"/>
      <c r="G790" s="22"/>
      <c r="H790" s="69" t="s">
        <v>36</v>
      </c>
      <c r="I790" s="22"/>
      <c r="J790" s="23"/>
    </row>
    <row r="791" spans="1:10" ht="33.6" customHeight="1" x14ac:dyDescent="0.15">
      <c r="A791" s="21"/>
      <c r="B791" s="22"/>
      <c r="C791" s="64"/>
      <c r="D791" s="24" t="s">
        <v>7362</v>
      </c>
      <c r="E791" s="23"/>
      <c r="F791" s="21"/>
      <c r="G791" s="22"/>
      <c r="H791" s="61"/>
      <c r="I791" s="24" t="s">
        <v>7362</v>
      </c>
      <c r="J791" s="23"/>
    </row>
    <row r="792" spans="1:10" x14ac:dyDescent="0.15">
      <c r="A792" s="25"/>
      <c r="B792" s="26"/>
      <c r="C792" s="67"/>
      <c r="D792" s="59"/>
      <c r="E792" s="27"/>
      <c r="F792" s="25"/>
      <c r="G792" s="26"/>
      <c r="H792" s="63"/>
      <c r="I792" s="26"/>
      <c r="J792" s="27"/>
    </row>
    <row r="793" spans="1:10" x14ac:dyDescent="0.15">
      <c r="A793" s="18"/>
      <c r="B793" s="19"/>
      <c r="C793" s="66"/>
      <c r="D793" s="58"/>
      <c r="E793" s="20"/>
      <c r="F793" s="18"/>
      <c r="G793" s="19"/>
      <c r="H793" s="60"/>
      <c r="I793" s="19"/>
      <c r="J793" s="20"/>
    </row>
    <row r="794" spans="1:10" ht="40.15" customHeight="1" x14ac:dyDescent="0.15">
      <c r="A794" s="21"/>
      <c r="B794" s="22"/>
      <c r="C794" s="64"/>
      <c r="D794" s="24"/>
      <c r="E794" s="23"/>
      <c r="F794" s="21"/>
      <c r="G794" s="28"/>
      <c r="H794" s="61"/>
      <c r="I794" s="22"/>
      <c r="J794" s="23"/>
    </row>
    <row r="795" spans="1:10" ht="60" customHeight="1" x14ac:dyDescent="0.55000000000000004">
      <c r="A795" s="21"/>
      <c r="B795" s="22"/>
      <c r="C795" s="70" t="s">
        <v>752</v>
      </c>
      <c r="D795" s="24"/>
      <c r="E795" s="23"/>
      <c r="F795" s="21"/>
      <c r="G795" s="22"/>
      <c r="H795" s="70" t="s">
        <v>7723</v>
      </c>
      <c r="I795" s="22"/>
      <c r="J795" s="23"/>
    </row>
    <row r="796" spans="1:10" ht="27.6" customHeight="1" x14ac:dyDescent="0.15">
      <c r="A796" s="21"/>
      <c r="B796" s="22"/>
      <c r="C796" s="64"/>
      <c r="D796" s="24"/>
      <c r="E796" s="23"/>
      <c r="F796" s="21"/>
      <c r="G796" s="22"/>
      <c r="H796" s="64"/>
      <c r="I796" s="22"/>
      <c r="J796" s="23"/>
    </row>
    <row r="797" spans="1:10" ht="33.6" customHeight="1" x14ac:dyDescent="0.15">
      <c r="A797" s="21"/>
      <c r="B797" s="22" t="s">
        <v>7721</v>
      </c>
      <c r="C797" s="64"/>
      <c r="D797" s="24"/>
      <c r="E797" s="23"/>
      <c r="F797" s="21"/>
      <c r="G797" s="22" t="s">
        <v>7724</v>
      </c>
      <c r="H797" s="61"/>
      <c r="I797" s="24"/>
      <c r="J797" s="23"/>
    </row>
    <row r="798" spans="1:10" x14ac:dyDescent="0.15">
      <c r="A798" s="25"/>
      <c r="B798" s="26"/>
      <c r="C798" s="67"/>
      <c r="D798" s="59"/>
      <c r="E798" s="27"/>
      <c r="F798" s="25"/>
      <c r="G798" s="26"/>
      <c r="H798" s="63"/>
      <c r="I798" s="26"/>
      <c r="J798" s="27"/>
    </row>
    <row r="799" spans="1:10" x14ac:dyDescent="0.15">
      <c r="A799" s="18"/>
      <c r="B799" s="19"/>
      <c r="C799" s="66"/>
      <c r="D799" s="58"/>
      <c r="E799" s="20"/>
      <c r="F799" s="18"/>
      <c r="G799" s="19"/>
      <c r="H799" s="60"/>
      <c r="I799" s="19"/>
      <c r="J799" s="20"/>
    </row>
    <row r="800" spans="1:10" ht="40.15" customHeight="1" x14ac:dyDescent="0.15">
      <c r="A800" s="21"/>
      <c r="B800" s="22"/>
      <c r="C800" s="64"/>
      <c r="D800" s="24"/>
      <c r="E800" s="23"/>
      <c r="F800" s="21"/>
      <c r="G800" s="28"/>
      <c r="H800" s="61"/>
      <c r="I800" s="22"/>
      <c r="J800" s="23"/>
    </row>
    <row r="801" spans="1:10" ht="60" customHeight="1" x14ac:dyDescent="0.55000000000000004">
      <c r="A801" s="21"/>
      <c r="B801" s="22"/>
      <c r="C801" s="70" t="s">
        <v>7726</v>
      </c>
      <c r="D801" s="24"/>
      <c r="E801" s="23"/>
      <c r="F801" s="21"/>
      <c r="G801" s="22"/>
      <c r="H801" s="70" t="s">
        <v>7729</v>
      </c>
      <c r="I801" s="22"/>
      <c r="J801" s="23"/>
    </row>
    <row r="802" spans="1:10" ht="27.6" customHeight="1" x14ac:dyDescent="0.15">
      <c r="A802" s="21"/>
      <c r="B802" s="22"/>
      <c r="C802" s="64"/>
      <c r="D802" s="24"/>
      <c r="E802" s="23"/>
      <c r="F802" s="21"/>
      <c r="G802" s="22"/>
      <c r="H802" s="64"/>
      <c r="I802" s="22"/>
      <c r="J802" s="23"/>
    </row>
    <row r="803" spans="1:10" ht="33.6" customHeight="1" x14ac:dyDescent="0.15">
      <c r="A803" s="21"/>
      <c r="B803" s="22" t="s">
        <v>7727</v>
      </c>
      <c r="C803" s="64"/>
      <c r="D803" s="24"/>
      <c r="E803" s="23"/>
      <c r="F803" s="21"/>
      <c r="G803" s="22" t="s">
        <v>7730</v>
      </c>
      <c r="H803" s="61"/>
      <c r="I803" s="24"/>
      <c r="J803" s="23"/>
    </row>
    <row r="804" spans="1:10" x14ac:dyDescent="0.15">
      <c r="A804" s="25"/>
      <c r="B804" s="26"/>
      <c r="C804" s="67"/>
      <c r="D804" s="59"/>
      <c r="E804" s="27"/>
      <c r="F804" s="25"/>
      <c r="G804" s="26"/>
      <c r="H804" s="63"/>
      <c r="I804" s="26"/>
      <c r="J804" s="27"/>
    </row>
    <row r="805" spans="1:10" x14ac:dyDescent="0.15">
      <c r="A805" s="18"/>
      <c r="B805" s="19"/>
      <c r="C805" s="66"/>
      <c r="D805" s="58"/>
      <c r="E805" s="20"/>
      <c r="F805" s="18"/>
      <c r="G805" s="19"/>
      <c r="H805" s="60"/>
      <c r="I805" s="19"/>
      <c r="J805" s="20"/>
    </row>
    <row r="806" spans="1:10" ht="40.15" customHeight="1" x14ac:dyDescent="0.15">
      <c r="A806" s="21"/>
      <c r="B806" s="22"/>
      <c r="C806" s="64"/>
      <c r="D806" s="24"/>
      <c r="E806" s="23"/>
      <c r="F806" s="21"/>
      <c r="G806" s="28"/>
      <c r="H806" s="61"/>
      <c r="I806" s="22"/>
      <c r="J806" s="23"/>
    </row>
    <row r="807" spans="1:10" ht="60" customHeight="1" x14ac:dyDescent="0.55000000000000004">
      <c r="A807" s="21"/>
      <c r="B807" s="22"/>
      <c r="C807" s="70" t="s">
        <v>4950</v>
      </c>
      <c r="D807" s="24"/>
      <c r="E807" s="23"/>
      <c r="F807" s="21"/>
      <c r="G807" s="22"/>
      <c r="H807" s="70" t="s">
        <v>7734</v>
      </c>
      <c r="I807" s="22"/>
      <c r="J807" s="23"/>
    </row>
    <row r="808" spans="1:10" ht="27.6" customHeight="1" x14ac:dyDescent="0.15">
      <c r="A808" s="21"/>
      <c r="B808" s="22"/>
      <c r="C808" s="64"/>
      <c r="D808" s="24"/>
      <c r="E808" s="23"/>
      <c r="F808" s="21"/>
      <c r="G808" s="22"/>
      <c r="H808" s="64"/>
      <c r="I808" s="22"/>
      <c r="J808" s="23"/>
    </row>
    <row r="809" spans="1:10" ht="33.6" customHeight="1" x14ac:dyDescent="0.15">
      <c r="A809" s="21"/>
      <c r="B809" s="22" t="s">
        <v>7732</v>
      </c>
      <c r="C809" s="64"/>
      <c r="D809" s="24"/>
      <c r="E809" s="23"/>
      <c r="F809" s="21"/>
      <c r="G809" s="22" t="s">
        <v>7735</v>
      </c>
      <c r="H809" s="61"/>
      <c r="I809" s="24"/>
      <c r="J809" s="23"/>
    </row>
    <row r="810" spans="1:10" x14ac:dyDescent="0.15">
      <c r="A810" s="25"/>
      <c r="B810" s="26"/>
      <c r="C810" s="67"/>
      <c r="D810" s="59"/>
      <c r="E810" s="27"/>
      <c r="F810" s="25"/>
      <c r="G810" s="26"/>
      <c r="H810" s="63"/>
      <c r="I810" s="26"/>
      <c r="J810" s="27"/>
    </row>
    <row r="811" spans="1:10" x14ac:dyDescent="0.15">
      <c r="A811" s="18"/>
      <c r="B811" s="19"/>
      <c r="C811" s="66"/>
      <c r="D811" s="58"/>
      <c r="E811" s="20"/>
      <c r="F811" s="18"/>
      <c r="G811" s="19"/>
      <c r="H811" s="60"/>
      <c r="I811" s="19"/>
      <c r="J811" s="20"/>
    </row>
    <row r="812" spans="1:10" ht="40.15" customHeight="1" x14ac:dyDescent="0.15">
      <c r="A812" s="21"/>
      <c r="B812" s="22"/>
      <c r="C812" s="64"/>
      <c r="D812" s="24"/>
      <c r="E812" s="23"/>
      <c r="F812" s="21"/>
      <c r="G812" s="28"/>
      <c r="H812" s="61"/>
      <c r="I812" s="22"/>
      <c r="J812" s="23"/>
    </row>
    <row r="813" spans="1:10" ht="60" customHeight="1" x14ac:dyDescent="0.55000000000000004">
      <c r="A813" s="21"/>
      <c r="B813" s="22"/>
      <c r="C813" s="70" t="s">
        <v>7737</v>
      </c>
      <c r="D813" s="24"/>
      <c r="E813" s="23"/>
      <c r="F813" s="21"/>
      <c r="G813" s="22"/>
      <c r="H813" s="70" t="s">
        <v>7739</v>
      </c>
      <c r="I813" s="22"/>
      <c r="J813" s="23"/>
    </row>
    <row r="814" spans="1:10" ht="27.6" customHeight="1" x14ac:dyDescent="0.15">
      <c r="A814" s="21"/>
      <c r="B814" s="22"/>
      <c r="C814" s="64"/>
      <c r="D814" s="24"/>
      <c r="E814" s="23"/>
      <c r="F814" s="21"/>
      <c r="G814" s="22"/>
      <c r="H814" s="64"/>
      <c r="I814" s="22"/>
      <c r="J814" s="23"/>
    </row>
    <row r="815" spans="1:10" ht="33.6" customHeight="1" x14ac:dyDescent="0.15">
      <c r="A815" s="21"/>
      <c r="B815" s="22" t="s">
        <v>7738</v>
      </c>
      <c r="C815" s="64"/>
      <c r="D815" s="24"/>
      <c r="E815" s="23"/>
      <c r="F815" s="21"/>
      <c r="G815" s="22" t="s">
        <v>7740</v>
      </c>
      <c r="H815" s="61"/>
      <c r="I815" s="24"/>
      <c r="J815" s="23"/>
    </row>
    <row r="816" spans="1:10" x14ac:dyDescent="0.15">
      <c r="A816" s="25"/>
      <c r="B816" s="26"/>
      <c r="C816" s="67"/>
      <c r="D816" s="59"/>
      <c r="E816" s="27"/>
      <c r="F816" s="25"/>
      <c r="G816" s="26"/>
      <c r="H816" s="63"/>
      <c r="I816" s="26"/>
      <c r="J816" s="27"/>
    </row>
    <row r="817" spans="1:10" x14ac:dyDescent="0.15">
      <c r="A817" s="18"/>
      <c r="B817" s="19"/>
      <c r="C817" s="66"/>
      <c r="D817" s="58"/>
      <c r="E817" s="20"/>
      <c r="F817" s="18"/>
      <c r="G817" s="19"/>
      <c r="H817" s="60"/>
      <c r="I817" s="19"/>
      <c r="J817" s="20"/>
    </row>
    <row r="818" spans="1:10" ht="40.15" customHeight="1" x14ac:dyDescent="0.15">
      <c r="A818" s="21"/>
      <c r="B818" s="22"/>
      <c r="C818" s="64"/>
      <c r="D818" s="24"/>
      <c r="E818" s="23"/>
      <c r="F818" s="21"/>
      <c r="G818" s="28"/>
      <c r="H818" s="61"/>
      <c r="I818" s="22"/>
      <c r="J818" s="23"/>
    </row>
    <row r="819" spans="1:10" ht="60" customHeight="1" x14ac:dyDescent="0.55000000000000004">
      <c r="A819" s="21"/>
      <c r="B819" s="22"/>
      <c r="C819" s="70" t="s">
        <v>3392</v>
      </c>
      <c r="D819" s="24"/>
      <c r="E819" s="23"/>
      <c r="F819" s="21"/>
      <c r="G819" s="22"/>
      <c r="H819" s="70" t="s">
        <v>7744</v>
      </c>
      <c r="I819" s="22"/>
      <c r="J819" s="23"/>
    </row>
    <row r="820" spans="1:10" ht="27.6" customHeight="1" x14ac:dyDescent="0.15">
      <c r="A820" s="21"/>
      <c r="B820" s="22"/>
      <c r="C820" s="64"/>
      <c r="D820" s="24"/>
      <c r="E820" s="23"/>
      <c r="F820" s="21"/>
      <c r="G820" s="22"/>
      <c r="H820" s="64"/>
      <c r="I820" s="22"/>
      <c r="J820" s="23"/>
    </row>
    <row r="821" spans="1:10" ht="33.6" customHeight="1" x14ac:dyDescent="0.15">
      <c r="A821" s="21"/>
      <c r="B821" s="22" t="s">
        <v>7742</v>
      </c>
      <c r="C821" s="64"/>
      <c r="D821" s="24"/>
      <c r="E821" s="23"/>
      <c r="F821" s="21"/>
      <c r="G821" s="22" t="s">
        <v>7745</v>
      </c>
      <c r="H821" s="61"/>
      <c r="I821" s="24"/>
      <c r="J821" s="23"/>
    </row>
    <row r="822" spans="1:10" x14ac:dyDescent="0.15">
      <c r="A822" s="25"/>
      <c r="B822" s="26"/>
      <c r="C822" s="67"/>
      <c r="D822" s="59"/>
      <c r="E822" s="27"/>
      <c r="F822" s="25"/>
      <c r="G822" s="26"/>
      <c r="H822" s="63"/>
      <c r="I822" s="26"/>
      <c r="J822" s="27"/>
    </row>
    <row r="823" spans="1:10" x14ac:dyDescent="0.15">
      <c r="A823" s="18"/>
      <c r="B823" s="19"/>
      <c r="C823" s="66"/>
      <c r="D823" s="58"/>
      <c r="E823" s="20"/>
      <c r="F823" s="18"/>
      <c r="G823" s="19"/>
      <c r="H823" s="60"/>
      <c r="I823" s="19"/>
      <c r="J823" s="20"/>
    </row>
    <row r="824" spans="1:10" ht="40.15" customHeight="1" x14ac:dyDescent="0.15">
      <c r="A824" s="21"/>
      <c r="B824" s="22"/>
      <c r="C824" s="64"/>
      <c r="D824" s="24"/>
      <c r="E824" s="23"/>
      <c r="F824" s="21"/>
      <c r="G824" s="28"/>
      <c r="H824" s="61"/>
      <c r="I824" s="22"/>
      <c r="J824" s="23"/>
    </row>
    <row r="825" spans="1:10" ht="60" customHeight="1" x14ac:dyDescent="0.55000000000000004">
      <c r="A825" s="21"/>
      <c r="B825" s="22"/>
      <c r="C825" s="70" t="s">
        <v>7747</v>
      </c>
      <c r="D825" s="24"/>
      <c r="E825" s="23"/>
      <c r="F825" s="21"/>
      <c r="G825" s="22"/>
      <c r="H825" s="70" t="s">
        <v>5099</v>
      </c>
      <c r="I825" s="22"/>
      <c r="J825" s="23"/>
    </row>
    <row r="826" spans="1:10" ht="27.6" customHeight="1" x14ac:dyDescent="0.15">
      <c r="A826" s="21"/>
      <c r="B826" s="22"/>
      <c r="C826" s="64"/>
      <c r="D826" s="24"/>
      <c r="E826" s="23"/>
      <c r="F826" s="21"/>
      <c r="G826" s="22"/>
      <c r="H826" s="64"/>
      <c r="I826" s="22"/>
      <c r="J826" s="23"/>
    </row>
    <row r="827" spans="1:10" ht="33.6" customHeight="1" x14ac:dyDescent="0.15">
      <c r="A827" s="21"/>
      <c r="B827" s="22" t="s">
        <v>7748</v>
      </c>
      <c r="C827" s="64"/>
      <c r="D827" s="24"/>
      <c r="E827" s="23"/>
      <c r="F827" s="21"/>
      <c r="G827" s="22" t="s">
        <v>7750</v>
      </c>
      <c r="H827" s="61"/>
      <c r="I827" s="24"/>
      <c r="J827" s="23"/>
    </row>
    <row r="828" spans="1:10" x14ac:dyDescent="0.15">
      <c r="A828" s="25"/>
      <c r="B828" s="26"/>
      <c r="C828" s="67"/>
      <c r="D828" s="59"/>
      <c r="E828" s="27"/>
      <c r="F828" s="25"/>
      <c r="G828" s="26"/>
      <c r="H828" s="63"/>
      <c r="I828" s="26"/>
      <c r="J828" s="27"/>
    </row>
    <row r="829" spans="1:10" x14ac:dyDescent="0.15">
      <c r="A829" s="18"/>
      <c r="B829" s="19"/>
      <c r="C829" s="66"/>
      <c r="D829" s="58"/>
      <c r="E829" s="20"/>
      <c r="F829" s="18"/>
      <c r="G829" s="19"/>
      <c r="H829" s="60"/>
      <c r="I829" s="19"/>
      <c r="J829" s="20"/>
    </row>
    <row r="830" spans="1:10" ht="40.15" customHeight="1" x14ac:dyDescent="0.15">
      <c r="A830" s="21"/>
      <c r="B830" s="28" t="s">
        <v>7363</v>
      </c>
      <c r="C830" s="64"/>
      <c r="D830" s="24"/>
      <c r="E830" s="23"/>
      <c r="F830" s="21"/>
      <c r="G830" s="28" t="s">
        <v>7363</v>
      </c>
      <c r="H830" s="61"/>
      <c r="I830" s="22"/>
      <c r="J830" s="23"/>
    </row>
    <row r="831" spans="1:10" ht="60" customHeight="1" x14ac:dyDescent="0.4">
      <c r="A831" s="21"/>
      <c r="B831" s="22"/>
      <c r="C831" s="62" t="s">
        <v>7725</v>
      </c>
      <c r="D831" s="24"/>
      <c r="E831" s="23"/>
      <c r="F831" s="21"/>
      <c r="G831" s="22"/>
      <c r="H831" s="62" t="s">
        <v>7722</v>
      </c>
      <c r="I831" s="22"/>
      <c r="J831" s="23"/>
    </row>
    <row r="832" spans="1:10" ht="27.6" customHeight="1" x14ac:dyDescent="0.3">
      <c r="A832" s="21"/>
      <c r="B832" s="22"/>
      <c r="C832" s="69" t="s">
        <v>36</v>
      </c>
      <c r="D832" s="24"/>
      <c r="E832" s="23"/>
      <c r="F832" s="21"/>
      <c r="G832" s="22"/>
      <c r="H832" s="69" t="s">
        <v>36</v>
      </c>
      <c r="I832" s="22"/>
      <c r="J832" s="23"/>
    </row>
    <row r="833" spans="1:10" ht="33.6" customHeight="1" x14ac:dyDescent="0.15">
      <c r="A833" s="21"/>
      <c r="B833" s="22"/>
      <c r="C833" s="64"/>
      <c r="D833" s="24" t="s">
        <v>7362</v>
      </c>
      <c r="E833" s="23"/>
      <c r="F833" s="21"/>
      <c r="G833" s="22"/>
      <c r="H833" s="61"/>
      <c r="I833" s="24" t="s">
        <v>7362</v>
      </c>
      <c r="J833" s="23"/>
    </row>
    <row r="834" spans="1:10" x14ac:dyDescent="0.15">
      <c r="A834" s="25"/>
      <c r="B834" s="26"/>
      <c r="C834" s="67"/>
      <c r="D834" s="59"/>
      <c r="E834" s="27"/>
      <c r="F834" s="25"/>
      <c r="G834" s="26"/>
      <c r="H834" s="63"/>
      <c r="I834" s="26"/>
      <c r="J834" s="27"/>
    </row>
    <row r="835" spans="1:10" x14ac:dyDescent="0.15">
      <c r="A835" s="18"/>
      <c r="B835" s="19"/>
      <c r="C835" s="66"/>
      <c r="D835" s="58"/>
      <c r="E835" s="20"/>
      <c r="F835" s="18"/>
      <c r="G835" s="19"/>
      <c r="H835" s="60"/>
      <c r="I835" s="19"/>
      <c r="J835" s="20"/>
    </row>
    <row r="836" spans="1:10" ht="40.15" customHeight="1" x14ac:dyDescent="0.15">
      <c r="A836" s="21"/>
      <c r="B836" s="28" t="s">
        <v>7363</v>
      </c>
      <c r="C836" s="64"/>
      <c r="D836" s="24"/>
      <c r="E836" s="23"/>
      <c r="F836" s="21"/>
      <c r="G836" s="28" t="s">
        <v>7363</v>
      </c>
      <c r="H836" s="61"/>
      <c r="I836" s="22"/>
      <c r="J836" s="23"/>
    </row>
    <row r="837" spans="1:10" ht="60" customHeight="1" x14ac:dyDescent="0.4">
      <c r="A837" s="21"/>
      <c r="B837" s="22"/>
      <c r="C837" s="62" t="s">
        <v>7731</v>
      </c>
      <c r="D837" s="24"/>
      <c r="E837" s="23"/>
      <c r="F837" s="21"/>
      <c r="G837" s="22"/>
      <c r="H837" s="62" t="s">
        <v>7728</v>
      </c>
      <c r="I837" s="22"/>
      <c r="J837" s="23"/>
    </row>
    <row r="838" spans="1:10" ht="27.6" customHeight="1" x14ac:dyDescent="0.3">
      <c r="A838" s="21"/>
      <c r="B838" s="22"/>
      <c r="C838" s="69" t="s">
        <v>36</v>
      </c>
      <c r="D838" s="24"/>
      <c r="E838" s="23"/>
      <c r="F838" s="21"/>
      <c r="G838" s="22"/>
      <c r="H838" s="69" t="s">
        <v>36</v>
      </c>
      <c r="I838" s="22"/>
      <c r="J838" s="23"/>
    </row>
    <row r="839" spans="1:10" ht="33.6" customHeight="1" x14ac:dyDescent="0.15">
      <c r="A839" s="21"/>
      <c r="B839" s="22"/>
      <c r="C839" s="64"/>
      <c r="D839" s="24" t="s">
        <v>7362</v>
      </c>
      <c r="E839" s="23"/>
      <c r="F839" s="21"/>
      <c r="G839" s="22"/>
      <c r="H839" s="61"/>
      <c r="I839" s="24" t="s">
        <v>7362</v>
      </c>
      <c r="J839" s="23"/>
    </row>
    <row r="840" spans="1:10" x14ac:dyDescent="0.15">
      <c r="A840" s="25"/>
      <c r="B840" s="26"/>
      <c r="C840" s="67"/>
      <c r="D840" s="59"/>
      <c r="E840" s="27"/>
      <c r="F840" s="25"/>
      <c r="G840" s="26"/>
      <c r="H840" s="63"/>
      <c r="I840" s="26"/>
      <c r="J840" s="27"/>
    </row>
    <row r="841" spans="1:10" x14ac:dyDescent="0.15">
      <c r="A841" s="18"/>
      <c r="B841" s="19"/>
      <c r="C841" s="66"/>
      <c r="D841" s="58"/>
      <c r="E841" s="20"/>
      <c r="F841" s="18"/>
      <c r="G841" s="19"/>
      <c r="H841" s="60"/>
      <c r="I841" s="19"/>
      <c r="J841" s="20"/>
    </row>
    <row r="842" spans="1:10" ht="40.15" customHeight="1" x14ac:dyDescent="0.15">
      <c r="A842" s="21"/>
      <c r="B842" s="28" t="s">
        <v>7363</v>
      </c>
      <c r="C842" s="64"/>
      <c r="D842" s="24"/>
      <c r="E842" s="23"/>
      <c r="F842" s="21"/>
      <c r="G842" s="28" t="s">
        <v>7363</v>
      </c>
      <c r="H842" s="61"/>
      <c r="I842" s="22"/>
      <c r="J842" s="23"/>
    </row>
    <row r="843" spans="1:10" ht="60" customHeight="1" x14ac:dyDescent="0.4">
      <c r="A843" s="21"/>
      <c r="B843" s="22"/>
      <c r="C843" s="62" t="s">
        <v>7736</v>
      </c>
      <c r="D843" s="24"/>
      <c r="E843" s="23"/>
      <c r="F843" s="21"/>
      <c r="G843" s="22"/>
      <c r="H843" s="62" t="s">
        <v>7733</v>
      </c>
      <c r="I843" s="22"/>
      <c r="J843" s="23"/>
    </row>
    <row r="844" spans="1:10" ht="27.6" customHeight="1" x14ac:dyDescent="0.3">
      <c r="A844" s="21"/>
      <c r="B844" s="22"/>
      <c r="C844" s="69" t="s">
        <v>61</v>
      </c>
      <c r="D844" s="24"/>
      <c r="E844" s="23"/>
      <c r="F844" s="21"/>
      <c r="G844" s="22"/>
      <c r="H844" s="69" t="s">
        <v>36</v>
      </c>
      <c r="I844" s="22"/>
      <c r="J844" s="23"/>
    </row>
    <row r="845" spans="1:10" ht="33.6" customHeight="1" x14ac:dyDescent="0.15">
      <c r="A845" s="21"/>
      <c r="B845" s="22"/>
      <c r="C845" s="64"/>
      <c r="D845" s="24" t="s">
        <v>7362</v>
      </c>
      <c r="E845" s="23"/>
      <c r="F845" s="21"/>
      <c r="G845" s="22"/>
      <c r="H845" s="61"/>
      <c r="I845" s="24" t="s">
        <v>7362</v>
      </c>
      <c r="J845" s="23"/>
    </row>
    <row r="846" spans="1:10" x14ac:dyDescent="0.15">
      <c r="A846" s="25"/>
      <c r="B846" s="26"/>
      <c r="C846" s="67"/>
      <c r="D846" s="59"/>
      <c r="E846" s="27"/>
      <c r="F846" s="25"/>
      <c r="G846" s="26"/>
      <c r="H846" s="63"/>
      <c r="I846" s="26"/>
      <c r="J846" s="27"/>
    </row>
    <row r="847" spans="1:10" x14ac:dyDescent="0.15">
      <c r="A847" s="18"/>
      <c r="B847" s="19"/>
      <c r="C847" s="66"/>
      <c r="D847" s="58"/>
      <c r="E847" s="20"/>
      <c r="F847" s="18"/>
      <c r="G847" s="19"/>
      <c r="H847" s="60"/>
      <c r="I847" s="19"/>
      <c r="J847" s="20"/>
    </row>
    <row r="848" spans="1:10" ht="40.15" customHeight="1" x14ac:dyDescent="0.15">
      <c r="A848" s="21"/>
      <c r="B848" s="28" t="s">
        <v>7363</v>
      </c>
      <c r="C848" s="64"/>
      <c r="D848" s="24"/>
      <c r="E848" s="23"/>
      <c r="F848" s="21"/>
      <c r="G848" s="28" t="s">
        <v>7363</v>
      </c>
      <c r="H848" s="61"/>
      <c r="I848" s="22"/>
      <c r="J848" s="23"/>
    </row>
    <row r="849" spans="1:10" ht="60" customHeight="1" x14ac:dyDescent="0.4">
      <c r="A849" s="21"/>
      <c r="B849" s="22"/>
      <c r="C849" s="62" t="s">
        <v>7741</v>
      </c>
      <c r="D849" s="24"/>
      <c r="E849" s="23"/>
      <c r="F849" s="21"/>
      <c r="G849" s="22"/>
      <c r="H849" s="62" t="s">
        <v>4959</v>
      </c>
      <c r="I849" s="22"/>
      <c r="J849" s="23"/>
    </row>
    <row r="850" spans="1:10" ht="27.6" customHeight="1" x14ac:dyDescent="0.3">
      <c r="A850" s="21"/>
      <c r="B850" s="22"/>
      <c r="C850" s="69" t="s">
        <v>73</v>
      </c>
      <c r="D850" s="24"/>
      <c r="E850" s="23"/>
      <c r="F850" s="21"/>
      <c r="G850" s="22"/>
      <c r="H850" s="69" t="s">
        <v>36</v>
      </c>
      <c r="I850" s="22"/>
      <c r="J850" s="23"/>
    </row>
    <row r="851" spans="1:10" ht="33.6" customHeight="1" x14ac:dyDescent="0.15">
      <c r="A851" s="21"/>
      <c r="B851" s="22"/>
      <c r="C851" s="64"/>
      <c r="D851" s="24" t="s">
        <v>7362</v>
      </c>
      <c r="E851" s="23"/>
      <c r="F851" s="21"/>
      <c r="G851" s="22"/>
      <c r="H851" s="61"/>
      <c r="I851" s="24" t="s">
        <v>7362</v>
      </c>
      <c r="J851" s="23"/>
    </row>
    <row r="852" spans="1:10" x14ac:dyDescent="0.15">
      <c r="A852" s="25"/>
      <c r="B852" s="26"/>
      <c r="C852" s="67"/>
      <c r="D852" s="59"/>
      <c r="E852" s="27"/>
      <c r="F852" s="25"/>
      <c r="G852" s="26"/>
      <c r="H852" s="63"/>
      <c r="I852" s="26"/>
      <c r="J852" s="27"/>
    </row>
    <row r="853" spans="1:10" x14ac:dyDescent="0.15">
      <c r="A853" s="18"/>
      <c r="B853" s="19"/>
      <c r="C853" s="66"/>
      <c r="D853" s="58"/>
      <c r="E853" s="20"/>
      <c r="F853" s="18"/>
      <c r="G853" s="19"/>
      <c r="H853" s="60"/>
      <c r="I853" s="19"/>
      <c r="J853" s="20"/>
    </row>
    <row r="854" spans="1:10" ht="40.15" customHeight="1" x14ac:dyDescent="0.15">
      <c r="A854" s="21"/>
      <c r="B854" s="28" t="s">
        <v>7363</v>
      </c>
      <c r="C854" s="64"/>
      <c r="D854" s="24"/>
      <c r="E854" s="23"/>
      <c r="F854" s="21"/>
      <c r="G854" s="28" t="s">
        <v>7363</v>
      </c>
      <c r="H854" s="61"/>
      <c r="I854" s="22"/>
      <c r="J854" s="23"/>
    </row>
    <row r="855" spans="1:10" ht="60" customHeight="1" x14ac:dyDescent="0.4">
      <c r="A855" s="21"/>
      <c r="B855" s="22"/>
      <c r="C855" s="62" t="s">
        <v>7746</v>
      </c>
      <c r="D855" s="24"/>
      <c r="E855" s="23"/>
      <c r="F855" s="21"/>
      <c r="G855" s="22"/>
      <c r="H855" s="62" t="s">
        <v>7743</v>
      </c>
      <c r="I855" s="22"/>
      <c r="J855" s="23"/>
    </row>
    <row r="856" spans="1:10" ht="27.6" customHeight="1" x14ac:dyDescent="0.3">
      <c r="A856" s="21"/>
      <c r="B856" s="22"/>
      <c r="C856" s="69" t="s">
        <v>73</v>
      </c>
      <c r="D856" s="24"/>
      <c r="E856" s="23"/>
      <c r="F856" s="21"/>
      <c r="G856" s="22"/>
      <c r="H856" s="69" t="s">
        <v>73</v>
      </c>
      <c r="I856" s="22"/>
      <c r="J856" s="23"/>
    </row>
    <row r="857" spans="1:10" ht="33.6" customHeight="1" x14ac:dyDescent="0.15">
      <c r="A857" s="21"/>
      <c r="B857" s="22"/>
      <c r="C857" s="64"/>
      <c r="D857" s="24" t="s">
        <v>7362</v>
      </c>
      <c r="E857" s="23"/>
      <c r="F857" s="21"/>
      <c r="G857" s="22"/>
      <c r="H857" s="61"/>
      <c r="I857" s="24" t="s">
        <v>7362</v>
      </c>
      <c r="J857" s="23"/>
    </row>
    <row r="858" spans="1:10" x14ac:dyDescent="0.15">
      <c r="A858" s="25"/>
      <c r="B858" s="26"/>
      <c r="C858" s="67"/>
      <c r="D858" s="59"/>
      <c r="E858" s="27"/>
      <c r="F858" s="25"/>
      <c r="G858" s="26"/>
      <c r="H858" s="63"/>
      <c r="I858" s="26"/>
      <c r="J858" s="27"/>
    </row>
    <row r="859" spans="1:10" x14ac:dyDescent="0.15">
      <c r="A859" s="18"/>
      <c r="B859" s="19"/>
      <c r="C859" s="66"/>
      <c r="D859" s="58"/>
      <c r="E859" s="20"/>
      <c r="F859" s="18"/>
      <c r="G859" s="19"/>
      <c r="H859" s="60"/>
      <c r="I859" s="19"/>
      <c r="J859" s="20"/>
    </row>
    <row r="860" spans="1:10" ht="40.15" customHeight="1" x14ac:dyDescent="0.15">
      <c r="A860" s="21"/>
      <c r="B860" s="28" t="s">
        <v>7363</v>
      </c>
      <c r="C860" s="64"/>
      <c r="D860" s="24"/>
      <c r="E860" s="23"/>
      <c r="F860" s="21"/>
      <c r="G860" s="28" t="s">
        <v>7363</v>
      </c>
      <c r="H860" s="61"/>
      <c r="I860" s="22"/>
      <c r="J860" s="23"/>
    </row>
    <row r="861" spans="1:10" ht="60" customHeight="1" x14ac:dyDescent="0.4">
      <c r="A861" s="21"/>
      <c r="B861" s="22"/>
      <c r="C861" s="62" t="s">
        <v>7751</v>
      </c>
      <c r="D861" s="24"/>
      <c r="E861" s="23"/>
      <c r="F861" s="21"/>
      <c r="G861" s="22"/>
      <c r="H861" s="62" t="s">
        <v>7749</v>
      </c>
      <c r="I861" s="22"/>
      <c r="J861" s="23"/>
    </row>
    <row r="862" spans="1:10" ht="27.6" customHeight="1" x14ac:dyDescent="0.3">
      <c r="A862" s="21"/>
      <c r="B862" s="22"/>
      <c r="C862" s="69" t="s">
        <v>36</v>
      </c>
      <c r="D862" s="24"/>
      <c r="E862" s="23"/>
      <c r="F862" s="21"/>
      <c r="G862" s="22"/>
      <c r="H862" s="69" t="s">
        <v>73</v>
      </c>
      <c r="I862" s="22"/>
      <c r="J862" s="23"/>
    </row>
    <row r="863" spans="1:10" ht="33.6" customHeight="1" x14ac:dyDescent="0.15">
      <c r="A863" s="21"/>
      <c r="B863" s="22"/>
      <c r="C863" s="64"/>
      <c r="D863" s="24" t="s">
        <v>7362</v>
      </c>
      <c r="E863" s="23"/>
      <c r="F863" s="21"/>
      <c r="G863" s="22"/>
      <c r="H863" s="61"/>
      <c r="I863" s="24" t="s">
        <v>7362</v>
      </c>
      <c r="J863" s="23"/>
    </row>
    <row r="864" spans="1:10" x14ac:dyDescent="0.15">
      <c r="A864" s="25"/>
      <c r="B864" s="26"/>
      <c r="C864" s="67"/>
      <c r="D864" s="59"/>
      <c r="E864" s="27"/>
      <c r="F864" s="25"/>
      <c r="G864" s="26"/>
      <c r="H864" s="63"/>
      <c r="I864" s="26"/>
      <c r="J864" s="27"/>
    </row>
    <row r="865" spans="1:10" x14ac:dyDescent="0.15">
      <c r="A865" s="18"/>
      <c r="B865" s="19"/>
      <c r="C865" s="66"/>
      <c r="D865" s="58"/>
      <c r="E865" s="20"/>
      <c r="F865" s="18"/>
      <c r="G865" s="19"/>
      <c r="H865" s="60"/>
      <c r="I865" s="19"/>
      <c r="J865" s="20"/>
    </row>
    <row r="866" spans="1:10" ht="40.15" customHeight="1" x14ac:dyDescent="0.15">
      <c r="A866" s="21"/>
      <c r="B866" s="22"/>
      <c r="C866" s="64"/>
      <c r="D866" s="24"/>
      <c r="E866" s="23"/>
      <c r="F866" s="21"/>
      <c r="G866" s="28"/>
      <c r="H866" s="61"/>
      <c r="I866" s="22"/>
      <c r="J866" s="23"/>
    </row>
    <row r="867" spans="1:10" ht="60" customHeight="1" x14ac:dyDescent="0.55000000000000004">
      <c r="A867" s="21"/>
      <c r="B867" s="22"/>
      <c r="C867" s="70" t="s">
        <v>7752</v>
      </c>
      <c r="D867" s="24"/>
      <c r="E867" s="23"/>
      <c r="F867" s="21"/>
      <c r="G867" s="22"/>
      <c r="H867" s="70" t="s">
        <v>7752</v>
      </c>
      <c r="I867" s="22"/>
      <c r="J867" s="23"/>
    </row>
    <row r="868" spans="1:10" ht="27.6" customHeight="1" x14ac:dyDescent="0.15">
      <c r="A868" s="21"/>
      <c r="B868" s="22"/>
      <c r="C868" s="64"/>
      <c r="D868" s="24"/>
      <c r="E868" s="23"/>
      <c r="F868" s="21"/>
      <c r="G868" s="22"/>
      <c r="H868" s="64"/>
      <c r="I868" s="22"/>
      <c r="J868" s="23"/>
    </row>
    <row r="869" spans="1:10" ht="33.6" customHeight="1" x14ac:dyDescent="0.15">
      <c r="A869" s="21"/>
      <c r="B869" s="22" t="s">
        <v>7753</v>
      </c>
      <c r="C869" s="64"/>
      <c r="D869" s="24"/>
      <c r="E869" s="23"/>
      <c r="F869" s="21"/>
      <c r="G869" s="22" t="s">
        <v>7755</v>
      </c>
      <c r="H869" s="61"/>
      <c r="I869" s="24"/>
      <c r="J869" s="23"/>
    </row>
    <row r="870" spans="1:10" x14ac:dyDescent="0.15">
      <c r="A870" s="25"/>
      <c r="B870" s="26"/>
      <c r="C870" s="67"/>
      <c r="D870" s="59"/>
      <c r="E870" s="27"/>
      <c r="F870" s="25"/>
      <c r="G870" s="26"/>
      <c r="H870" s="63"/>
      <c r="I870" s="26"/>
      <c r="J870" s="27"/>
    </row>
    <row r="871" spans="1:10" x14ac:dyDescent="0.15">
      <c r="A871" s="18"/>
      <c r="B871" s="19"/>
      <c r="C871" s="66"/>
      <c r="D871" s="58"/>
      <c r="E871" s="20"/>
      <c r="F871" s="18"/>
      <c r="G871" s="19"/>
      <c r="H871" s="60"/>
      <c r="I871" s="19"/>
      <c r="J871" s="20"/>
    </row>
    <row r="872" spans="1:10" ht="40.15" customHeight="1" x14ac:dyDescent="0.15">
      <c r="A872" s="21"/>
      <c r="B872" s="22"/>
      <c r="C872" s="64"/>
      <c r="D872" s="24"/>
      <c r="E872" s="23"/>
      <c r="F872" s="21"/>
      <c r="G872" s="28"/>
      <c r="H872" s="61"/>
      <c r="I872" s="22"/>
      <c r="J872" s="23"/>
    </row>
    <row r="873" spans="1:10" ht="60" customHeight="1" x14ac:dyDescent="0.55000000000000004">
      <c r="A873" s="21"/>
      <c r="B873" s="22"/>
      <c r="C873" s="70" t="s">
        <v>5137</v>
      </c>
      <c r="D873" s="24"/>
      <c r="E873" s="23"/>
      <c r="F873" s="21"/>
      <c r="G873" s="22"/>
      <c r="H873" s="70" t="s">
        <v>7759</v>
      </c>
      <c r="I873" s="22"/>
      <c r="J873" s="23"/>
    </row>
    <row r="874" spans="1:10" ht="27.6" customHeight="1" x14ac:dyDescent="0.15">
      <c r="A874" s="21"/>
      <c r="B874" s="22"/>
      <c r="C874" s="64"/>
      <c r="D874" s="24"/>
      <c r="E874" s="23"/>
      <c r="F874" s="21"/>
      <c r="G874" s="22"/>
      <c r="H874" s="64"/>
      <c r="I874" s="22"/>
      <c r="J874" s="23"/>
    </row>
    <row r="875" spans="1:10" ht="33.6" customHeight="1" x14ac:dyDescent="0.15">
      <c r="A875" s="21"/>
      <c r="B875" s="22" t="s">
        <v>7757</v>
      </c>
      <c r="C875" s="64"/>
      <c r="D875" s="24"/>
      <c r="E875" s="23"/>
      <c r="F875" s="21"/>
      <c r="G875" s="22" t="s">
        <v>7760</v>
      </c>
      <c r="H875" s="61"/>
      <c r="I875" s="24"/>
      <c r="J875" s="23"/>
    </row>
    <row r="876" spans="1:10" x14ac:dyDescent="0.15">
      <c r="A876" s="25"/>
      <c r="B876" s="26"/>
      <c r="C876" s="67"/>
      <c r="D876" s="59"/>
      <c r="E876" s="27"/>
      <c r="F876" s="25"/>
      <c r="G876" s="26"/>
      <c r="H876" s="63"/>
      <c r="I876" s="26"/>
      <c r="J876" s="27"/>
    </row>
    <row r="877" spans="1:10" x14ac:dyDescent="0.15">
      <c r="A877" s="18"/>
      <c r="B877" s="19"/>
      <c r="C877" s="66"/>
      <c r="D877" s="58"/>
      <c r="E877" s="20"/>
      <c r="F877" s="18"/>
      <c r="G877" s="19"/>
      <c r="H877" s="60"/>
      <c r="I877" s="19"/>
      <c r="J877" s="20"/>
    </row>
    <row r="878" spans="1:10" ht="40.15" customHeight="1" x14ac:dyDescent="0.15">
      <c r="A878" s="21"/>
      <c r="B878" s="22"/>
      <c r="C878" s="64"/>
      <c r="D878" s="24"/>
      <c r="E878" s="23"/>
      <c r="F878" s="21"/>
      <c r="G878" s="28"/>
      <c r="H878" s="61"/>
      <c r="I878" s="22"/>
      <c r="J878" s="23"/>
    </row>
    <row r="879" spans="1:10" ht="60" customHeight="1" x14ac:dyDescent="0.55000000000000004">
      <c r="A879" s="21"/>
      <c r="B879" s="22"/>
      <c r="C879" s="70" t="s">
        <v>7762</v>
      </c>
      <c r="D879" s="24"/>
      <c r="E879" s="23"/>
      <c r="F879" s="21"/>
      <c r="G879" s="22"/>
      <c r="H879" s="70" t="s">
        <v>7765</v>
      </c>
      <c r="I879" s="22"/>
      <c r="J879" s="23"/>
    </row>
    <row r="880" spans="1:10" ht="27.6" customHeight="1" x14ac:dyDescent="0.15">
      <c r="A880" s="21"/>
      <c r="B880" s="22"/>
      <c r="C880" s="64"/>
      <c r="D880" s="24"/>
      <c r="E880" s="23"/>
      <c r="F880" s="21"/>
      <c r="G880" s="22"/>
      <c r="H880" s="64"/>
      <c r="I880" s="22"/>
      <c r="J880" s="23"/>
    </row>
    <row r="881" spans="1:10" ht="33.6" customHeight="1" x14ac:dyDescent="0.15">
      <c r="A881" s="21"/>
      <c r="B881" s="22" t="s">
        <v>7763</v>
      </c>
      <c r="C881" s="64"/>
      <c r="D881" s="24"/>
      <c r="E881" s="23"/>
      <c r="F881" s="21"/>
      <c r="G881" s="22" t="s">
        <v>7766</v>
      </c>
      <c r="H881" s="61"/>
      <c r="I881" s="24"/>
      <c r="J881" s="23"/>
    </row>
    <row r="882" spans="1:10" x14ac:dyDescent="0.15">
      <c r="A882" s="25"/>
      <c r="B882" s="26"/>
      <c r="C882" s="67"/>
      <c r="D882" s="59"/>
      <c r="E882" s="27"/>
      <c r="F882" s="25"/>
      <c r="G882" s="26"/>
      <c r="H882" s="63"/>
      <c r="I882" s="26"/>
      <c r="J882" s="27"/>
    </row>
    <row r="883" spans="1:10" x14ac:dyDescent="0.15">
      <c r="A883" s="18"/>
      <c r="B883" s="19"/>
      <c r="C883" s="66"/>
      <c r="D883" s="58"/>
      <c r="E883" s="20"/>
      <c r="F883" s="18"/>
      <c r="G883" s="19"/>
      <c r="H883" s="60"/>
      <c r="I883" s="19"/>
      <c r="J883" s="20"/>
    </row>
    <row r="884" spans="1:10" ht="40.15" customHeight="1" x14ac:dyDescent="0.15">
      <c r="A884" s="21"/>
      <c r="B884" s="22"/>
      <c r="C884" s="64"/>
      <c r="D884" s="24"/>
      <c r="E884" s="23"/>
      <c r="F884" s="21"/>
      <c r="G884" s="28"/>
      <c r="H884" s="61"/>
      <c r="I884" s="22"/>
      <c r="J884" s="23"/>
    </row>
    <row r="885" spans="1:10" ht="60" customHeight="1" x14ac:dyDescent="0.55000000000000004">
      <c r="A885" s="21"/>
      <c r="B885" s="22"/>
      <c r="C885" s="70" t="s">
        <v>7768</v>
      </c>
      <c r="D885" s="24"/>
      <c r="E885" s="23"/>
      <c r="F885" s="21"/>
      <c r="G885" s="22"/>
      <c r="H885" s="70" t="s">
        <v>5082</v>
      </c>
      <c r="I885" s="22"/>
      <c r="J885" s="23"/>
    </row>
    <row r="886" spans="1:10" ht="27.6" customHeight="1" x14ac:dyDescent="0.15">
      <c r="A886" s="21"/>
      <c r="B886" s="22"/>
      <c r="C886" s="64"/>
      <c r="D886" s="24"/>
      <c r="E886" s="23"/>
      <c r="F886" s="21"/>
      <c r="G886" s="22"/>
      <c r="H886" s="64"/>
      <c r="I886" s="22"/>
      <c r="J886" s="23"/>
    </row>
    <row r="887" spans="1:10" ht="33.6" customHeight="1" x14ac:dyDescent="0.15">
      <c r="A887" s="21"/>
      <c r="B887" s="22" t="s">
        <v>7769</v>
      </c>
      <c r="C887" s="64"/>
      <c r="D887" s="24"/>
      <c r="E887" s="23"/>
      <c r="F887" s="21"/>
      <c r="G887" s="22" t="s">
        <v>7771</v>
      </c>
      <c r="H887" s="61"/>
      <c r="I887" s="24"/>
      <c r="J887" s="23"/>
    </row>
    <row r="888" spans="1:10" x14ac:dyDescent="0.15">
      <c r="A888" s="25"/>
      <c r="B888" s="26"/>
      <c r="C888" s="67"/>
      <c r="D888" s="59"/>
      <c r="E888" s="27"/>
      <c r="F888" s="25"/>
      <c r="G888" s="26"/>
      <c r="H888" s="63"/>
      <c r="I888" s="26"/>
      <c r="J888" s="27"/>
    </row>
    <row r="889" spans="1:10" x14ac:dyDescent="0.15">
      <c r="A889" s="18"/>
      <c r="B889" s="19"/>
      <c r="C889" s="66"/>
      <c r="D889" s="58"/>
      <c r="E889" s="20"/>
      <c r="F889" s="18"/>
      <c r="G889" s="19"/>
      <c r="H889" s="60"/>
      <c r="I889" s="19"/>
      <c r="J889" s="20"/>
    </row>
    <row r="890" spans="1:10" ht="40.15" customHeight="1" x14ac:dyDescent="0.15">
      <c r="A890" s="21"/>
      <c r="B890" s="22"/>
      <c r="C890" s="64"/>
      <c r="D890" s="24"/>
      <c r="E890" s="23"/>
      <c r="F890" s="21"/>
      <c r="G890" s="28"/>
      <c r="H890" s="61"/>
      <c r="I890" s="22"/>
      <c r="J890" s="23"/>
    </row>
    <row r="891" spans="1:10" ht="60" customHeight="1" x14ac:dyDescent="0.55000000000000004">
      <c r="A891" s="21"/>
      <c r="B891" s="22"/>
      <c r="C891" s="70"/>
      <c r="D891" s="24"/>
      <c r="E891" s="23"/>
      <c r="F891" s="21"/>
      <c r="G891" s="22"/>
      <c r="H891" s="70"/>
      <c r="I891" s="22"/>
      <c r="J891" s="23"/>
    </row>
    <row r="892" spans="1:10" ht="27.6" customHeight="1" x14ac:dyDescent="0.15">
      <c r="A892" s="21"/>
      <c r="B892" s="22"/>
      <c r="C892" s="64"/>
      <c r="D892" s="24"/>
      <c r="E892" s="23"/>
      <c r="F892" s="21"/>
      <c r="G892" s="22"/>
      <c r="H892" s="64"/>
      <c r="I892" s="22"/>
      <c r="J892" s="23"/>
    </row>
    <row r="893" spans="1:10" ht="33.6" customHeight="1" x14ac:dyDescent="0.15">
      <c r="A893" s="21"/>
      <c r="B893" s="22"/>
      <c r="C893" s="64"/>
      <c r="D893" s="24"/>
      <c r="E893" s="23"/>
      <c r="F893" s="21"/>
      <c r="G893" s="22"/>
      <c r="H893" s="61"/>
      <c r="I893" s="24"/>
      <c r="J893" s="23"/>
    </row>
    <row r="894" spans="1:10" x14ac:dyDescent="0.15">
      <c r="A894" s="25"/>
      <c r="B894" s="26"/>
      <c r="C894" s="67"/>
      <c r="D894" s="59"/>
      <c r="E894" s="27"/>
      <c r="F894" s="25"/>
      <c r="G894" s="26"/>
      <c r="H894" s="63"/>
      <c r="I894" s="26"/>
      <c r="J894" s="27"/>
    </row>
    <row r="895" spans="1:10" x14ac:dyDescent="0.15">
      <c r="A895" s="18"/>
      <c r="B895" s="19"/>
      <c r="C895" s="66"/>
      <c r="D895" s="58"/>
      <c r="E895" s="20"/>
      <c r="F895" s="18"/>
      <c r="G895" s="19"/>
      <c r="H895" s="60"/>
      <c r="I895" s="19"/>
      <c r="J895" s="20"/>
    </row>
    <row r="896" spans="1:10" ht="40.15" customHeight="1" x14ac:dyDescent="0.15">
      <c r="A896" s="21"/>
      <c r="B896" s="22"/>
      <c r="C896" s="64"/>
      <c r="D896" s="24"/>
      <c r="E896" s="23"/>
      <c r="F896" s="21"/>
      <c r="G896" s="28"/>
      <c r="H896" s="61"/>
      <c r="I896" s="22"/>
      <c r="J896" s="23"/>
    </row>
    <row r="897" spans="1:10" ht="60" customHeight="1" x14ac:dyDescent="0.55000000000000004">
      <c r="A897" s="21"/>
      <c r="B897" s="22"/>
      <c r="C897" s="70"/>
      <c r="D897" s="24"/>
      <c r="E897" s="23"/>
      <c r="F897" s="21"/>
      <c r="G897" s="22"/>
      <c r="H897" s="70"/>
      <c r="I897" s="22"/>
      <c r="J897" s="23"/>
    </row>
    <row r="898" spans="1:10" ht="27.6" customHeight="1" x14ac:dyDescent="0.15">
      <c r="A898" s="21"/>
      <c r="B898" s="22"/>
      <c r="C898" s="64"/>
      <c r="D898" s="24"/>
      <c r="E898" s="23"/>
      <c r="F898" s="21"/>
      <c r="G898" s="22"/>
      <c r="H898" s="64"/>
      <c r="I898" s="22"/>
      <c r="J898" s="23"/>
    </row>
    <row r="899" spans="1:10" ht="33.6" customHeight="1" x14ac:dyDescent="0.15">
      <c r="A899" s="21"/>
      <c r="B899" s="22"/>
      <c r="C899" s="64"/>
      <c r="D899" s="24"/>
      <c r="E899" s="23"/>
      <c r="F899" s="21"/>
      <c r="G899" s="22"/>
      <c r="H899" s="61"/>
      <c r="I899" s="24"/>
      <c r="J899" s="23"/>
    </row>
    <row r="900" spans="1:10" x14ac:dyDescent="0.15">
      <c r="A900" s="25"/>
      <c r="B900" s="26"/>
      <c r="C900" s="67"/>
      <c r="D900" s="59"/>
      <c r="E900" s="27"/>
      <c r="F900" s="25"/>
      <c r="G900" s="26"/>
      <c r="H900" s="63"/>
      <c r="I900" s="26"/>
      <c r="J900" s="27"/>
    </row>
    <row r="901" spans="1:10" x14ac:dyDescent="0.15">
      <c r="A901" s="18"/>
      <c r="B901" s="19"/>
      <c r="C901" s="66"/>
      <c r="D901" s="58"/>
      <c r="E901" s="20"/>
      <c r="F901" s="18"/>
      <c r="G901" s="19"/>
      <c r="H901" s="60"/>
      <c r="I901" s="19"/>
      <c r="J901" s="20"/>
    </row>
    <row r="902" spans="1:10" ht="40.15" customHeight="1" x14ac:dyDescent="0.15">
      <c r="A902" s="21"/>
      <c r="B902" s="28" t="s">
        <v>7363</v>
      </c>
      <c r="C902" s="64"/>
      <c r="D902" s="24"/>
      <c r="E902" s="23"/>
      <c r="F902" s="21"/>
      <c r="G902" s="28" t="s">
        <v>7363</v>
      </c>
      <c r="H902" s="61"/>
      <c r="I902" s="22"/>
      <c r="J902" s="23"/>
    </row>
    <row r="903" spans="1:10" ht="60" customHeight="1" x14ac:dyDescent="0.4">
      <c r="A903" s="21"/>
      <c r="B903" s="22"/>
      <c r="C903" s="62" t="s">
        <v>7756</v>
      </c>
      <c r="D903" s="24"/>
      <c r="E903" s="23"/>
      <c r="F903" s="21"/>
      <c r="G903" s="22"/>
      <c r="H903" s="62" t="s">
        <v>7754</v>
      </c>
      <c r="I903" s="22"/>
      <c r="J903" s="23"/>
    </row>
    <row r="904" spans="1:10" ht="27.6" customHeight="1" x14ac:dyDescent="0.3">
      <c r="A904" s="21"/>
      <c r="B904" s="22"/>
      <c r="C904" s="69" t="s">
        <v>61</v>
      </c>
      <c r="D904" s="24"/>
      <c r="E904" s="23"/>
      <c r="F904" s="21"/>
      <c r="G904" s="22"/>
      <c r="H904" s="69" t="s">
        <v>36</v>
      </c>
      <c r="I904" s="22"/>
      <c r="J904" s="23"/>
    </row>
    <row r="905" spans="1:10" ht="33.6" customHeight="1" x14ac:dyDescent="0.15">
      <c r="A905" s="21"/>
      <c r="B905" s="22"/>
      <c r="C905" s="64"/>
      <c r="D905" s="24" t="s">
        <v>7362</v>
      </c>
      <c r="E905" s="23"/>
      <c r="F905" s="21"/>
      <c r="G905" s="22"/>
      <c r="H905" s="61"/>
      <c r="I905" s="24" t="s">
        <v>7362</v>
      </c>
      <c r="J905" s="23"/>
    </row>
    <row r="906" spans="1:10" x14ac:dyDescent="0.15">
      <c r="A906" s="25"/>
      <c r="B906" s="26"/>
      <c r="C906" s="67"/>
      <c r="D906" s="59"/>
      <c r="E906" s="27"/>
      <c r="F906" s="25"/>
      <c r="G906" s="26"/>
      <c r="H906" s="63"/>
      <c r="I906" s="26"/>
      <c r="J906" s="27"/>
    </row>
    <row r="907" spans="1:10" x14ac:dyDescent="0.15">
      <c r="A907" s="18"/>
      <c r="B907" s="19"/>
      <c r="C907" s="66"/>
      <c r="D907" s="58"/>
      <c r="E907" s="20"/>
      <c r="F907" s="18"/>
      <c r="G907" s="19"/>
      <c r="H907" s="60"/>
      <c r="I907" s="19"/>
      <c r="J907" s="20"/>
    </row>
    <row r="908" spans="1:10" ht="40.15" customHeight="1" x14ac:dyDescent="0.15">
      <c r="A908" s="21"/>
      <c r="B908" s="28" t="s">
        <v>7363</v>
      </c>
      <c r="C908" s="64"/>
      <c r="D908" s="24"/>
      <c r="E908" s="23"/>
      <c r="F908" s="21"/>
      <c r="G908" s="28" t="s">
        <v>7363</v>
      </c>
      <c r="H908" s="61"/>
      <c r="I908" s="22"/>
      <c r="J908" s="23"/>
    </row>
    <row r="909" spans="1:10" ht="60" customHeight="1" x14ac:dyDescent="0.4">
      <c r="A909" s="21"/>
      <c r="B909" s="22"/>
      <c r="C909" s="62" t="s">
        <v>7761</v>
      </c>
      <c r="D909" s="24"/>
      <c r="E909" s="23"/>
      <c r="F909" s="21"/>
      <c r="G909" s="22"/>
      <c r="H909" s="62" t="s">
        <v>7758</v>
      </c>
      <c r="I909" s="22"/>
      <c r="J909" s="23"/>
    </row>
    <row r="910" spans="1:10" ht="27.6" customHeight="1" x14ac:dyDescent="0.3">
      <c r="A910" s="21"/>
      <c r="B910" s="22"/>
      <c r="C910" s="69" t="s">
        <v>36</v>
      </c>
      <c r="D910" s="24"/>
      <c r="E910" s="23"/>
      <c r="F910" s="21"/>
      <c r="G910" s="22"/>
      <c r="H910" s="69" t="s">
        <v>36</v>
      </c>
      <c r="I910" s="22"/>
      <c r="J910" s="23"/>
    </row>
    <row r="911" spans="1:10" ht="33.6" customHeight="1" x14ac:dyDescent="0.15">
      <c r="A911" s="21"/>
      <c r="B911" s="22"/>
      <c r="C911" s="64"/>
      <c r="D911" s="24" t="s">
        <v>7362</v>
      </c>
      <c r="E911" s="23"/>
      <c r="F911" s="21"/>
      <c r="G911" s="22"/>
      <c r="H911" s="61"/>
      <c r="I911" s="24" t="s">
        <v>7362</v>
      </c>
      <c r="J911" s="23"/>
    </row>
    <row r="912" spans="1:10" x14ac:dyDescent="0.15">
      <c r="A912" s="25"/>
      <c r="B912" s="26"/>
      <c r="C912" s="67"/>
      <c r="D912" s="59"/>
      <c r="E912" s="27"/>
      <c r="F912" s="25"/>
      <c r="G912" s="26"/>
      <c r="H912" s="63"/>
      <c r="I912" s="26"/>
      <c r="J912" s="27"/>
    </row>
    <row r="913" spans="1:10" x14ac:dyDescent="0.15">
      <c r="A913" s="18"/>
      <c r="B913" s="19"/>
      <c r="C913" s="66"/>
      <c r="D913" s="58"/>
      <c r="E913" s="20"/>
      <c r="F913" s="18"/>
      <c r="G913" s="19"/>
      <c r="H913" s="60"/>
      <c r="I913" s="19"/>
      <c r="J913" s="20"/>
    </row>
    <row r="914" spans="1:10" ht="40.15" customHeight="1" x14ac:dyDescent="0.15">
      <c r="A914" s="21"/>
      <c r="B914" s="28" t="s">
        <v>7363</v>
      </c>
      <c r="C914" s="64"/>
      <c r="D914" s="24"/>
      <c r="E914" s="23"/>
      <c r="F914" s="21"/>
      <c r="G914" s="28" t="s">
        <v>7363</v>
      </c>
      <c r="H914" s="61"/>
      <c r="I914" s="22"/>
      <c r="J914" s="23"/>
    </row>
    <row r="915" spans="1:10" ht="60" customHeight="1" x14ac:dyDescent="0.4">
      <c r="A915" s="21"/>
      <c r="B915" s="22"/>
      <c r="C915" s="62" t="s">
        <v>7767</v>
      </c>
      <c r="D915" s="24"/>
      <c r="E915" s="23"/>
      <c r="F915" s="21"/>
      <c r="G915" s="22"/>
      <c r="H915" s="62" t="s">
        <v>7764</v>
      </c>
      <c r="I915" s="22"/>
      <c r="J915" s="23"/>
    </row>
    <row r="916" spans="1:10" ht="27.6" customHeight="1" x14ac:dyDescent="0.3">
      <c r="A916" s="21"/>
      <c r="B916" s="22"/>
      <c r="C916" s="69" t="s">
        <v>73</v>
      </c>
      <c r="D916" s="24"/>
      <c r="E916" s="23"/>
      <c r="F916" s="21"/>
      <c r="G916" s="22"/>
      <c r="H916" s="69" t="s">
        <v>36</v>
      </c>
      <c r="I916" s="22"/>
      <c r="J916" s="23"/>
    </row>
    <row r="917" spans="1:10" ht="33.6" customHeight="1" x14ac:dyDescent="0.15">
      <c r="A917" s="21"/>
      <c r="B917" s="22"/>
      <c r="C917" s="64"/>
      <c r="D917" s="24" t="s">
        <v>7362</v>
      </c>
      <c r="E917" s="23"/>
      <c r="F917" s="21"/>
      <c r="G917" s="22"/>
      <c r="H917" s="61"/>
      <c r="I917" s="24" t="s">
        <v>7362</v>
      </c>
      <c r="J917" s="23"/>
    </row>
    <row r="918" spans="1:10" x14ac:dyDescent="0.15">
      <c r="A918" s="25"/>
      <c r="B918" s="26"/>
      <c r="C918" s="67"/>
      <c r="D918" s="59"/>
      <c r="E918" s="27"/>
      <c r="F918" s="25"/>
      <c r="G918" s="26"/>
      <c r="H918" s="63"/>
      <c r="I918" s="26"/>
      <c r="J918" s="27"/>
    </row>
    <row r="919" spans="1:10" x14ac:dyDescent="0.15">
      <c r="A919" s="18"/>
      <c r="B919" s="19"/>
      <c r="C919" s="66"/>
      <c r="D919" s="58"/>
      <c r="E919" s="20"/>
      <c r="F919" s="18"/>
      <c r="G919" s="19"/>
      <c r="H919" s="60"/>
      <c r="I919" s="19"/>
      <c r="J919" s="20"/>
    </row>
    <row r="920" spans="1:10" ht="40.15" customHeight="1" x14ac:dyDescent="0.15">
      <c r="A920" s="21"/>
      <c r="B920" s="28" t="s">
        <v>7363</v>
      </c>
      <c r="C920" s="64"/>
      <c r="D920" s="24"/>
      <c r="E920" s="23"/>
      <c r="F920" s="21"/>
      <c r="G920" s="28" t="s">
        <v>7363</v>
      </c>
      <c r="H920" s="61"/>
      <c r="I920" s="22"/>
      <c r="J920" s="23"/>
    </row>
    <row r="921" spans="1:10" ht="60" customHeight="1" x14ac:dyDescent="0.4">
      <c r="A921" s="21"/>
      <c r="B921" s="22"/>
      <c r="C921" s="62" t="s">
        <v>7772</v>
      </c>
      <c r="D921" s="24"/>
      <c r="E921" s="23"/>
      <c r="F921" s="21"/>
      <c r="G921" s="22"/>
      <c r="H921" s="62" t="s">
        <v>7770</v>
      </c>
      <c r="I921" s="22"/>
      <c r="J921" s="23"/>
    </row>
    <row r="922" spans="1:10" ht="27.6" customHeight="1" x14ac:dyDescent="0.3">
      <c r="A922" s="21"/>
      <c r="B922" s="22"/>
      <c r="C922" s="69" t="s">
        <v>73</v>
      </c>
      <c r="D922" s="24"/>
      <c r="E922" s="23"/>
      <c r="F922" s="21"/>
      <c r="G922" s="22"/>
      <c r="H922" s="69" t="s">
        <v>36</v>
      </c>
      <c r="I922" s="22"/>
      <c r="J922" s="23"/>
    </row>
    <row r="923" spans="1:10" ht="33.6" customHeight="1" x14ac:dyDescent="0.15">
      <c r="A923" s="21"/>
      <c r="B923" s="22"/>
      <c r="C923" s="64"/>
      <c r="D923" s="24" t="s">
        <v>7362</v>
      </c>
      <c r="E923" s="23"/>
      <c r="F923" s="21"/>
      <c r="G923" s="22"/>
      <c r="H923" s="61"/>
      <c r="I923" s="24" t="s">
        <v>7362</v>
      </c>
      <c r="J923" s="23"/>
    </row>
    <row r="924" spans="1:10" x14ac:dyDescent="0.15">
      <c r="A924" s="25"/>
      <c r="B924" s="26"/>
      <c r="C924" s="67"/>
      <c r="D924" s="59"/>
      <c r="E924" s="27"/>
      <c r="F924" s="25"/>
      <c r="G924" s="26"/>
      <c r="H924" s="63"/>
      <c r="I924" s="26"/>
      <c r="J924" s="27"/>
    </row>
    <row r="925" spans="1:10" x14ac:dyDescent="0.15">
      <c r="A925" s="18"/>
      <c r="B925" s="19"/>
      <c r="C925" s="66"/>
      <c r="D925" s="58"/>
      <c r="E925" s="20"/>
      <c r="F925" s="18"/>
      <c r="G925" s="19"/>
      <c r="H925" s="60"/>
      <c r="I925" s="19"/>
      <c r="J925" s="20"/>
    </row>
    <row r="926" spans="1:10" ht="40.15" customHeight="1" x14ac:dyDescent="0.15">
      <c r="A926" s="21"/>
      <c r="B926" s="28"/>
      <c r="C926" s="64"/>
      <c r="D926" s="24"/>
      <c r="E926" s="23"/>
      <c r="F926" s="21"/>
      <c r="G926" s="28"/>
      <c r="H926" s="61"/>
      <c r="I926" s="22"/>
      <c r="J926" s="23"/>
    </row>
    <row r="927" spans="1:10" ht="60" customHeight="1" x14ac:dyDescent="0.4">
      <c r="A927" s="21"/>
      <c r="B927" s="22"/>
      <c r="C927" s="62"/>
      <c r="D927" s="24"/>
      <c r="E927" s="23"/>
      <c r="F927" s="21"/>
      <c r="G927" s="22"/>
      <c r="H927" s="62"/>
      <c r="I927" s="22"/>
      <c r="J927" s="23"/>
    </row>
    <row r="928" spans="1:10" ht="27.6" customHeight="1" x14ac:dyDescent="0.3">
      <c r="A928" s="21"/>
      <c r="B928" s="22"/>
      <c r="C928" s="69"/>
      <c r="D928" s="24"/>
      <c r="E928" s="23"/>
      <c r="F928" s="21"/>
      <c r="G928" s="22"/>
      <c r="H928" s="69"/>
      <c r="I928" s="22"/>
      <c r="J928" s="23"/>
    </row>
    <row r="929" spans="1:10" ht="33.6" customHeight="1" x14ac:dyDescent="0.15">
      <c r="A929" s="21"/>
      <c r="B929" s="22"/>
      <c r="C929" s="64"/>
      <c r="D929" s="24"/>
      <c r="E929" s="23"/>
      <c r="F929" s="21"/>
      <c r="G929" s="22"/>
      <c r="H929" s="61"/>
      <c r="I929" s="24"/>
      <c r="J929" s="23"/>
    </row>
    <row r="930" spans="1:10" x14ac:dyDescent="0.15">
      <c r="A930" s="25"/>
      <c r="B930" s="26"/>
      <c r="C930" s="67"/>
      <c r="D930" s="59"/>
      <c r="E930" s="27"/>
      <c r="F930" s="25"/>
      <c r="G930" s="26"/>
      <c r="H930" s="63"/>
      <c r="I930" s="26"/>
      <c r="J930" s="27"/>
    </row>
    <row r="931" spans="1:10" x14ac:dyDescent="0.15">
      <c r="A931" s="18"/>
      <c r="B931" s="19"/>
      <c r="C931" s="66"/>
      <c r="D931" s="58"/>
      <c r="E931" s="20"/>
      <c r="F931" s="18"/>
      <c r="G931" s="19"/>
      <c r="H931" s="60"/>
      <c r="I931" s="19"/>
      <c r="J931" s="20"/>
    </row>
    <row r="932" spans="1:10" ht="40.15" customHeight="1" x14ac:dyDescent="0.15">
      <c r="A932" s="21"/>
      <c r="B932" s="28"/>
      <c r="C932" s="64"/>
      <c r="D932" s="24"/>
      <c r="E932" s="23"/>
      <c r="F932" s="21"/>
      <c r="G932" s="28"/>
      <c r="H932" s="61"/>
      <c r="I932" s="22"/>
      <c r="J932" s="23"/>
    </row>
    <row r="933" spans="1:10" ht="60" customHeight="1" x14ac:dyDescent="0.4">
      <c r="A933" s="21"/>
      <c r="B933" s="22"/>
      <c r="C933" s="62"/>
      <c r="D933" s="24"/>
      <c r="E933" s="23"/>
      <c r="F933" s="21"/>
      <c r="G933" s="22"/>
      <c r="H933" s="62"/>
      <c r="I933" s="22"/>
      <c r="J933" s="23"/>
    </row>
    <row r="934" spans="1:10" ht="27.6" customHeight="1" x14ac:dyDescent="0.3">
      <c r="A934" s="21"/>
      <c r="B934" s="22"/>
      <c r="C934" s="69"/>
      <c r="D934" s="24"/>
      <c r="E934" s="23"/>
      <c r="F934" s="21"/>
      <c r="G934" s="22"/>
      <c r="H934" s="69"/>
      <c r="I934" s="22"/>
      <c r="J934" s="23"/>
    </row>
    <row r="935" spans="1:10" ht="33.6" customHeight="1" x14ac:dyDescent="0.15">
      <c r="A935" s="21"/>
      <c r="B935" s="22"/>
      <c r="C935" s="64"/>
      <c r="D935" s="24"/>
      <c r="E935" s="23"/>
      <c r="F935" s="21"/>
      <c r="G935" s="22"/>
      <c r="H935" s="61"/>
      <c r="I935" s="24"/>
      <c r="J935" s="23"/>
    </row>
    <row r="936" spans="1:10" x14ac:dyDescent="0.15">
      <c r="A936" s="25"/>
      <c r="B936" s="26"/>
      <c r="C936" s="67"/>
      <c r="D936" s="59"/>
      <c r="E936" s="27"/>
      <c r="F936" s="25"/>
      <c r="G936" s="26"/>
      <c r="H936" s="63"/>
      <c r="I936" s="26"/>
      <c r="J936" s="27"/>
    </row>
    <row r="937" spans="1:10" x14ac:dyDescent="0.15">
      <c r="A937" s="18"/>
      <c r="B937" s="19"/>
      <c r="C937" s="66"/>
      <c r="D937" s="58"/>
      <c r="E937" s="20"/>
      <c r="F937" s="18"/>
      <c r="G937" s="19"/>
      <c r="H937" s="60"/>
      <c r="I937" s="19"/>
      <c r="J937" s="20"/>
    </row>
    <row r="938" spans="1:10" ht="40.15" customHeight="1" x14ac:dyDescent="0.15">
      <c r="A938" s="21"/>
      <c r="B938" s="22"/>
      <c r="C938" s="64"/>
      <c r="D938" s="24"/>
      <c r="E938" s="23"/>
      <c r="F938" s="21"/>
      <c r="G938" s="28"/>
      <c r="H938" s="61"/>
      <c r="I938" s="22"/>
      <c r="J938" s="23"/>
    </row>
    <row r="939" spans="1:10" ht="60" customHeight="1" x14ac:dyDescent="0.55000000000000004">
      <c r="A939" s="21"/>
      <c r="B939" s="22"/>
      <c r="C939" s="70"/>
      <c r="D939" s="24"/>
      <c r="E939" s="23"/>
      <c r="F939" s="21"/>
      <c r="G939" s="22"/>
      <c r="H939" s="70"/>
      <c r="I939" s="22"/>
      <c r="J939" s="23"/>
    </row>
    <row r="940" spans="1:10" ht="27.6" customHeight="1" x14ac:dyDescent="0.15">
      <c r="A940" s="21"/>
      <c r="B940" s="22"/>
      <c r="C940" s="64"/>
      <c r="D940" s="24"/>
      <c r="E940" s="23"/>
      <c r="F940" s="21"/>
      <c r="G940" s="22"/>
      <c r="H940" s="64"/>
      <c r="I940" s="22"/>
      <c r="J940" s="23"/>
    </row>
    <row r="941" spans="1:10" ht="33.6" customHeight="1" x14ac:dyDescent="0.15">
      <c r="A941" s="21"/>
      <c r="B941" s="22"/>
      <c r="C941" s="64"/>
      <c r="D941" s="24"/>
      <c r="E941" s="23"/>
      <c r="F941" s="21"/>
      <c r="G941" s="22"/>
      <c r="H941" s="61"/>
      <c r="I941" s="24"/>
      <c r="J941" s="23"/>
    </row>
    <row r="942" spans="1:10" x14ac:dyDescent="0.15">
      <c r="A942" s="25"/>
      <c r="B942" s="26"/>
      <c r="C942" s="67"/>
      <c r="D942" s="59"/>
      <c r="E942" s="27"/>
      <c r="F942" s="25"/>
      <c r="G942" s="26"/>
      <c r="H942" s="63"/>
      <c r="I942" s="26"/>
      <c r="J942" s="27"/>
    </row>
    <row r="943" spans="1:10" x14ac:dyDescent="0.15">
      <c r="A943" s="18"/>
      <c r="B943" s="19"/>
      <c r="C943" s="66"/>
      <c r="D943" s="58"/>
      <c r="E943" s="20"/>
      <c r="F943" s="18"/>
      <c r="G943" s="19"/>
      <c r="H943" s="60"/>
      <c r="I943" s="19"/>
      <c r="J943" s="20"/>
    </row>
    <row r="944" spans="1:10" ht="40.15" customHeight="1" x14ac:dyDescent="0.15">
      <c r="A944" s="21"/>
      <c r="B944" s="22"/>
      <c r="C944" s="64"/>
      <c r="D944" s="24"/>
      <c r="E944" s="23"/>
      <c r="F944" s="21"/>
      <c r="G944" s="28"/>
      <c r="H944" s="61"/>
      <c r="I944" s="22"/>
      <c r="J944" s="23"/>
    </row>
    <row r="945" spans="1:10" ht="60" customHeight="1" x14ac:dyDescent="0.55000000000000004">
      <c r="A945" s="21"/>
      <c r="B945" s="22"/>
      <c r="C945" s="70"/>
      <c r="D945" s="24"/>
      <c r="E945" s="23"/>
      <c r="F945" s="21"/>
      <c r="G945" s="22"/>
      <c r="H945" s="70"/>
      <c r="I945" s="22"/>
      <c r="J945" s="23"/>
    </row>
    <row r="946" spans="1:10" ht="27.6" customHeight="1" x14ac:dyDescent="0.15">
      <c r="A946" s="21"/>
      <c r="B946" s="22"/>
      <c r="C946" s="64"/>
      <c r="D946" s="24"/>
      <c r="E946" s="23"/>
      <c r="F946" s="21"/>
      <c r="G946" s="22"/>
      <c r="H946" s="64"/>
      <c r="I946" s="22"/>
      <c r="J946" s="23"/>
    </row>
    <row r="947" spans="1:10" ht="33.6" customHeight="1" x14ac:dyDescent="0.15">
      <c r="A947" s="21"/>
      <c r="B947" s="22"/>
      <c r="C947" s="64"/>
      <c r="D947" s="24"/>
      <c r="E947" s="23"/>
      <c r="F947" s="21"/>
      <c r="G947" s="22"/>
      <c r="H947" s="61"/>
      <c r="I947" s="24"/>
      <c r="J947" s="23"/>
    </row>
    <row r="948" spans="1:10" x14ac:dyDescent="0.15">
      <c r="A948" s="25"/>
      <c r="B948" s="26"/>
      <c r="C948" s="67"/>
      <c r="D948" s="59"/>
      <c r="E948" s="27"/>
      <c r="F948" s="25"/>
      <c r="G948" s="26"/>
      <c r="H948" s="63"/>
      <c r="I948" s="26"/>
      <c r="J948" s="27"/>
    </row>
    <row r="949" spans="1:10" x14ac:dyDescent="0.15">
      <c r="A949" s="18"/>
      <c r="B949" s="19"/>
      <c r="C949" s="66"/>
      <c r="D949" s="58"/>
      <c r="E949" s="20"/>
      <c r="F949" s="18"/>
      <c r="G949" s="19"/>
      <c r="H949" s="60"/>
      <c r="I949" s="19"/>
      <c r="J949" s="20"/>
    </row>
    <row r="950" spans="1:10" ht="40.15" customHeight="1" x14ac:dyDescent="0.15">
      <c r="A950" s="21"/>
      <c r="B950" s="22"/>
      <c r="C950" s="64"/>
      <c r="D950" s="24"/>
      <c r="E950" s="23"/>
      <c r="F950" s="21"/>
      <c r="G950" s="28"/>
      <c r="H950" s="61"/>
      <c r="I950" s="22"/>
      <c r="J950" s="23"/>
    </row>
    <row r="951" spans="1:10" ht="60" customHeight="1" x14ac:dyDescent="0.55000000000000004">
      <c r="A951" s="21"/>
      <c r="B951" s="22"/>
      <c r="C951" s="70"/>
      <c r="D951" s="24"/>
      <c r="E951" s="23"/>
      <c r="F951" s="21"/>
      <c r="G951" s="22"/>
      <c r="H951" s="70"/>
      <c r="I951" s="22"/>
      <c r="J951" s="23"/>
    </row>
    <row r="952" spans="1:10" ht="27.6" customHeight="1" x14ac:dyDescent="0.15">
      <c r="A952" s="21"/>
      <c r="B952" s="22"/>
      <c r="C952" s="64"/>
      <c r="D952" s="24"/>
      <c r="E952" s="23"/>
      <c r="F952" s="21"/>
      <c r="G952" s="22"/>
      <c r="H952" s="64"/>
      <c r="I952" s="22"/>
      <c r="J952" s="23"/>
    </row>
    <row r="953" spans="1:10" ht="33.6" customHeight="1" x14ac:dyDescent="0.15">
      <c r="A953" s="21"/>
      <c r="B953" s="22"/>
      <c r="C953" s="64"/>
      <c r="D953" s="24"/>
      <c r="E953" s="23"/>
      <c r="F953" s="21"/>
      <c r="G953" s="22"/>
      <c r="H953" s="61"/>
      <c r="I953" s="24"/>
      <c r="J953" s="23"/>
    </row>
    <row r="954" spans="1:10" x14ac:dyDescent="0.15">
      <c r="A954" s="25"/>
      <c r="B954" s="26"/>
      <c r="C954" s="67"/>
      <c r="D954" s="59"/>
      <c r="E954" s="27"/>
      <c r="F954" s="25"/>
      <c r="G954" s="26"/>
      <c r="H954" s="63"/>
      <c r="I954" s="26"/>
      <c r="J954" s="27"/>
    </row>
    <row r="955" spans="1:10" x14ac:dyDescent="0.15">
      <c r="A955" s="18"/>
      <c r="B955" s="19"/>
      <c r="C955" s="66"/>
      <c r="D955" s="58"/>
      <c r="E955" s="20"/>
      <c r="F955" s="18"/>
      <c r="G955" s="19"/>
      <c r="H955" s="60"/>
      <c r="I955" s="19"/>
      <c r="J955" s="20"/>
    </row>
    <row r="956" spans="1:10" ht="40.15" customHeight="1" x14ac:dyDescent="0.15">
      <c r="A956" s="21"/>
      <c r="B956" s="22"/>
      <c r="C956" s="64"/>
      <c r="D956" s="24"/>
      <c r="E956" s="23"/>
      <c r="F956" s="21"/>
      <c r="G956" s="28"/>
      <c r="H956" s="61"/>
      <c r="I956" s="22"/>
      <c r="J956" s="23"/>
    </row>
    <row r="957" spans="1:10" ht="60" customHeight="1" x14ac:dyDescent="0.55000000000000004">
      <c r="A957" s="21"/>
      <c r="B957" s="22"/>
      <c r="C957" s="70"/>
      <c r="D957" s="24"/>
      <c r="E957" s="23"/>
      <c r="F957" s="21"/>
      <c r="G957" s="22"/>
      <c r="H957" s="70"/>
      <c r="I957" s="22"/>
      <c r="J957" s="23"/>
    </row>
    <row r="958" spans="1:10" ht="27.6" customHeight="1" x14ac:dyDescent="0.15">
      <c r="A958" s="21"/>
      <c r="B958" s="22"/>
      <c r="C958" s="64"/>
      <c r="D958" s="24"/>
      <c r="E958" s="23"/>
      <c r="F958" s="21"/>
      <c r="G958" s="22"/>
      <c r="H958" s="64"/>
      <c r="I958" s="22"/>
      <c r="J958" s="23"/>
    </row>
    <row r="959" spans="1:10" ht="33.6" customHeight="1" x14ac:dyDescent="0.15">
      <c r="A959" s="21"/>
      <c r="B959" s="22"/>
      <c r="C959" s="64"/>
      <c r="D959" s="24"/>
      <c r="E959" s="23"/>
      <c r="F959" s="21"/>
      <c r="G959" s="22"/>
      <c r="H959" s="61"/>
      <c r="I959" s="24"/>
      <c r="J959" s="23"/>
    </row>
    <row r="960" spans="1:10" x14ac:dyDescent="0.15">
      <c r="A960" s="25"/>
      <c r="B960" s="26"/>
      <c r="C960" s="67"/>
      <c r="D960" s="59"/>
      <c r="E960" s="27"/>
      <c r="F960" s="25"/>
      <c r="G960" s="26"/>
      <c r="H960" s="63"/>
      <c r="I960" s="26"/>
      <c r="J960" s="27"/>
    </row>
    <row r="961" spans="1:10" x14ac:dyDescent="0.15">
      <c r="A961" s="18"/>
      <c r="B961" s="19"/>
      <c r="C961" s="66"/>
      <c r="D961" s="58"/>
      <c r="E961" s="20"/>
      <c r="F961" s="18"/>
      <c r="G961" s="19"/>
      <c r="H961" s="60"/>
      <c r="I961" s="19"/>
      <c r="J961" s="20"/>
    </row>
    <row r="962" spans="1:10" ht="40.15" customHeight="1" x14ac:dyDescent="0.15">
      <c r="A962" s="21"/>
      <c r="B962" s="22"/>
      <c r="C962" s="64"/>
      <c r="D962" s="24"/>
      <c r="E962" s="23"/>
      <c r="F962" s="21"/>
      <c r="G962" s="28"/>
      <c r="H962" s="61"/>
      <c r="I962" s="22"/>
      <c r="J962" s="23"/>
    </row>
    <row r="963" spans="1:10" ht="60" customHeight="1" x14ac:dyDescent="0.55000000000000004">
      <c r="A963" s="21"/>
      <c r="B963" s="22"/>
      <c r="C963" s="70"/>
      <c r="D963" s="24"/>
      <c r="E963" s="23"/>
      <c r="F963" s="21"/>
      <c r="G963" s="22"/>
      <c r="H963" s="70"/>
      <c r="I963" s="22"/>
      <c r="J963" s="23"/>
    </row>
    <row r="964" spans="1:10" ht="27.6" customHeight="1" x14ac:dyDescent="0.15">
      <c r="A964" s="21"/>
      <c r="B964" s="22"/>
      <c r="C964" s="64"/>
      <c r="D964" s="24"/>
      <c r="E964" s="23"/>
      <c r="F964" s="21"/>
      <c r="G964" s="22"/>
      <c r="H964" s="64"/>
      <c r="I964" s="22"/>
      <c r="J964" s="23"/>
    </row>
    <row r="965" spans="1:10" ht="33.6" customHeight="1" x14ac:dyDescent="0.15">
      <c r="A965" s="21"/>
      <c r="B965" s="22"/>
      <c r="C965" s="64"/>
      <c r="D965" s="24"/>
      <c r="E965" s="23"/>
      <c r="F965" s="21"/>
      <c r="G965" s="22"/>
      <c r="H965" s="61"/>
      <c r="I965" s="24"/>
      <c r="J965" s="23"/>
    </row>
    <row r="966" spans="1:10" x14ac:dyDescent="0.15">
      <c r="A966" s="25"/>
      <c r="B966" s="26"/>
      <c r="C966" s="67"/>
      <c r="D966" s="59"/>
      <c r="E966" s="27"/>
      <c r="F966" s="25"/>
      <c r="G966" s="26"/>
      <c r="H966" s="63"/>
      <c r="I966" s="26"/>
      <c r="J966" s="27"/>
    </row>
    <row r="967" spans="1:10" x14ac:dyDescent="0.15">
      <c r="A967" s="18"/>
      <c r="B967" s="19"/>
      <c r="C967" s="66"/>
      <c r="D967" s="58"/>
      <c r="E967" s="20"/>
      <c r="F967" s="18"/>
      <c r="G967" s="19"/>
      <c r="H967" s="60"/>
      <c r="I967" s="19"/>
      <c r="J967" s="20"/>
    </row>
    <row r="968" spans="1:10" ht="40.15" customHeight="1" x14ac:dyDescent="0.15">
      <c r="A968" s="21"/>
      <c r="B968" s="22"/>
      <c r="C968" s="64"/>
      <c r="D968" s="24"/>
      <c r="E968" s="23"/>
      <c r="F968" s="21"/>
      <c r="G968" s="28"/>
      <c r="H968" s="61"/>
      <c r="I968" s="22"/>
      <c r="J968" s="23"/>
    </row>
    <row r="969" spans="1:10" ht="60" customHeight="1" x14ac:dyDescent="0.55000000000000004">
      <c r="A969" s="21"/>
      <c r="B969" s="22"/>
      <c r="C969" s="70"/>
      <c r="D969" s="24"/>
      <c r="E969" s="23"/>
      <c r="F969" s="21"/>
      <c r="G969" s="22"/>
      <c r="H969" s="70"/>
      <c r="I969" s="22"/>
      <c r="J969" s="23"/>
    </row>
    <row r="970" spans="1:10" ht="27.6" customHeight="1" x14ac:dyDescent="0.15">
      <c r="A970" s="21"/>
      <c r="B970" s="22"/>
      <c r="C970" s="64"/>
      <c r="D970" s="24"/>
      <c r="E970" s="23"/>
      <c r="F970" s="21"/>
      <c r="G970" s="22"/>
      <c r="H970" s="64"/>
      <c r="I970" s="22"/>
      <c r="J970" s="23"/>
    </row>
    <row r="971" spans="1:10" ht="33.6" customHeight="1" x14ac:dyDescent="0.15">
      <c r="A971" s="21"/>
      <c r="B971" s="22"/>
      <c r="C971" s="64"/>
      <c r="D971" s="24"/>
      <c r="E971" s="23"/>
      <c r="F971" s="21"/>
      <c r="G971" s="22"/>
      <c r="H971" s="61"/>
      <c r="I971" s="24"/>
      <c r="J971" s="23"/>
    </row>
    <row r="972" spans="1:10" x14ac:dyDescent="0.15">
      <c r="A972" s="25"/>
      <c r="B972" s="26"/>
      <c r="C972" s="67"/>
      <c r="D972" s="59"/>
      <c r="E972" s="27"/>
      <c r="F972" s="25"/>
      <c r="G972" s="26"/>
      <c r="H972" s="63"/>
      <c r="I972" s="26"/>
      <c r="J972" s="27"/>
    </row>
    <row r="973" spans="1:10" x14ac:dyDescent="0.15">
      <c r="A973" s="18"/>
      <c r="B973" s="19"/>
      <c r="C973" s="66"/>
      <c r="D973" s="58"/>
      <c r="E973" s="20"/>
      <c r="F973" s="18"/>
      <c r="G973" s="19"/>
      <c r="H973" s="60"/>
      <c r="I973" s="19"/>
      <c r="J973" s="20"/>
    </row>
    <row r="974" spans="1:10" ht="40.15" customHeight="1" x14ac:dyDescent="0.15">
      <c r="A974" s="21"/>
      <c r="B974" s="28"/>
      <c r="C974" s="64"/>
      <c r="D974" s="24"/>
      <c r="E974" s="23"/>
      <c r="F974" s="21"/>
      <c r="G974" s="28"/>
      <c r="H974" s="61"/>
      <c r="I974" s="22"/>
      <c r="J974" s="23"/>
    </row>
    <row r="975" spans="1:10" ht="60" customHeight="1" x14ac:dyDescent="0.4">
      <c r="A975" s="21"/>
      <c r="B975" s="22"/>
      <c r="C975" s="62"/>
      <c r="D975" s="24"/>
      <c r="E975" s="23"/>
      <c r="F975" s="21"/>
      <c r="G975" s="22"/>
      <c r="H975" s="62"/>
      <c r="I975" s="22"/>
      <c r="J975" s="23"/>
    </row>
    <row r="976" spans="1:10" ht="27.6" customHeight="1" x14ac:dyDescent="0.3">
      <c r="A976" s="21"/>
      <c r="B976" s="22"/>
      <c r="C976" s="69"/>
      <c r="D976" s="24"/>
      <c r="E976" s="23"/>
      <c r="F976" s="21"/>
      <c r="G976" s="22"/>
      <c r="H976" s="69"/>
      <c r="I976" s="22"/>
      <c r="J976" s="23"/>
    </row>
    <row r="977" spans="1:10" ht="33.6" customHeight="1" x14ac:dyDescent="0.15">
      <c r="A977" s="21"/>
      <c r="B977" s="22"/>
      <c r="C977" s="64"/>
      <c r="D977" s="24"/>
      <c r="E977" s="23"/>
      <c r="F977" s="21"/>
      <c r="G977" s="22"/>
      <c r="H977" s="61"/>
      <c r="I977" s="24"/>
      <c r="J977" s="23"/>
    </row>
    <row r="978" spans="1:10" x14ac:dyDescent="0.15">
      <c r="A978" s="25"/>
      <c r="B978" s="26"/>
      <c r="C978" s="67"/>
      <c r="D978" s="59"/>
      <c r="E978" s="27"/>
      <c r="F978" s="25"/>
      <c r="G978" s="26"/>
      <c r="H978" s="63"/>
      <c r="I978" s="26"/>
      <c r="J978" s="27"/>
    </row>
    <row r="979" spans="1:10" x14ac:dyDescent="0.15">
      <c r="A979" s="18"/>
      <c r="B979" s="19"/>
      <c r="C979" s="66"/>
      <c r="D979" s="58"/>
      <c r="E979" s="20"/>
      <c r="F979" s="18"/>
      <c r="G979" s="19"/>
      <c r="H979" s="60"/>
      <c r="I979" s="19"/>
      <c r="J979" s="20"/>
    </row>
    <row r="980" spans="1:10" ht="40.15" customHeight="1" x14ac:dyDescent="0.15">
      <c r="A980" s="21"/>
      <c r="B980" s="28"/>
      <c r="C980" s="64"/>
      <c r="D980" s="24"/>
      <c r="E980" s="23"/>
      <c r="F980" s="21"/>
      <c r="G980" s="28"/>
      <c r="H980" s="61"/>
      <c r="I980" s="22"/>
      <c r="J980" s="23"/>
    </row>
    <row r="981" spans="1:10" ht="60" customHeight="1" x14ac:dyDescent="0.4">
      <c r="A981" s="21"/>
      <c r="B981" s="22"/>
      <c r="C981" s="62"/>
      <c r="D981" s="24"/>
      <c r="E981" s="23"/>
      <c r="F981" s="21"/>
      <c r="G981" s="22"/>
      <c r="H981" s="62"/>
      <c r="I981" s="22"/>
      <c r="J981" s="23"/>
    </row>
    <row r="982" spans="1:10" ht="27.6" customHeight="1" x14ac:dyDescent="0.3">
      <c r="A982" s="21"/>
      <c r="B982" s="22"/>
      <c r="C982" s="69"/>
      <c r="D982" s="24"/>
      <c r="E982" s="23"/>
      <c r="F982" s="21"/>
      <c r="G982" s="22"/>
      <c r="H982" s="69"/>
      <c r="I982" s="22"/>
      <c r="J982" s="23"/>
    </row>
    <row r="983" spans="1:10" ht="33.6" customHeight="1" x14ac:dyDescent="0.15">
      <c r="A983" s="21"/>
      <c r="B983" s="22"/>
      <c r="C983" s="64"/>
      <c r="D983" s="24"/>
      <c r="E983" s="23"/>
      <c r="F983" s="21"/>
      <c r="G983" s="22"/>
      <c r="H983" s="61"/>
      <c r="I983" s="24"/>
      <c r="J983" s="23"/>
    </row>
    <row r="984" spans="1:10" x14ac:dyDescent="0.15">
      <c r="A984" s="25"/>
      <c r="B984" s="26"/>
      <c r="C984" s="67"/>
      <c r="D984" s="59"/>
      <c r="E984" s="27"/>
      <c r="F984" s="25"/>
      <c r="G984" s="26"/>
      <c r="H984" s="63"/>
      <c r="I984" s="26"/>
      <c r="J984" s="27"/>
    </row>
    <row r="985" spans="1:10" x14ac:dyDescent="0.15">
      <c r="A985" s="18"/>
      <c r="B985" s="19"/>
      <c r="C985" s="66"/>
      <c r="D985" s="58"/>
      <c r="E985" s="20"/>
      <c r="F985" s="18"/>
      <c r="G985" s="19"/>
      <c r="H985" s="60"/>
      <c r="I985" s="19"/>
      <c r="J985" s="20"/>
    </row>
    <row r="986" spans="1:10" ht="40.15" customHeight="1" x14ac:dyDescent="0.15">
      <c r="A986" s="21"/>
      <c r="B986" s="28"/>
      <c r="C986" s="64"/>
      <c r="D986" s="24"/>
      <c r="E986" s="23"/>
      <c r="F986" s="21"/>
      <c r="G986" s="28"/>
      <c r="H986" s="61"/>
      <c r="I986" s="22"/>
      <c r="J986" s="23"/>
    </row>
    <row r="987" spans="1:10" ht="60" customHeight="1" x14ac:dyDescent="0.4">
      <c r="A987" s="21"/>
      <c r="B987" s="22"/>
      <c r="C987" s="62"/>
      <c r="D987" s="24"/>
      <c r="E987" s="23"/>
      <c r="F987" s="21"/>
      <c r="G987" s="22"/>
      <c r="H987" s="62"/>
      <c r="I987" s="22"/>
      <c r="J987" s="23"/>
    </row>
    <row r="988" spans="1:10" ht="27.6" customHeight="1" x14ac:dyDescent="0.3">
      <c r="A988" s="21"/>
      <c r="B988" s="22"/>
      <c r="C988" s="69"/>
      <c r="D988" s="24"/>
      <c r="E988" s="23"/>
      <c r="F988" s="21"/>
      <c r="G988" s="22"/>
      <c r="H988" s="69"/>
      <c r="I988" s="22"/>
      <c r="J988" s="23"/>
    </row>
    <row r="989" spans="1:10" ht="33.6" customHeight="1" x14ac:dyDescent="0.15">
      <c r="A989" s="21"/>
      <c r="B989" s="22"/>
      <c r="C989" s="64"/>
      <c r="D989" s="24"/>
      <c r="E989" s="23"/>
      <c r="F989" s="21"/>
      <c r="G989" s="22"/>
      <c r="H989" s="61"/>
      <c r="I989" s="24"/>
      <c r="J989" s="23"/>
    </row>
    <row r="990" spans="1:10" x14ac:dyDescent="0.15">
      <c r="A990" s="25"/>
      <c r="B990" s="26"/>
      <c r="C990" s="67"/>
      <c r="D990" s="59"/>
      <c r="E990" s="27"/>
      <c r="F990" s="25"/>
      <c r="G990" s="26"/>
      <c r="H990" s="63"/>
      <c r="I990" s="26"/>
      <c r="J990" s="27"/>
    </row>
    <row r="991" spans="1:10" x14ac:dyDescent="0.15">
      <c r="A991" s="18"/>
      <c r="B991" s="19"/>
      <c r="C991" s="66"/>
      <c r="D991" s="58"/>
      <c r="E991" s="20"/>
      <c r="F991" s="18"/>
      <c r="G991" s="19"/>
      <c r="H991" s="60"/>
      <c r="I991" s="19"/>
      <c r="J991" s="20"/>
    </row>
    <row r="992" spans="1:10" ht="40.15" customHeight="1" x14ac:dyDescent="0.15">
      <c r="A992" s="21"/>
      <c r="B992" s="28"/>
      <c r="C992" s="64"/>
      <c r="D992" s="24"/>
      <c r="E992" s="23"/>
      <c r="F992" s="21"/>
      <c r="G992" s="28"/>
      <c r="H992" s="61"/>
      <c r="I992" s="22"/>
      <c r="J992" s="23"/>
    </row>
    <row r="993" spans="1:10" ht="60" customHeight="1" x14ac:dyDescent="0.4">
      <c r="A993" s="21"/>
      <c r="B993" s="22"/>
      <c r="C993" s="62"/>
      <c r="D993" s="24"/>
      <c r="E993" s="23"/>
      <c r="F993" s="21"/>
      <c r="G993" s="22"/>
      <c r="H993" s="62"/>
      <c r="I993" s="22"/>
      <c r="J993" s="23"/>
    </row>
    <row r="994" spans="1:10" ht="27.6" customHeight="1" x14ac:dyDescent="0.3">
      <c r="A994" s="21"/>
      <c r="B994" s="22"/>
      <c r="C994" s="69"/>
      <c r="D994" s="24"/>
      <c r="E994" s="23"/>
      <c r="F994" s="21"/>
      <c r="G994" s="22"/>
      <c r="H994" s="69"/>
      <c r="I994" s="22"/>
      <c r="J994" s="23"/>
    </row>
    <row r="995" spans="1:10" ht="33.6" customHeight="1" x14ac:dyDescent="0.15">
      <c r="A995" s="21"/>
      <c r="B995" s="22"/>
      <c r="C995" s="64"/>
      <c r="D995" s="24"/>
      <c r="E995" s="23"/>
      <c r="F995" s="21"/>
      <c r="G995" s="22"/>
      <c r="H995" s="61"/>
      <c r="I995" s="24"/>
      <c r="J995" s="23"/>
    </row>
    <row r="996" spans="1:10" x14ac:dyDescent="0.15">
      <c r="A996" s="25"/>
      <c r="B996" s="26"/>
      <c r="C996" s="67"/>
      <c r="D996" s="59"/>
      <c r="E996" s="27"/>
      <c r="F996" s="25"/>
      <c r="G996" s="26"/>
      <c r="H996" s="63"/>
      <c r="I996" s="26"/>
      <c r="J996" s="27"/>
    </row>
    <row r="997" spans="1:10" x14ac:dyDescent="0.15">
      <c r="A997" s="18"/>
      <c r="B997" s="19"/>
      <c r="C997" s="66"/>
      <c r="D997" s="58"/>
      <c r="E997" s="20"/>
      <c r="F997" s="18"/>
      <c r="G997" s="19"/>
      <c r="H997" s="60"/>
      <c r="I997" s="19"/>
      <c r="J997" s="20"/>
    </row>
    <row r="998" spans="1:10" ht="40.15" customHeight="1" x14ac:dyDescent="0.15">
      <c r="A998" s="21"/>
      <c r="B998" s="28"/>
      <c r="C998" s="64"/>
      <c r="D998" s="24"/>
      <c r="E998" s="23"/>
      <c r="F998" s="21"/>
      <c r="G998" s="28"/>
      <c r="H998" s="61"/>
      <c r="I998" s="22"/>
      <c r="J998" s="23"/>
    </row>
    <row r="999" spans="1:10" ht="60" customHeight="1" x14ac:dyDescent="0.4">
      <c r="A999" s="21"/>
      <c r="B999" s="22"/>
      <c r="C999" s="62"/>
      <c r="D999" s="24"/>
      <c r="E999" s="23"/>
      <c r="F999" s="21"/>
      <c r="G999" s="22"/>
      <c r="H999" s="62"/>
      <c r="I999" s="22"/>
      <c r="J999" s="23"/>
    </row>
    <row r="1000" spans="1:10" ht="27.6" customHeight="1" x14ac:dyDescent="0.3">
      <c r="A1000" s="21"/>
      <c r="B1000" s="22"/>
      <c r="C1000" s="69"/>
      <c r="D1000" s="24"/>
      <c r="E1000" s="23"/>
      <c r="F1000" s="21"/>
      <c r="G1000" s="22"/>
      <c r="H1000" s="69"/>
      <c r="I1000" s="22"/>
      <c r="J1000" s="23"/>
    </row>
    <row r="1001" spans="1:10" ht="33.6" customHeight="1" x14ac:dyDescent="0.15">
      <c r="A1001" s="21"/>
      <c r="B1001" s="22"/>
      <c r="C1001" s="64"/>
      <c r="D1001" s="24"/>
      <c r="E1001" s="23"/>
      <c r="F1001" s="21"/>
      <c r="G1001" s="22"/>
      <c r="H1001" s="61"/>
      <c r="I1001" s="24"/>
      <c r="J1001" s="23"/>
    </row>
    <row r="1002" spans="1:10" x14ac:dyDescent="0.15">
      <c r="A1002" s="25"/>
      <c r="B1002" s="26"/>
      <c r="C1002" s="67"/>
      <c r="D1002" s="59"/>
      <c r="E1002" s="27"/>
      <c r="F1002" s="25"/>
      <c r="G1002" s="26"/>
      <c r="H1002" s="63"/>
      <c r="I1002" s="26"/>
      <c r="J1002" s="27"/>
    </row>
    <row r="1003" spans="1:10" x14ac:dyDescent="0.15">
      <c r="A1003" s="18"/>
      <c r="B1003" s="19"/>
      <c r="C1003" s="66"/>
      <c r="D1003" s="58"/>
      <c r="E1003" s="20"/>
      <c r="F1003" s="18"/>
      <c r="G1003" s="19"/>
      <c r="H1003" s="60"/>
      <c r="I1003" s="19"/>
      <c r="J1003" s="20"/>
    </row>
    <row r="1004" spans="1:10" ht="40.15" customHeight="1" x14ac:dyDescent="0.15">
      <c r="A1004" s="21"/>
      <c r="B1004" s="28"/>
      <c r="C1004" s="64"/>
      <c r="D1004" s="24"/>
      <c r="E1004" s="23"/>
      <c r="F1004" s="21"/>
      <c r="G1004" s="28"/>
      <c r="H1004" s="61"/>
      <c r="I1004" s="22"/>
      <c r="J1004" s="23"/>
    </row>
    <row r="1005" spans="1:10" ht="60" customHeight="1" x14ac:dyDescent="0.4">
      <c r="A1005" s="21"/>
      <c r="B1005" s="22"/>
      <c r="C1005" s="62"/>
      <c r="D1005" s="24"/>
      <c r="E1005" s="23"/>
      <c r="F1005" s="21"/>
      <c r="G1005" s="22"/>
      <c r="H1005" s="62"/>
      <c r="I1005" s="22"/>
      <c r="J1005" s="23"/>
    </row>
    <row r="1006" spans="1:10" ht="27.6" customHeight="1" x14ac:dyDescent="0.3">
      <c r="A1006" s="21"/>
      <c r="B1006" s="22"/>
      <c r="C1006" s="69"/>
      <c r="D1006" s="24"/>
      <c r="E1006" s="23"/>
      <c r="F1006" s="21"/>
      <c r="G1006" s="22"/>
      <c r="H1006" s="69"/>
      <c r="I1006" s="22"/>
      <c r="J1006" s="23"/>
    </row>
    <row r="1007" spans="1:10" ht="33.6" customHeight="1" x14ac:dyDescent="0.15">
      <c r="A1007" s="21"/>
      <c r="B1007" s="22"/>
      <c r="C1007" s="64"/>
      <c r="D1007" s="24"/>
      <c r="E1007" s="23"/>
      <c r="F1007" s="21"/>
      <c r="G1007" s="22"/>
      <c r="H1007" s="61"/>
      <c r="I1007" s="24"/>
      <c r="J1007" s="23"/>
    </row>
    <row r="1008" spans="1:10" x14ac:dyDescent="0.15">
      <c r="A1008" s="25"/>
      <c r="B1008" s="26"/>
      <c r="C1008" s="67"/>
      <c r="D1008" s="59"/>
      <c r="E1008" s="27"/>
      <c r="F1008" s="25"/>
      <c r="G1008" s="26"/>
      <c r="H1008" s="63"/>
      <c r="I1008" s="26"/>
      <c r="J1008" s="27"/>
    </row>
    <row r="1009" spans="1:10" x14ac:dyDescent="0.15">
      <c r="A1009" s="18"/>
      <c r="B1009" s="19"/>
      <c r="C1009" s="66"/>
      <c r="D1009" s="58"/>
      <c r="E1009" s="20"/>
      <c r="F1009" s="18"/>
      <c r="G1009" s="19"/>
      <c r="H1009" s="60"/>
      <c r="I1009" s="19"/>
      <c r="J1009" s="20"/>
    </row>
    <row r="1010" spans="1:10" ht="40.15" customHeight="1" x14ac:dyDescent="0.15">
      <c r="A1010" s="21"/>
      <c r="B1010" s="22"/>
      <c r="C1010" s="64"/>
      <c r="D1010" s="24"/>
      <c r="E1010" s="23"/>
      <c r="F1010" s="21"/>
      <c r="G1010" s="28"/>
      <c r="H1010" s="61"/>
      <c r="I1010" s="22"/>
      <c r="J1010" s="23"/>
    </row>
    <row r="1011" spans="1:10" ht="60" customHeight="1" x14ac:dyDescent="0.55000000000000004">
      <c r="A1011" s="21"/>
      <c r="B1011" s="22"/>
      <c r="C1011" s="70"/>
      <c r="D1011" s="24"/>
      <c r="E1011" s="23"/>
      <c r="F1011" s="21"/>
      <c r="G1011" s="22"/>
      <c r="H1011" s="70"/>
      <c r="I1011" s="22"/>
      <c r="J1011" s="23"/>
    </row>
    <row r="1012" spans="1:10" ht="27.6" customHeight="1" x14ac:dyDescent="0.15">
      <c r="A1012" s="21"/>
      <c r="B1012" s="22"/>
      <c r="C1012" s="64"/>
      <c r="D1012" s="24"/>
      <c r="E1012" s="23"/>
      <c r="F1012" s="21"/>
      <c r="G1012" s="22"/>
      <c r="H1012" s="64"/>
      <c r="I1012" s="22"/>
      <c r="J1012" s="23"/>
    </row>
    <row r="1013" spans="1:10" ht="33.6" customHeight="1" x14ac:dyDescent="0.15">
      <c r="A1013" s="21"/>
      <c r="B1013" s="22"/>
      <c r="C1013" s="64"/>
      <c r="D1013" s="24"/>
      <c r="E1013" s="23"/>
      <c r="F1013" s="21"/>
      <c r="G1013" s="22"/>
      <c r="H1013" s="61"/>
      <c r="I1013" s="24"/>
      <c r="J1013" s="23"/>
    </row>
    <row r="1014" spans="1:10" x14ac:dyDescent="0.15">
      <c r="A1014" s="25"/>
      <c r="B1014" s="26"/>
      <c r="C1014" s="67"/>
      <c r="D1014" s="59"/>
      <c r="E1014" s="27"/>
      <c r="F1014" s="25"/>
      <c r="G1014" s="26"/>
      <c r="H1014" s="63"/>
      <c r="I1014" s="26"/>
      <c r="J1014" s="27"/>
    </row>
    <row r="1015" spans="1:10" x14ac:dyDescent="0.15">
      <c r="A1015" s="18"/>
      <c r="B1015" s="19"/>
      <c r="C1015" s="66"/>
      <c r="D1015" s="58"/>
      <c r="E1015" s="20"/>
      <c r="F1015" s="18"/>
      <c r="G1015" s="19"/>
      <c r="H1015" s="60"/>
      <c r="I1015" s="19"/>
      <c r="J1015" s="20"/>
    </row>
    <row r="1016" spans="1:10" ht="40.15" customHeight="1" x14ac:dyDescent="0.15">
      <c r="A1016" s="21"/>
      <c r="B1016" s="22"/>
      <c r="C1016" s="64"/>
      <c r="D1016" s="24"/>
      <c r="E1016" s="23"/>
      <c r="F1016" s="21"/>
      <c r="G1016" s="28"/>
      <c r="H1016" s="61"/>
      <c r="I1016" s="22"/>
      <c r="J1016" s="23"/>
    </row>
    <row r="1017" spans="1:10" ht="60" customHeight="1" x14ac:dyDescent="0.55000000000000004">
      <c r="A1017" s="21"/>
      <c r="B1017" s="22"/>
      <c r="C1017" s="70"/>
      <c r="D1017" s="24"/>
      <c r="E1017" s="23"/>
      <c r="F1017" s="21"/>
      <c r="G1017" s="22"/>
      <c r="H1017" s="70"/>
      <c r="I1017" s="22"/>
      <c r="J1017" s="23"/>
    </row>
    <row r="1018" spans="1:10" ht="27.6" customHeight="1" x14ac:dyDescent="0.15">
      <c r="A1018" s="21"/>
      <c r="B1018" s="22"/>
      <c r="C1018" s="64"/>
      <c r="D1018" s="24"/>
      <c r="E1018" s="23"/>
      <c r="F1018" s="21"/>
      <c r="G1018" s="22"/>
      <c r="H1018" s="64"/>
      <c r="I1018" s="22"/>
      <c r="J1018" s="23"/>
    </row>
    <row r="1019" spans="1:10" ht="33.6" customHeight="1" x14ac:dyDescent="0.15">
      <c r="A1019" s="21"/>
      <c r="B1019" s="22"/>
      <c r="C1019" s="64"/>
      <c r="D1019" s="24"/>
      <c r="E1019" s="23"/>
      <c r="F1019" s="21"/>
      <c r="G1019" s="22"/>
      <c r="H1019" s="61"/>
      <c r="I1019" s="24"/>
      <c r="J1019" s="23"/>
    </row>
    <row r="1020" spans="1:10" x14ac:dyDescent="0.15">
      <c r="A1020" s="25"/>
      <c r="B1020" s="26"/>
      <c r="C1020" s="67"/>
      <c r="D1020" s="59"/>
      <c r="E1020" s="27"/>
      <c r="F1020" s="25"/>
      <c r="G1020" s="26"/>
      <c r="H1020" s="63"/>
      <c r="I1020" s="26"/>
      <c r="J1020" s="27"/>
    </row>
    <row r="1021" spans="1:10" x14ac:dyDescent="0.15">
      <c r="A1021" s="18"/>
      <c r="B1021" s="19"/>
      <c r="C1021" s="66"/>
      <c r="D1021" s="58"/>
      <c r="E1021" s="20"/>
      <c r="F1021" s="18"/>
      <c r="G1021" s="19"/>
      <c r="H1021" s="60"/>
      <c r="I1021" s="19"/>
      <c r="J1021" s="20"/>
    </row>
    <row r="1022" spans="1:10" ht="40.15" customHeight="1" x14ac:dyDescent="0.15">
      <c r="A1022" s="21"/>
      <c r="B1022" s="22"/>
      <c r="C1022" s="64"/>
      <c r="D1022" s="24"/>
      <c r="E1022" s="23"/>
      <c r="F1022" s="21"/>
      <c r="G1022" s="28"/>
      <c r="H1022" s="61"/>
      <c r="I1022" s="22"/>
      <c r="J1022" s="23"/>
    </row>
    <row r="1023" spans="1:10" ht="60" customHeight="1" x14ac:dyDescent="0.55000000000000004">
      <c r="A1023" s="21"/>
      <c r="B1023" s="22"/>
      <c r="C1023" s="70"/>
      <c r="D1023" s="24"/>
      <c r="E1023" s="23"/>
      <c r="F1023" s="21"/>
      <c r="G1023" s="22"/>
      <c r="H1023" s="70"/>
      <c r="I1023" s="22"/>
      <c r="J1023" s="23"/>
    </row>
    <row r="1024" spans="1:10" ht="27.6" customHeight="1" x14ac:dyDescent="0.15">
      <c r="A1024" s="21"/>
      <c r="B1024" s="22"/>
      <c r="C1024" s="64"/>
      <c r="D1024" s="24"/>
      <c r="E1024" s="23"/>
      <c r="F1024" s="21"/>
      <c r="G1024" s="22"/>
      <c r="H1024" s="64"/>
      <c r="I1024" s="22"/>
      <c r="J1024" s="23"/>
    </row>
    <row r="1025" spans="1:10" ht="33.6" customHeight="1" x14ac:dyDescent="0.15">
      <c r="A1025" s="21"/>
      <c r="B1025" s="22"/>
      <c r="C1025" s="64"/>
      <c r="D1025" s="24"/>
      <c r="E1025" s="23"/>
      <c r="F1025" s="21"/>
      <c r="G1025" s="22"/>
      <c r="H1025" s="61"/>
      <c r="I1025" s="24"/>
      <c r="J1025" s="23"/>
    </row>
    <row r="1026" spans="1:10" x14ac:dyDescent="0.15">
      <c r="A1026" s="25"/>
      <c r="B1026" s="26"/>
      <c r="C1026" s="67"/>
      <c r="D1026" s="59"/>
      <c r="E1026" s="27"/>
      <c r="F1026" s="25"/>
      <c r="G1026" s="26"/>
      <c r="H1026" s="63"/>
      <c r="I1026" s="26"/>
      <c r="J1026" s="27"/>
    </row>
    <row r="1027" spans="1:10" x14ac:dyDescent="0.15">
      <c r="A1027" s="18"/>
      <c r="B1027" s="19"/>
      <c r="C1027" s="66"/>
      <c r="D1027" s="58"/>
      <c r="E1027" s="20"/>
      <c r="F1027" s="18"/>
      <c r="G1027" s="19"/>
      <c r="H1027" s="60"/>
      <c r="I1027" s="19"/>
      <c r="J1027" s="20"/>
    </row>
    <row r="1028" spans="1:10" ht="40.15" customHeight="1" x14ac:dyDescent="0.15">
      <c r="A1028" s="21"/>
      <c r="B1028" s="22"/>
      <c r="C1028" s="64"/>
      <c r="D1028" s="24"/>
      <c r="E1028" s="23"/>
      <c r="F1028" s="21"/>
      <c r="G1028" s="28"/>
      <c r="H1028" s="61"/>
      <c r="I1028" s="22"/>
      <c r="J1028" s="23"/>
    </row>
    <row r="1029" spans="1:10" ht="60" customHeight="1" x14ac:dyDescent="0.55000000000000004">
      <c r="A1029" s="21"/>
      <c r="B1029" s="22"/>
      <c r="C1029" s="70"/>
      <c r="D1029" s="24"/>
      <c r="E1029" s="23"/>
      <c r="F1029" s="21"/>
      <c r="G1029" s="22"/>
      <c r="H1029" s="70"/>
      <c r="I1029" s="22"/>
      <c r="J1029" s="23"/>
    </row>
    <row r="1030" spans="1:10" ht="27.6" customHeight="1" x14ac:dyDescent="0.15">
      <c r="A1030" s="21"/>
      <c r="B1030" s="22"/>
      <c r="C1030" s="64"/>
      <c r="D1030" s="24"/>
      <c r="E1030" s="23"/>
      <c r="F1030" s="21"/>
      <c r="G1030" s="22"/>
      <c r="H1030" s="64"/>
      <c r="I1030" s="22"/>
      <c r="J1030" s="23"/>
    </row>
    <row r="1031" spans="1:10" ht="33.6" customHeight="1" x14ac:dyDescent="0.15">
      <c r="A1031" s="21"/>
      <c r="B1031" s="22"/>
      <c r="C1031" s="64"/>
      <c r="D1031" s="24"/>
      <c r="E1031" s="23"/>
      <c r="F1031" s="21"/>
      <c r="G1031" s="22"/>
      <c r="H1031" s="61"/>
      <c r="I1031" s="24"/>
      <c r="J1031" s="23"/>
    </row>
    <row r="1032" spans="1:10" x14ac:dyDescent="0.15">
      <c r="A1032" s="25"/>
      <c r="B1032" s="26"/>
      <c r="C1032" s="67"/>
      <c r="D1032" s="59"/>
      <c r="E1032" s="27"/>
      <c r="F1032" s="25"/>
      <c r="G1032" s="26"/>
      <c r="H1032" s="63"/>
      <c r="I1032" s="26"/>
      <c r="J1032" s="27"/>
    </row>
    <row r="1033" spans="1:10" x14ac:dyDescent="0.15">
      <c r="A1033" s="18"/>
      <c r="B1033" s="19"/>
      <c r="C1033" s="66"/>
      <c r="D1033" s="58"/>
      <c r="E1033" s="20"/>
      <c r="F1033" s="18"/>
      <c r="G1033" s="19"/>
      <c r="H1033" s="60"/>
      <c r="I1033" s="19"/>
      <c r="J1033" s="20"/>
    </row>
    <row r="1034" spans="1:10" ht="40.15" customHeight="1" x14ac:dyDescent="0.15">
      <c r="A1034" s="21"/>
      <c r="B1034" s="22"/>
      <c r="C1034" s="64"/>
      <c r="D1034" s="24"/>
      <c r="E1034" s="23"/>
      <c r="F1034" s="21"/>
      <c r="G1034" s="28"/>
      <c r="H1034" s="61"/>
      <c r="I1034" s="22"/>
      <c r="J1034" s="23"/>
    </row>
    <row r="1035" spans="1:10" ht="60" customHeight="1" x14ac:dyDescent="0.55000000000000004">
      <c r="A1035" s="21"/>
      <c r="B1035" s="22"/>
      <c r="C1035" s="70"/>
      <c r="D1035" s="24"/>
      <c r="E1035" s="23"/>
      <c r="F1035" s="21"/>
      <c r="G1035" s="22"/>
      <c r="H1035" s="70"/>
      <c r="I1035" s="22"/>
      <c r="J1035" s="23"/>
    </row>
    <row r="1036" spans="1:10" ht="27.6" customHeight="1" x14ac:dyDescent="0.15">
      <c r="A1036" s="21"/>
      <c r="B1036" s="22"/>
      <c r="C1036" s="64"/>
      <c r="D1036" s="24"/>
      <c r="E1036" s="23"/>
      <c r="F1036" s="21"/>
      <c r="G1036" s="22"/>
      <c r="H1036" s="64"/>
      <c r="I1036" s="22"/>
      <c r="J1036" s="23"/>
    </row>
    <row r="1037" spans="1:10" ht="33.6" customHeight="1" x14ac:dyDescent="0.15">
      <c r="A1037" s="21"/>
      <c r="B1037" s="22"/>
      <c r="C1037" s="64"/>
      <c r="D1037" s="24"/>
      <c r="E1037" s="23"/>
      <c r="F1037" s="21"/>
      <c r="G1037" s="22"/>
      <c r="H1037" s="61"/>
      <c r="I1037" s="24"/>
      <c r="J1037" s="23"/>
    </row>
    <row r="1038" spans="1:10" x14ac:dyDescent="0.15">
      <c r="A1038" s="25"/>
      <c r="B1038" s="26"/>
      <c r="C1038" s="67"/>
      <c r="D1038" s="59"/>
      <c r="E1038" s="27"/>
      <c r="F1038" s="25"/>
      <c r="G1038" s="26"/>
      <c r="H1038" s="63"/>
      <c r="I1038" s="26"/>
      <c r="J1038" s="27"/>
    </row>
    <row r="1039" spans="1:10" x14ac:dyDescent="0.15">
      <c r="A1039" s="18"/>
      <c r="B1039" s="19"/>
      <c r="C1039" s="66"/>
      <c r="D1039" s="58"/>
      <c r="E1039" s="20"/>
      <c r="F1039" s="18"/>
      <c r="G1039" s="19"/>
      <c r="H1039" s="60"/>
      <c r="I1039" s="19"/>
      <c r="J1039" s="20"/>
    </row>
    <row r="1040" spans="1:10" ht="40.15" customHeight="1" x14ac:dyDescent="0.15">
      <c r="A1040" s="21"/>
      <c r="B1040" s="22"/>
      <c r="C1040" s="64"/>
      <c r="D1040" s="24"/>
      <c r="E1040" s="23"/>
      <c r="F1040" s="21"/>
      <c r="G1040" s="28"/>
      <c r="H1040" s="61"/>
      <c r="I1040" s="22"/>
      <c r="J1040" s="23"/>
    </row>
    <row r="1041" spans="1:10" ht="60" customHeight="1" x14ac:dyDescent="0.55000000000000004">
      <c r="A1041" s="21"/>
      <c r="B1041" s="22"/>
      <c r="C1041" s="70"/>
      <c r="D1041" s="24"/>
      <c r="E1041" s="23"/>
      <c r="F1041" s="21"/>
      <c r="G1041" s="22"/>
      <c r="H1041" s="70"/>
      <c r="I1041" s="22"/>
      <c r="J1041" s="23"/>
    </row>
    <row r="1042" spans="1:10" ht="27.6" customHeight="1" x14ac:dyDescent="0.15">
      <c r="A1042" s="21"/>
      <c r="B1042" s="22"/>
      <c r="C1042" s="64"/>
      <c r="D1042" s="24"/>
      <c r="E1042" s="23"/>
      <c r="F1042" s="21"/>
      <c r="G1042" s="22"/>
      <c r="H1042" s="64"/>
      <c r="I1042" s="22"/>
      <c r="J1042" s="23"/>
    </row>
    <row r="1043" spans="1:10" ht="33.6" customHeight="1" x14ac:dyDescent="0.15">
      <c r="A1043" s="21"/>
      <c r="B1043" s="22"/>
      <c r="C1043" s="64"/>
      <c r="D1043" s="24"/>
      <c r="E1043" s="23"/>
      <c r="F1043" s="21"/>
      <c r="G1043" s="22"/>
      <c r="H1043" s="61"/>
      <c r="I1043" s="24"/>
      <c r="J1043" s="23"/>
    </row>
    <row r="1044" spans="1:10" x14ac:dyDescent="0.15">
      <c r="A1044" s="25"/>
      <c r="B1044" s="26"/>
      <c r="C1044" s="67"/>
      <c r="D1044" s="59"/>
      <c r="E1044" s="27"/>
      <c r="F1044" s="25"/>
      <c r="G1044" s="26"/>
      <c r="H1044" s="63"/>
      <c r="I1044" s="26"/>
      <c r="J1044" s="27"/>
    </row>
    <row r="1045" spans="1:10" x14ac:dyDescent="0.15">
      <c r="A1045" s="18"/>
      <c r="B1045" s="19"/>
      <c r="C1045" s="66"/>
      <c r="D1045" s="58"/>
      <c r="E1045" s="20"/>
      <c r="F1045" s="18"/>
      <c r="G1045" s="19"/>
      <c r="H1045" s="60"/>
      <c r="I1045" s="19"/>
      <c r="J1045" s="20"/>
    </row>
    <row r="1046" spans="1:10" ht="40.15" customHeight="1" x14ac:dyDescent="0.15">
      <c r="A1046" s="21"/>
      <c r="B1046" s="28"/>
      <c r="C1046" s="64"/>
      <c r="D1046" s="24"/>
      <c r="E1046" s="23"/>
      <c r="F1046" s="21"/>
      <c r="G1046" s="28"/>
      <c r="H1046" s="61"/>
      <c r="I1046" s="22"/>
      <c r="J1046" s="23"/>
    </row>
    <row r="1047" spans="1:10" ht="60" customHeight="1" x14ac:dyDescent="0.4">
      <c r="A1047" s="21"/>
      <c r="B1047" s="22"/>
      <c r="C1047" s="62"/>
      <c r="D1047" s="24"/>
      <c r="E1047" s="23"/>
      <c r="F1047" s="21"/>
      <c r="G1047" s="22"/>
      <c r="H1047" s="62"/>
      <c r="I1047" s="22"/>
      <c r="J1047" s="23"/>
    </row>
    <row r="1048" spans="1:10" ht="27.6" customHeight="1" x14ac:dyDescent="0.3">
      <c r="A1048" s="21"/>
      <c r="B1048" s="22"/>
      <c r="C1048" s="69"/>
      <c r="D1048" s="24"/>
      <c r="E1048" s="23"/>
      <c r="F1048" s="21"/>
      <c r="G1048" s="22"/>
      <c r="H1048" s="69"/>
      <c r="I1048" s="22"/>
      <c r="J1048" s="23"/>
    </row>
    <row r="1049" spans="1:10" ht="33.6" customHeight="1" x14ac:dyDescent="0.15">
      <c r="A1049" s="21"/>
      <c r="B1049" s="22"/>
      <c r="C1049" s="64"/>
      <c r="D1049" s="24"/>
      <c r="E1049" s="23"/>
      <c r="F1049" s="21"/>
      <c r="G1049" s="22"/>
      <c r="H1049" s="61"/>
      <c r="I1049" s="24"/>
      <c r="J1049" s="23"/>
    </row>
    <row r="1050" spans="1:10" x14ac:dyDescent="0.15">
      <c r="A1050" s="25"/>
      <c r="B1050" s="26"/>
      <c r="C1050" s="67"/>
      <c r="D1050" s="59"/>
      <c r="E1050" s="27"/>
      <c r="F1050" s="25"/>
      <c r="G1050" s="26"/>
      <c r="H1050" s="63"/>
      <c r="I1050" s="26"/>
      <c r="J1050" s="27"/>
    </row>
    <row r="1051" spans="1:10" x14ac:dyDescent="0.15">
      <c r="A1051" s="18"/>
      <c r="B1051" s="19"/>
      <c r="C1051" s="66"/>
      <c r="D1051" s="58"/>
      <c r="E1051" s="20"/>
      <c r="F1051" s="18"/>
      <c r="G1051" s="19"/>
      <c r="H1051" s="60"/>
      <c r="I1051" s="19"/>
      <c r="J1051" s="20"/>
    </row>
    <row r="1052" spans="1:10" ht="40.15" customHeight="1" x14ac:dyDescent="0.15">
      <c r="A1052" s="21"/>
      <c r="B1052" s="28"/>
      <c r="C1052" s="64"/>
      <c r="D1052" s="24"/>
      <c r="E1052" s="23"/>
      <c r="F1052" s="21"/>
      <c r="G1052" s="28"/>
      <c r="H1052" s="61"/>
      <c r="I1052" s="22"/>
      <c r="J1052" s="23"/>
    </row>
    <row r="1053" spans="1:10" ht="60" customHeight="1" x14ac:dyDescent="0.4">
      <c r="A1053" s="21"/>
      <c r="B1053" s="22"/>
      <c r="C1053" s="62"/>
      <c r="D1053" s="24"/>
      <c r="E1053" s="23"/>
      <c r="F1053" s="21"/>
      <c r="G1053" s="22"/>
      <c r="H1053" s="62"/>
      <c r="I1053" s="22"/>
      <c r="J1053" s="23"/>
    </row>
    <row r="1054" spans="1:10" ht="27.6" customHeight="1" x14ac:dyDescent="0.3">
      <c r="A1054" s="21"/>
      <c r="B1054" s="22"/>
      <c r="C1054" s="69"/>
      <c r="D1054" s="24"/>
      <c r="E1054" s="23"/>
      <c r="F1054" s="21"/>
      <c r="G1054" s="22"/>
      <c r="H1054" s="69"/>
      <c r="I1054" s="22"/>
      <c r="J1054" s="23"/>
    </row>
    <row r="1055" spans="1:10" ht="33.6" customHeight="1" x14ac:dyDescent="0.15">
      <c r="A1055" s="21"/>
      <c r="B1055" s="22"/>
      <c r="C1055" s="64"/>
      <c r="D1055" s="24"/>
      <c r="E1055" s="23"/>
      <c r="F1055" s="21"/>
      <c r="G1055" s="22"/>
      <c r="H1055" s="61"/>
      <c r="I1055" s="24"/>
      <c r="J1055" s="23"/>
    </row>
    <row r="1056" spans="1:10" x14ac:dyDescent="0.15">
      <c r="A1056" s="25"/>
      <c r="B1056" s="26"/>
      <c r="C1056" s="67"/>
      <c r="D1056" s="59"/>
      <c r="E1056" s="27"/>
      <c r="F1056" s="25"/>
      <c r="G1056" s="26"/>
      <c r="H1056" s="63"/>
      <c r="I1056" s="26"/>
      <c r="J1056" s="27"/>
    </row>
    <row r="1057" spans="1:10" x14ac:dyDescent="0.15">
      <c r="A1057" s="18"/>
      <c r="B1057" s="19"/>
      <c r="C1057" s="66"/>
      <c r="D1057" s="58"/>
      <c r="E1057" s="20"/>
      <c r="F1057" s="18"/>
      <c r="G1057" s="19"/>
      <c r="H1057" s="60"/>
      <c r="I1057" s="19"/>
      <c r="J1057" s="20"/>
    </row>
    <row r="1058" spans="1:10" ht="40.15" customHeight="1" x14ac:dyDescent="0.15">
      <c r="A1058" s="21"/>
      <c r="B1058" s="28"/>
      <c r="C1058" s="64"/>
      <c r="D1058" s="24"/>
      <c r="E1058" s="23"/>
      <c r="F1058" s="21"/>
      <c r="G1058" s="28"/>
      <c r="H1058" s="61"/>
      <c r="I1058" s="22"/>
      <c r="J1058" s="23"/>
    </row>
    <row r="1059" spans="1:10" ht="60" customHeight="1" x14ac:dyDescent="0.4">
      <c r="A1059" s="21"/>
      <c r="B1059" s="22"/>
      <c r="C1059" s="62"/>
      <c r="D1059" s="24"/>
      <c r="E1059" s="23"/>
      <c r="F1059" s="21"/>
      <c r="G1059" s="22"/>
      <c r="H1059" s="62"/>
      <c r="I1059" s="22"/>
      <c r="J1059" s="23"/>
    </row>
    <row r="1060" spans="1:10" ht="27.6" customHeight="1" x14ac:dyDescent="0.3">
      <c r="A1060" s="21"/>
      <c r="B1060" s="22"/>
      <c r="C1060" s="69"/>
      <c r="D1060" s="24"/>
      <c r="E1060" s="23"/>
      <c r="F1060" s="21"/>
      <c r="G1060" s="22"/>
      <c r="H1060" s="69"/>
      <c r="I1060" s="22"/>
      <c r="J1060" s="23"/>
    </row>
    <row r="1061" spans="1:10" ht="33.6" customHeight="1" x14ac:dyDescent="0.15">
      <c r="A1061" s="21"/>
      <c r="B1061" s="22"/>
      <c r="C1061" s="64"/>
      <c r="D1061" s="24"/>
      <c r="E1061" s="23"/>
      <c r="F1061" s="21"/>
      <c r="G1061" s="22"/>
      <c r="H1061" s="61"/>
      <c r="I1061" s="24"/>
      <c r="J1061" s="23"/>
    </row>
    <row r="1062" spans="1:10" x14ac:dyDescent="0.15">
      <c r="A1062" s="25"/>
      <c r="B1062" s="26"/>
      <c r="C1062" s="67"/>
      <c r="D1062" s="59"/>
      <c r="E1062" s="27"/>
      <c r="F1062" s="25"/>
      <c r="G1062" s="26"/>
      <c r="H1062" s="63"/>
      <c r="I1062" s="26"/>
      <c r="J1062" s="27"/>
    </row>
    <row r="1063" spans="1:10" x14ac:dyDescent="0.15">
      <c r="A1063" s="18"/>
      <c r="B1063" s="19"/>
      <c r="C1063" s="66"/>
      <c r="D1063" s="58"/>
      <c r="E1063" s="20"/>
      <c r="F1063" s="18"/>
      <c r="G1063" s="19"/>
      <c r="H1063" s="60"/>
      <c r="I1063" s="19"/>
      <c r="J1063" s="20"/>
    </row>
    <row r="1064" spans="1:10" ht="40.15" customHeight="1" x14ac:dyDescent="0.15">
      <c r="A1064" s="21"/>
      <c r="B1064" s="28"/>
      <c r="C1064" s="64"/>
      <c r="D1064" s="24"/>
      <c r="E1064" s="23"/>
      <c r="F1064" s="21"/>
      <c r="G1064" s="28"/>
      <c r="H1064" s="61"/>
      <c r="I1064" s="22"/>
      <c r="J1064" s="23"/>
    </row>
    <row r="1065" spans="1:10" ht="60" customHeight="1" x14ac:dyDescent="0.4">
      <c r="A1065" s="21"/>
      <c r="B1065" s="22"/>
      <c r="C1065" s="62"/>
      <c r="D1065" s="24"/>
      <c r="E1065" s="23"/>
      <c r="F1065" s="21"/>
      <c r="G1065" s="22"/>
      <c r="H1065" s="62"/>
      <c r="I1065" s="22"/>
      <c r="J1065" s="23"/>
    </row>
    <row r="1066" spans="1:10" ht="27.6" customHeight="1" x14ac:dyDescent="0.3">
      <c r="A1066" s="21"/>
      <c r="B1066" s="22"/>
      <c r="C1066" s="69"/>
      <c r="D1066" s="24"/>
      <c r="E1066" s="23"/>
      <c r="F1066" s="21"/>
      <c r="G1066" s="22"/>
      <c r="H1066" s="69"/>
      <c r="I1066" s="22"/>
      <c r="J1066" s="23"/>
    </row>
    <row r="1067" spans="1:10" ht="33.6" customHeight="1" x14ac:dyDescent="0.15">
      <c r="A1067" s="21"/>
      <c r="B1067" s="22"/>
      <c r="C1067" s="64"/>
      <c r="D1067" s="24"/>
      <c r="E1067" s="23"/>
      <c r="F1067" s="21"/>
      <c r="G1067" s="22"/>
      <c r="H1067" s="61"/>
      <c r="I1067" s="24"/>
      <c r="J1067" s="23"/>
    </row>
    <row r="1068" spans="1:10" x14ac:dyDescent="0.15">
      <c r="A1068" s="25"/>
      <c r="B1068" s="26"/>
      <c r="C1068" s="67"/>
      <c r="D1068" s="59"/>
      <c r="E1068" s="27"/>
      <c r="F1068" s="25"/>
      <c r="G1068" s="26"/>
      <c r="H1068" s="63"/>
      <c r="I1068" s="26"/>
      <c r="J1068" s="27"/>
    </row>
    <row r="1069" spans="1:10" x14ac:dyDescent="0.15">
      <c r="A1069" s="18"/>
      <c r="B1069" s="19"/>
      <c r="C1069" s="66"/>
      <c r="D1069" s="58"/>
      <c r="E1069" s="20"/>
      <c r="F1069" s="18"/>
      <c r="G1069" s="19"/>
      <c r="H1069" s="60"/>
      <c r="I1069" s="19"/>
      <c r="J1069" s="20"/>
    </row>
    <row r="1070" spans="1:10" ht="40.15" customHeight="1" x14ac:dyDescent="0.15">
      <c r="A1070" s="21"/>
      <c r="B1070" s="28"/>
      <c r="C1070" s="64"/>
      <c r="D1070" s="24"/>
      <c r="E1070" s="23"/>
      <c r="F1070" s="21"/>
      <c r="G1070" s="28"/>
      <c r="H1070" s="61"/>
      <c r="I1070" s="22"/>
      <c r="J1070" s="23"/>
    </row>
    <row r="1071" spans="1:10" ht="60" customHeight="1" x14ac:dyDescent="0.4">
      <c r="A1071" s="21"/>
      <c r="B1071" s="22"/>
      <c r="C1071" s="62"/>
      <c r="D1071" s="24"/>
      <c r="E1071" s="23"/>
      <c r="F1071" s="21"/>
      <c r="G1071" s="22"/>
      <c r="H1071" s="62"/>
      <c r="I1071" s="22"/>
      <c r="J1071" s="23"/>
    </row>
    <row r="1072" spans="1:10" ht="27.6" customHeight="1" x14ac:dyDescent="0.3">
      <c r="A1072" s="21"/>
      <c r="B1072" s="22"/>
      <c r="C1072" s="69"/>
      <c r="D1072" s="24"/>
      <c r="E1072" s="23"/>
      <c r="F1072" s="21"/>
      <c r="G1072" s="22"/>
      <c r="H1072" s="69"/>
      <c r="I1072" s="22"/>
      <c r="J1072" s="23"/>
    </row>
    <row r="1073" spans="1:10" ht="33.6" customHeight="1" x14ac:dyDescent="0.15">
      <c r="A1073" s="21"/>
      <c r="B1073" s="22"/>
      <c r="C1073" s="64"/>
      <c r="D1073" s="24"/>
      <c r="E1073" s="23"/>
      <c r="F1073" s="21"/>
      <c r="G1073" s="22"/>
      <c r="H1073" s="61"/>
      <c r="I1073" s="24"/>
      <c r="J1073" s="23"/>
    </row>
    <row r="1074" spans="1:10" x14ac:dyDescent="0.15">
      <c r="A1074" s="25"/>
      <c r="B1074" s="26"/>
      <c r="C1074" s="67"/>
      <c r="D1074" s="59"/>
      <c r="E1074" s="27"/>
      <c r="F1074" s="25"/>
      <c r="G1074" s="26"/>
      <c r="H1074" s="63"/>
      <c r="I1074" s="26"/>
      <c r="J1074" s="27"/>
    </row>
    <row r="1075" spans="1:10" x14ac:dyDescent="0.15">
      <c r="A1075" s="18"/>
      <c r="B1075" s="19"/>
      <c r="C1075" s="66"/>
      <c r="D1075" s="58"/>
      <c r="E1075" s="20"/>
      <c r="F1075" s="18"/>
      <c r="G1075" s="19"/>
      <c r="H1075" s="60"/>
      <c r="I1075" s="19"/>
      <c r="J1075" s="20"/>
    </row>
    <row r="1076" spans="1:10" ht="40.15" customHeight="1" x14ac:dyDescent="0.15">
      <c r="A1076" s="21"/>
      <c r="B1076" s="28"/>
      <c r="C1076" s="64"/>
      <c r="D1076" s="24"/>
      <c r="E1076" s="23"/>
      <c r="F1076" s="21"/>
      <c r="G1076" s="28"/>
      <c r="H1076" s="61"/>
      <c r="I1076" s="22"/>
      <c r="J1076" s="23"/>
    </row>
    <row r="1077" spans="1:10" ht="60" customHeight="1" x14ac:dyDescent="0.4">
      <c r="A1077" s="21"/>
      <c r="B1077" s="22"/>
      <c r="C1077" s="62"/>
      <c r="D1077" s="24"/>
      <c r="E1077" s="23"/>
      <c r="F1077" s="21"/>
      <c r="G1077" s="22"/>
      <c r="H1077" s="62"/>
      <c r="I1077" s="22"/>
      <c r="J1077" s="23"/>
    </row>
    <row r="1078" spans="1:10" ht="27.6" customHeight="1" x14ac:dyDescent="0.3">
      <c r="A1078" s="21"/>
      <c r="B1078" s="22"/>
      <c r="C1078" s="69"/>
      <c r="D1078" s="24"/>
      <c r="E1078" s="23"/>
      <c r="F1078" s="21"/>
      <c r="G1078" s="22"/>
      <c r="H1078" s="69"/>
      <c r="I1078" s="22"/>
      <c r="J1078" s="23"/>
    </row>
    <row r="1079" spans="1:10" ht="33.6" customHeight="1" x14ac:dyDescent="0.15">
      <c r="A1079" s="21"/>
      <c r="B1079" s="22"/>
      <c r="C1079" s="64"/>
      <c r="D1079" s="24"/>
      <c r="E1079" s="23"/>
      <c r="F1079" s="21"/>
      <c r="G1079" s="22"/>
      <c r="H1079" s="61"/>
      <c r="I1079" s="24"/>
      <c r="J1079" s="23"/>
    </row>
    <row r="1080" spans="1:10" x14ac:dyDescent="0.15">
      <c r="A1080" s="25"/>
      <c r="B1080" s="26"/>
      <c r="C1080" s="67"/>
      <c r="D1080" s="59"/>
      <c r="E1080" s="27"/>
      <c r="F1080" s="25"/>
      <c r="G1080" s="26"/>
      <c r="H1080" s="63"/>
      <c r="I1080" s="26"/>
      <c r="J1080" s="27"/>
    </row>
    <row r="1081" spans="1:10" x14ac:dyDescent="0.15">
      <c r="A1081" s="18"/>
      <c r="B1081" s="19"/>
      <c r="C1081" s="66"/>
      <c r="D1081" s="58"/>
      <c r="E1081" s="20"/>
      <c r="F1081" s="18"/>
      <c r="G1081" s="19"/>
      <c r="H1081" s="60"/>
      <c r="I1081" s="19"/>
      <c r="J1081" s="20"/>
    </row>
    <row r="1082" spans="1:10" ht="40.15" customHeight="1" x14ac:dyDescent="0.15">
      <c r="A1082" s="21"/>
      <c r="B1082" s="22"/>
      <c r="C1082" s="64"/>
      <c r="D1082" s="24"/>
      <c r="E1082" s="23"/>
      <c r="F1082" s="21"/>
      <c r="G1082" s="28"/>
      <c r="H1082" s="61"/>
      <c r="I1082" s="22"/>
      <c r="J1082" s="23"/>
    </row>
    <row r="1083" spans="1:10" ht="60" customHeight="1" x14ac:dyDescent="0.55000000000000004">
      <c r="A1083" s="21"/>
      <c r="B1083" s="22"/>
      <c r="C1083" s="70"/>
      <c r="D1083" s="24"/>
      <c r="E1083" s="23"/>
      <c r="F1083" s="21"/>
      <c r="G1083" s="22"/>
      <c r="H1083" s="70"/>
      <c r="I1083" s="22"/>
      <c r="J1083" s="23"/>
    </row>
    <row r="1084" spans="1:10" ht="27.6" customHeight="1" x14ac:dyDescent="0.15">
      <c r="A1084" s="21"/>
      <c r="B1084" s="22"/>
      <c r="C1084" s="64"/>
      <c r="D1084" s="24"/>
      <c r="E1084" s="23"/>
      <c r="F1084" s="21"/>
      <c r="G1084" s="22"/>
      <c r="H1084" s="64"/>
      <c r="I1084" s="22"/>
      <c r="J1084" s="23"/>
    </row>
    <row r="1085" spans="1:10" ht="33.6" customHeight="1" x14ac:dyDescent="0.15">
      <c r="A1085" s="21"/>
      <c r="B1085" s="22"/>
      <c r="C1085" s="64"/>
      <c r="D1085" s="24"/>
      <c r="E1085" s="23"/>
      <c r="F1085" s="21"/>
      <c r="G1085" s="22"/>
      <c r="H1085" s="61"/>
      <c r="I1085" s="24"/>
      <c r="J1085" s="23"/>
    </row>
    <row r="1086" spans="1:10" x14ac:dyDescent="0.15">
      <c r="A1086" s="25"/>
      <c r="B1086" s="26"/>
      <c r="C1086" s="67"/>
      <c r="D1086" s="59"/>
      <c r="E1086" s="27"/>
      <c r="F1086" s="25"/>
      <c r="G1086" s="26"/>
      <c r="H1086" s="63"/>
      <c r="I1086" s="26"/>
      <c r="J1086" s="27"/>
    </row>
    <row r="1087" spans="1:10" x14ac:dyDescent="0.15">
      <c r="A1087" s="18"/>
      <c r="B1087" s="19"/>
      <c r="C1087" s="66"/>
      <c r="D1087" s="58"/>
      <c r="E1087" s="20"/>
      <c r="F1087" s="18"/>
      <c r="G1087" s="19"/>
      <c r="H1087" s="60"/>
      <c r="I1087" s="19"/>
      <c r="J1087" s="20"/>
    </row>
    <row r="1088" spans="1:10" ht="40.15" customHeight="1" x14ac:dyDescent="0.15">
      <c r="A1088" s="21"/>
      <c r="B1088" s="22"/>
      <c r="C1088" s="64"/>
      <c r="D1088" s="24"/>
      <c r="E1088" s="23"/>
      <c r="F1088" s="21"/>
      <c r="G1088" s="28"/>
      <c r="H1088" s="61"/>
      <c r="I1088" s="22"/>
      <c r="J1088" s="23"/>
    </row>
    <row r="1089" spans="1:10" ht="60" customHeight="1" x14ac:dyDescent="0.55000000000000004">
      <c r="A1089" s="21"/>
      <c r="B1089" s="22"/>
      <c r="C1089" s="70"/>
      <c r="D1089" s="24"/>
      <c r="E1089" s="23"/>
      <c r="F1089" s="21"/>
      <c r="G1089" s="22"/>
      <c r="H1089" s="70"/>
      <c r="I1089" s="22"/>
      <c r="J1089" s="23"/>
    </row>
    <row r="1090" spans="1:10" ht="27.6" customHeight="1" x14ac:dyDescent="0.15">
      <c r="A1090" s="21"/>
      <c r="B1090" s="22"/>
      <c r="C1090" s="64"/>
      <c r="D1090" s="24"/>
      <c r="E1090" s="23"/>
      <c r="F1090" s="21"/>
      <c r="G1090" s="22"/>
      <c r="H1090" s="64"/>
      <c r="I1090" s="22"/>
      <c r="J1090" s="23"/>
    </row>
    <row r="1091" spans="1:10" ht="33.6" customHeight="1" x14ac:dyDescent="0.15">
      <c r="A1091" s="21"/>
      <c r="B1091" s="22"/>
      <c r="C1091" s="64"/>
      <c r="D1091" s="24"/>
      <c r="E1091" s="23"/>
      <c r="F1091" s="21"/>
      <c r="G1091" s="22"/>
      <c r="H1091" s="61"/>
      <c r="I1091" s="24"/>
      <c r="J1091" s="23"/>
    </row>
    <row r="1092" spans="1:10" x14ac:dyDescent="0.15">
      <c r="A1092" s="25"/>
      <c r="B1092" s="26"/>
      <c r="C1092" s="67"/>
      <c r="D1092" s="59"/>
      <c r="E1092" s="27"/>
      <c r="F1092" s="25"/>
      <c r="G1092" s="26"/>
      <c r="H1092" s="63"/>
      <c r="I1092" s="26"/>
      <c r="J1092" s="27"/>
    </row>
    <row r="1093" spans="1:10" x14ac:dyDescent="0.15">
      <c r="A1093" s="18"/>
      <c r="B1093" s="19"/>
      <c r="C1093" s="66"/>
      <c r="D1093" s="58"/>
      <c r="E1093" s="20"/>
      <c r="F1093" s="18"/>
      <c r="G1093" s="19"/>
      <c r="H1093" s="60"/>
      <c r="I1093" s="19"/>
      <c r="J1093" s="20"/>
    </row>
    <row r="1094" spans="1:10" ht="40.15" customHeight="1" x14ac:dyDescent="0.15">
      <c r="A1094" s="21"/>
      <c r="B1094" s="22"/>
      <c r="C1094" s="64"/>
      <c r="D1094" s="24"/>
      <c r="E1094" s="23"/>
      <c r="F1094" s="21"/>
      <c r="G1094" s="28"/>
      <c r="H1094" s="61"/>
      <c r="I1094" s="22"/>
      <c r="J1094" s="23"/>
    </row>
    <row r="1095" spans="1:10" ht="60" customHeight="1" x14ac:dyDescent="0.55000000000000004">
      <c r="A1095" s="21"/>
      <c r="B1095" s="22"/>
      <c r="C1095" s="70"/>
      <c r="D1095" s="24"/>
      <c r="E1095" s="23"/>
      <c r="F1095" s="21"/>
      <c r="G1095" s="22"/>
      <c r="H1095" s="70"/>
      <c r="I1095" s="22"/>
      <c r="J1095" s="23"/>
    </row>
    <row r="1096" spans="1:10" ht="27.6" customHeight="1" x14ac:dyDescent="0.15">
      <c r="A1096" s="21"/>
      <c r="B1096" s="22"/>
      <c r="C1096" s="64"/>
      <c r="D1096" s="24"/>
      <c r="E1096" s="23"/>
      <c r="F1096" s="21"/>
      <c r="G1096" s="22"/>
      <c r="H1096" s="64"/>
      <c r="I1096" s="22"/>
      <c r="J1096" s="23"/>
    </row>
    <row r="1097" spans="1:10" ht="33.6" customHeight="1" x14ac:dyDescent="0.15">
      <c r="A1097" s="21"/>
      <c r="B1097" s="22"/>
      <c r="C1097" s="64"/>
      <c r="D1097" s="24"/>
      <c r="E1097" s="23"/>
      <c r="F1097" s="21"/>
      <c r="G1097" s="22"/>
      <c r="H1097" s="61"/>
      <c r="I1097" s="24"/>
      <c r="J1097" s="23"/>
    </row>
    <row r="1098" spans="1:10" x14ac:dyDescent="0.15">
      <c r="A1098" s="25"/>
      <c r="B1098" s="26"/>
      <c r="C1098" s="67"/>
      <c r="D1098" s="59"/>
      <c r="E1098" s="27"/>
      <c r="F1098" s="25"/>
      <c r="G1098" s="26"/>
      <c r="H1098" s="63"/>
      <c r="I1098" s="26"/>
      <c r="J1098" s="27"/>
    </row>
    <row r="1099" spans="1:10" x14ac:dyDescent="0.15">
      <c r="A1099" s="18"/>
      <c r="B1099" s="19"/>
      <c r="C1099" s="66"/>
      <c r="D1099" s="58"/>
      <c r="E1099" s="20"/>
      <c r="F1099" s="18"/>
      <c r="G1099" s="19"/>
      <c r="H1099" s="60"/>
      <c r="I1099" s="19"/>
      <c r="J1099" s="20"/>
    </row>
    <row r="1100" spans="1:10" ht="40.15" customHeight="1" x14ac:dyDescent="0.15">
      <c r="A1100" s="21"/>
      <c r="B1100" s="22"/>
      <c r="C1100" s="64"/>
      <c r="D1100" s="24"/>
      <c r="E1100" s="23"/>
      <c r="F1100" s="21"/>
      <c r="G1100" s="28"/>
      <c r="H1100" s="61"/>
      <c r="I1100" s="22"/>
      <c r="J1100" s="23"/>
    </row>
    <row r="1101" spans="1:10" ht="60" customHeight="1" x14ac:dyDescent="0.55000000000000004">
      <c r="A1101" s="21"/>
      <c r="B1101" s="22"/>
      <c r="C1101" s="70"/>
      <c r="D1101" s="24"/>
      <c r="E1101" s="23"/>
      <c r="F1101" s="21"/>
      <c r="G1101" s="22"/>
      <c r="H1101" s="70"/>
      <c r="I1101" s="22"/>
      <c r="J1101" s="23"/>
    </row>
    <row r="1102" spans="1:10" ht="27.6" customHeight="1" x14ac:dyDescent="0.15">
      <c r="A1102" s="21"/>
      <c r="B1102" s="22"/>
      <c r="C1102" s="64"/>
      <c r="D1102" s="24"/>
      <c r="E1102" s="23"/>
      <c r="F1102" s="21"/>
      <c r="G1102" s="22"/>
      <c r="H1102" s="64"/>
      <c r="I1102" s="22"/>
      <c r="J1102" s="23"/>
    </row>
    <row r="1103" spans="1:10" ht="33.6" customHeight="1" x14ac:dyDescent="0.15">
      <c r="A1103" s="21"/>
      <c r="B1103" s="22"/>
      <c r="C1103" s="64"/>
      <c r="D1103" s="24"/>
      <c r="E1103" s="23"/>
      <c r="F1103" s="21"/>
      <c r="G1103" s="22"/>
      <c r="H1103" s="61"/>
      <c r="I1103" s="24"/>
      <c r="J1103" s="23"/>
    </row>
    <row r="1104" spans="1:10" x14ac:dyDescent="0.15">
      <c r="A1104" s="25"/>
      <c r="B1104" s="26"/>
      <c r="C1104" s="67"/>
      <c r="D1104" s="59"/>
      <c r="E1104" s="27"/>
      <c r="F1104" s="25"/>
      <c r="G1104" s="26"/>
      <c r="H1104" s="63"/>
      <c r="I1104" s="26"/>
      <c r="J1104" s="27"/>
    </row>
    <row r="1105" spans="1:10" x14ac:dyDescent="0.15">
      <c r="A1105" s="18"/>
      <c r="B1105" s="19"/>
      <c r="C1105" s="66"/>
      <c r="D1105" s="58"/>
      <c r="E1105" s="20"/>
      <c r="F1105" s="18"/>
      <c r="G1105" s="19"/>
      <c r="H1105" s="60"/>
      <c r="I1105" s="19"/>
      <c r="J1105" s="20"/>
    </row>
    <row r="1106" spans="1:10" ht="40.15" customHeight="1" x14ac:dyDescent="0.15">
      <c r="A1106" s="21"/>
      <c r="B1106" s="22"/>
      <c r="C1106" s="64"/>
      <c r="D1106" s="24"/>
      <c r="E1106" s="23"/>
      <c r="F1106" s="21"/>
      <c r="G1106" s="28"/>
      <c r="H1106" s="61"/>
      <c r="I1106" s="22"/>
      <c r="J1106" s="23"/>
    </row>
    <row r="1107" spans="1:10" ht="60" customHeight="1" x14ac:dyDescent="0.55000000000000004">
      <c r="A1107" s="21"/>
      <c r="B1107" s="22"/>
      <c r="C1107" s="70"/>
      <c r="D1107" s="24"/>
      <c r="E1107" s="23"/>
      <c r="F1107" s="21"/>
      <c r="G1107" s="22"/>
      <c r="H1107" s="70"/>
      <c r="I1107" s="22"/>
      <c r="J1107" s="23"/>
    </row>
    <row r="1108" spans="1:10" ht="27.6" customHeight="1" x14ac:dyDescent="0.15">
      <c r="A1108" s="21"/>
      <c r="B1108" s="22"/>
      <c r="C1108" s="64"/>
      <c r="D1108" s="24"/>
      <c r="E1108" s="23"/>
      <c r="F1108" s="21"/>
      <c r="G1108" s="22"/>
      <c r="H1108" s="64"/>
      <c r="I1108" s="22"/>
      <c r="J1108" s="23"/>
    </row>
    <row r="1109" spans="1:10" ht="33.6" customHeight="1" x14ac:dyDescent="0.15">
      <c r="A1109" s="21"/>
      <c r="B1109" s="22"/>
      <c r="C1109" s="64"/>
      <c r="D1109" s="24"/>
      <c r="E1109" s="23"/>
      <c r="F1109" s="21"/>
      <c r="G1109" s="22"/>
      <c r="H1109" s="61"/>
      <c r="I1109" s="24"/>
      <c r="J1109" s="23"/>
    </row>
    <row r="1110" spans="1:10" x14ac:dyDescent="0.15">
      <c r="A1110" s="25"/>
      <c r="B1110" s="26"/>
      <c r="C1110" s="67"/>
      <c r="D1110" s="59"/>
      <c r="E1110" s="27"/>
      <c r="F1110" s="25"/>
      <c r="G1110" s="26"/>
      <c r="H1110" s="63"/>
      <c r="I1110" s="26"/>
      <c r="J1110" s="27"/>
    </row>
    <row r="1111" spans="1:10" x14ac:dyDescent="0.15">
      <c r="A1111" s="18"/>
      <c r="B1111" s="19"/>
      <c r="C1111" s="66"/>
      <c r="D1111" s="58"/>
      <c r="E1111" s="20"/>
      <c r="F1111" s="18"/>
      <c r="G1111" s="19"/>
      <c r="H1111" s="60"/>
      <c r="I1111" s="19"/>
      <c r="J1111" s="20"/>
    </row>
    <row r="1112" spans="1:10" ht="40.15" customHeight="1" x14ac:dyDescent="0.15">
      <c r="A1112" s="21"/>
      <c r="B1112" s="22"/>
      <c r="C1112" s="64"/>
      <c r="D1112" s="24"/>
      <c r="E1112" s="23"/>
      <c r="F1112" s="21"/>
      <c r="G1112" s="28"/>
      <c r="H1112" s="61"/>
      <c r="I1112" s="22"/>
      <c r="J1112" s="23"/>
    </row>
    <row r="1113" spans="1:10" ht="60" customHeight="1" x14ac:dyDescent="0.55000000000000004">
      <c r="A1113" s="21"/>
      <c r="B1113" s="22"/>
      <c r="C1113" s="70"/>
      <c r="D1113" s="24"/>
      <c r="E1113" s="23"/>
      <c r="F1113" s="21"/>
      <c r="G1113" s="22"/>
      <c r="H1113" s="70"/>
      <c r="I1113" s="22"/>
      <c r="J1113" s="23"/>
    </row>
    <row r="1114" spans="1:10" ht="27.6" customHeight="1" x14ac:dyDescent="0.15">
      <c r="A1114" s="21"/>
      <c r="B1114" s="22"/>
      <c r="C1114" s="64"/>
      <c r="D1114" s="24"/>
      <c r="E1114" s="23"/>
      <c r="F1114" s="21"/>
      <c r="G1114" s="22"/>
      <c r="H1114" s="64"/>
      <c r="I1114" s="22"/>
      <c r="J1114" s="23"/>
    </row>
    <row r="1115" spans="1:10" ht="33.6" customHeight="1" x14ac:dyDescent="0.15">
      <c r="A1115" s="21"/>
      <c r="B1115" s="22"/>
      <c r="C1115" s="64"/>
      <c r="D1115" s="24"/>
      <c r="E1115" s="23"/>
      <c r="F1115" s="21"/>
      <c r="G1115" s="22"/>
      <c r="H1115" s="61"/>
      <c r="I1115" s="24"/>
      <c r="J1115" s="23"/>
    </row>
    <row r="1116" spans="1:10" x14ac:dyDescent="0.15">
      <c r="A1116" s="25"/>
      <c r="B1116" s="26"/>
      <c r="C1116" s="67"/>
      <c r="D1116" s="59"/>
      <c r="E1116" s="27"/>
      <c r="F1116" s="25"/>
      <c r="G1116" s="26"/>
      <c r="H1116" s="63"/>
      <c r="I1116" s="26"/>
      <c r="J1116" s="27"/>
    </row>
    <row r="1117" spans="1:10" x14ac:dyDescent="0.15">
      <c r="A1117" s="18"/>
      <c r="B1117" s="19"/>
      <c r="C1117" s="66"/>
      <c r="D1117" s="58"/>
      <c r="E1117" s="20"/>
      <c r="F1117" s="18"/>
      <c r="G1117" s="19"/>
      <c r="H1117" s="60"/>
      <c r="I1117" s="19"/>
      <c r="J1117" s="20"/>
    </row>
    <row r="1118" spans="1:10" ht="40.15" customHeight="1" x14ac:dyDescent="0.15">
      <c r="A1118" s="21"/>
      <c r="B1118" s="28"/>
      <c r="C1118" s="64"/>
      <c r="D1118" s="24"/>
      <c r="E1118" s="23"/>
      <c r="F1118" s="21"/>
      <c r="G1118" s="28"/>
      <c r="H1118" s="61"/>
      <c r="I1118" s="22"/>
      <c r="J1118" s="23"/>
    </row>
    <row r="1119" spans="1:10" ht="60" customHeight="1" x14ac:dyDescent="0.4">
      <c r="A1119" s="21"/>
      <c r="B1119" s="22"/>
      <c r="C1119" s="62"/>
      <c r="D1119" s="24"/>
      <c r="E1119" s="23"/>
      <c r="F1119" s="21"/>
      <c r="G1119" s="22"/>
      <c r="H1119" s="62"/>
      <c r="I1119" s="22"/>
      <c r="J1119" s="23"/>
    </row>
    <row r="1120" spans="1:10" ht="27.6" customHeight="1" x14ac:dyDescent="0.3">
      <c r="A1120" s="21"/>
      <c r="B1120" s="22"/>
      <c r="C1120" s="69"/>
      <c r="D1120" s="24"/>
      <c r="E1120" s="23"/>
      <c r="F1120" s="21"/>
      <c r="G1120" s="22"/>
      <c r="H1120" s="69"/>
      <c r="I1120" s="22"/>
      <c r="J1120" s="23"/>
    </row>
    <row r="1121" spans="1:10" ht="33.6" customHeight="1" x14ac:dyDescent="0.15">
      <c r="A1121" s="21"/>
      <c r="B1121" s="22"/>
      <c r="C1121" s="64"/>
      <c r="D1121" s="24"/>
      <c r="E1121" s="23"/>
      <c r="F1121" s="21"/>
      <c r="G1121" s="22"/>
      <c r="H1121" s="61"/>
      <c r="I1121" s="24"/>
      <c r="J1121" s="23"/>
    </row>
    <row r="1122" spans="1:10" x14ac:dyDescent="0.15">
      <c r="A1122" s="25"/>
      <c r="B1122" s="26"/>
      <c r="C1122" s="67"/>
      <c r="D1122" s="59"/>
      <c r="E1122" s="27"/>
      <c r="F1122" s="25"/>
      <c r="G1122" s="26"/>
      <c r="H1122" s="63"/>
      <c r="I1122" s="26"/>
      <c r="J1122" s="27"/>
    </row>
    <row r="1123" spans="1:10" x14ac:dyDescent="0.15">
      <c r="A1123" s="18"/>
      <c r="B1123" s="19"/>
      <c r="C1123" s="66"/>
      <c r="D1123" s="58"/>
      <c r="E1123" s="20"/>
      <c r="F1123" s="18"/>
      <c r="G1123" s="19"/>
      <c r="H1123" s="60"/>
      <c r="I1123" s="19"/>
      <c r="J1123" s="20"/>
    </row>
    <row r="1124" spans="1:10" ht="40.15" customHeight="1" x14ac:dyDescent="0.15">
      <c r="A1124" s="21"/>
      <c r="B1124" s="28"/>
      <c r="C1124" s="64"/>
      <c r="D1124" s="24"/>
      <c r="E1124" s="23"/>
      <c r="F1124" s="21"/>
      <c r="G1124" s="28"/>
      <c r="H1124" s="61"/>
      <c r="I1124" s="22"/>
      <c r="J1124" s="23"/>
    </row>
    <row r="1125" spans="1:10" ht="60" customHeight="1" x14ac:dyDescent="0.4">
      <c r="A1125" s="21"/>
      <c r="B1125" s="22"/>
      <c r="C1125" s="62"/>
      <c r="D1125" s="24"/>
      <c r="E1125" s="23"/>
      <c r="F1125" s="21"/>
      <c r="G1125" s="22"/>
      <c r="H1125" s="62"/>
      <c r="I1125" s="22"/>
      <c r="J1125" s="23"/>
    </row>
    <row r="1126" spans="1:10" ht="27.6" customHeight="1" x14ac:dyDescent="0.3">
      <c r="A1126" s="21"/>
      <c r="B1126" s="22"/>
      <c r="C1126" s="69"/>
      <c r="D1126" s="24"/>
      <c r="E1126" s="23"/>
      <c r="F1126" s="21"/>
      <c r="G1126" s="22"/>
      <c r="H1126" s="69"/>
      <c r="I1126" s="22"/>
      <c r="J1126" s="23"/>
    </row>
    <row r="1127" spans="1:10" ht="33.6" customHeight="1" x14ac:dyDescent="0.15">
      <c r="A1127" s="21"/>
      <c r="B1127" s="22"/>
      <c r="C1127" s="64"/>
      <c r="D1127" s="24"/>
      <c r="E1127" s="23"/>
      <c r="F1127" s="21"/>
      <c r="G1127" s="22"/>
      <c r="H1127" s="61"/>
      <c r="I1127" s="24"/>
      <c r="J1127" s="23"/>
    </row>
    <row r="1128" spans="1:10" x14ac:dyDescent="0.15">
      <c r="A1128" s="25"/>
      <c r="B1128" s="26"/>
      <c r="C1128" s="67"/>
      <c r="D1128" s="59"/>
      <c r="E1128" s="27"/>
      <c r="F1128" s="25"/>
      <c r="G1128" s="26"/>
      <c r="H1128" s="63"/>
      <c r="I1128" s="26"/>
      <c r="J1128" s="27"/>
    </row>
    <row r="1129" spans="1:10" x14ac:dyDescent="0.15">
      <c r="A1129" s="18"/>
      <c r="B1129" s="19"/>
      <c r="C1129" s="66"/>
      <c r="D1129" s="58"/>
      <c r="E1129" s="20"/>
      <c r="F1129" s="18"/>
      <c r="G1129" s="19"/>
      <c r="H1129" s="60"/>
      <c r="I1129" s="19"/>
      <c r="J1129" s="20"/>
    </row>
    <row r="1130" spans="1:10" ht="40.15" customHeight="1" x14ac:dyDescent="0.15">
      <c r="A1130" s="21"/>
      <c r="B1130" s="28"/>
      <c r="C1130" s="64"/>
      <c r="D1130" s="24"/>
      <c r="E1130" s="23"/>
      <c r="F1130" s="21"/>
      <c r="G1130" s="28"/>
      <c r="H1130" s="61"/>
      <c r="I1130" s="22"/>
      <c r="J1130" s="23"/>
    </row>
    <row r="1131" spans="1:10" ht="60" customHeight="1" x14ac:dyDescent="0.4">
      <c r="A1131" s="21"/>
      <c r="B1131" s="22"/>
      <c r="C1131" s="62"/>
      <c r="D1131" s="24"/>
      <c r="E1131" s="23"/>
      <c r="F1131" s="21"/>
      <c r="G1131" s="22"/>
      <c r="H1131" s="62"/>
      <c r="I1131" s="22"/>
      <c r="J1131" s="23"/>
    </row>
    <row r="1132" spans="1:10" ht="27.6" customHeight="1" x14ac:dyDescent="0.3">
      <c r="A1132" s="21"/>
      <c r="B1132" s="22"/>
      <c r="C1132" s="69"/>
      <c r="D1132" s="24"/>
      <c r="E1132" s="23"/>
      <c r="F1132" s="21"/>
      <c r="G1132" s="22"/>
      <c r="H1132" s="69"/>
      <c r="I1132" s="22"/>
      <c r="J1132" s="23"/>
    </row>
    <row r="1133" spans="1:10" ht="33.6" customHeight="1" x14ac:dyDescent="0.15">
      <c r="A1133" s="21"/>
      <c r="B1133" s="22"/>
      <c r="C1133" s="64"/>
      <c r="D1133" s="24"/>
      <c r="E1133" s="23"/>
      <c r="F1133" s="21"/>
      <c r="G1133" s="22"/>
      <c r="H1133" s="61"/>
      <c r="I1133" s="24"/>
      <c r="J1133" s="23"/>
    </row>
    <row r="1134" spans="1:10" x14ac:dyDescent="0.15">
      <c r="A1134" s="25"/>
      <c r="B1134" s="26"/>
      <c r="C1134" s="67"/>
      <c r="D1134" s="59"/>
      <c r="E1134" s="27"/>
      <c r="F1134" s="25"/>
      <c r="G1134" s="26"/>
      <c r="H1134" s="63"/>
      <c r="I1134" s="26"/>
      <c r="J1134" s="27"/>
    </row>
    <row r="1135" spans="1:10" x14ac:dyDescent="0.15">
      <c r="A1135" s="18"/>
      <c r="B1135" s="19"/>
      <c r="C1135" s="66"/>
      <c r="D1135" s="58"/>
      <c r="E1135" s="20"/>
      <c r="F1135" s="18"/>
      <c r="G1135" s="19"/>
      <c r="H1135" s="60"/>
      <c r="I1135" s="19"/>
      <c r="J1135" s="20"/>
    </row>
    <row r="1136" spans="1:10" ht="40.15" customHeight="1" x14ac:dyDescent="0.15">
      <c r="A1136" s="21"/>
      <c r="B1136" s="28"/>
      <c r="C1136" s="64"/>
      <c r="D1136" s="24"/>
      <c r="E1136" s="23"/>
      <c r="F1136" s="21"/>
      <c r="G1136" s="28"/>
      <c r="H1136" s="61"/>
      <c r="I1136" s="22"/>
      <c r="J1136" s="23"/>
    </row>
    <row r="1137" spans="1:10" ht="60" customHeight="1" x14ac:dyDescent="0.4">
      <c r="A1137" s="21"/>
      <c r="B1137" s="22"/>
      <c r="C1137" s="62"/>
      <c r="D1137" s="24"/>
      <c r="E1137" s="23"/>
      <c r="F1137" s="21"/>
      <c r="G1137" s="22"/>
      <c r="H1137" s="62"/>
      <c r="I1137" s="22"/>
      <c r="J1137" s="23"/>
    </row>
    <row r="1138" spans="1:10" ht="27.6" customHeight="1" x14ac:dyDescent="0.3">
      <c r="A1138" s="21"/>
      <c r="B1138" s="22"/>
      <c r="C1138" s="69"/>
      <c r="D1138" s="24"/>
      <c r="E1138" s="23"/>
      <c r="F1138" s="21"/>
      <c r="G1138" s="22"/>
      <c r="H1138" s="69"/>
      <c r="I1138" s="22"/>
      <c r="J1138" s="23"/>
    </row>
    <row r="1139" spans="1:10" ht="33.6" customHeight="1" x14ac:dyDescent="0.15">
      <c r="A1139" s="21"/>
      <c r="B1139" s="22"/>
      <c r="C1139" s="64"/>
      <c r="D1139" s="24"/>
      <c r="E1139" s="23"/>
      <c r="F1139" s="21"/>
      <c r="G1139" s="22"/>
      <c r="H1139" s="61"/>
      <c r="I1139" s="24"/>
      <c r="J1139" s="23"/>
    </row>
    <row r="1140" spans="1:10" x14ac:dyDescent="0.15">
      <c r="A1140" s="25"/>
      <c r="B1140" s="26"/>
      <c r="C1140" s="67"/>
      <c r="D1140" s="59"/>
      <c r="E1140" s="27"/>
      <c r="F1140" s="25"/>
      <c r="G1140" s="26"/>
      <c r="H1140" s="63"/>
      <c r="I1140" s="26"/>
      <c r="J1140" s="27"/>
    </row>
    <row r="1141" spans="1:10" x14ac:dyDescent="0.15">
      <c r="A1141" s="18"/>
      <c r="B1141" s="19"/>
      <c r="C1141" s="66"/>
      <c r="D1141" s="58"/>
      <c r="E1141" s="20"/>
      <c r="F1141" s="18"/>
      <c r="G1141" s="19"/>
      <c r="H1141" s="60"/>
      <c r="I1141" s="19"/>
      <c r="J1141" s="20"/>
    </row>
    <row r="1142" spans="1:10" ht="40.15" customHeight="1" x14ac:dyDescent="0.15">
      <c r="A1142" s="21"/>
      <c r="B1142" s="28"/>
      <c r="C1142" s="64"/>
      <c r="D1142" s="24"/>
      <c r="E1142" s="23"/>
      <c r="F1142" s="21"/>
      <c r="G1142" s="28"/>
      <c r="H1142" s="61"/>
      <c r="I1142" s="22"/>
      <c r="J1142" s="23"/>
    </row>
    <row r="1143" spans="1:10" ht="60" customHeight="1" x14ac:dyDescent="0.4">
      <c r="A1143" s="21"/>
      <c r="B1143" s="22"/>
      <c r="C1143" s="62"/>
      <c r="D1143" s="24"/>
      <c r="E1143" s="23"/>
      <c r="F1143" s="21"/>
      <c r="G1143" s="22"/>
      <c r="H1143" s="62"/>
      <c r="I1143" s="22"/>
      <c r="J1143" s="23"/>
    </row>
    <row r="1144" spans="1:10" ht="27.6" customHeight="1" x14ac:dyDescent="0.3">
      <c r="A1144" s="21"/>
      <c r="B1144" s="22"/>
      <c r="C1144" s="69"/>
      <c r="D1144" s="24"/>
      <c r="E1144" s="23"/>
      <c r="F1144" s="21"/>
      <c r="G1144" s="22"/>
      <c r="H1144" s="69"/>
      <c r="I1144" s="22"/>
      <c r="J1144" s="23"/>
    </row>
    <row r="1145" spans="1:10" ht="33.6" customHeight="1" x14ac:dyDescent="0.15">
      <c r="A1145" s="21"/>
      <c r="B1145" s="22"/>
      <c r="C1145" s="64"/>
      <c r="D1145" s="24"/>
      <c r="E1145" s="23"/>
      <c r="F1145" s="21"/>
      <c r="G1145" s="22"/>
      <c r="H1145" s="61"/>
      <c r="I1145" s="24"/>
      <c r="J1145" s="23"/>
    </row>
    <row r="1146" spans="1:10" x14ac:dyDescent="0.15">
      <c r="A1146" s="25"/>
      <c r="B1146" s="26"/>
      <c r="C1146" s="67"/>
      <c r="D1146" s="59"/>
      <c r="E1146" s="27"/>
      <c r="F1146" s="25"/>
      <c r="G1146" s="26"/>
      <c r="H1146" s="63"/>
      <c r="I1146" s="26"/>
      <c r="J1146" s="27"/>
    </row>
    <row r="1147" spans="1:10" x14ac:dyDescent="0.15">
      <c r="A1147" s="18"/>
      <c r="B1147" s="19"/>
      <c r="C1147" s="66"/>
      <c r="D1147" s="58"/>
      <c r="E1147" s="20"/>
      <c r="F1147" s="18"/>
      <c r="G1147" s="19"/>
      <c r="H1147" s="60"/>
      <c r="I1147" s="19"/>
      <c r="J1147" s="20"/>
    </row>
    <row r="1148" spans="1:10" ht="40.15" customHeight="1" x14ac:dyDescent="0.15">
      <c r="A1148" s="21"/>
      <c r="B1148" s="28"/>
      <c r="C1148" s="64"/>
      <c r="D1148" s="24"/>
      <c r="E1148" s="23"/>
      <c r="F1148" s="21"/>
      <c r="G1148" s="28"/>
      <c r="H1148" s="61"/>
      <c r="I1148" s="22"/>
      <c r="J1148" s="23"/>
    </row>
    <row r="1149" spans="1:10" ht="60" customHeight="1" x14ac:dyDescent="0.4">
      <c r="A1149" s="21"/>
      <c r="B1149" s="22"/>
      <c r="C1149" s="62"/>
      <c r="D1149" s="24"/>
      <c r="E1149" s="23"/>
      <c r="F1149" s="21"/>
      <c r="G1149" s="22"/>
      <c r="H1149" s="62"/>
      <c r="I1149" s="22"/>
      <c r="J1149" s="23"/>
    </row>
    <row r="1150" spans="1:10" ht="27.6" customHeight="1" x14ac:dyDescent="0.3">
      <c r="A1150" s="21"/>
      <c r="B1150" s="22"/>
      <c r="C1150" s="69"/>
      <c r="D1150" s="24"/>
      <c r="E1150" s="23"/>
      <c r="F1150" s="21"/>
      <c r="G1150" s="22"/>
      <c r="H1150" s="69"/>
      <c r="I1150" s="22"/>
      <c r="J1150" s="23"/>
    </row>
    <row r="1151" spans="1:10" ht="33.6" customHeight="1" x14ac:dyDescent="0.15">
      <c r="A1151" s="21"/>
      <c r="B1151" s="22"/>
      <c r="C1151" s="64"/>
      <c r="D1151" s="24"/>
      <c r="E1151" s="23"/>
      <c r="F1151" s="21"/>
      <c r="G1151" s="22"/>
      <c r="H1151" s="61"/>
      <c r="I1151" s="24"/>
      <c r="J1151" s="23"/>
    </row>
    <row r="1152" spans="1:10" x14ac:dyDescent="0.15">
      <c r="A1152" s="25"/>
      <c r="B1152" s="26"/>
      <c r="C1152" s="67"/>
      <c r="D1152" s="59"/>
      <c r="E1152" s="27"/>
      <c r="F1152" s="25"/>
      <c r="G1152" s="26"/>
      <c r="H1152" s="63"/>
      <c r="I1152" s="26"/>
      <c r="J1152" s="27"/>
    </row>
    <row r="1153" spans="1:10" x14ac:dyDescent="0.15">
      <c r="A1153" s="18"/>
      <c r="B1153" s="19"/>
      <c r="C1153" s="66"/>
      <c r="D1153" s="58"/>
      <c r="E1153" s="20"/>
      <c r="F1153" s="18"/>
      <c r="G1153" s="19"/>
      <c r="H1153" s="60"/>
      <c r="I1153" s="19"/>
      <c r="J1153" s="20"/>
    </row>
    <row r="1154" spans="1:10" ht="40.15" customHeight="1" x14ac:dyDescent="0.15">
      <c r="A1154" s="21"/>
      <c r="B1154" s="22"/>
      <c r="C1154" s="64"/>
      <c r="D1154" s="24"/>
      <c r="E1154" s="23"/>
      <c r="F1154" s="21"/>
      <c r="G1154" s="28"/>
      <c r="H1154" s="61"/>
      <c r="I1154" s="22"/>
      <c r="J1154" s="23"/>
    </row>
    <row r="1155" spans="1:10" ht="60" customHeight="1" x14ac:dyDescent="0.55000000000000004">
      <c r="A1155" s="21"/>
      <c r="B1155" s="22"/>
      <c r="C1155" s="70"/>
      <c r="D1155" s="24"/>
      <c r="E1155" s="23"/>
      <c r="F1155" s="21"/>
      <c r="G1155" s="22"/>
      <c r="H1155" s="70"/>
      <c r="I1155" s="22"/>
      <c r="J1155" s="23"/>
    </row>
    <row r="1156" spans="1:10" ht="27.6" customHeight="1" x14ac:dyDescent="0.15">
      <c r="A1156" s="21"/>
      <c r="B1156" s="22"/>
      <c r="C1156" s="64"/>
      <c r="D1156" s="24"/>
      <c r="E1156" s="23"/>
      <c r="F1156" s="21"/>
      <c r="G1156" s="22"/>
      <c r="H1156" s="64"/>
      <c r="I1156" s="22"/>
      <c r="J1156" s="23"/>
    </row>
    <row r="1157" spans="1:10" ht="33.6" customHeight="1" x14ac:dyDescent="0.15">
      <c r="A1157" s="21"/>
      <c r="B1157" s="22"/>
      <c r="C1157" s="64"/>
      <c r="D1157" s="24"/>
      <c r="E1157" s="23"/>
      <c r="F1157" s="21"/>
      <c r="G1157" s="22"/>
      <c r="H1157" s="61"/>
      <c r="I1157" s="24"/>
      <c r="J1157" s="23"/>
    </row>
    <row r="1158" spans="1:10" x14ac:dyDescent="0.15">
      <c r="A1158" s="25"/>
      <c r="B1158" s="26"/>
      <c r="C1158" s="67"/>
      <c r="D1158" s="59"/>
      <c r="E1158" s="27"/>
      <c r="F1158" s="25"/>
      <c r="G1158" s="26"/>
      <c r="H1158" s="63"/>
      <c r="I1158" s="26"/>
      <c r="J1158" s="27"/>
    </row>
    <row r="1159" spans="1:10" x14ac:dyDescent="0.15">
      <c r="A1159" s="18"/>
      <c r="B1159" s="19"/>
      <c r="C1159" s="66"/>
      <c r="D1159" s="58"/>
      <c r="E1159" s="20"/>
      <c r="F1159" s="18"/>
      <c r="G1159" s="19"/>
      <c r="H1159" s="60"/>
      <c r="I1159" s="19"/>
      <c r="J1159" s="20"/>
    </row>
    <row r="1160" spans="1:10" ht="40.15" customHeight="1" x14ac:dyDescent="0.15">
      <c r="A1160" s="21"/>
      <c r="B1160" s="22"/>
      <c r="C1160" s="64"/>
      <c r="D1160" s="24"/>
      <c r="E1160" s="23"/>
      <c r="F1160" s="21"/>
      <c r="G1160" s="28"/>
      <c r="H1160" s="61"/>
      <c r="I1160" s="22"/>
      <c r="J1160" s="23"/>
    </row>
    <row r="1161" spans="1:10" ht="60" customHeight="1" x14ac:dyDescent="0.55000000000000004">
      <c r="A1161" s="21"/>
      <c r="B1161" s="22"/>
      <c r="C1161" s="70"/>
      <c r="D1161" s="24"/>
      <c r="E1161" s="23"/>
      <c r="F1161" s="21"/>
      <c r="G1161" s="22"/>
      <c r="H1161" s="70"/>
      <c r="I1161" s="22"/>
      <c r="J1161" s="23"/>
    </row>
    <row r="1162" spans="1:10" ht="27.6" customHeight="1" x14ac:dyDescent="0.15">
      <c r="A1162" s="21"/>
      <c r="B1162" s="22"/>
      <c r="C1162" s="64"/>
      <c r="D1162" s="24"/>
      <c r="E1162" s="23"/>
      <c r="F1162" s="21"/>
      <c r="G1162" s="22"/>
      <c r="H1162" s="64"/>
      <c r="I1162" s="22"/>
      <c r="J1162" s="23"/>
    </row>
    <row r="1163" spans="1:10" ht="33.6" customHeight="1" x14ac:dyDescent="0.15">
      <c r="A1163" s="21"/>
      <c r="B1163" s="22"/>
      <c r="C1163" s="64"/>
      <c r="D1163" s="24"/>
      <c r="E1163" s="23"/>
      <c r="F1163" s="21"/>
      <c r="G1163" s="22"/>
      <c r="H1163" s="61"/>
      <c r="I1163" s="24"/>
      <c r="J1163" s="23"/>
    </row>
    <row r="1164" spans="1:10" x14ac:dyDescent="0.15">
      <c r="A1164" s="25"/>
      <c r="B1164" s="26"/>
      <c r="C1164" s="67"/>
      <c r="D1164" s="59"/>
      <c r="E1164" s="27"/>
      <c r="F1164" s="25"/>
      <c r="G1164" s="26"/>
      <c r="H1164" s="63"/>
      <c r="I1164" s="26"/>
      <c r="J1164" s="27"/>
    </row>
    <row r="1165" spans="1:10" x14ac:dyDescent="0.15">
      <c r="A1165" s="18"/>
      <c r="B1165" s="19"/>
      <c r="C1165" s="66"/>
      <c r="D1165" s="58"/>
      <c r="E1165" s="20"/>
      <c r="F1165" s="18"/>
      <c r="G1165" s="19"/>
      <c r="H1165" s="60"/>
      <c r="I1165" s="19"/>
      <c r="J1165" s="20"/>
    </row>
    <row r="1166" spans="1:10" ht="40.15" customHeight="1" x14ac:dyDescent="0.15">
      <c r="A1166" s="21"/>
      <c r="B1166" s="22"/>
      <c r="C1166" s="64"/>
      <c r="D1166" s="24"/>
      <c r="E1166" s="23"/>
      <c r="F1166" s="21"/>
      <c r="G1166" s="28"/>
      <c r="H1166" s="61"/>
      <c r="I1166" s="22"/>
      <c r="J1166" s="23"/>
    </row>
    <row r="1167" spans="1:10" ht="60" customHeight="1" x14ac:dyDescent="0.55000000000000004">
      <c r="A1167" s="21"/>
      <c r="B1167" s="22"/>
      <c r="C1167" s="70"/>
      <c r="D1167" s="24"/>
      <c r="E1167" s="23"/>
      <c r="F1167" s="21"/>
      <c r="G1167" s="22"/>
      <c r="H1167" s="70"/>
      <c r="I1167" s="22"/>
      <c r="J1167" s="23"/>
    </row>
    <row r="1168" spans="1:10" ht="27.6" customHeight="1" x14ac:dyDescent="0.15">
      <c r="A1168" s="21"/>
      <c r="B1168" s="22"/>
      <c r="C1168" s="64"/>
      <c r="D1168" s="24"/>
      <c r="E1168" s="23"/>
      <c r="F1168" s="21"/>
      <c r="G1168" s="22"/>
      <c r="H1168" s="64"/>
      <c r="I1168" s="22"/>
      <c r="J1168" s="23"/>
    </row>
    <row r="1169" spans="1:10" ht="33.6" customHeight="1" x14ac:dyDescent="0.15">
      <c r="A1169" s="21"/>
      <c r="B1169" s="22"/>
      <c r="C1169" s="64"/>
      <c r="D1169" s="24"/>
      <c r="E1169" s="23"/>
      <c r="F1169" s="21"/>
      <c r="G1169" s="22"/>
      <c r="H1169" s="61"/>
      <c r="I1169" s="24"/>
      <c r="J1169" s="23"/>
    </row>
    <row r="1170" spans="1:10" x14ac:dyDescent="0.15">
      <c r="A1170" s="25"/>
      <c r="B1170" s="26"/>
      <c r="C1170" s="67"/>
      <c r="D1170" s="59"/>
      <c r="E1170" s="27"/>
      <c r="F1170" s="25"/>
      <c r="G1170" s="26"/>
      <c r="H1170" s="63"/>
      <c r="I1170" s="26"/>
      <c r="J1170" s="27"/>
    </row>
    <row r="1171" spans="1:10" x14ac:dyDescent="0.15">
      <c r="A1171" s="18"/>
      <c r="B1171" s="19"/>
      <c r="C1171" s="66"/>
      <c r="D1171" s="58"/>
      <c r="E1171" s="20"/>
      <c r="F1171" s="18"/>
      <c r="G1171" s="19"/>
      <c r="H1171" s="60"/>
      <c r="I1171" s="19"/>
      <c r="J1171" s="20"/>
    </row>
    <row r="1172" spans="1:10" ht="40.15" customHeight="1" x14ac:dyDescent="0.15">
      <c r="A1172" s="21"/>
      <c r="B1172" s="22"/>
      <c r="C1172" s="64"/>
      <c r="D1172" s="24"/>
      <c r="E1172" s="23"/>
      <c r="F1172" s="21"/>
      <c r="G1172" s="28"/>
      <c r="H1172" s="61"/>
      <c r="I1172" s="22"/>
      <c r="J1172" s="23"/>
    </row>
    <row r="1173" spans="1:10" ht="60" customHeight="1" x14ac:dyDescent="0.55000000000000004">
      <c r="A1173" s="21"/>
      <c r="B1173" s="22"/>
      <c r="C1173" s="70"/>
      <c r="D1173" s="24"/>
      <c r="E1173" s="23"/>
      <c r="F1173" s="21"/>
      <c r="G1173" s="22"/>
      <c r="H1173" s="70"/>
      <c r="I1173" s="22"/>
      <c r="J1173" s="23"/>
    </row>
    <row r="1174" spans="1:10" ht="27.6" customHeight="1" x14ac:dyDescent="0.15">
      <c r="A1174" s="21"/>
      <c r="B1174" s="22"/>
      <c r="C1174" s="64"/>
      <c r="D1174" s="24"/>
      <c r="E1174" s="23"/>
      <c r="F1174" s="21"/>
      <c r="G1174" s="22"/>
      <c r="H1174" s="64"/>
      <c r="I1174" s="22"/>
      <c r="J1174" s="23"/>
    </row>
    <row r="1175" spans="1:10" ht="33.6" customHeight="1" x14ac:dyDescent="0.15">
      <c r="A1175" s="21"/>
      <c r="B1175" s="22"/>
      <c r="C1175" s="64"/>
      <c r="D1175" s="24"/>
      <c r="E1175" s="23"/>
      <c r="F1175" s="21"/>
      <c r="G1175" s="22"/>
      <c r="H1175" s="61"/>
      <c r="I1175" s="24"/>
      <c r="J1175" s="23"/>
    </row>
    <row r="1176" spans="1:10" x14ac:dyDescent="0.15">
      <c r="A1176" s="25"/>
      <c r="B1176" s="26"/>
      <c r="C1176" s="67"/>
      <c r="D1176" s="59"/>
      <c r="E1176" s="27"/>
      <c r="F1176" s="25"/>
      <c r="G1176" s="26"/>
      <c r="H1176" s="63"/>
      <c r="I1176" s="26"/>
      <c r="J1176" s="27"/>
    </row>
    <row r="1177" spans="1:10" x14ac:dyDescent="0.15">
      <c r="A1177" s="18"/>
      <c r="B1177" s="19"/>
      <c r="C1177" s="66"/>
      <c r="D1177" s="58"/>
      <c r="E1177" s="20"/>
      <c r="F1177" s="18"/>
      <c r="G1177" s="19"/>
      <c r="H1177" s="60"/>
      <c r="I1177" s="19"/>
      <c r="J1177" s="20"/>
    </row>
    <row r="1178" spans="1:10" ht="40.15" customHeight="1" x14ac:dyDescent="0.15">
      <c r="A1178" s="21"/>
      <c r="B1178" s="22"/>
      <c r="C1178" s="64"/>
      <c r="D1178" s="24"/>
      <c r="E1178" s="23"/>
      <c r="F1178" s="21"/>
      <c r="G1178" s="28"/>
      <c r="H1178" s="61"/>
      <c r="I1178" s="22"/>
      <c r="J1178" s="23"/>
    </row>
    <row r="1179" spans="1:10" ht="60" customHeight="1" x14ac:dyDescent="0.55000000000000004">
      <c r="A1179" s="21"/>
      <c r="B1179" s="22"/>
      <c r="C1179" s="70"/>
      <c r="D1179" s="24"/>
      <c r="E1179" s="23"/>
      <c r="F1179" s="21"/>
      <c r="G1179" s="22"/>
      <c r="H1179" s="70"/>
      <c r="I1179" s="22"/>
      <c r="J1179" s="23"/>
    </row>
    <row r="1180" spans="1:10" ht="27.6" customHeight="1" x14ac:dyDescent="0.15">
      <c r="A1180" s="21"/>
      <c r="B1180" s="22"/>
      <c r="C1180" s="64"/>
      <c r="D1180" s="24"/>
      <c r="E1180" s="23"/>
      <c r="F1180" s="21"/>
      <c r="G1180" s="22"/>
      <c r="H1180" s="64"/>
      <c r="I1180" s="22"/>
      <c r="J1180" s="23"/>
    </row>
    <row r="1181" spans="1:10" ht="33.6" customHeight="1" x14ac:dyDescent="0.15">
      <c r="A1181" s="21"/>
      <c r="B1181" s="22"/>
      <c r="C1181" s="64"/>
      <c r="D1181" s="24"/>
      <c r="E1181" s="23"/>
      <c r="F1181" s="21"/>
      <c r="G1181" s="22"/>
      <c r="H1181" s="61"/>
      <c r="I1181" s="24"/>
      <c r="J1181" s="23"/>
    </row>
    <row r="1182" spans="1:10" x14ac:dyDescent="0.15">
      <c r="A1182" s="25"/>
      <c r="B1182" s="26"/>
      <c r="C1182" s="67"/>
      <c r="D1182" s="59"/>
      <c r="E1182" s="27"/>
      <c r="F1182" s="25"/>
      <c r="G1182" s="26"/>
      <c r="H1182" s="63"/>
      <c r="I1182" s="26"/>
      <c r="J1182" s="27"/>
    </row>
    <row r="1183" spans="1:10" x14ac:dyDescent="0.15">
      <c r="A1183" s="18"/>
      <c r="B1183" s="19"/>
      <c r="C1183" s="66"/>
      <c r="D1183" s="58"/>
      <c r="E1183" s="20"/>
      <c r="F1183" s="18"/>
      <c r="G1183" s="19"/>
      <c r="H1183" s="60"/>
      <c r="I1183" s="19"/>
      <c r="J1183" s="20"/>
    </row>
    <row r="1184" spans="1:10" ht="40.15" customHeight="1" x14ac:dyDescent="0.15">
      <c r="A1184" s="21"/>
      <c r="B1184" s="22"/>
      <c r="C1184" s="64"/>
      <c r="D1184" s="24"/>
      <c r="E1184" s="23"/>
      <c r="F1184" s="21"/>
      <c r="G1184" s="28"/>
      <c r="H1184" s="61"/>
      <c r="I1184" s="22"/>
      <c r="J1184" s="23"/>
    </row>
    <row r="1185" spans="1:10" ht="60" customHeight="1" x14ac:dyDescent="0.55000000000000004">
      <c r="A1185" s="21"/>
      <c r="B1185" s="22"/>
      <c r="C1185" s="70"/>
      <c r="D1185" s="24"/>
      <c r="E1185" s="23"/>
      <c r="F1185" s="21"/>
      <c r="G1185" s="22"/>
      <c r="H1185" s="70"/>
      <c r="I1185" s="22"/>
      <c r="J1185" s="23"/>
    </row>
    <row r="1186" spans="1:10" ht="27.6" customHeight="1" x14ac:dyDescent="0.15">
      <c r="A1186" s="21"/>
      <c r="B1186" s="22"/>
      <c r="C1186" s="64"/>
      <c r="D1186" s="24"/>
      <c r="E1186" s="23"/>
      <c r="F1186" s="21"/>
      <c r="G1186" s="22"/>
      <c r="H1186" s="64"/>
      <c r="I1186" s="22"/>
      <c r="J1186" s="23"/>
    </row>
    <row r="1187" spans="1:10" ht="33.6" customHeight="1" x14ac:dyDescent="0.15">
      <c r="A1187" s="21"/>
      <c r="B1187" s="22"/>
      <c r="C1187" s="64"/>
      <c r="D1187" s="24"/>
      <c r="E1187" s="23"/>
      <c r="F1187" s="21"/>
      <c r="G1187" s="22"/>
      <c r="H1187" s="61"/>
      <c r="I1187" s="24"/>
      <c r="J1187" s="23"/>
    </row>
    <row r="1188" spans="1:10" x14ac:dyDescent="0.15">
      <c r="A1188" s="25"/>
      <c r="B1188" s="26"/>
      <c r="C1188" s="67"/>
      <c r="D1188" s="59"/>
      <c r="E1188" s="27"/>
      <c r="F1188" s="25"/>
      <c r="G1188" s="26"/>
      <c r="H1188" s="63"/>
      <c r="I1188" s="26"/>
      <c r="J1188" s="27"/>
    </row>
    <row r="1189" spans="1:10" x14ac:dyDescent="0.15">
      <c r="A1189" s="18"/>
      <c r="B1189" s="19"/>
      <c r="C1189" s="66"/>
      <c r="D1189" s="58"/>
      <c r="E1189" s="20"/>
      <c r="F1189" s="18"/>
      <c r="G1189" s="19"/>
      <c r="H1189" s="60"/>
      <c r="I1189" s="19"/>
      <c r="J1189" s="20"/>
    </row>
    <row r="1190" spans="1:10" ht="40.15" customHeight="1" x14ac:dyDescent="0.15">
      <c r="A1190" s="21"/>
      <c r="B1190" s="28"/>
      <c r="C1190" s="64"/>
      <c r="D1190" s="24"/>
      <c r="E1190" s="23"/>
      <c r="F1190" s="21"/>
      <c r="G1190" s="28"/>
      <c r="H1190" s="61"/>
      <c r="I1190" s="22"/>
      <c r="J1190" s="23"/>
    </row>
    <row r="1191" spans="1:10" ht="60" customHeight="1" x14ac:dyDescent="0.4">
      <c r="A1191" s="21"/>
      <c r="B1191" s="22"/>
      <c r="C1191" s="62"/>
      <c r="D1191" s="24"/>
      <c r="E1191" s="23"/>
      <c r="F1191" s="21"/>
      <c r="G1191" s="22"/>
      <c r="H1191" s="62"/>
      <c r="I1191" s="22"/>
      <c r="J1191" s="23"/>
    </row>
    <row r="1192" spans="1:10" ht="27.6" customHeight="1" x14ac:dyDescent="0.3">
      <c r="A1192" s="21"/>
      <c r="B1192" s="22"/>
      <c r="C1192" s="69"/>
      <c r="D1192" s="24"/>
      <c r="E1192" s="23"/>
      <c r="F1192" s="21"/>
      <c r="G1192" s="22"/>
      <c r="H1192" s="69"/>
      <c r="I1192" s="22"/>
      <c r="J1192" s="23"/>
    </row>
    <row r="1193" spans="1:10" ht="33.6" customHeight="1" x14ac:dyDescent="0.15">
      <c r="A1193" s="21"/>
      <c r="B1193" s="22"/>
      <c r="C1193" s="64"/>
      <c r="D1193" s="24"/>
      <c r="E1193" s="23"/>
      <c r="F1193" s="21"/>
      <c r="G1193" s="22"/>
      <c r="H1193" s="61"/>
      <c r="I1193" s="24"/>
      <c r="J1193" s="23"/>
    </row>
    <row r="1194" spans="1:10" x14ac:dyDescent="0.15">
      <c r="A1194" s="25"/>
      <c r="B1194" s="26"/>
      <c r="C1194" s="67"/>
      <c r="D1194" s="59"/>
      <c r="E1194" s="27"/>
      <c r="F1194" s="25"/>
      <c r="G1194" s="26"/>
      <c r="H1194" s="63"/>
      <c r="I1194" s="26"/>
      <c r="J1194" s="27"/>
    </row>
    <row r="1195" spans="1:10" x14ac:dyDescent="0.15">
      <c r="A1195" s="18"/>
      <c r="B1195" s="19"/>
      <c r="C1195" s="66"/>
      <c r="D1195" s="58"/>
      <c r="E1195" s="20"/>
      <c r="F1195" s="18"/>
      <c r="G1195" s="19"/>
      <c r="H1195" s="60"/>
      <c r="I1195" s="19"/>
      <c r="J1195" s="20"/>
    </row>
    <row r="1196" spans="1:10" ht="40.15" customHeight="1" x14ac:dyDescent="0.15">
      <c r="A1196" s="21"/>
      <c r="B1196" s="28"/>
      <c r="C1196" s="64"/>
      <c r="D1196" s="24"/>
      <c r="E1196" s="23"/>
      <c r="F1196" s="21"/>
      <c r="G1196" s="28"/>
      <c r="H1196" s="61"/>
      <c r="I1196" s="22"/>
      <c r="J1196" s="23"/>
    </row>
    <row r="1197" spans="1:10" ht="60" customHeight="1" x14ac:dyDescent="0.4">
      <c r="A1197" s="21"/>
      <c r="B1197" s="22"/>
      <c r="C1197" s="62"/>
      <c r="D1197" s="24"/>
      <c r="E1197" s="23"/>
      <c r="F1197" s="21"/>
      <c r="G1197" s="22"/>
      <c r="H1197" s="62"/>
      <c r="I1197" s="22"/>
      <c r="J1197" s="23"/>
    </row>
    <row r="1198" spans="1:10" ht="27.6" customHeight="1" x14ac:dyDescent="0.3">
      <c r="A1198" s="21"/>
      <c r="B1198" s="22"/>
      <c r="C1198" s="69"/>
      <c r="D1198" s="24"/>
      <c r="E1198" s="23"/>
      <c r="F1198" s="21"/>
      <c r="G1198" s="22"/>
      <c r="H1198" s="69"/>
      <c r="I1198" s="22"/>
      <c r="J1198" s="23"/>
    </row>
    <row r="1199" spans="1:10" ht="33.6" customHeight="1" x14ac:dyDescent="0.15">
      <c r="A1199" s="21"/>
      <c r="B1199" s="22"/>
      <c r="C1199" s="64"/>
      <c r="D1199" s="24"/>
      <c r="E1199" s="23"/>
      <c r="F1199" s="21"/>
      <c r="G1199" s="22"/>
      <c r="H1199" s="61"/>
      <c r="I1199" s="24"/>
      <c r="J1199" s="23"/>
    </row>
    <row r="1200" spans="1:10" x14ac:dyDescent="0.15">
      <c r="A1200" s="25"/>
      <c r="B1200" s="26"/>
      <c r="C1200" s="67"/>
      <c r="D1200" s="59"/>
      <c r="E1200" s="27"/>
      <c r="F1200" s="25"/>
      <c r="G1200" s="26"/>
      <c r="H1200" s="63"/>
      <c r="I1200" s="26"/>
      <c r="J1200" s="27"/>
    </row>
    <row r="1201" spans="1:10" x14ac:dyDescent="0.15">
      <c r="A1201" s="18"/>
      <c r="B1201" s="19"/>
      <c r="C1201" s="66"/>
      <c r="D1201" s="58"/>
      <c r="E1201" s="20"/>
      <c r="F1201" s="18"/>
      <c r="G1201" s="19"/>
      <c r="H1201" s="60"/>
      <c r="I1201" s="19"/>
      <c r="J1201" s="20"/>
    </row>
    <row r="1202" spans="1:10" ht="40.15" customHeight="1" x14ac:dyDescent="0.15">
      <c r="A1202" s="21"/>
      <c r="B1202" s="28"/>
      <c r="C1202" s="64"/>
      <c r="D1202" s="24"/>
      <c r="E1202" s="23"/>
      <c r="F1202" s="21"/>
      <c r="G1202" s="28"/>
      <c r="H1202" s="61"/>
      <c r="I1202" s="22"/>
      <c r="J1202" s="23"/>
    </row>
    <row r="1203" spans="1:10" ht="60" customHeight="1" x14ac:dyDescent="0.4">
      <c r="A1203" s="21"/>
      <c r="B1203" s="22"/>
      <c r="C1203" s="62"/>
      <c r="D1203" s="24"/>
      <c r="E1203" s="23"/>
      <c r="F1203" s="21"/>
      <c r="G1203" s="22"/>
      <c r="H1203" s="62"/>
      <c r="I1203" s="22"/>
      <c r="J1203" s="23"/>
    </row>
    <row r="1204" spans="1:10" ht="27.6" customHeight="1" x14ac:dyDescent="0.3">
      <c r="A1204" s="21"/>
      <c r="B1204" s="22"/>
      <c r="C1204" s="69"/>
      <c r="D1204" s="24"/>
      <c r="E1204" s="23"/>
      <c r="F1204" s="21"/>
      <c r="G1204" s="22"/>
      <c r="H1204" s="69"/>
      <c r="I1204" s="22"/>
      <c r="J1204" s="23"/>
    </row>
    <row r="1205" spans="1:10" ht="33.6" customHeight="1" x14ac:dyDescent="0.15">
      <c r="A1205" s="21"/>
      <c r="B1205" s="22"/>
      <c r="C1205" s="64"/>
      <c r="D1205" s="24"/>
      <c r="E1205" s="23"/>
      <c r="F1205" s="21"/>
      <c r="G1205" s="22"/>
      <c r="H1205" s="61"/>
      <c r="I1205" s="24"/>
      <c r="J1205" s="23"/>
    </row>
    <row r="1206" spans="1:10" x14ac:dyDescent="0.15">
      <c r="A1206" s="25"/>
      <c r="B1206" s="26"/>
      <c r="C1206" s="67"/>
      <c r="D1206" s="59"/>
      <c r="E1206" s="27"/>
      <c r="F1206" s="25"/>
      <c r="G1206" s="26"/>
      <c r="H1206" s="63"/>
      <c r="I1206" s="26"/>
      <c r="J1206" s="27"/>
    </row>
    <row r="1207" spans="1:10" x14ac:dyDescent="0.15">
      <c r="A1207" s="18"/>
      <c r="B1207" s="19"/>
      <c r="C1207" s="66"/>
      <c r="D1207" s="58"/>
      <c r="E1207" s="20"/>
      <c r="F1207" s="18"/>
      <c r="G1207" s="19"/>
      <c r="H1207" s="60"/>
      <c r="I1207" s="19"/>
      <c r="J1207" s="20"/>
    </row>
    <row r="1208" spans="1:10" ht="40.15" customHeight="1" x14ac:dyDescent="0.15">
      <c r="A1208" s="21"/>
      <c r="B1208" s="28"/>
      <c r="C1208" s="64"/>
      <c r="D1208" s="24"/>
      <c r="E1208" s="23"/>
      <c r="F1208" s="21"/>
      <c r="G1208" s="28"/>
      <c r="H1208" s="61"/>
      <c r="I1208" s="22"/>
      <c r="J1208" s="23"/>
    </row>
    <row r="1209" spans="1:10" ht="60" customHeight="1" x14ac:dyDescent="0.4">
      <c r="A1209" s="21"/>
      <c r="B1209" s="22"/>
      <c r="C1209" s="62"/>
      <c r="D1209" s="24"/>
      <c r="E1209" s="23"/>
      <c r="F1209" s="21"/>
      <c r="G1209" s="22"/>
      <c r="H1209" s="62"/>
      <c r="I1209" s="22"/>
      <c r="J1209" s="23"/>
    </row>
    <row r="1210" spans="1:10" ht="27.6" customHeight="1" x14ac:dyDescent="0.3">
      <c r="A1210" s="21"/>
      <c r="B1210" s="22"/>
      <c r="C1210" s="69"/>
      <c r="D1210" s="24"/>
      <c r="E1210" s="23"/>
      <c r="F1210" s="21"/>
      <c r="G1210" s="22"/>
      <c r="H1210" s="69"/>
      <c r="I1210" s="22"/>
      <c r="J1210" s="23"/>
    </row>
    <row r="1211" spans="1:10" ht="33.6" customHeight="1" x14ac:dyDescent="0.15">
      <c r="A1211" s="21"/>
      <c r="B1211" s="22"/>
      <c r="C1211" s="64"/>
      <c r="D1211" s="24"/>
      <c r="E1211" s="23"/>
      <c r="F1211" s="21"/>
      <c r="G1211" s="22"/>
      <c r="H1211" s="61"/>
      <c r="I1211" s="24"/>
      <c r="J1211" s="23"/>
    </row>
    <row r="1212" spans="1:10" x14ac:dyDescent="0.15">
      <c r="A1212" s="25"/>
      <c r="B1212" s="26"/>
      <c r="C1212" s="67"/>
      <c r="D1212" s="59"/>
      <c r="E1212" s="27"/>
      <c r="F1212" s="25"/>
      <c r="G1212" s="26"/>
      <c r="H1212" s="63"/>
      <c r="I1212" s="26"/>
      <c r="J1212" s="27"/>
    </row>
    <row r="1213" spans="1:10" x14ac:dyDescent="0.15">
      <c r="A1213" s="18"/>
      <c r="B1213" s="19"/>
      <c r="C1213" s="66"/>
      <c r="D1213" s="58"/>
      <c r="E1213" s="20"/>
      <c r="F1213" s="18"/>
      <c r="G1213" s="19"/>
      <c r="H1213" s="60"/>
      <c r="I1213" s="19"/>
      <c r="J1213" s="20"/>
    </row>
    <row r="1214" spans="1:10" ht="40.15" customHeight="1" x14ac:dyDescent="0.15">
      <c r="A1214" s="21"/>
      <c r="B1214" s="28"/>
      <c r="C1214" s="64"/>
      <c r="D1214" s="24"/>
      <c r="E1214" s="23"/>
      <c r="F1214" s="21"/>
      <c r="G1214" s="28"/>
      <c r="H1214" s="61"/>
      <c r="I1214" s="22"/>
      <c r="J1214" s="23"/>
    </row>
    <row r="1215" spans="1:10" ht="60" customHeight="1" x14ac:dyDescent="0.4">
      <c r="A1215" s="21"/>
      <c r="B1215" s="22"/>
      <c r="C1215" s="62"/>
      <c r="D1215" s="24"/>
      <c r="E1215" s="23"/>
      <c r="F1215" s="21"/>
      <c r="G1215" s="22"/>
      <c r="H1215" s="62"/>
      <c r="I1215" s="22"/>
      <c r="J1215" s="23"/>
    </row>
    <row r="1216" spans="1:10" ht="27.6" customHeight="1" x14ac:dyDescent="0.3">
      <c r="A1216" s="21"/>
      <c r="B1216" s="22"/>
      <c r="C1216" s="69"/>
      <c r="D1216" s="24"/>
      <c r="E1216" s="23"/>
      <c r="F1216" s="21"/>
      <c r="G1216" s="22"/>
      <c r="H1216" s="69"/>
      <c r="I1216" s="22"/>
      <c r="J1216" s="23"/>
    </row>
    <row r="1217" spans="1:10" ht="33.6" customHeight="1" x14ac:dyDescent="0.15">
      <c r="A1217" s="21"/>
      <c r="B1217" s="22"/>
      <c r="C1217" s="64"/>
      <c r="D1217" s="24"/>
      <c r="E1217" s="23"/>
      <c r="F1217" s="21"/>
      <c r="G1217" s="22"/>
      <c r="H1217" s="61"/>
      <c r="I1217" s="24"/>
      <c r="J1217" s="23"/>
    </row>
    <row r="1218" spans="1:10" x14ac:dyDescent="0.15">
      <c r="A1218" s="25"/>
      <c r="B1218" s="26"/>
      <c r="C1218" s="67"/>
      <c r="D1218" s="59"/>
      <c r="E1218" s="27"/>
      <c r="F1218" s="25"/>
      <c r="G1218" s="26"/>
      <c r="H1218" s="63"/>
      <c r="I1218" s="26"/>
      <c r="J1218" s="27"/>
    </row>
    <row r="1219" spans="1:10" x14ac:dyDescent="0.15">
      <c r="A1219" s="18"/>
      <c r="B1219" s="19"/>
      <c r="C1219" s="66"/>
      <c r="D1219" s="58"/>
      <c r="E1219" s="20"/>
      <c r="F1219" s="18"/>
      <c r="G1219" s="19"/>
      <c r="H1219" s="60"/>
      <c r="I1219" s="19"/>
      <c r="J1219" s="20"/>
    </row>
    <row r="1220" spans="1:10" ht="40.15" customHeight="1" x14ac:dyDescent="0.15">
      <c r="A1220" s="21"/>
      <c r="B1220" s="28"/>
      <c r="C1220" s="64"/>
      <c r="D1220" s="24"/>
      <c r="E1220" s="23"/>
      <c r="F1220" s="21"/>
      <c r="G1220" s="28"/>
      <c r="H1220" s="61"/>
      <c r="I1220" s="22"/>
      <c r="J1220" s="23"/>
    </row>
    <row r="1221" spans="1:10" ht="60" customHeight="1" x14ac:dyDescent="0.4">
      <c r="A1221" s="21"/>
      <c r="B1221" s="22"/>
      <c r="C1221" s="62"/>
      <c r="D1221" s="24"/>
      <c r="E1221" s="23"/>
      <c r="F1221" s="21"/>
      <c r="G1221" s="22"/>
      <c r="H1221" s="62"/>
      <c r="I1221" s="22"/>
      <c r="J1221" s="23"/>
    </row>
    <row r="1222" spans="1:10" ht="27.6" customHeight="1" x14ac:dyDescent="0.3">
      <c r="A1222" s="21"/>
      <c r="B1222" s="22"/>
      <c r="C1222" s="69"/>
      <c r="D1222" s="24"/>
      <c r="E1222" s="23"/>
      <c r="F1222" s="21"/>
      <c r="G1222" s="22"/>
      <c r="H1222" s="69"/>
      <c r="I1222" s="22"/>
      <c r="J1222" s="23"/>
    </row>
    <row r="1223" spans="1:10" ht="33.6" customHeight="1" x14ac:dyDescent="0.15">
      <c r="A1223" s="21"/>
      <c r="B1223" s="22"/>
      <c r="C1223" s="64"/>
      <c r="D1223" s="24"/>
      <c r="E1223" s="23"/>
      <c r="F1223" s="21"/>
      <c r="G1223" s="22"/>
      <c r="H1223" s="61"/>
      <c r="I1223" s="24"/>
      <c r="J1223" s="23"/>
    </row>
    <row r="1224" spans="1:10" x14ac:dyDescent="0.15">
      <c r="A1224" s="25"/>
      <c r="B1224" s="26"/>
      <c r="C1224" s="67"/>
      <c r="D1224" s="59"/>
      <c r="E1224" s="27"/>
      <c r="F1224" s="25"/>
      <c r="G1224" s="26"/>
      <c r="H1224" s="63"/>
      <c r="I1224" s="26"/>
      <c r="J1224" s="27"/>
    </row>
    <row r="1225" spans="1:10" x14ac:dyDescent="0.15">
      <c r="A1225" s="18"/>
      <c r="B1225" s="19"/>
      <c r="C1225" s="66"/>
      <c r="D1225" s="58"/>
      <c r="E1225" s="20"/>
      <c r="F1225" s="18"/>
      <c r="G1225" s="19"/>
      <c r="H1225" s="60"/>
      <c r="I1225" s="19"/>
      <c r="J1225" s="20"/>
    </row>
    <row r="1226" spans="1:10" ht="40.15" customHeight="1" x14ac:dyDescent="0.15">
      <c r="A1226" s="21"/>
      <c r="B1226" s="22"/>
      <c r="C1226" s="64"/>
      <c r="D1226" s="24"/>
      <c r="E1226" s="23"/>
      <c r="F1226" s="21"/>
      <c r="G1226" s="28"/>
      <c r="H1226" s="61"/>
      <c r="I1226" s="22"/>
      <c r="J1226" s="23"/>
    </row>
    <row r="1227" spans="1:10" ht="60" customHeight="1" x14ac:dyDescent="0.55000000000000004">
      <c r="A1227" s="21"/>
      <c r="B1227" s="22"/>
      <c r="C1227" s="70"/>
      <c r="D1227" s="24"/>
      <c r="E1227" s="23"/>
      <c r="F1227" s="21"/>
      <c r="G1227" s="22"/>
      <c r="H1227" s="70"/>
      <c r="I1227" s="22"/>
      <c r="J1227" s="23"/>
    </row>
    <row r="1228" spans="1:10" ht="27.6" customHeight="1" x14ac:dyDescent="0.15">
      <c r="A1228" s="21"/>
      <c r="B1228" s="22"/>
      <c r="C1228" s="64"/>
      <c r="D1228" s="24"/>
      <c r="E1228" s="23"/>
      <c r="F1228" s="21"/>
      <c r="G1228" s="22"/>
      <c r="H1228" s="64"/>
      <c r="I1228" s="22"/>
      <c r="J1228" s="23"/>
    </row>
    <row r="1229" spans="1:10" ht="33.6" customHeight="1" x14ac:dyDescent="0.15">
      <c r="A1229" s="21"/>
      <c r="B1229" s="22"/>
      <c r="C1229" s="64"/>
      <c r="D1229" s="24"/>
      <c r="E1229" s="23"/>
      <c r="F1229" s="21"/>
      <c r="G1229" s="22"/>
      <c r="H1229" s="61"/>
      <c r="I1229" s="24"/>
      <c r="J1229" s="23"/>
    </row>
    <row r="1230" spans="1:10" x14ac:dyDescent="0.15">
      <c r="A1230" s="25"/>
      <c r="B1230" s="26"/>
      <c r="C1230" s="67"/>
      <c r="D1230" s="59"/>
      <c r="E1230" s="27"/>
      <c r="F1230" s="25"/>
      <c r="G1230" s="26"/>
      <c r="H1230" s="63"/>
      <c r="I1230" s="26"/>
      <c r="J1230" s="27"/>
    </row>
    <row r="1231" spans="1:10" x14ac:dyDescent="0.15">
      <c r="A1231" s="18"/>
      <c r="B1231" s="19"/>
      <c r="C1231" s="66"/>
      <c r="D1231" s="58"/>
      <c r="E1231" s="20"/>
      <c r="F1231" s="18"/>
      <c r="G1231" s="19"/>
      <c r="H1231" s="60"/>
      <c r="I1231" s="19"/>
      <c r="J1231" s="20"/>
    </row>
    <row r="1232" spans="1:10" ht="40.15" customHeight="1" x14ac:dyDescent="0.15">
      <c r="A1232" s="21"/>
      <c r="B1232" s="22"/>
      <c r="C1232" s="64"/>
      <c r="D1232" s="24"/>
      <c r="E1232" s="23"/>
      <c r="F1232" s="21"/>
      <c r="G1232" s="28"/>
      <c r="H1232" s="61"/>
      <c r="I1232" s="22"/>
      <c r="J1232" s="23"/>
    </row>
    <row r="1233" spans="1:10" ht="60" customHeight="1" x14ac:dyDescent="0.55000000000000004">
      <c r="A1233" s="21"/>
      <c r="B1233" s="22"/>
      <c r="C1233" s="70"/>
      <c r="D1233" s="24"/>
      <c r="E1233" s="23"/>
      <c r="F1233" s="21"/>
      <c r="G1233" s="22"/>
      <c r="H1233" s="70"/>
      <c r="I1233" s="22"/>
      <c r="J1233" s="23"/>
    </row>
    <row r="1234" spans="1:10" ht="27.6" customHeight="1" x14ac:dyDescent="0.15">
      <c r="A1234" s="21"/>
      <c r="B1234" s="22"/>
      <c r="C1234" s="64"/>
      <c r="D1234" s="24"/>
      <c r="E1234" s="23"/>
      <c r="F1234" s="21"/>
      <c r="G1234" s="22"/>
      <c r="H1234" s="64"/>
      <c r="I1234" s="22"/>
      <c r="J1234" s="23"/>
    </row>
    <row r="1235" spans="1:10" ht="33.6" customHeight="1" x14ac:dyDescent="0.15">
      <c r="A1235" s="21"/>
      <c r="B1235" s="22"/>
      <c r="C1235" s="64"/>
      <c r="D1235" s="24"/>
      <c r="E1235" s="23"/>
      <c r="F1235" s="21"/>
      <c r="G1235" s="22"/>
      <c r="H1235" s="61"/>
      <c r="I1235" s="24"/>
      <c r="J1235" s="23"/>
    </row>
    <row r="1236" spans="1:10" x14ac:dyDescent="0.15">
      <c r="A1236" s="25"/>
      <c r="B1236" s="26"/>
      <c r="C1236" s="67"/>
      <c r="D1236" s="59"/>
      <c r="E1236" s="27"/>
      <c r="F1236" s="25"/>
      <c r="G1236" s="26"/>
      <c r="H1236" s="63"/>
      <c r="I1236" s="26"/>
      <c r="J1236" s="27"/>
    </row>
    <row r="1237" spans="1:10" x14ac:dyDescent="0.15">
      <c r="A1237" s="18"/>
      <c r="B1237" s="19"/>
      <c r="C1237" s="66"/>
      <c r="D1237" s="58"/>
      <c r="E1237" s="20"/>
      <c r="F1237" s="18"/>
      <c r="G1237" s="19"/>
      <c r="H1237" s="60"/>
      <c r="I1237" s="19"/>
      <c r="J1237" s="20"/>
    </row>
    <row r="1238" spans="1:10" ht="40.15" customHeight="1" x14ac:dyDescent="0.15">
      <c r="A1238" s="21"/>
      <c r="B1238" s="22"/>
      <c r="C1238" s="64"/>
      <c r="D1238" s="24"/>
      <c r="E1238" s="23"/>
      <c r="F1238" s="21"/>
      <c r="G1238" s="28"/>
      <c r="H1238" s="61"/>
      <c r="I1238" s="22"/>
      <c r="J1238" s="23"/>
    </row>
    <row r="1239" spans="1:10" ht="60" customHeight="1" x14ac:dyDescent="0.55000000000000004">
      <c r="A1239" s="21"/>
      <c r="B1239" s="22"/>
      <c r="C1239" s="70"/>
      <c r="D1239" s="24"/>
      <c r="E1239" s="23"/>
      <c r="F1239" s="21"/>
      <c r="G1239" s="22"/>
      <c r="H1239" s="70"/>
      <c r="I1239" s="22"/>
      <c r="J1239" s="23"/>
    </row>
    <row r="1240" spans="1:10" ht="27.6" customHeight="1" x14ac:dyDescent="0.15">
      <c r="A1240" s="21"/>
      <c r="B1240" s="22"/>
      <c r="C1240" s="64"/>
      <c r="D1240" s="24"/>
      <c r="E1240" s="23"/>
      <c r="F1240" s="21"/>
      <c r="G1240" s="22"/>
      <c r="H1240" s="64"/>
      <c r="I1240" s="22"/>
      <c r="J1240" s="23"/>
    </row>
    <row r="1241" spans="1:10" ht="33.6" customHeight="1" x14ac:dyDescent="0.15">
      <c r="A1241" s="21"/>
      <c r="B1241" s="22"/>
      <c r="C1241" s="64"/>
      <c r="D1241" s="24"/>
      <c r="E1241" s="23"/>
      <c r="F1241" s="21"/>
      <c r="G1241" s="22"/>
      <c r="H1241" s="61"/>
      <c r="I1241" s="24"/>
      <c r="J1241" s="23"/>
    </row>
    <row r="1242" spans="1:10" x14ac:dyDescent="0.15">
      <c r="A1242" s="25"/>
      <c r="B1242" s="26"/>
      <c r="C1242" s="67"/>
      <c r="D1242" s="59"/>
      <c r="E1242" s="27"/>
      <c r="F1242" s="25"/>
      <c r="G1242" s="26"/>
      <c r="H1242" s="63"/>
      <c r="I1242" s="26"/>
      <c r="J1242" s="27"/>
    </row>
    <row r="1243" spans="1:10" x14ac:dyDescent="0.15">
      <c r="A1243" s="18"/>
      <c r="B1243" s="19"/>
      <c r="C1243" s="66"/>
      <c r="D1243" s="58"/>
      <c r="E1243" s="20"/>
      <c r="F1243" s="18"/>
      <c r="G1243" s="19"/>
      <c r="H1243" s="60"/>
      <c r="I1243" s="19"/>
      <c r="J1243" s="20"/>
    </row>
    <row r="1244" spans="1:10" ht="40.15" customHeight="1" x14ac:dyDescent="0.15">
      <c r="A1244" s="21"/>
      <c r="B1244" s="22"/>
      <c r="C1244" s="64"/>
      <c r="D1244" s="24"/>
      <c r="E1244" s="23"/>
      <c r="F1244" s="21"/>
      <c r="G1244" s="28"/>
      <c r="H1244" s="61"/>
      <c r="I1244" s="22"/>
      <c r="J1244" s="23"/>
    </row>
    <row r="1245" spans="1:10" ht="60" customHeight="1" x14ac:dyDescent="0.55000000000000004">
      <c r="A1245" s="21"/>
      <c r="B1245" s="22"/>
      <c r="C1245" s="70"/>
      <c r="D1245" s="24"/>
      <c r="E1245" s="23"/>
      <c r="F1245" s="21"/>
      <c r="G1245" s="22"/>
      <c r="H1245" s="70"/>
      <c r="I1245" s="22"/>
      <c r="J1245" s="23"/>
    </row>
    <row r="1246" spans="1:10" ht="27.6" customHeight="1" x14ac:dyDescent="0.15">
      <c r="A1246" s="21"/>
      <c r="B1246" s="22"/>
      <c r="C1246" s="64"/>
      <c r="D1246" s="24"/>
      <c r="E1246" s="23"/>
      <c r="F1246" s="21"/>
      <c r="G1246" s="22"/>
      <c r="H1246" s="64"/>
      <c r="I1246" s="22"/>
      <c r="J1246" s="23"/>
    </row>
    <row r="1247" spans="1:10" ht="33.6" customHeight="1" x14ac:dyDescent="0.15">
      <c r="A1247" s="21"/>
      <c r="B1247" s="22"/>
      <c r="C1247" s="64"/>
      <c r="D1247" s="24"/>
      <c r="E1247" s="23"/>
      <c r="F1247" s="21"/>
      <c r="G1247" s="22"/>
      <c r="H1247" s="61"/>
      <c r="I1247" s="24"/>
      <c r="J1247" s="23"/>
    </row>
    <row r="1248" spans="1:10" x14ac:dyDescent="0.15">
      <c r="A1248" s="25"/>
      <c r="B1248" s="26"/>
      <c r="C1248" s="67"/>
      <c r="D1248" s="59"/>
      <c r="E1248" s="27"/>
      <c r="F1248" s="25"/>
      <c r="G1248" s="26"/>
      <c r="H1248" s="63"/>
      <c r="I1248" s="26"/>
      <c r="J1248" s="27"/>
    </row>
    <row r="1249" spans="1:10" x14ac:dyDescent="0.15">
      <c r="A1249" s="18"/>
      <c r="B1249" s="19"/>
      <c r="C1249" s="66"/>
      <c r="D1249" s="58"/>
      <c r="E1249" s="20"/>
      <c r="F1249" s="18"/>
      <c r="G1249" s="19"/>
      <c r="H1249" s="60"/>
      <c r="I1249" s="19"/>
      <c r="J1249" s="20"/>
    </row>
    <row r="1250" spans="1:10" ht="40.15" customHeight="1" x14ac:dyDescent="0.15">
      <c r="A1250" s="21"/>
      <c r="B1250" s="22"/>
      <c r="C1250" s="64"/>
      <c r="D1250" s="24"/>
      <c r="E1250" s="23"/>
      <c r="F1250" s="21"/>
      <c r="G1250" s="28"/>
      <c r="H1250" s="61"/>
      <c r="I1250" s="22"/>
      <c r="J1250" s="23"/>
    </row>
    <row r="1251" spans="1:10" ht="60" customHeight="1" x14ac:dyDescent="0.55000000000000004">
      <c r="A1251" s="21"/>
      <c r="B1251" s="22"/>
      <c r="C1251" s="70"/>
      <c r="D1251" s="24"/>
      <c r="E1251" s="23"/>
      <c r="F1251" s="21"/>
      <c r="G1251" s="22"/>
      <c r="H1251" s="70"/>
      <c r="I1251" s="22"/>
      <c r="J1251" s="23"/>
    </row>
    <row r="1252" spans="1:10" ht="27.6" customHeight="1" x14ac:dyDescent="0.15">
      <c r="A1252" s="21"/>
      <c r="B1252" s="22"/>
      <c r="C1252" s="64"/>
      <c r="D1252" s="24"/>
      <c r="E1252" s="23"/>
      <c r="F1252" s="21"/>
      <c r="G1252" s="22"/>
      <c r="H1252" s="64"/>
      <c r="I1252" s="22"/>
      <c r="J1252" s="23"/>
    </row>
    <row r="1253" spans="1:10" ht="33.6" customHeight="1" x14ac:dyDescent="0.15">
      <c r="A1253" s="21"/>
      <c r="B1253" s="22"/>
      <c r="C1253" s="64"/>
      <c r="D1253" s="24"/>
      <c r="E1253" s="23"/>
      <c r="F1253" s="21"/>
      <c r="G1253" s="22"/>
      <c r="H1253" s="61"/>
      <c r="I1253" s="24"/>
      <c r="J1253" s="23"/>
    </row>
    <row r="1254" spans="1:10" x14ac:dyDescent="0.15">
      <c r="A1254" s="25"/>
      <c r="B1254" s="26"/>
      <c r="C1254" s="67"/>
      <c r="D1254" s="59"/>
      <c r="E1254" s="27"/>
      <c r="F1254" s="25"/>
      <c r="G1254" s="26"/>
      <c r="H1254" s="63"/>
      <c r="I1254" s="26"/>
      <c r="J1254" s="27"/>
    </row>
    <row r="1255" spans="1:10" x14ac:dyDescent="0.15">
      <c r="A1255" s="18"/>
      <c r="B1255" s="19"/>
      <c r="C1255" s="66"/>
      <c r="D1255" s="58"/>
      <c r="E1255" s="20"/>
      <c r="F1255" s="18"/>
      <c r="G1255" s="19"/>
      <c r="H1255" s="60"/>
      <c r="I1255" s="19"/>
      <c r="J1255" s="20"/>
    </row>
    <row r="1256" spans="1:10" ht="40.15" customHeight="1" x14ac:dyDescent="0.15">
      <c r="A1256" s="21"/>
      <c r="B1256" s="22"/>
      <c r="C1256" s="64"/>
      <c r="D1256" s="24"/>
      <c r="E1256" s="23"/>
      <c r="F1256" s="21"/>
      <c r="G1256" s="28"/>
      <c r="H1256" s="61"/>
      <c r="I1256" s="22"/>
      <c r="J1256" s="23"/>
    </row>
    <row r="1257" spans="1:10" ht="60" customHeight="1" x14ac:dyDescent="0.55000000000000004">
      <c r="A1257" s="21"/>
      <c r="B1257" s="22"/>
      <c r="C1257" s="70"/>
      <c r="D1257" s="24"/>
      <c r="E1257" s="23"/>
      <c r="F1257" s="21"/>
      <c r="G1257" s="22"/>
      <c r="H1257" s="70"/>
      <c r="I1257" s="22"/>
      <c r="J1257" s="23"/>
    </row>
    <row r="1258" spans="1:10" ht="27.6" customHeight="1" x14ac:dyDescent="0.15">
      <c r="A1258" s="21"/>
      <c r="B1258" s="22"/>
      <c r="C1258" s="64"/>
      <c r="D1258" s="24"/>
      <c r="E1258" s="23"/>
      <c r="F1258" s="21"/>
      <c r="G1258" s="22"/>
      <c r="H1258" s="64"/>
      <c r="I1258" s="22"/>
      <c r="J1258" s="23"/>
    </row>
    <row r="1259" spans="1:10" ht="33.6" customHeight="1" x14ac:dyDescent="0.15">
      <c r="A1259" s="21"/>
      <c r="B1259" s="22"/>
      <c r="C1259" s="64"/>
      <c r="D1259" s="24"/>
      <c r="E1259" s="23"/>
      <c r="F1259" s="21"/>
      <c r="G1259" s="22"/>
      <c r="H1259" s="61"/>
      <c r="I1259" s="24"/>
      <c r="J1259" s="23"/>
    </row>
    <row r="1260" spans="1:10" x14ac:dyDescent="0.15">
      <c r="A1260" s="25"/>
      <c r="B1260" s="26"/>
      <c r="C1260" s="67"/>
      <c r="D1260" s="59"/>
      <c r="E1260" s="27"/>
      <c r="F1260" s="25"/>
      <c r="G1260" s="26"/>
      <c r="H1260" s="63"/>
      <c r="I1260" s="26"/>
      <c r="J1260" s="27"/>
    </row>
    <row r="1261" spans="1:10" x14ac:dyDescent="0.15">
      <c r="A1261" s="18"/>
      <c r="B1261" s="19"/>
      <c r="C1261" s="66"/>
      <c r="D1261" s="58"/>
      <c r="E1261" s="20"/>
      <c r="F1261" s="18"/>
      <c r="G1261" s="19"/>
      <c r="H1261" s="60"/>
      <c r="I1261" s="19"/>
      <c r="J1261" s="20"/>
    </row>
    <row r="1262" spans="1:10" ht="40.15" customHeight="1" x14ac:dyDescent="0.15">
      <c r="A1262" s="21"/>
      <c r="B1262" s="28"/>
      <c r="C1262" s="64"/>
      <c r="D1262" s="24"/>
      <c r="E1262" s="23"/>
      <c r="F1262" s="21"/>
      <c r="G1262" s="28"/>
      <c r="H1262" s="61"/>
      <c r="I1262" s="22"/>
      <c r="J1262" s="23"/>
    </row>
    <row r="1263" spans="1:10" ht="60" customHeight="1" x14ac:dyDescent="0.4">
      <c r="A1263" s="21"/>
      <c r="B1263" s="22"/>
      <c r="C1263" s="62"/>
      <c r="D1263" s="24"/>
      <c r="E1263" s="23"/>
      <c r="F1263" s="21"/>
      <c r="G1263" s="22"/>
      <c r="H1263" s="62"/>
      <c r="I1263" s="22"/>
      <c r="J1263" s="23"/>
    </row>
    <row r="1264" spans="1:10" ht="27.6" customHeight="1" x14ac:dyDescent="0.3">
      <c r="A1264" s="21"/>
      <c r="B1264" s="22"/>
      <c r="C1264" s="69"/>
      <c r="D1264" s="24"/>
      <c r="E1264" s="23"/>
      <c r="F1264" s="21"/>
      <c r="G1264" s="22"/>
      <c r="H1264" s="69"/>
      <c r="I1264" s="22"/>
      <c r="J1264" s="23"/>
    </row>
    <row r="1265" spans="1:10" ht="33.6" customHeight="1" x14ac:dyDescent="0.15">
      <c r="A1265" s="21"/>
      <c r="B1265" s="22"/>
      <c r="C1265" s="64"/>
      <c r="D1265" s="24"/>
      <c r="E1265" s="23"/>
      <c r="F1265" s="21"/>
      <c r="G1265" s="22"/>
      <c r="H1265" s="61"/>
      <c r="I1265" s="24"/>
      <c r="J1265" s="23"/>
    </row>
    <row r="1266" spans="1:10" x14ac:dyDescent="0.15">
      <c r="A1266" s="25"/>
      <c r="B1266" s="26"/>
      <c r="C1266" s="67"/>
      <c r="D1266" s="59"/>
      <c r="E1266" s="27"/>
      <c r="F1266" s="25"/>
      <c r="G1266" s="26"/>
      <c r="H1266" s="63"/>
      <c r="I1266" s="26"/>
      <c r="J1266" s="27"/>
    </row>
    <row r="1267" spans="1:10" x14ac:dyDescent="0.15">
      <c r="A1267" s="18"/>
      <c r="B1267" s="19"/>
      <c r="C1267" s="66"/>
      <c r="D1267" s="58"/>
      <c r="E1267" s="20"/>
      <c r="F1267" s="18"/>
      <c r="G1267" s="19"/>
      <c r="H1267" s="60"/>
      <c r="I1267" s="19"/>
      <c r="J1267" s="20"/>
    </row>
    <row r="1268" spans="1:10" ht="40.15" customHeight="1" x14ac:dyDescent="0.15">
      <c r="A1268" s="21"/>
      <c r="B1268" s="28"/>
      <c r="C1268" s="64"/>
      <c r="D1268" s="24"/>
      <c r="E1268" s="23"/>
      <c r="F1268" s="21"/>
      <c r="G1268" s="28"/>
      <c r="H1268" s="61"/>
      <c r="I1268" s="22"/>
      <c r="J1268" s="23"/>
    </row>
    <row r="1269" spans="1:10" ht="60" customHeight="1" x14ac:dyDescent="0.4">
      <c r="A1269" s="21"/>
      <c r="B1269" s="22"/>
      <c r="C1269" s="62"/>
      <c r="D1269" s="24"/>
      <c r="E1269" s="23"/>
      <c r="F1269" s="21"/>
      <c r="G1269" s="22"/>
      <c r="H1269" s="62"/>
      <c r="I1269" s="22"/>
      <c r="J1269" s="23"/>
    </row>
    <row r="1270" spans="1:10" ht="27.6" customHeight="1" x14ac:dyDescent="0.3">
      <c r="A1270" s="21"/>
      <c r="B1270" s="22"/>
      <c r="C1270" s="69"/>
      <c r="D1270" s="24"/>
      <c r="E1270" s="23"/>
      <c r="F1270" s="21"/>
      <c r="G1270" s="22"/>
      <c r="H1270" s="69"/>
      <c r="I1270" s="22"/>
      <c r="J1270" s="23"/>
    </row>
    <row r="1271" spans="1:10" ht="33.6" customHeight="1" x14ac:dyDescent="0.15">
      <c r="A1271" s="21"/>
      <c r="B1271" s="22"/>
      <c r="C1271" s="64"/>
      <c r="D1271" s="24"/>
      <c r="E1271" s="23"/>
      <c r="F1271" s="21"/>
      <c r="G1271" s="22"/>
      <c r="H1271" s="61"/>
      <c r="I1271" s="24"/>
      <c r="J1271" s="23"/>
    </row>
    <row r="1272" spans="1:10" x14ac:dyDescent="0.15">
      <c r="A1272" s="25"/>
      <c r="B1272" s="26"/>
      <c r="C1272" s="67"/>
      <c r="D1272" s="59"/>
      <c r="E1272" s="27"/>
      <c r="F1272" s="25"/>
      <c r="G1272" s="26"/>
      <c r="H1272" s="63"/>
      <c r="I1272" s="26"/>
      <c r="J1272" s="27"/>
    </row>
    <row r="1273" spans="1:10" x14ac:dyDescent="0.15">
      <c r="A1273" s="18"/>
      <c r="B1273" s="19"/>
      <c r="C1273" s="66"/>
      <c r="D1273" s="58"/>
      <c r="E1273" s="20"/>
      <c r="F1273" s="18"/>
      <c r="G1273" s="19"/>
      <c r="H1273" s="60"/>
      <c r="I1273" s="19"/>
      <c r="J1273" s="20"/>
    </row>
    <row r="1274" spans="1:10" ht="40.15" customHeight="1" x14ac:dyDescent="0.15">
      <c r="A1274" s="21"/>
      <c r="B1274" s="28"/>
      <c r="C1274" s="64"/>
      <c r="D1274" s="24"/>
      <c r="E1274" s="23"/>
      <c r="F1274" s="21"/>
      <c r="G1274" s="28"/>
      <c r="H1274" s="61"/>
      <c r="I1274" s="22"/>
      <c r="J1274" s="23"/>
    </row>
    <row r="1275" spans="1:10" ht="60" customHeight="1" x14ac:dyDescent="0.4">
      <c r="A1275" s="21"/>
      <c r="B1275" s="22"/>
      <c r="C1275" s="62"/>
      <c r="D1275" s="24"/>
      <c r="E1275" s="23"/>
      <c r="F1275" s="21"/>
      <c r="G1275" s="22"/>
      <c r="H1275" s="62"/>
      <c r="I1275" s="22"/>
      <c r="J1275" s="23"/>
    </row>
    <row r="1276" spans="1:10" ht="27.6" customHeight="1" x14ac:dyDescent="0.3">
      <c r="A1276" s="21"/>
      <c r="B1276" s="22"/>
      <c r="C1276" s="69"/>
      <c r="D1276" s="24"/>
      <c r="E1276" s="23"/>
      <c r="F1276" s="21"/>
      <c r="G1276" s="22"/>
      <c r="H1276" s="69"/>
      <c r="I1276" s="22"/>
      <c r="J1276" s="23"/>
    </row>
    <row r="1277" spans="1:10" ht="33.6" customHeight="1" x14ac:dyDescent="0.15">
      <c r="A1277" s="21"/>
      <c r="B1277" s="22"/>
      <c r="C1277" s="64"/>
      <c r="D1277" s="24"/>
      <c r="E1277" s="23"/>
      <c r="F1277" s="21"/>
      <c r="G1277" s="22"/>
      <c r="H1277" s="61"/>
      <c r="I1277" s="24"/>
      <c r="J1277" s="23"/>
    </row>
    <row r="1278" spans="1:10" x14ac:dyDescent="0.15">
      <c r="A1278" s="25"/>
      <c r="B1278" s="26"/>
      <c r="C1278" s="67"/>
      <c r="D1278" s="59"/>
      <c r="E1278" s="27"/>
      <c r="F1278" s="25"/>
      <c r="G1278" s="26"/>
      <c r="H1278" s="63"/>
      <c r="I1278" s="26"/>
      <c r="J1278" s="27"/>
    </row>
    <row r="1279" spans="1:10" x14ac:dyDescent="0.15">
      <c r="A1279" s="18"/>
      <c r="B1279" s="19"/>
      <c r="C1279" s="66"/>
      <c r="D1279" s="58"/>
      <c r="E1279" s="20"/>
      <c r="F1279" s="18"/>
      <c r="G1279" s="19"/>
      <c r="H1279" s="60"/>
      <c r="I1279" s="19"/>
      <c r="J1279" s="20"/>
    </row>
    <row r="1280" spans="1:10" ht="40.15" customHeight="1" x14ac:dyDescent="0.15">
      <c r="A1280" s="21"/>
      <c r="B1280" s="28"/>
      <c r="C1280" s="64"/>
      <c r="D1280" s="24"/>
      <c r="E1280" s="23"/>
      <c r="F1280" s="21"/>
      <c r="G1280" s="28"/>
      <c r="H1280" s="61"/>
      <c r="I1280" s="22"/>
      <c r="J1280" s="23"/>
    </row>
    <row r="1281" spans="1:10" ht="60" customHeight="1" x14ac:dyDescent="0.4">
      <c r="A1281" s="21"/>
      <c r="B1281" s="22"/>
      <c r="C1281" s="62"/>
      <c r="D1281" s="24"/>
      <c r="E1281" s="23"/>
      <c r="F1281" s="21"/>
      <c r="G1281" s="22"/>
      <c r="H1281" s="62"/>
      <c r="I1281" s="22"/>
      <c r="J1281" s="23"/>
    </row>
    <row r="1282" spans="1:10" ht="27.6" customHeight="1" x14ac:dyDescent="0.3">
      <c r="A1282" s="21"/>
      <c r="B1282" s="22"/>
      <c r="C1282" s="69"/>
      <c r="D1282" s="24"/>
      <c r="E1282" s="23"/>
      <c r="F1282" s="21"/>
      <c r="G1282" s="22"/>
      <c r="H1282" s="69"/>
      <c r="I1282" s="22"/>
      <c r="J1282" s="23"/>
    </row>
    <row r="1283" spans="1:10" ht="33.6" customHeight="1" x14ac:dyDescent="0.15">
      <c r="A1283" s="21"/>
      <c r="B1283" s="22"/>
      <c r="C1283" s="64"/>
      <c r="D1283" s="24"/>
      <c r="E1283" s="23"/>
      <c r="F1283" s="21"/>
      <c r="G1283" s="22"/>
      <c r="H1283" s="61"/>
      <c r="I1283" s="24"/>
      <c r="J1283" s="23"/>
    </row>
    <row r="1284" spans="1:10" x14ac:dyDescent="0.15">
      <c r="A1284" s="25"/>
      <c r="B1284" s="26"/>
      <c r="C1284" s="67"/>
      <c r="D1284" s="59"/>
      <c r="E1284" s="27"/>
      <c r="F1284" s="25"/>
      <c r="G1284" s="26"/>
      <c r="H1284" s="63"/>
      <c r="I1284" s="26"/>
      <c r="J1284" s="27"/>
    </row>
    <row r="1285" spans="1:10" x14ac:dyDescent="0.15">
      <c r="A1285" s="18"/>
      <c r="B1285" s="19"/>
      <c r="C1285" s="66"/>
      <c r="D1285" s="58"/>
      <c r="E1285" s="20"/>
      <c r="F1285" s="18"/>
      <c r="G1285" s="19"/>
      <c r="H1285" s="60"/>
      <c r="I1285" s="19"/>
      <c r="J1285" s="20"/>
    </row>
    <row r="1286" spans="1:10" ht="40.15" customHeight="1" x14ac:dyDescent="0.15">
      <c r="A1286" s="21"/>
      <c r="B1286" s="28"/>
      <c r="C1286" s="64"/>
      <c r="D1286" s="24"/>
      <c r="E1286" s="23"/>
      <c r="F1286" s="21"/>
      <c r="G1286" s="28"/>
      <c r="H1286" s="61"/>
      <c r="I1286" s="22"/>
      <c r="J1286" s="23"/>
    </row>
    <row r="1287" spans="1:10" ht="60" customHeight="1" x14ac:dyDescent="0.4">
      <c r="A1287" s="21"/>
      <c r="B1287" s="22"/>
      <c r="C1287" s="62"/>
      <c r="D1287" s="24"/>
      <c r="E1287" s="23"/>
      <c r="F1287" s="21"/>
      <c r="G1287" s="22"/>
      <c r="H1287" s="62"/>
      <c r="I1287" s="22"/>
      <c r="J1287" s="23"/>
    </row>
    <row r="1288" spans="1:10" ht="27.6" customHeight="1" x14ac:dyDescent="0.3">
      <c r="A1288" s="21"/>
      <c r="B1288" s="22"/>
      <c r="C1288" s="69"/>
      <c r="D1288" s="24"/>
      <c r="E1288" s="23"/>
      <c r="F1288" s="21"/>
      <c r="G1288" s="22"/>
      <c r="H1288" s="69"/>
      <c r="I1288" s="22"/>
      <c r="J1288" s="23"/>
    </row>
    <row r="1289" spans="1:10" ht="33.6" customHeight="1" x14ac:dyDescent="0.15">
      <c r="A1289" s="21"/>
      <c r="B1289" s="22"/>
      <c r="C1289" s="64"/>
      <c r="D1289" s="24"/>
      <c r="E1289" s="23"/>
      <c r="F1289" s="21"/>
      <c r="G1289" s="22"/>
      <c r="H1289" s="61"/>
      <c r="I1289" s="24"/>
      <c r="J1289" s="23"/>
    </row>
    <row r="1290" spans="1:10" x14ac:dyDescent="0.15">
      <c r="A1290" s="25"/>
      <c r="B1290" s="26"/>
      <c r="C1290" s="67"/>
      <c r="D1290" s="59"/>
      <c r="E1290" s="27"/>
      <c r="F1290" s="25"/>
      <c r="G1290" s="26"/>
      <c r="H1290" s="63"/>
      <c r="I1290" s="26"/>
      <c r="J1290" s="27"/>
    </row>
    <row r="1291" spans="1:10" x14ac:dyDescent="0.15">
      <c r="A1291" s="18"/>
      <c r="B1291" s="19"/>
      <c r="C1291" s="66"/>
      <c r="D1291" s="58"/>
      <c r="E1291" s="20"/>
      <c r="F1291" s="18"/>
      <c r="G1291" s="19"/>
      <c r="H1291" s="60"/>
      <c r="I1291" s="19"/>
      <c r="J1291" s="20"/>
    </row>
    <row r="1292" spans="1:10" ht="40.15" customHeight="1" x14ac:dyDescent="0.15">
      <c r="A1292" s="21"/>
      <c r="B1292" s="28"/>
      <c r="C1292" s="64"/>
      <c r="D1292" s="24"/>
      <c r="E1292" s="23"/>
      <c r="F1292" s="21"/>
      <c r="G1292" s="28"/>
      <c r="H1292" s="61"/>
      <c r="I1292" s="22"/>
      <c r="J1292" s="23"/>
    </row>
    <row r="1293" spans="1:10" ht="60" customHeight="1" x14ac:dyDescent="0.4">
      <c r="A1293" s="21"/>
      <c r="B1293" s="22"/>
      <c r="C1293" s="62"/>
      <c r="D1293" s="24"/>
      <c r="E1293" s="23"/>
      <c r="F1293" s="21"/>
      <c r="G1293" s="22"/>
      <c r="H1293" s="62"/>
      <c r="I1293" s="22"/>
      <c r="J1293" s="23"/>
    </row>
    <row r="1294" spans="1:10" ht="27.6" customHeight="1" x14ac:dyDescent="0.3">
      <c r="A1294" s="21"/>
      <c r="B1294" s="22"/>
      <c r="C1294" s="69"/>
      <c r="D1294" s="24"/>
      <c r="E1294" s="23"/>
      <c r="F1294" s="21"/>
      <c r="G1294" s="22"/>
      <c r="H1294" s="69"/>
      <c r="I1294" s="22"/>
      <c r="J1294" s="23"/>
    </row>
    <row r="1295" spans="1:10" ht="33.6" customHeight="1" x14ac:dyDescent="0.15">
      <c r="A1295" s="21"/>
      <c r="B1295" s="22"/>
      <c r="C1295" s="64"/>
      <c r="D1295" s="24"/>
      <c r="E1295" s="23"/>
      <c r="F1295" s="21"/>
      <c r="G1295" s="22"/>
      <c r="H1295" s="61"/>
      <c r="I1295" s="24"/>
      <c r="J1295" s="23"/>
    </row>
    <row r="1296" spans="1:10" x14ac:dyDescent="0.15">
      <c r="A1296" s="25"/>
      <c r="B1296" s="26"/>
      <c r="C1296" s="67"/>
      <c r="D1296" s="59"/>
      <c r="E1296" s="27"/>
      <c r="F1296" s="25"/>
      <c r="G1296" s="26"/>
      <c r="H1296" s="63"/>
      <c r="I1296" s="26"/>
      <c r="J1296" s="27"/>
    </row>
    <row r="1297" spans="1:10" x14ac:dyDescent="0.15">
      <c r="A1297" s="18"/>
      <c r="B1297" s="19"/>
      <c r="C1297" s="66"/>
      <c r="D1297" s="58"/>
      <c r="E1297" s="20"/>
      <c r="F1297" s="18"/>
      <c r="G1297" s="19"/>
      <c r="H1297" s="60"/>
      <c r="I1297" s="19"/>
      <c r="J1297" s="20"/>
    </row>
    <row r="1298" spans="1:10" ht="40.15" customHeight="1" x14ac:dyDescent="0.15">
      <c r="A1298" s="21"/>
      <c r="B1298" s="22"/>
      <c r="C1298" s="64"/>
      <c r="D1298" s="24"/>
      <c r="E1298" s="23"/>
      <c r="F1298" s="21"/>
      <c r="G1298" s="28"/>
      <c r="H1298" s="61"/>
      <c r="I1298" s="22"/>
      <c r="J1298" s="23"/>
    </row>
    <row r="1299" spans="1:10" ht="60" customHeight="1" x14ac:dyDescent="0.55000000000000004">
      <c r="A1299" s="21"/>
      <c r="B1299" s="22"/>
      <c r="C1299" s="70"/>
      <c r="D1299" s="24"/>
      <c r="E1299" s="23"/>
      <c r="F1299" s="21"/>
      <c r="G1299" s="22"/>
      <c r="H1299" s="70"/>
      <c r="I1299" s="22"/>
      <c r="J1299" s="23"/>
    </row>
    <row r="1300" spans="1:10" ht="27.6" customHeight="1" x14ac:dyDescent="0.15">
      <c r="A1300" s="21"/>
      <c r="B1300" s="22"/>
      <c r="C1300" s="64"/>
      <c r="D1300" s="24"/>
      <c r="E1300" s="23"/>
      <c r="F1300" s="21"/>
      <c r="G1300" s="22"/>
      <c r="H1300" s="64"/>
      <c r="I1300" s="22"/>
      <c r="J1300" s="23"/>
    </row>
    <row r="1301" spans="1:10" ht="33.6" customHeight="1" x14ac:dyDescent="0.15">
      <c r="A1301" s="21"/>
      <c r="B1301" s="22"/>
      <c r="C1301" s="64"/>
      <c r="D1301" s="24"/>
      <c r="E1301" s="23"/>
      <c r="F1301" s="21"/>
      <c r="G1301" s="22"/>
      <c r="H1301" s="61"/>
      <c r="I1301" s="24"/>
      <c r="J1301" s="23"/>
    </row>
    <row r="1302" spans="1:10" x14ac:dyDescent="0.15">
      <c r="A1302" s="25"/>
      <c r="B1302" s="26"/>
      <c r="C1302" s="67"/>
      <c r="D1302" s="59"/>
      <c r="E1302" s="27"/>
      <c r="F1302" s="25"/>
      <c r="G1302" s="26"/>
      <c r="H1302" s="63"/>
      <c r="I1302" s="26"/>
      <c r="J1302" s="27"/>
    </row>
    <row r="1303" spans="1:10" x14ac:dyDescent="0.15">
      <c r="A1303" s="18"/>
      <c r="B1303" s="19"/>
      <c r="C1303" s="66"/>
      <c r="D1303" s="58"/>
      <c r="E1303" s="20"/>
      <c r="F1303" s="18"/>
      <c r="G1303" s="19"/>
      <c r="H1303" s="60"/>
      <c r="I1303" s="19"/>
      <c r="J1303" s="20"/>
    </row>
    <row r="1304" spans="1:10" ht="40.15" customHeight="1" x14ac:dyDescent="0.15">
      <c r="A1304" s="21"/>
      <c r="B1304" s="22"/>
      <c r="C1304" s="64"/>
      <c r="D1304" s="24"/>
      <c r="E1304" s="23"/>
      <c r="F1304" s="21"/>
      <c r="G1304" s="28"/>
      <c r="H1304" s="61"/>
      <c r="I1304" s="22"/>
      <c r="J1304" s="23"/>
    </row>
    <row r="1305" spans="1:10" ht="60" customHeight="1" x14ac:dyDescent="0.55000000000000004">
      <c r="A1305" s="21"/>
      <c r="B1305" s="22"/>
      <c r="C1305" s="70"/>
      <c r="D1305" s="24"/>
      <c r="E1305" s="23"/>
      <c r="F1305" s="21"/>
      <c r="G1305" s="22"/>
      <c r="H1305" s="70"/>
      <c r="I1305" s="22"/>
      <c r="J1305" s="23"/>
    </row>
    <row r="1306" spans="1:10" ht="27.6" customHeight="1" x14ac:dyDescent="0.15">
      <c r="A1306" s="21"/>
      <c r="B1306" s="22"/>
      <c r="C1306" s="64"/>
      <c r="D1306" s="24"/>
      <c r="E1306" s="23"/>
      <c r="F1306" s="21"/>
      <c r="G1306" s="22"/>
      <c r="H1306" s="64"/>
      <c r="I1306" s="22"/>
      <c r="J1306" s="23"/>
    </row>
    <row r="1307" spans="1:10" ht="33.6" customHeight="1" x14ac:dyDescent="0.15">
      <c r="A1307" s="21"/>
      <c r="B1307" s="22"/>
      <c r="C1307" s="64"/>
      <c r="D1307" s="24"/>
      <c r="E1307" s="23"/>
      <c r="F1307" s="21"/>
      <c r="G1307" s="22"/>
      <c r="H1307" s="61"/>
      <c r="I1307" s="24"/>
      <c r="J1307" s="23"/>
    </row>
    <row r="1308" spans="1:10" x14ac:dyDescent="0.15">
      <c r="A1308" s="25"/>
      <c r="B1308" s="26"/>
      <c r="C1308" s="67"/>
      <c r="D1308" s="59"/>
      <c r="E1308" s="27"/>
      <c r="F1308" s="25"/>
      <c r="G1308" s="26"/>
      <c r="H1308" s="63"/>
      <c r="I1308" s="26"/>
      <c r="J1308" s="27"/>
    </row>
    <row r="1309" spans="1:10" x14ac:dyDescent="0.15">
      <c r="A1309" s="18"/>
      <c r="B1309" s="19"/>
      <c r="C1309" s="66"/>
      <c r="D1309" s="58"/>
      <c r="E1309" s="20"/>
      <c r="F1309" s="18"/>
      <c r="G1309" s="19"/>
      <c r="H1309" s="60"/>
      <c r="I1309" s="19"/>
      <c r="J1309" s="20"/>
    </row>
    <row r="1310" spans="1:10" ht="40.15" customHeight="1" x14ac:dyDescent="0.15">
      <c r="A1310" s="21"/>
      <c r="B1310" s="22"/>
      <c r="C1310" s="64"/>
      <c r="D1310" s="24"/>
      <c r="E1310" s="23"/>
      <c r="F1310" s="21"/>
      <c r="G1310" s="28"/>
      <c r="H1310" s="61"/>
      <c r="I1310" s="22"/>
      <c r="J1310" s="23"/>
    </row>
    <row r="1311" spans="1:10" ht="60" customHeight="1" x14ac:dyDescent="0.55000000000000004">
      <c r="A1311" s="21"/>
      <c r="B1311" s="22"/>
      <c r="C1311" s="70"/>
      <c r="D1311" s="24"/>
      <c r="E1311" s="23"/>
      <c r="F1311" s="21"/>
      <c r="G1311" s="22"/>
      <c r="H1311" s="70"/>
      <c r="I1311" s="22"/>
      <c r="J1311" s="23"/>
    </row>
    <row r="1312" spans="1:10" ht="27.6" customHeight="1" x14ac:dyDescent="0.15">
      <c r="A1312" s="21"/>
      <c r="B1312" s="22"/>
      <c r="C1312" s="64"/>
      <c r="D1312" s="24"/>
      <c r="E1312" s="23"/>
      <c r="F1312" s="21"/>
      <c r="G1312" s="22"/>
      <c r="H1312" s="64"/>
      <c r="I1312" s="22"/>
      <c r="J1312" s="23"/>
    </row>
    <row r="1313" spans="1:10" ht="33.6" customHeight="1" x14ac:dyDescent="0.15">
      <c r="A1313" s="21"/>
      <c r="B1313" s="22"/>
      <c r="C1313" s="64"/>
      <c r="D1313" s="24"/>
      <c r="E1313" s="23"/>
      <c r="F1313" s="21"/>
      <c r="G1313" s="22"/>
      <c r="H1313" s="61"/>
      <c r="I1313" s="24"/>
      <c r="J1313" s="23"/>
    </row>
    <row r="1314" spans="1:10" x14ac:dyDescent="0.15">
      <c r="A1314" s="25"/>
      <c r="B1314" s="26"/>
      <c r="C1314" s="67"/>
      <c r="D1314" s="59"/>
      <c r="E1314" s="27"/>
      <c r="F1314" s="25"/>
      <c r="G1314" s="26"/>
      <c r="H1314" s="63"/>
      <c r="I1314" s="26"/>
      <c r="J1314" s="27"/>
    </row>
    <row r="1315" spans="1:10" x14ac:dyDescent="0.15">
      <c r="A1315" s="18"/>
      <c r="B1315" s="19"/>
      <c r="C1315" s="66"/>
      <c r="D1315" s="58"/>
      <c r="E1315" s="20"/>
      <c r="F1315" s="18"/>
      <c r="G1315" s="19"/>
      <c r="H1315" s="60"/>
      <c r="I1315" s="19"/>
      <c r="J1315" s="20"/>
    </row>
    <row r="1316" spans="1:10" ht="40.15" customHeight="1" x14ac:dyDescent="0.15">
      <c r="A1316" s="21"/>
      <c r="B1316" s="22"/>
      <c r="C1316" s="64"/>
      <c r="D1316" s="24"/>
      <c r="E1316" s="23"/>
      <c r="F1316" s="21"/>
      <c r="G1316" s="28"/>
      <c r="H1316" s="61"/>
      <c r="I1316" s="22"/>
      <c r="J1316" s="23"/>
    </row>
    <row r="1317" spans="1:10" ht="60" customHeight="1" x14ac:dyDescent="0.55000000000000004">
      <c r="A1317" s="21"/>
      <c r="B1317" s="22"/>
      <c r="C1317" s="70"/>
      <c r="D1317" s="24"/>
      <c r="E1317" s="23"/>
      <c r="F1317" s="21"/>
      <c r="G1317" s="22"/>
      <c r="H1317" s="70"/>
      <c r="I1317" s="22"/>
      <c r="J1317" s="23"/>
    </row>
    <row r="1318" spans="1:10" ht="27.6" customHeight="1" x14ac:dyDescent="0.15">
      <c r="A1318" s="21"/>
      <c r="B1318" s="22"/>
      <c r="C1318" s="64"/>
      <c r="D1318" s="24"/>
      <c r="E1318" s="23"/>
      <c r="F1318" s="21"/>
      <c r="G1318" s="22"/>
      <c r="H1318" s="64"/>
      <c r="I1318" s="22"/>
      <c r="J1318" s="23"/>
    </row>
    <row r="1319" spans="1:10" ht="33.6" customHeight="1" x14ac:dyDescent="0.15">
      <c r="A1319" s="21"/>
      <c r="B1319" s="22"/>
      <c r="C1319" s="64"/>
      <c r="D1319" s="24"/>
      <c r="E1319" s="23"/>
      <c r="F1319" s="21"/>
      <c r="G1319" s="22"/>
      <c r="H1319" s="61"/>
      <c r="I1319" s="24"/>
      <c r="J1319" s="23"/>
    </row>
    <row r="1320" spans="1:10" x14ac:dyDescent="0.15">
      <c r="A1320" s="25"/>
      <c r="B1320" s="26"/>
      <c r="C1320" s="67"/>
      <c r="D1320" s="59"/>
      <c r="E1320" s="27"/>
      <c r="F1320" s="25"/>
      <c r="G1320" s="26"/>
      <c r="H1320" s="63"/>
      <c r="I1320" s="26"/>
      <c r="J1320" s="27"/>
    </row>
    <row r="1321" spans="1:10" x14ac:dyDescent="0.15">
      <c r="A1321" s="18"/>
      <c r="B1321" s="19"/>
      <c r="C1321" s="66"/>
      <c r="D1321" s="58"/>
      <c r="E1321" s="20"/>
      <c r="F1321" s="18"/>
      <c r="G1321" s="19"/>
      <c r="H1321" s="60"/>
      <c r="I1321" s="19"/>
      <c r="J1321" s="20"/>
    </row>
    <row r="1322" spans="1:10" ht="40.15" customHeight="1" x14ac:dyDescent="0.15">
      <c r="A1322" s="21"/>
      <c r="B1322" s="22"/>
      <c r="C1322" s="64"/>
      <c r="D1322" s="24"/>
      <c r="E1322" s="23"/>
      <c r="F1322" s="21"/>
      <c r="G1322" s="28"/>
      <c r="H1322" s="61"/>
      <c r="I1322" s="22"/>
      <c r="J1322" s="23"/>
    </row>
    <row r="1323" spans="1:10" ht="60" customHeight="1" x14ac:dyDescent="0.55000000000000004">
      <c r="A1323" s="21"/>
      <c r="B1323" s="22"/>
      <c r="C1323" s="70"/>
      <c r="D1323" s="24"/>
      <c r="E1323" s="23"/>
      <c r="F1323" s="21"/>
      <c r="G1323" s="22"/>
      <c r="H1323" s="70"/>
      <c r="I1323" s="22"/>
      <c r="J1323" s="23"/>
    </row>
    <row r="1324" spans="1:10" ht="27.6" customHeight="1" x14ac:dyDescent="0.15">
      <c r="A1324" s="21"/>
      <c r="B1324" s="22"/>
      <c r="C1324" s="64"/>
      <c r="D1324" s="24"/>
      <c r="E1324" s="23"/>
      <c r="F1324" s="21"/>
      <c r="G1324" s="22"/>
      <c r="H1324" s="64"/>
      <c r="I1324" s="22"/>
      <c r="J1324" s="23"/>
    </row>
    <row r="1325" spans="1:10" ht="33.6" customHeight="1" x14ac:dyDescent="0.15">
      <c r="A1325" s="21"/>
      <c r="B1325" s="22"/>
      <c r="C1325" s="64"/>
      <c r="D1325" s="24"/>
      <c r="E1325" s="23"/>
      <c r="F1325" s="21"/>
      <c r="G1325" s="22"/>
      <c r="H1325" s="61"/>
      <c r="I1325" s="24"/>
      <c r="J1325" s="23"/>
    </row>
    <row r="1326" spans="1:10" x14ac:dyDescent="0.15">
      <c r="A1326" s="25"/>
      <c r="B1326" s="26"/>
      <c r="C1326" s="67"/>
      <c r="D1326" s="59"/>
      <c r="E1326" s="27"/>
      <c r="F1326" s="25"/>
      <c r="G1326" s="26"/>
      <c r="H1326" s="63"/>
      <c r="I1326" s="26"/>
      <c r="J1326" s="27"/>
    </row>
    <row r="1327" spans="1:10" x14ac:dyDescent="0.15">
      <c r="A1327" s="18"/>
      <c r="B1327" s="19"/>
      <c r="C1327" s="66"/>
      <c r="D1327" s="58"/>
      <c r="E1327" s="20"/>
      <c r="F1327" s="18"/>
      <c r="G1327" s="19"/>
      <c r="H1327" s="60"/>
      <c r="I1327" s="19"/>
      <c r="J1327" s="20"/>
    </row>
    <row r="1328" spans="1:10" ht="40.15" customHeight="1" x14ac:dyDescent="0.15">
      <c r="A1328" s="21"/>
      <c r="B1328" s="22"/>
      <c r="C1328" s="64"/>
      <c r="D1328" s="24"/>
      <c r="E1328" s="23"/>
      <c r="F1328" s="21"/>
      <c r="G1328" s="28"/>
      <c r="H1328" s="61"/>
      <c r="I1328" s="22"/>
      <c r="J1328" s="23"/>
    </row>
    <row r="1329" spans="1:10" ht="60" customHeight="1" x14ac:dyDescent="0.55000000000000004">
      <c r="A1329" s="21"/>
      <c r="B1329" s="22"/>
      <c r="C1329" s="70"/>
      <c r="D1329" s="24"/>
      <c r="E1329" s="23"/>
      <c r="F1329" s="21"/>
      <c r="G1329" s="22"/>
      <c r="H1329" s="70"/>
      <c r="I1329" s="22"/>
      <c r="J1329" s="23"/>
    </row>
    <row r="1330" spans="1:10" ht="27.6" customHeight="1" x14ac:dyDescent="0.15">
      <c r="A1330" s="21"/>
      <c r="B1330" s="22"/>
      <c r="C1330" s="64"/>
      <c r="D1330" s="24"/>
      <c r="E1330" s="23"/>
      <c r="F1330" s="21"/>
      <c r="G1330" s="22"/>
      <c r="H1330" s="64"/>
      <c r="I1330" s="22"/>
      <c r="J1330" s="23"/>
    </row>
    <row r="1331" spans="1:10" ht="33.6" customHeight="1" x14ac:dyDescent="0.15">
      <c r="A1331" s="21"/>
      <c r="B1331" s="22"/>
      <c r="C1331" s="64"/>
      <c r="D1331" s="24"/>
      <c r="E1331" s="23"/>
      <c r="F1331" s="21"/>
      <c r="G1331" s="22"/>
      <c r="H1331" s="61"/>
      <c r="I1331" s="24"/>
      <c r="J1331" s="23"/>
    </row>
    <row r="1332" spans="1:10" x14ac:dyDescent="0.15">
      <c r="A1332" s="25"/>
      <c r="B1332" s="26"/>
      <c r="C1332" s="67"/>
      <c r="D1332" s="59"/>
      <c r="E1332" s="27"/>
      <c r="F1332" s="25"/>
      <c r="G1332" s="26"/>
      <c r="H1332" s="63"/>
      <c r="I1332" s="26"/>
      <c r="J1332" s="27"/>
    </row>
    <row r="1333" spans="1:10" x14ac:dyDescent="0.15">
      <c r="A1333" s="18"/>
      <c r="B1333" s="19"/>
      <c r="C1333" s="66"/>
      <c r="D1333" s="58"/>
      <c r="E1333" s="20"/>
      <c r="F1333" s="18"/>
      <c r="G1333" s="19"/>
      <c r="H1333" s="60"/>
      <c r="I1333" s="19"/>
      <c r="J1333" s="20"/>
    </row>
    <row r="1334" spans="1:10" ht="40.15" customHeight="1" x14ac:dyDescent="0.15">
      <c r="A1334" s="21"/>
      <c r="B1334" s="28"/>
      <c r="C1334" s="64"/>
      <c r="D1334" s="24"/>
      <c r="E1334" s="23"/>
      <c r="F1334" s="21"/>
      <c r="G1334" s="28"/>
      <c r="H1334" s="61"/>
      <c r="I1334" s="22"/>
      <c r="J1334" s="23"/>
    </row>
    <row r="1335" spans="1:10" ht="60" customHeight="1" x14ac:dyDescent="0.4">
      <c r="A1335" s="21"/>
      <c r="B1335" s="22"/>
      <c r="C1335" s="62"/>
      <c r="D1335" s="24"/>
      <c r="E1335" s="23"/>
      <c r="F1335" s="21"/>
      <c r="G1335" s="22"/>
      <c r="H1335" s="62"/>
      <c r="I1335" s="22"/>
      <c r="J1335" s="23"/>
    </row>
    <row r="1336" spans="1:10" ht="27.6" customHeight="1" x14ac:dyDescent="0.3">
      <c r="A1336" s="21"/>
      <c r="B1336" s="22"/>
      <c r="C1336" s="69"/>
      <c r="D1336" s="24"/>
      <c r="E1336" s="23"/>
      <c r="F1336" s="21"/>
      <c r="G1336" s="22"/>
      <c r="H1336" s="69"/>
      <c r="I1336" s="22"/>
      <c r="J1336" s="23"/>
    </row>
    <row r="1337" spans="1:10" ht="33.6" customHeight="1" x14ac:dyDescent="0.15">
      <c r="A1337" s="21"/>
      <c r="B1337" s="22"/>
      <c r="C1337" s="64"/>
      <c r="D1337" s="24"/>
      <c r="E1337" s="23"/>
      <c r="F1337" s="21"/>
      <c r="G1337" s="22"/>
      <c r="H1337" s="61"/>
      <c r="I1337" s="24"/>
      <c r="J1337" s="23"/>
    </row>
    <row r="1338" spans="1:10" x14ac:dyDescent="0.15">
      <c r="A1338" s="25"/>
      <c r="B1338" s="26"/>
      <c r="C1338" s="67"/>
      <c r="D1338" s="59"/>
      <c r="E1338" s="27"/>
      <c r="F1338" s="25"/>
      <c r="G1338" s="26"/>
      <c r="H1338" s="63"/>
      <c r="I1338" s="26"/>
      <c r="J1338" s="27"/>
    </row>
    <row r="1339" spans="1:10" x14ac:dyDescent="0.15">
      <c r="A1339" s="18"/>
      <c r="B1339" s="19"/>
      <c r="C1339" s="66"/>
      <c r="D1339" s="58"/>
      <c r="E1339" s="20"/>
      <c r="F1339" s="18"/>
      <c r="G1339" s="19"/>
      <c r="H1339" s="60"/>
      <c r="I1339" s="19"/>
      <c r="J1339" s="20"/>
    </row>
    <row r="1340" spans="1:10" ht="40.15" customHeight="1" x14ac:dyDescent="0.15">
      <c r="A1340" s="21"/>
      <c r="B1340" s="28"/>
      <c r="C1340" s="64"/>
      <c r="D1340" s="24"/>
      <c r="E1340" s="23"/>
      <c r="F1340" s="21"/>
      <c r="G1340" s="28"/>
      <c r="H1340" s="61"/>
      <c r="I1340" s="22"/>
      <c r="J1340" s="23"/>
    </row>
    <row r="1341" spans="1:10" ht="60" customHeight="1" x14ac:dyDescent="0.4">
      <c r="A1341" s="21"/>
      <c r="B1341" s="22"/>
      <c r="C1341" s="62"/>
      <c r="D1341" s="24"/>
      <c r="E1341" s="23"/>
      <c r="F1341" s="21"/>
      <c r="G1341" s="22"/>
      <c r="H1341" s="62"/>
      <c r="I1341" s="22"/>
      <c r="J1341" s="23"/>
    </row>
    <row r="1342" spans="1:10" ht="27.6" customHeight="1" x14ac:dyDescent="0.3">
      <c r="A1342" s="21"/>
      <c r="B1342" s="22"/>
      <c r="C1342" s="69"/>
      <c r="D1342" s="24"/>
      <c r="E1342" s="23"/>
      <c r="F1342" s="21"/>
      <c r="G1342" s="22"/>
      <c r="H1342" s="69"/>
      <c r="I1342" s="22"/>
      <c r="J1342" s="23"/>
    </row>
    <row r="1343" spans="1:10" ht="33.6" customHeight="1" x14ac:dyDescent="0.15">
      <c r="A1343" s="21"/>
      <c r="B1343" s="22"/>
      <c r="C1343" s="64"/>
      <c r="D1343" s="24"/>
      <c r="E1343" s="23"/>
      <c r="F1343" s="21"/>
      <c r="G1343" s="22"/>
      <c r="H1343" s="61"/>
      <c r="I1343" s="24"/>
      <c r="J1343" s="23"/>
    </row>
    <row r="1344" spans="1:10" x14ac:dyDescent="0.15">
      <c r="A1344" s="25"/>
      <c r="B1344" s="26"/>
      <c r="C1344" s="67"/>
      <c r="D1344" s="59"/>
      <c r="E1344" s="27"/>
      <c r="F1344" s="25"/>
      <c r="G1344" s="26"/>
      <c r="H1344" s="63"/>
      <c r="I1344" s="26"/>
      <c r="J1344" s="27"/>
    </row>
    <row r="1345" spans="1:10" x14ac:dyDescent="0.15">
      <c r="A1345" s="18"/>
      <c r="B1345" s="19"/>
      <c r="C1345" s="66"/>
      <c r="D1345" s="58"/>
      <c r="E1345" s="20"/>
      <c r="F1345" s="18"/>
      <c r="G1345" s="19"/>
      <c r="H1345" s="60"/>
      <c r="I1345" s="19"/>
      <c r="J1345" s="20"/>
    </row>
    <row r="1346" spans="1:10" ht="40.15" customHeight="1" x14ac:dyDescent="0.15">
      <c r="A1346" s="21"/>
      <c r="B1346" s="28"/>
      <c r="C1346" s="64"/>
      <c r="D1346" s="24"/>
      <c r="E1346" s="23"/>
      <c r="F1346" s="21"/>
      <c r="G1346" s="28"/>
      <c r="H1346" s="61"/>
      <c r="I1346" s="22"/>
      <c r="J1346" s="23"/>
    </row>
    <row r="1347" spans="1:10" ht="60" customHeight="1" x14ac:dyDescent="0.4">
      <c r="A1347" s="21"/>
      <c r="B1347" s="22"/>
      <c r="C1347" s="62"/>
      <c r="D1347" s="24"/>
      <c r="E1347" s="23"/>
      <c r="F1347" s="21"/>
      <c r="G1347" s="22"/>
      <c r="H1347" s="62"/>
      <c r="I1347" s="22"/>
      <c r="J1347" s="23"/>
    </row>
    <row r="1348" spans="1:10" ht="27.6" customHeight="1" x14ac:dyDescent="0.3">
      <c r="A1348" s="21"/>
      <c r="B1348" s="22"/>
      <c r="C1348" s="69"/>
      <c r="D1348" s="24"/>
      <c r="E1348" s="23"/>
      <c r="F1348" s="21"/>
      <c r="G1348" s="22"/>
      <c r="H1348" s="69"/>
      <c r="I1348" s="22"/>
      <c r="J1348" s="23"/>
    </row>
    <row r="1349" spans="1:10" ht="33.6" customHeight="1" x14ac:dyDescent="0.15">
      <c r="A1349" s="21"/>
      <c r="B1349" s="22"/>
      <c r="C1349" s="64"/>
      <c r="D1349" s="24"/>
      <c r="E1349" s="23"/>
      <c r="F1349" s="21"/>
      <c r="G1349" s="22"/>
      <c r="H1349" s="61"/>
      <c r="I1349" s="24"/>
      <c r="J1349" s="23"/>
    </row>
    <row r="1350" spans="1:10" x14ac:dyDescent="0.15">
      <c r="A1350" s="25"/>
      <c r="B1350" s="26"/>
      <c r="C1350" s="67"/>
      <c r="D1350" s="59"/>
      <c r="E1350" s="27"/>
      <c r="F1350" s="25"/>
      <c r="G1350" s="26"/>
      <c r="H1350" s="63"/>
      <c r="I1350" s="26"/>
      <c r="J1350" s="27"/>
    </row>
    <row r="1351" spans="1:10" x14ac:dyDescent="0.15">
      <c r="A1351" s="18"/>
      <c r="B1351" s="19"/>
      <c r="C1351" s="66"/>
      <c r="D1351" s="58"/>
      <c r="E1351" s="20"/>
      <c r="F1351" s="18"/>
      <c r="G1351" s="19"/>
      <c r="H1351" s="60"/>
      <c r="I1351" s="19"/>
      <c r="J1351" s="20"/>
    </row>
    <row r="1352" spans="1:10" ht="40.15" customHeight="1" x14ac:dyDescent="0.15">
      <c r="A1352" s="21"/>
      <c r="B1352" s="28"/>
      <c r="C1352" s="64"/>
      <c r="D1352" s="24"/>
      <c r="E1352" s="23"/>
      <c r="F1352" s="21"/>
      <c r="G1352" s="28"/>
      <c r="H1352" s="61"/>
      <c r="I1352" s="22"/>
      <c r="J1352" s="23"/>
    </row>
    <row r="1353" spans="1:10" ht="60" customHeight="1" x14ac:dyDescent="0.4">
      <c r="A1353" s="21"/>
      <c r="B1353" s="22"/>
      <c r="C1353" s="62"/>
      <c r="D1353" s="24"/>
      <c r="E1353" s="23"/>
      <c r="F1353" s="21"/>
      <c r="G1353" s="22"/>
      <c r="H1353" s="62"/>
      <c r="I1353" s="22"/>
      <c r="J1353" s="23"/>
    </row>
    <row r="1354" spans="1:10" ht="27.6" customHeight="1" x14ac:dyDescent="0.3">
      <c r="A1354" s="21"/>
      <c r="B1354" s="22"/>
      <c r="C1354" s="69"/>
      <c r="D1354" s="24"/>
      <c r="E1354" s="23"/>
      <c r="F1354" s="21"/>
      <c r="G1354" s="22"/>
      <c r="H1354" s="69"/>
      <c r="I1354" s="22"/>
      <c r="J1354" s="23"/>
    </row>
    <row r="1355" spans="1:10" ht="33.6" customHeight="1" x14ac:dyDescent="0.15">
      <c r="A1355" s="21"/>
      <c r="B1355" s="22"/>
      <c r="C1355" s="64"/>
      <c r="D1355" s="24"/>
      <c r="E1355" s="23"/>
      <c r="F1355" s="21"/>
      <c r="G1355" s="22"/>
      <c r="H1355" s="61"/>
      <c r="I1355" s="24"/>
      <c r="J1355" s="23"/>
    </row>
    <row r="1356" spans="1:10" x14ac:dyDescent="0.15">
      <c r="A1356" s="25"/>
      <c r="B1356" s="26"/>
      <c r="C1356" s="67"/>
      <c r="D1356" s="59"/>
      <c r="E1356" s="27"/>
      <c r="F1356" s="25"/>
      <c r="G1356" s="26"/>
      <c r="H1356" s="63"/>
      <c r="I1356" s="26"/>
      <c r="J1356" s="27"/>
    </row>
    <row r="1357" spans="1:10" x14ac:dyDescent="0.15">
      <c r="A1357" s="18"/>
      <c r="B1357" s="19"/>
      <c r="C1357" s="66"/>
      <c r="D1357" s="58"/>
      <c r="E1357" s="20"/>
      <c r="F1357" s="18"/>
      <c r="G1357" s="19"/>
      <c r="H1357" s="60"/>
      <c r="I1357" s="19"/>
      <c r="J1357" s="20"/>
    </row>
    <row r="1358" spans="1:10" ht="40.15" customHeight="1" x14ac:dyDescent="0.15">
      <c r="A1358" s="21"/>
      <c r="B1358" s="28"/>
      <c r="C1358" s="64"/>
      <c r="D1358" s="24"/>
      <c r="E1358" s="23"/>
      <c r="F1358" s="21"/>
      <c r="G1358" s="28"/>
      <c r="H1358" s="61"/>
      <c r="I1358" s="22"/>
      <c r="J1358" s="23"/>
    </row>
    <row r="1359" spans="1:10" ht="60" customHeight="1" x14ac:dyDescent="0.4">
      <c r="A1359" s="21"/>
      <c r="B1359" s="22"/>
      <c r="C1359" s="62"/>
      <c r="D1359" s="24"/>
      <c r="E1359" s="23"/>
      <c r="F1359" s="21"/>
      <c r="G1359" s="22"/>
      <c r="H1359" s="62"/>
      <c r="I1359" s="22"/>
      <c r="J1359" s="23"/>
    </row>
    <row r="1360" spans="1:10" ht="27.6" customHeight="1" x14ac:dyDescent="0.3">
      <c r="A1360" s="21"/>
      <c r="B1360" s="22"/>
      <c r="C1360" s="69"/>
      <c r="D1360" s="24"/>
      <c r="E1360" s="23"/>
      <c r="F1360" s="21"/>
      <c r="G1360" s="22"/>
      <c r="H1360" s="69"/>
      <c r="I1360" s="22"/>
      <c r="J1360" s="23"/>
    </row>
    <row r="1361" spans="1:10" ht="33.6" customHeight="1" x14ac:dyDescent="0.15">
      <c r="A1361" s="21"/>
      <c r="B1361" s="22"/>
      <c r="C1361" s="64"/>
      <c r="D1361" s="24"/>
      <c r="E1361" s="23"/>
      <c r="F1361" s="21"/>
      <c r="G1361" s="22"/>
      <c r="H1361" s="61"/>
      <c r="I1361" s="24"/>
      <c r="J1361" s="23"/>
    </row>
    <row r="1362" spans="1:10" x14ac:dyDescent="0.15">
      <c r="A1362" s="25"/>
      <c r="B1362" s="26"/>
      <c r="C1362" s="67"/>
      <c r="D1362" s="59"/>
      <c r="E1362" s="27"/>
      <c r="F1362" s="25"/>
      <c r="G1362" s="26"/>
      <c r="H1362" s="63"/>
      <c r="I1362" s="26"/>
      <c r="J1362" s="27"/>
    </row>
    <row r="1363" spans="1:10" x14ac:dyDescent="0.15">
      <c r="A1363" s="18"/>
      <c r="B1363" s="19"/>
      <c r="C1363" s="66"/>
      <c r="D1363" s="58"/>
      <c r="E1363" s="20"/>
      <c r="F1363" s="18"/>
      <c r="G1363" s="19"/>
      <c r="H1363" s="60"/>
      <c r="I1363" s="19"/>
      <c r="J1363" s="20"/>
    </row>
    <row r="1364" spans="1:10" ht="40.15" customHeight="1" x14ac:dyDescent="0.15">
      <c r="A1364" s="21"/>
      <c r="B1364" s="28"/>
      <c r="C1364" s="64"/>
      <c r="D1364" s="24"/>
      <c r="E1364" s="23"/>
      <c r="F1364" s="21"/>
      <c r="G1364" s="28"/>
      <c r="H1364" s="61"/>
      <c r="I1364" s="22"/>
      <c r="J1364" s="23"/>
    </row>
    <row r="1365" spans="1:10" ht="60" customHeight="1" x14ac:dyDescent="0.4">
      <c r="A1365" s="21"/>
      <c r="B1365" s="22"/>
      <c r="C1365" s="62"/>
      <c r="D1365" s="24"/>
      <c r="E1365" s="23"/>
      <c r="F1365" s="21"/>
      <c r="G1365" s="22"/>
      <c r="H1365" s="62"/>
      <c r="I1365" s="22"/>
      <c r="J1365" s="23"/>
    </row>
    <row r="1366" spans="1:10" ht="27.6" customHeight="1" x14ac:dyDescent="0.3">
      <c r="A1366" s="21"/>
      <c r="B1366" s="22"/>
      <c r="C1366" s="69"/>
      <c r="D1366" s="24"/>
      <c r="E1366" s="23"/>
      <c r="F1366" s="21"/>
      <c r="G1366" s="22"/>
      <c r="H1366" s="69"/>
      <c r="I1366" s="22"/>
      <c r="J1366" s="23"/>
    </row>
    <row r="1367" spans="1:10" ht="33.6" customHeight="1" x14ac:dyDescent="0.15">
      <c r="A1367" s="21"/>
      <c r="B1367" s="22"/>
      <c r="C1367" s="64"/>
      <c r="D1367" s="24"/>
      <c r="E1367" s="23"/>
      <c r="F1367" s="21"/>
      <c r="G1367" s="22"/>
      <c r="H1367" s="61"/>
      <c r="I1367" s="24"/>
      <c r="J1367" s="23"/>
    </row>
    <row r="1368" spans="1:10" x14ac:dyDescent="0.15">
      <c r="A1368" s="25"/>
      <c r="B1368" s="26"/>
      <c r="C1368" s="67"/>
      <c r="D1368" s="59"/>
      <c r="E1368" s="27"/>
      <c r="F1368" s="25"/>
      <c r="G1368" s="26"/>
      <c r="H1368" s="63"/>
      <c r="I1368" s="26"/>
      <c r="J1368" s="27"/>
    </row>
    <row r="1369" spans="1:10" x14ac:dyDescent="0.15">
      <c r="A1369" s="18"/>
      <c r="B1369" s="19"/>
      <c r="C1369" s="66"/>
      <c r="D1369" s="58"/>
      <c r="E1369" s="20"/>
      <c r="F1369" s="18"/>
      <c r="G1369" s="19"/>
      <c r="H1369" s="60"/>
      <c r="I1369" s="19"/>
      <c r="J1369" s="20"/>
    </row>
    <row r="1370" spans="1:10" ht="40.15" customHeight="1" x14ac:dyDescent="0.15">
      <c r="A1370" s="21"/>
      <c r="B1370" s="22"/>
      <c r="C1370" s="64"/>
      <c r="D1370" s="24"/>
      <c r="E1370" s="23"/>
      <c r="F1370" s="21"/>
      <c r="G1370" s="28"/>
      <c r="H1370" s="61"/>
      <c r="I1370" s="22"/>
      <c r="J1370" s="23"/>
    </row>
    <row r="1371" spans="1:10" ht="60" customHeight="1" x14ac:dyDescent="0.55000000000000004">
      <c r="A1371" s="21"/>
      <c r="B1371" s="22"/>
      <c r="C1371" s="70"/>
      <c r="D1371" s="24"/>
      <c r="E1371" s="23"/>
      <c r="F1371" s="21"/>
      <c r="G1371" s="22"/>
      <c r="H1371" s="70"/>
      <c r="I1371" s="22"/>
      <c r="J1371" s="23"/>
    </row>
    <row r="1372" spans="1:10" ht="27.6" customHeight="1" x14ac:dyDescent="0.15">
      <c r="A1372" s="21"/>
      <c r="B1372" s="22"/>
      <c r="C1372" s="64"/>
      <c r="D1372" s="24"/>
      <c r="E1372" s="23"/>
      <c r="F1372" s="21"/>
      <c r="G1372" s="22"/>
      <c r="H1372" s="64"/>
      <c r="I1372" s="22"/>
      <c r="J1372" s="23"/>
    </row>
    <row r="1373" spans="1:10" ht="33.6" customHeight="1" x14ac:dyDescent="0.15">
      <c r="A1373" s="21"/>
      <c r="B1373" s="22"/>
      <c r="C1373" s="64"/>
      <c r="D1373" s="24"/>
      <c r="E1373" s="23"/>
      <c r="F1373" s="21"/>
      <c r="G1373" s="22"/>
      <c r="H1373" s="61"/>
      <c r="I1373" s="24"/>
      <c r="J1373" s="23"/>
    </row>
    <row r="1374" spans="1:10" x14ac:dyDescent="0.15">
      <c r="A1374" s="25"/>
      <c r="B1374" s="26"/>
      <c r="C1374" s="67"/>
      <c r="D1374" s="59"/>
      <c r="E1374" s="27"/>
      <c r="F1374" s="25"/>
      <c r="G1374" s="26"/>
      <c r="H1374" s="63"/>
      <c r="I1374" s="26"/>
      <c r="J1374" s="27"/>
    </row>
    <row r="1375" spans="1:10" x14ac:dyDescent="0.15">
      <c r="A1375" s="18"/>
      <c r="B1375" s="19"/>
      <c r="C1375" s="66"/>
      <c r="D1375" s="58"/>
      <c r="E1375" s="20"/>
      <c r="F1375" s="18"/>
      <c r="G1375" s="19"/>
      <c r="H1375" s="60"/>
      <c r="I1375" s="19"/>
      <c r="J1375" s="20"/>
    </row>
    <row r="1376" spans="1:10" ht="40.15" customHeight="1" x14ac:dyDescent="0.15">
      <c r="A1376" s="21"/>
      <c r="B1376" s="22"/>
      <c r="C1376" s="64"/>
      <c r="D1376" s="24"/>
      <c r="E1376" s="23"/>
      <c r="F1376" s="21"/>
      <c r="G1376" s="28"/>
      <c r="H1376" s="61"/>
      <c r="I1376" s="22"/>
      <c r="J1376" s="23"/>
    </row>
    <row r="1377" spans="1:10" ht="60" customHeight="1" x14ac:dyDescent="0.55000000000000004">
      <c r="A1377" s="21"/>
      <c r="B1377" s="22"/>
      <c r="C1377" s="70"/>
      <c r="D1377" s="24"/>
      <c r="E1377" s="23"/>
      <c r="F1377" s="21"/>
      <c r="G1377" s="22"/>
      <c r="H1377" s="70"/>
      <c r="I1377" s="22"/>
      <c r="J1377" s="23"/>
    </row>
    <row r="1378" spans="1:10" ht="27.6" customHeight="1" x14ac:dyDescent="0.15">
      <c r="A1378" s="21"/>
      <c r="B1378" s="22"/>
      <c r="C1378" s="64"/>
      <c r="D1378" s="24"/>
      <c r="E1378" s="23"/>
      <c r="F1378" s="21"/>
      <c r="G1378" s="22"/>
      <c r="H1378" s="64"/>
      <c r="I1378" s="22"/>
      <c r="J1378" s="23"/>
    </row>
    <row r="1379" spans="1:10" ht="33.6" customHeight="1" x14ac:dyDescent="0.15">
      <c r="A1379" s="21"/>
      <c r="B1379" s="22"/>
      <c r="C1379" s="64"/>
      <c r="D1379" s="24"/>
      <c r="E1379" s="23"/>
      <c r="F1379" s="21"/>
      <c r="G1379" s="22"/>
      <c r="H1379" s="61"/>
      <c r="I1379" s="24"/>
      <c r="J1379" s="23"/>
    </row>
    <row r="1380" spans="1:10" x14ac:dyDescent="0.15">
      <c r="A1380" s="25"/>
      <c r="B1380" s="26"/>
      <c r="C1380" s="67"/>
      <c r="D1380" s="59"/>
      <c r="E1380" s="27"/>
      <c r="F1380" s="25"/>
      <c r="G1380" s="26"/>
      <c r="H1380" s="63"/>
      <c r="I1380" s="26"/>
      <c r="J1380" s="27"/>
    </row>
    <row r="1381" spans="1:10" x14ac:dyDescent="0.15">
      <c r="A1381" s="18"/>
      <c r="B1381" s="19"/>
      <c r="C1381" s="66"/>
      <c r="D1381" s="58"/>
      <c r="E1381" s="20"/>
      <c r="F1381" s="18"/>
      <c r="G1381" s="19"/>
      <c r="H1381" s="60"/>
      <c r="I1381" s="19"/>
      <c r="J1381" s="20"/>
    </row>
    <row r="1382" spans="1:10" ht="40.15" customHeight="1" x14ac:dyDescent="0.15">
      <c r="A1382" s="21"/>
      <c r="B1382" s="22"/>
      <c r="C1382" s="64"/>
      <c r="D1382" s="24"/>
      <c r="E1382" s="23"/>
      <c r="F1382" s="21"/>
      <c r="G1382" s="28"/>
      <c r="H1382" s="61"/>
      <c r="I1382" s="22"/>
      <c r="J1382" s="23"/>
    </row>
    <row r="1383" spans="1:10" ht="60" customHeight="1" x14ac:dyDescent="0.55000000000000004">
      <c r="A1383" s="21"/>
      <c r="B1383" s="22"/>
      <c r="C1383" s="70"/>
      <c r="D1383" s="24"/>
      <c r="E1383" s="23"/>
      <c r="F1383" s="21"/>
      <c r="G1383" s="22"/>
      <c r="H1383" s="70"/>
      <c r="I1383" s="22"/>
      <c r="J1383" s="23"/>
    </row>
    <row r="1384" spans="1:10" ht="27.6" customHeight="1" x14ac:dyDescent="0.15">
      <c r="A1384" s="21"/>
      <c r="B1384" s="22"/>
      <c r="C1384" s="64"/>
      <c r="D1384" s="24"/>
      <c r="E1384" s="23"/>
      <c r="F1384" s="21"/>
      <c r="G1384" s="22"/>
      <c r="H1384" s="64"/>
      <c r="I1384" s="22"/>
      <c r="J1384" s="23"/>
    </row>
    <row r="1385" spans="1:10" ht="33.6" customHeight="1" x14ac:dyDescent="0.15">
      <c r="A1385" s="21"/>
      <c r="B1385" s="22"/>
      <c r="C1385" s="64"/>
      <c r="D1385" s="24"/>
      <c r="E1385" s="23"/>
      <c r="F1385" s="21"/>
      <c r="G1385" s="22"/>
      <c r="H1385" s="61"/>
      <c r="I1385" s="24"/>
      <c r="J1385" s="23"/>
    </row>
    <row r="1386" spans="1:10" x14ac:dyDescent="0.15">
      <c r="A1386" s="25"/>
      <c r="B1386" s="26"/>
      <c r="C1386" s="67"/>
      <c r="D1386" s="59"/>
      <c r="E1386" s="27"/>
      <c r="F1386" s="25"/>
      <c r="G1386" s="26"/>
      <c r="H1386" s="63"/>
      <c r="I1386" s="26"/>
      <c r="J1386" s="27"/>
    </row>
    <row r="1387" spans="1:10" x14ac:dyDescent="0.15">
      <c r="A1387" s="18"/>
      <c r="B1387" s="19"/>
      <c r="C1387" s="66"/>
      <c r="D1387" s="58"/>
      <c r="E1387" s="20"/>
      <c r="F1387" s="18"/>
      <c r="G1387" s="19"/>
      <c r="H1387" s="60"/>
      <c r="I1387" s="19"/>
      <c r="J1387" s="20"/>
    </row>
    <row r="1388" spans="1:10" ht="40.15" customHeight="1" x14ac:dyDescent="0.15">
      <c r="A1388" s="21"/>
      <c r="B1388" s="22"/>
      <c r="C1388" s="64"/>
      <c r="D1388" s="24"/>
      <c r="E1388" s="23"/>
      <c r="F1388" s="21"/>
      <c r="G1388" s="28"/>
      <c r="H1388" s="61"/>
      <c r="I1388" s="22"/>
      <c r="J1388" s="23"/>
    </row>
    <row r="1389" spans="1:10" ht="60" customHeight="1" x14ac:dyDescent="0.55000000000000004">
      <c r="A1389" s="21"/>
      <c r="B1389" s="22"/>
      <c r="C1389" s="70"/>
      <c r="D1389" s="24"/>
      <c r="E1389" s="23"/>
      <c r="F1389" s="21"/>
      <c r="G1389" s="22"/>
      <c r="H1389" s="70"/>
      <c r="I1389" s="22"/>
      <c r="J1389" s="23"/>
    </row>
    <row r="1390" spans="1:10" ht="27.6" customHeight="1" x14ac:dyDescent="0.15">
      <c r="A1390" s="21"/>
      <c r="B1390" s="22"/>
      <c r="C1390" s="64"/>
      <c r="D1390" s="24"/>
      <c r="E1390" s="23"/>
      <c r="F1390" s="21"/>
      <c r="G1390" s="22"/>
      <c r="H1390" s="64"/>
      <c r="I1390" s="22"/>
      <c r="J1390" s="23"/>
    </row>
    <row r="1391" spans="1:10" ht="33.6" customHeight="1" x14ac:dyDescent="0.15">
      <c r="A1391" s="21"/>
      <c r="B1391" s="22"/>
      <c r="C1391" s="64"/>
      <c r="D1391" s="24"/>
      <c r="E1391" s="23"/>
      <c r="F1391" s="21"/>
      <c r="G1391" s="22"/>
      <c r="H1391" s="61"/>
      <c r="I1391" s="24"/>
      <c r="J1391" s="23"/>
    </row>
    <row r="1392" spans="1:10" x14ac:dyDescent="0.15">
      <c r="A1392" s="25"/>
      <c r="B1392" s="26"/>
      <c r="C1392" s="67"/>
      <c r="D1392" s="59"/>
      <c r="E1392" s="27"/>
      <c r="F1392" s="25"/>
      <c r="G1392" s="26"/>
      <c r="H1392" s="63"/>
      <c r="I1392" s="26"/>
      <c r="J1392" s="27"/>
    </row>
    <row r="1393" spans="1:10" x14ac:dyDescent="0.15">
      <c r="A1393" s="18"/>
      <c r="B1393" s="19"/>
      <c r="C1393" s="66"/>
      <c r="D1393" s="58"/>
      <c r="E1393" s="20"/>
      <c r="F1393" s="18"/>
      <c r="G1393" s="19"/>
      <c r="H1393" s="60"/>
      <c r="I1393" s="19"/>
      <c r="J1393" s="20"/>
    </row>
    <row r="1394" spans="1:10" ht="40.15" customHeight="1" x14ac:dyDescent="0.15">
      <c r="A1394" s="21"/>
      <c r="B1394" s="22"/>
      <c r="C1394" s="64"/>
      <c r="D1394" s="24"/>
      <c r="E1394" s="23"/>
      <c r="F1394" s="21"/>
      <c r="G1394" s="28"/>
      <c r="H1394" s="61"/>
      <c r="I1394" s="22"/>
      <c r="J1394" s="23"/>
    </row>
    <row r="1395" spans="1:10" ht="60" customHeight="1" x14ac:dyDescent="0.55000000000000004">
      <c r="A1395" s="21"/>
      <c r="B1395" s="22"/>
      <c r="C1395" s="70"/>
      <c r="D1395" s="24"/>
      <c r="E1395" s="23"/>
      <c r="F1395" s="21"/>
      <c r="G1395" s="22"/>
      <c r="H1395" s="70"/>
      <c r="I1395" s="22"/>
      <c r="J1395" s="23"/>
    </row>
    <row r="1396" spans="1:10" ht="27.6" customHeight="1" x14ac:dyDescent="0.15">
      <c r="A1396" s="21"/>
      <c r="B1396" s="22"/>
      <c r="C1396" s="64"/>
      <c r="D1396" s="24"/>
      <c r="E1396" s="23"/>
      <c r="F1396" s="21"/>
      <c r="G1396" s="22"/>
      <c r="H1396" s="64"/>
      <c r="I1396" s="22"/>
      <c r="J1396" s="23"/>
    </row>
    <row r="1397" spans="1:10" ht="33.6" customHeight="1" x14ac:dyDescent="0.15">
      <c r="A1397" s="21"/>
      <c r="B1397" s="22"/>
      <c r="C1397" s="64"/>
      <c r="D1397" s="24"/>
      <c r="E1397" s="23"/>
      <c r="F1397" s="21"/>
      <c r="G1397" s="22"/>
      <c r="H1397" s="61"/>
      <c r="I1397" s="24"/>
      <c r="J1397" s="23"/>
    </row>
    <row r="1398" spans="1:10" x14ac:dyDescent="0.15">
      <c r="A1398" s="25"/>
      <c r="B1398" s="26"/>
      <c r="C1398" s="67"/>
      <c r="D1398" s="59"/>
      <c r="E1398" s="27"/>
      <c r="F1398" s="25"/>
      <c r="G1398" s="26"/>
      <c r="H1398" s="63"/>
      <c r="I1398" s="26"/>
      <c r="J1398" s="27"/>
    </row>
    <row r="1399" spans="1:10" x14ac:dyDescent="0.15">
      <c r="A1399" s="18"/>
      <c r="B1399" s="19"/>
      <c r="C1399" s="66"/>
      <c r="D1399" s="58"/>
      <c r="E1399" s="20"/>
      <c r="F1399" s="18"/>
      <c r="G1399" s="19"/>
      <c r="H1399" s="60"/>
      <c r="I1399" s="19"/>
      <c r="J1399" s="20"/>
    </row>
    <row r="1400" spans="1:10" ht="40.15" customHeight="1" x14ac:dyDescent="0.15">
      <c r="A1400" s="21"/>
      <c r="B1400" s="22"/>
      <c r="C1400" s="64"/>
      <c r="D1400" s="24"/>
      <c r="E1400" s="23"/>
      <c r="F1400" s="21"/>
      <c r="G1400" s="28"/>
      <c r="H1400" s="61"/>
      <c r="I1400" s="22"/>
      <c r="J1400" s="23"/>
    </row>
    <row r="1401" spans="1:10" ht="60" customHeight="1" x14ac:dyDescent="0.55000000000000004">
      <c r="A1401" s="21"/>
      <c r="B1401" s="22"/>
      <c r="C1401" s="70"/>
      <c r="D1401" s="24"/>
      <c r="E1401" s="23"/>
      <c r="F1401" s="21"/>
      <c r="G1401" s="22"/>
      <c r="H1401" s="70"/>
      <c r="I1401" s="22"/>
      <c r="J1401" s="23"/>
    </row>
    <row r="1402" spans="1:10" ht="27.6" customHeight="1" x14ac:dyDescent="0.15">
      <c r="A1402" s="21"/>
      <c r="B1402" s="22"/>
      <c r="C1402" s="64"/>
      <c r="D1402" s="24"/>
      <c r="E1402" s="23"/>
      <c r="F1402" s="21"/>
      <c r="G1402" s="22"/>
      <c r="H1402" s="64"/>
      <c r="I1402" s="22"/>
      <c r="J1402" s="23"/>
    </row>
    <row r="1403" spans="1:10" ht="33.6" customHeight="1" x14ac:dyDescent="0.15">
      <c r="A1403" s="21"/>
      <c r="B1403" s="22"/>
      <c r="C1403" s="64"/>
      <c r="D1403" s="24"/>
      <c r="E1403" s="23"/>
      <c r="F1403" s="21"/>
      <c r="G1403" s="22"/>
      <c r="H1403" s="61"/>
      <c r="I1403" s="24"/>
      <c r="J1403" s="23"/>
    </row>
    <row r="1404" spans="1:10" x14ac:dyDescent="0.15">
      <c r="A1404" s="25"/>
      <c r="B1404" s="26"/>
      <c r="C1404" s="67"/>
      <c r="D1404" s="59"/>
      <c r="E1404" s="27"/>
      <c r="F1404" s="25"/>
      <c r="G1404" s="26"/>
      <c r="H1404" s="63"/>
      <c r="I1404" s="26"/>
      <c r="J1404" s="27"/>
    </row>
    <row r="1405" spans="1:10" x14ac:dyDescent="0.15">
      <c r="A1405" s="18"/>
      <c r="B1405" s="19"/>
      <c r="C1405" s="66"/>
      <c r="D1405" s="58"/>
      <c r="E1405" s="20"/>
      <c r="F1405" s="18"/>
      <c r="G1405" s="19"/>
      <c r="H1405" s="60"/>
      <c r="I1405" s="19"/>
      <c r="J1405" s="20"/>
    </row>
    <row r="1406" spans="1:10" ht="40.15" customHeight="1" x14ac:dyDescent="0.15">
      <c r="A1406" s="21"/>
      <c r="B1406" s="28"/>
      <c r="C1406" s="64"/>
      <c r="D1406" s="24"/>
      <c r="E1406" s="23"/>
      <c r="F1406" s="21"/>
      <c r="G1406" s="28"/>
      <c r="H1406" s="61"/>
      <c r="I1406" s="22"/>
      <c r="J1406" s="23"/>
    </row>
    <row r="1407" spans="1:10" ht="60" customHeight="1" x14ac:dyDescent="0.4">
      <c r="A1407" s="21"/>
      <c r="B1407" s="22"/>
      <c r="C1407" s="62"/>
      <c r="D1407" s="24"/>
      <c r="E1407" s="23"/>
      <c r="F1407" s="21"/>
      <c r="G1407" s="22"/>
      <c r="H1407" s="62"/>
      <c r="I1407" s="22"/>
      <c r="J1407" s="23"/>
    </row>
    <row r="1408" spans="1:10" ht="27.6" customHeight="1" x14ac:dyDescent="0.3">
      <c r="A1408" s="21"/>
      <c r="B1408" s="22"/>
      <c r="C1408" s="69"/>
      <c r="D1408" s="24"/>
      <c r="E1408" s="23"/>
      <c r="F1408" s="21"/>
      <c r="G1408" s="22"/>
      <c r="H1408" s="69"/>
      <c r="I1408" s="22"/>
      <c r="J1408" s="23"/>
    </row>
    <row r="1409" spans="1:10" ht="33.6" customHeight="1" x14ac:dyDescent="0.15">
      <c r="A1409" s="21"/>
      <c r="B1409" s="22"/>
      <c r="C1409" s="64"/>
      <c r="D1409" s="24"/>
      <c r="E1409" s="23"/>
      <c r="F1409" s="21"/>
      <c r="G1409" s="22"/>
      <c r="H1409" s="61"/>
      <c r="I1409" s="24"/>
      <c r="J1409" s="23"/>
    </row>
    <row r="1410" spans="1:10" x14ac:dyDescent="0.15">
      <c r="A1410" s="25"/>
      <c r="B1410" s="26"/>
      <c r="C1410" s="67"/>
      <c r="D1410" s="59"/>
      <c r="E1410" s="27"/>
      <c r="F1410" s="25"/>
      <c r="G1410" s="26"/>
      <c r="H1410" s="63"/>
      <c r="I1410" s="26"/>
      <c r="J1410" s="27"/>
    </row>
    <row r="1411" spans="1:10" x14ac:dyDescent="0.15">
      <c r="A1411" s="18"/>
      <c r="B1411" s="19"/>
      <c r="C1411" s="66"/>
      <c r="D1411" s="58"/>
      <c r="E1411" s="20"/>
      <c r="F1411" s="18"/>
      <c r="G1411" s="19"/>
      <c r="H1411" s="60"/>
      <c r="I1411" s="19"/>
      <c r="J1411" s="20"/>
    </row>
    <row r="1412" spans="1:10" ht="40.15" customHeight="1" x14ac:dyDescent="0.15">
      <c r="A1412" s="21"/>
      <c r="B1412" s="28"/>
      <c r="C1412" s="64"/>
      <c r="D1412" s="24"/>
      <c r="E1412" s="23"/>
      <c r="F1412" s="21"/>
      <c r="G1412" s="28"/>
      <c r="H1412" s="61"/>
      <c r="I1412" s="22"/>
      <c r="J1412" s="23"/>
    </row>
    <row r="1413" spans="1:10" ht="60" customHeight="1" x14ac:dyDescent="0.4">
      <c r="A1413" s="21"/>
      <c r="B1413" s="22"/>
      <c r="C1413" s="62"/>
      <c r="D1413" s="24"/>
      <c r="E1413" s="23"/>
      <c r="F1413" s="21"/>
      <c r="G1413" s="22"/>
      <c r="H1413" s="62"/>
      <c r="I1413" s="22"/>
      <c r="J1413" s="23"/>
    </row>
    <row r="1414" spans="1:10" ht="27.6" customHeight="1" x14ac:dyDescent="0.3">
      <c r="A1414" s="21"/>
      <c r="B1414" s="22"/>
      <c r="C1414" s="69"/>
      <c r="D1414" s="24"/>
      <c r="E1414" s="23"/>
      <c r="F1414" s="21"/>
      <c r="G1414" s="22"/>
      <c r="H1414" s="69"/>
      <c r="I1414" s="22"/>
      <c r="J1414" s="23"/>
    </row>
    <row r="1415" spans="1:10" ht="33.6" customHeight="1" x14ac:dyDescent="0.15">
      <c r="A1415" s="21"/>
      <c r="B1415" s="22"/>
      <c r="C1415" s="64"/>
      <c r="D1415" s="24"/>
      <c r="E1415" s="23"/>
      <c r="F1415" s="21"/>
      <c r="G1415" s="22"/>
      <c r="H1415" s="61"/>
      <c r="I1415" s="24"/>
      <c r="J1415" s="23"/>
    </row>
    <row r="1416" spans="1:10" x14ac:dyDescent="0.15">
      <c r="A1416" s="25"/>
      <c r="B1416" s="26"/>
      <c r="C1416" s="67"/>
      <c r="D1416" s="59"/>
      <c r="E1416" s="27"/>
      <c r="F1416" s="25"/>
      <c r="G1416" s="26"/>
      <c r="H1416" s="63"/>
      <c r="I1416" s="26"/>
      <c r="J1416" s="27"/>
    </row>
    <row r="1417" spans="1:10" x14ac:dyDescent="0.15">
      <c r="A1417" s="18"/>
      <c r="B1417" s="19"/>
      <c r="C1417" s="66"/>
      <c r="D1417" s="58"/>
      <c r="E1417" s="20"/>
      <c r="F1417" s="18"/>
      <c r="G1417" s="19"/>
      <c r="H1417" s="60"/>
      <c r="I1417" s="19"/>
      <c r="J1417" s="20"/>
    </row>
    <row r="1418" spans="1:10" ht="40.15" customHeight="1" x14ac:dyDescent="0.15">
      <c r="A1418" s="21"/>
      <c r="B1418" s="28"/>
      <c r="C1418" s="64"/>
      <c r="D1418" s="24"/>
      <c r="E1418" s="23"/>
      <c r="F1418" s="21"/>
      <c r="G1418" s="28"/>
      <c r="H1418" s="61"/>
      <c r="I1418" s="22"/>
      <c r="J1418" s="23"/>
    </row>
    <row r="1419" spans="1:10" ht="60" customHeight="1" x14ac:dyDescent="0.4">
      <c r="A1419" s="21"/>
      <c r="B1419" s="22"/>
      <c r="C1419" s="62"/>
      <c r="D1419" s="24"/>
      <c r="E1419" s="23"/>
      <c r="F1419" s="21"/>
      <c r="G1419" s="22"/>
      <c r="H1419" s="62"/>
      <c r="I1419" s="22"/>
      <c r="J1419" s="23"/>
    </row>
    <row r="1420" spans="1:10" ht="27.6" customHeight="1" x14ac:dyDescent="0.3">
      <c r="A1420" s="21"/>
      <c r="B1420" s="22"/>
      <c r="C1420" s="69"/>
      <c r="D1420" s="24"/>
      <c r="E1420" s="23"/>
      <c r="F1420" s="21"/>
      <c r="G1420" s="22"/>
      <c r="H1420" s="69"/>
      <c r="I1420" s="22"/>
      <c r="J1420" s="23"/>
    </row>
    <row r="1421" spans="1:10" ht="33.6" customHeight="1" x14ac:dyDescent="0.15">
      <c r="A1421" s="21"/>
      <c r="B1421" s="22"/>
      <c r="C1421" s="64"/>
      <c r="D1421" s="24"/>
      <c r="E1421" s="23"/>
      <c r="F1421" s="21"/>
      <c r="G1421" s="22"/>
      <c r="H1421" s="61"/>
      <c r="I1421" s="24"/>
      <c r="J1421" s="23"/>
    </row>
    <row r="1422" spans="1:10" x14ac:dyDescent="0.15">
      <c r="A1422" s="25"/>
      <c r="B1422" s="26"/>
      <c r="C1422" s="67"/>
      <c r="D1422" s="59"/>
      <c r="E1422" s="27"/>
      <c r="F1422" s="25"/>
      <c r="G1422" s="26"/>
      <c r="H1422" s="63"/>
      <c r="I1422" s="26"/>
      <c r="J1422" s="27"/>
    </row>
    <row r="1423" spans="1:10" x14ac:dyDescent="0.15">
      <c r="A1423" s="18"/>
      <c r="B1423" s="19"/>
      <c r="C1423" s="66"/>
      <c r="D1423" s="58"/>
      <c r="E1423" s="20"/>
      <c r="F1423" s="18"/>
      <c r="G1423" s="19"/>
      <c r="H1423" s="60"/>
      <c r="I1423" s="19"/>
      <c r="J1423" s="20"/>
    </row>
    <row r="1424" spans="1:10" ht="40.15" customHeight="1" x14ac:dyDescent="0.15">
      <c r="A1424" s="21"/>
      <c r="B1424" s="28"/>
      <c r="C1424" s="64"/>
      <c r="D1424" s="24"/>
      <c r="E1424" s="23"/>
      <c r="F1424" s="21"/>
      <c r="G1424" s="28"/>
      <c r="H1424" s="61"/>
      <c r="I1424" s="22"/>
      <c r="J1424" s="23"/>
    </row>
    <row r="1425" spans="1:10" ht="60" customHeight="1" x14ac:dyDescent="0.4">
      <c r="A1425" s="21"/>
      <c r="B1425" s="22"/>
      <c r="C1425" s="62"/>
      <c r="D1425" s="24"/>
      <c r="E1425" s="23"/>
      <c r="F1425" s="21"/>
      <c r="G1425" s="22"/>
      <c r="H1425" s="62"/>
      <c r="I1425" s="22"/>
      <c r="J1425" s="23"/>
    </row>
    <row r="1426" spans="1:10" ht="27.6" customHeight="1" x14ac:dyDescent="0.3">
      <c r="A1426" s="21"/>
      <c r="B1426" s="22"/>
      <c r="C1426" s="69"/>
      <c r="D1426" s="24"/>
      <c r="E1426" s="23"/>
      <c r="F1426" s="21"/>
      <c r="G1426" s="22"/>
      <c r="H1426" s="69"/>
      <c r="I1426" s="22"/>
      <c r="J1426" s="23"/>
    </row>
    <row r="1427" spans="1:10" ht="33.6" customHeight="1" x14ac:dyDescent="0.15">
      <c r="A1427" s="21"/>
      <c r="B1427" s="22"/>
      <c r="C1427" s="64"/>
      <c r="D1427" s="24"/>
      <c r="E1427" s="23"/>
      <c r="F1427" s="21"/>
      <c r="G1427" s="22"/>
      <c r="H1427" s="61"/>
      <c r="I1427" s="24"/>
      <c r="J1427" s="23"/>
    </row>
    <row r="1428" spans="1:10" x14ac:dyDescent="0.15">
      <c r="A1428" s="25"/>
      <c r="B1428" s="26"/>
      <c r="C1428" s="67"/>
      <c r="D1428" s="59"/>
      <c r="E1428" s="27"/>
      <c r="F1428" s="25"/>
      <c r="G1428" s="26"/>
      <c r="H1428" s="63"/>
      <c r="I1428" s="26"/>
      <c r="J1428" s="27"/>
    </row>
    <row r="1429" spans="1:10" x14ac:dyDescent="0.15">
      <c r="A1429" s="18"/>
      <c r="B1429" s="19"/>
      <c r="C1429" s="66"/>
      <c r="D1429" s="58"/>
      <c r="E1429" s="20"/>
      <c r="F1429" s="18"/>
      <c r="G1429" s="19"/>
      <c r="H1429" s="60"/>
      <c r="I1429" s="19"/>
      <c r="J1429" s="20"/>
    </row>
    <row r="1430" spans="1:10" ht="40.15" customHeight="1" x14ac:dyDescent="0.15">
      <c r="A1430" s="21"/>
      <c r="B1430" s="28"/>
      <c r="C1430" s="64"/>
      <c r="D1430" s="24"/>
      <c r="E1430" s="23"/>
      <c r="F1430" s="21"/>
      <c r="G1430" s="28"/>
      <c r="H1430" s="61"/>
      <c r="I1430" s="22"/>
      <c r="J1430" s="23"/>
    </row>
    <row r="1431" spans="1:10" ht="60" customHeight="1" x14ac:dyDescent="0.4">
      <c r="A1431" s="21"/>
      <c r="B1431" s="22"/>
      <c r="C1431" s="62"/>
      <c r="D1431" s="24"/>
      <c r="E1431" s="23"/>
      <c r="F1431" s="21"/>
      <c r="G1431" s="22"/>
      <c r="H1431" s="62"/>
      <c r="I1431" s="22"/>
      <c r="J1431" s="23"/>
    </row>
    <row r="1432" spans="1:10" ht="27.6" customHeight="1" x14ac:dyDescent="0.3">
      <c r="A1432" s="21"/>
      <c r="B1432" s="22"/>
      <c r="C1432" s="69"/>
      <c r="D1432" s="24"/>
      <c r="E1432" s="23"/>
      <c r="F1432" s="21"/>
      <c r="G1432" s="22"/>
      <c r="H1432" s="69"/>
      <c r="I1432" s="22"/>
      <c r="J1432" s="23"/>
    </row>
    <row r="1433" spans="1:10" ht="33.6" customHeight="1" x14ac:dyDescent="0.15">
      <c r="A1433" s="21"/>
      <c r="B1433" s="22"/>
      <c r="C1433" s="64"/>
      <c r="D1433" s="24"/>
      <c r="E1433" s="23"/>
      <c r="F1433" s="21"/>
      <c r="G1433" s="22"/>
      <c r="H1433" s="61"/>
      <c r="I1433" s="24"/>
      <c r="J1433" s="23"/>
    </row>
    <row r="1434" spans="1:10" x14ac:dyDescent="0.15">
      <c r="A1434" s="25"/>
      <c r="B1434" s="26"/>
      <c r="C1434" s="67"/>
      <c r="D1434" s="59"/>
      <c r="E1434" s="27"/>
      <c r="F1434" s="25"/>
      <c r="G1434" s="26"/>
      <c r="H1434" s="63"/>
      <c r="I1434" s="26"/>
      <c r="J1434" s="27"/>
    </row>
    <row r="1435" spans="1:10" x14ac:dyDescent="0.15">
      <c r="A1435" s="18"/>
      <c r="B1435" s="19"/>
      <c r="C1435" s="66"/>
      <c r="D1435" s="58"/>
      <c r="E1435" s="20"/>
      <c r="F1435" s="18"/>
      <c r="G1435" s="19"/>
      <c r="H1435" s="60"/>
      <c r="I1435" s="19"/>
      <c r="J1435" s="20"/>
    </row>
    <row r="1436" spans="1:10" ht="40.15" customHeight="1" x14ac:dyDescent="0.15">
      <c r="A1436" s="21"/>
      <c r="B1436" s="28"/>
      <c r="C1436" s="64"/>
      <c r="D1436" s="24"/>
      <c r="E1436" s="23"/>
      <c r="F1436" s="21"/>
      <c r="G1436" s="28"/>
      <c r="H1436" s="61"/>
      <c r="I1436" s="22"/>
      <c r="J1436" s="23"/>
    </row>
    <row r="1437" spans="1:10" ht="60" customHeight="1" x14ac:dyDescent="0.4">
      <c r="A1437" s="21"/>
      <c r="B1437" s="22"/>
      <c r="C1437" s="62"/>
      <c r="D1437" s="24"/>
      <c r="E1437" s="23"/>
      <c r="F1437" s="21"/>
      <c r="G1437" s="22"/>
      <c r="H1437" s="62"/>
      <c r="I1437" s="22"/>
      <c r="J1437" s="23"/>
    </row>
    <row r="1438" spans="1:10" ht="27.6" customHeight="1" x14ac:dyDescent="0.3">
      <c r="A1438" s="21"/>
      <c r="B1438" s="22"/>
      <c r="C1438" s="69"/>
      <c r="D1438" s="24"/>
      <c r="E1438" s="23"/>
      <c r="F1438" s="21"/>
      <c r="G1438" s="22"/>
      <c r="H1438" s="69"/>
      <c r="I1438" s="22"/>
      <c r="J1438" s="23"/>
    </row>
    <row r="1439" spans="1:10" ht="33.6" customHeight="1" x14ac:dyDescent="0.15">
      <c r="A1439" s="21"/>
      <c r="B1439" s="22"/>
      <c r="C1439" s="64"/>
      <c r="D1439" s="24"/>
      <c r="E1439" s="23"/>
      <c r="F1439" s="21"/>
      <c r="G1439" s="22"/>
      <c r="H1439" s="61"/>
      <c r="I1439" s="24"/>
      <c r="J1439" s="23"/>
    </row>
    <row r="1440" spans="1:10" x14ac:dyDescent="0.15">
      <c r="A1440" s="25"/>
      <c r="B1440" s="26"/>
      <c r="C1440" s="67"/>
      <c r="D1440" s="59"/>
      <c r="E1440" s="27"/>
      <c r="F1440" s="25"/>
      <c r="G1440" s="26"/>
      <c r="H1440" s="63"/>
      <c r="I1440" s="26"/>
      <c r="J1440" s="27"/>
    </row>
    <row r="1441" spans="1:10" x14ac:dyDescent="0.15">
      <c r="A1441" s="18"/>
      <c r="B1441" s="19"/>
      <c r="C1441" s="66"/>
      <c r="D1441" s="58"/>
      <c r="E1441" s="20"/>
      <c r="F1441" s="18"/>
      <c r="G1441" s="19"/>
      <c r="H1441" s="60"/>
      <c r="I1441" s="19"/>
      <c r="J1441" s="20"/>
    </row>
    <row r="1442" spans="1:10" ht="40.15" customHeight="1" x14ac:dyDescent="0.15">
      <c r="A1442" s="21"/>
      <c r="B1442" s="22"/>
      <c r="C1442" s="64"/>
      <c r="D1442" s="24"/>
      <c r="E1442" s="23"/>
      <c r="F1442" s="21"/>
      <c r="G1442" s="28"/>
      <c r="H1442" s="61"/>
      <c r="I1442" s="22"/>
      <c r="J1442" s="23"/>
    </row>
    <row r="1443" spans="1:10" ht="60" customHeight="1" x14ac:dyDescent="0.55000000000000004">
      <c r="A1443" s="21"/>
      <c r="B1443" s="22"/>
      <c r="C1443" s="70"/>
      <c r="D1443" s="24"/>
      <c r="E1443" s="23"/>
      <c r="F1443" s="21"/>
      <c r="G1443" s="22"/>
      <c r="H1443" s="70"/>
      <c r="I1443" s="22"/>
      <c r="J1443" s="23"/>
    </row>
    <row r="1444" spans="1:10" ht="27.6" customHeight="1" x14ac:dyDescent="0.15">
      <c r="A1444" s="21"/>
      <c r="B1444" s="22"/>
      <c r="C1444" s="64"/>
      <c r="D1444" s="24"/>
      <c r="E1444" s="23"/>
      <c r="F1444" s="21"/>
      <c r="G1444" s="22"/>
      <c r="H1444" s="64"/>
      <c r="I1444" s="22"/>
      <c r="J1444" s="23"/>
    </row>
    <row r="1445" spans="1:10" ht="33.6" customHeight="1" x14ac:dyDescent="0.15">
      <c r="A1445" s="21"/>
      <c r="B1445" s="22"/>
      <c r="C1445" s="64"/>
      <c r="D1445" s="24"/>
      <c r="E1445" s="23"/>
      <c r="F1445" s="21"/>
      <c r="G1445" s="22"/>
      <c r="H1445" s="61"/>
      <c r="I1445" s="24"/>
      <c r="J1445" s="23"/>
    </row>
    <row r="1446" spans="1:10" x14ac:dyDescent="0.15">
      <c r="A1446" s="25"/>
      <c r="B1446" s="26"/>
      <c r="C1446" s="67"/>
      <c r="D1446" s="59"/>
      <c r="E1446" s="27"/>
      <c r="F1446" s="25"/>
      <c r="G1446" s="26"/>
      <c r="H1446" s="63"/>
      <c r="I1446" s="26"/>
      <c r="J1446" s="27"/>
    </row>
    <row r="1447" spans="1:10" x14ac:dyDescent="0.15">
      <c r="A1447" s="18"/>
      <c r="B1447" s="19"/>
      <c r="C1447" s="66"/>
      <c r="D1447" s="58"/>
      <c r="E1447" s="20"/>
      <c r="F1447" s="18"/>
      <c r="G1447" s="19"/>
      <c r="H1447" s="60"/>
      <c r="I1447" s="19"/>
      <c r="J1447" s="20"/>
    </row>
    <row r="1448" spans="1:10" ht="40.15" customHeight="1" x14ac:dyDescent="0.15">
      <c r="A1448" s="21"/>
      <c r="B1448" s="22"/>
      <c r="C1448" s="64"/>
      <c r="D1448" s="24"/>
      <c r="E1448" s="23"/>
      <c r="F1448" s="21"/>
      <c r="G1448" s="28"/>
      <c r="H1448" s="61"/>
      <c r="I1448" s="22"/>
      <c r="J1448" s="23"/>
    </row>
    <row r="1449" spans="1:10" ht="60" customHeight="1" x14ac:dyDescent="0.55000000000000004">
      <c r="A1449" s="21"/>
      <c r="B1449" s="22"/>
      <c r="C1449" s="70"/>
      <c r="D1449" s="24"/>
      <c r="E1449" s="23"/>
      <c r="F1449" s="21"/>
      <c r="G1449" s="22"/>
      <c r="H1449" s="70"/>
      <c r="I1449" s="22"/>
      <c r="J1449" s="23"/>
    </row>
    <row r="1450" spans="1:10" ht="27.6" customHeight="1" x14ac:dyDescent="0.15">
      <c r="A1450" s="21"/>
      <c r="B1450" s="22"/>
      <c r="C1450" s="64"/>
      <c r="D1450" s="24"/>
      <c r="E1450" s="23"/>
      <c r="F1450" s="21"/>
      <c r="G1450" s="22"/>
      <c r="H1450" s="64"/>
      <c r="I1450" s="22"/>
      <c r="J1450" s="23"/>
    </row>
    <row r="1451" spans="1:10" ht="33.6" customHeight="1" x14ac:dyDescent="0.15">
      <c r="A1451" s="21"/>
      <c r="B1451" s="22"/>
      <c r="C1451" s="64"/>
      <c r="D1451" s="24"/>
      <c r="E1451" s="23"/>
      <c r="F1451" s="21"/>
      <c r="G1451" s="22"/>
      <c r="H1451" s="61"/>
      <c r="I1451" s="24"/>
      <c r="J1451" s="23"/>
    </row>
    <row r="1452" spans="1:10" x14ac:dyDescent="0.15">
      <c r="A1452" s="25"/>
      <c r="B1452" s="26"/>
      <c r="C1452" s="67"/>
      <c r="D1452" s="59"/>
      <c r="E1452" s="27"/>
      <c r="F1452" s="25"/>
      <c r="G1452" s="26"/>
      <c r="H1452" s="63"/>
      <c r="I1452" s="26"/>
      <c r="J1452" s="27"/>
    </row>
    <row r="1453" spans="1:10" x14ac:dyDescent="0.15">
      <c r="A1453" s="18"/>
      <c r="B1453" s="19"/>
      <c r="C1453" s="66"/>
      <c r="D1453" s="58"/>
      <c r="E1453" s="20"/>
      <c r="F1453" s="18"/>
      <c r="G1453" s="19"/>
      <c r="H1453" s="60"/>
      <c r="I1453" s="19"/>
      <c r="J1453" s="20"/>
    </row>
    <row r="1454" spans="1:10" ht="40.15" customHeight="1" x14ac:dyDescent="0.15">
      <c r="A1454" s="21"/>
      <c r="B1454" s="22"/>
      <c r="C1454" s="64"/>
      <c r="D1454" s="24"/>
      <c r="E1454" s="23"/>
      <c r="F1454" s="21"/>
      <c r="G1454" s="28"/>
      <c r="H1454" s="61"/>
      <c r="I1454" s="22"/>
      <c r="J1454" s="23"/>
    </row>
    <row r="1455" spans="1:10" ht="60" customHeight="1" x14ac:dyDescent="0.55000000000000004">
      <c r="A1455" s="21"/>
      <c r="B1455" s="22"/>
      <c r="C1455" s="70"/>
      <c r="D1455" s="24"/>
      <c r="E1455" s="23"/>
      <c r="F1455" s="21"/>
      <c r="G1455" s="22"/>
      <c r="H1455" s="70"/>
      <c r="I1455" s="22"/>
      <c r="J1455" s="23"/>
    </row>
    <row r="1456" spans="1:10" ht="27.6" customHeight="1" x14ac:dyDescent="0.15">
      <c r="A1456" s="21"/>
      <c r="B1456" s="22"/>
      <c r="C1456" s="64"/>
      <c r="D1456" s="24"/>
      <c r="E1456" s="23"/>
      <c r="F1456" s="21"/>
      <c r="G1456" s="22"/>
      <c r="H1456" s="64"/>
      <c r="I1456" s="22"/>
      <c r="J1456" s="23"/>
    </row>
    <row r="1457" spans="1:10" ht="33.6" customHeight="1" x14ac:dyDescent="0.15">
      <c r="A1457" s="21"/>
      <c r="B1457" s="22"/>
      <c r="C1457" s="64"/>
      <c r="D1457" s="24"/>
      <c r="E1457" s="23"/>
      <c r="F1457" s="21"/>
      <c r="G1457" s="22"/>
      <c r="H1457" s="61"/>
      <c r="I1457" s="24"/>
      <c r="J1457" s="23"/>
    </row>
    <row r="1458" spans="1:10" x14ac:dyDescent="0.15">
      <c r="A1458" s="25"/>
      <c r="B1458" s="26"/>
      <c r="C1458" s="67"/>
      <c r="D1458" s="59"/>
      <c r="E1458" s="27"/>
      <c r="F1458" s="25"/>
      <c r="G1458" s="26"/>
      <c r="H1458" s="63"/>
      <c r="I1458" s="26"/>
      <c r="J1458" s="27"/>
    </row>
    <row r="1459" spans="1:10" x14ac:dyDescent="0.15">
      <c r="A1459" s="18"/>
      <c r="B1459" s="19"/>
      <c r="C1459" s="66"/>
      <c r="D1459" s="58"/>
      <c r="E1459" s="20"/>
      <c r="F1459" s="18"/>
      <c r="G1459" s="19"/>
      <c r="H1459" s="60"/>
      <c r="I1459" s="19"/>
      <c r="J1459" s="20"/>
    </row>
    <row r="1460" spans="1:10" ht="40.15" customHeight="1" x14ac:dyDescent="0.15">
      <c r="A1460" s="21"/>
      <c r="B1460" s="22"/>
      <c r="C1460" s="64"/>
      <c r="D1460" s="24"/>
      <c r="E1460" s="23"/>
      <c r="F1460" s="21"/>
      <c r="G1460" s="28"/>
      <c r="H1460" s="61"/>
      <c r="I1460" s="22"/>
      <c r="J1460" s="23"/>
    </row>
    <row r="1461" spans="1:10" ht="60" customHeight="1" x14ac:dyDescent="0.55000000000000004">
      <c r="A1461" s="21"/>
      <c r="B1461" s="22"/>
      <c r="C1461" s="70"/>
      <c r="D1461" s="24"/>
      <c r="E1461" s="23"/>
      <c r="F1461" s="21"/>
      <c r="G1461" s="22"/>
      <c r="H1461" s="70"/>
      <c r="I1461" s="22"/>
      <c r="J1461" s="23"/>
    </row>
    <row r="1462" spans="1:10" ht="27.6" customHeight="1" x14ac:dyDescent="0.15">
      <c r="A1462" s="21"/>
      <c r="B1462" s="22"/>
      <c r="C1462" s="64"/>
      <c r="D1462" s="24"/>
      <c r="E1462" s="23"/>
      <c r="F1462" s="21"/>
      <c r="G1462" s="22"/>
      <c r="H1462" s="64"/>
      <c r="I1462" s="22"/>
      <c r="J1462" s="23"/>
    </row>
    <row r="1463" spans="1:10" ht="33.6" customHeight="1" x14ac:dyDescent="0.15">
      <c r="A1463" s="21"/>
      <c r="B1463" s="22"/>
      <c r="C1463" s="64"/>
      <c r="D1463" s="24"/>
      <c r="E1463" s="23"/>
      <c r="F1463" s="21"/>
      <c r="G1463" s="22"/>
      <c r="H1463" s="61"/>
      <c r="I1463" s="24"/>
      <c r="J1463" s="23"/>
    </row>
    <row r="1464" spans="1:10" x14ac:dyDescent="0.15">
      <c r="A1464" s="25"/>
      <c r="B1464" s="26"/>
      <c r="C1464" s="67"/>
      <c r="D1464" s="59"/>
      <c r="E1464" s="27"/>
      <c r="F1464" s="25"/>
      <c r="G1464" s="26"/>
      <c r="H1464" s="63"/>
      <c r="I1464" s="26"/>
      <c r="J1464" s="27"/>
    </row>
    <row r="1465" spans="1:10" x14ac:dyDescent="0.15">
      <c r="A1465" s="18"/>
      <c r="B1465" s="19"/>
      <c r="C1465" s="66"/>
      <c r="D1465" s="58"/>
      <c r="E1465" s="20"/>
      <c r="F1465" s="18"/>
      <c r="G1465" s="19"/>
      <c r="H1465" s="60"/>
      <c r="I1465" s="19"/>
      <c r="J1465" s="20"/>
    </row>
    <row r="1466" spans="1:10" ht="40.15" customHeight="1" x14ac:dyDescent="0.15">
      <c r="A1466" s="21"/>
      <c r="B1466" s="22"/>
      <c r="C1466" s="64"/>
      <c r="D1466" s="24"/>
      <c r="E1466" s="23"/>
      <c r="F1466" s="21"/>
      <c r="G1466" s="28"/>
      <c r="H1466" s="61"/>
      <c r="I1466" s="22"/>
      <c r="J1466" s="23"/>
    </row>
    <row r="1467" spans="1:10" ht="60" customHeight="1" x14ac:dyDescent="0.55000000000000004">
      <c r="A1467" s="21"/>
      <c r="B1467" s="22"/>
      <c r="C1467" s="70"/>
      <c r="D1467" s="24"/>
      <c r="E1467" s="23"/>
      <c r="F1467" s="21"/>
      <c r="G1467" s="22"/>
      <c r="H1467" s="70"/>
      <c r="I1467" s="22"/>
      <c r="J1467" s="23"/>
    </row>
    <row r="1468" spans="1:10" ht="27.6" customHeight="1" x14ac:dyDescent="0.15">
      <c r="A1468" s="21"/>
      <c r="B1468" s="22"/>
      <c r="C1468" s="64"/>
      <c r="D1468" s="24"/>
      <c r="E1468" s="23"/>
      <c r="F1468" s="21"/>
      <c r="G1468" s="22"/>
      <c r="H1468" s="64"/>
      <c r="I1468" s="22"/>
      <c r="J1468" s="23"/>
    </row>
    <row r="1469" spans="1:10" ht="33.6" customHeight="1" x14ac:dyDescent="0.15">
      <c r="A1469" s="21"/>
      <c r="B1469" s="22"/>
      <c r="C1469" s="64"/>
      <c r="D1469" s="24"/>
      <c r="E1469" s="23"/>
      <c r="F1469" s="21"/>
      <c r="G1469" s="22"/>
      <c r="H1469" s="61"/>
      <c r="I1469" s="24"/>
      <c r="J1469" s="23"/>
    </row>
    <row r="1470" spans="1:10" x14ac:dyDescent="0.15">
      <c r="A1470" s="25"/>
      <c r="B1470" s="26"/>
      <c r="C1470" s="67"/>
      <c r="D1470" s="59"/>
      <c r="E1470" s="27"/>
      <c r="F1470" s="25"/>
      <c r="G1470" s="26"/>
      <c r="H1470" s="63"/>
      <c r="I1470" s="26"/>
      <c r="J1470" s="27"/>
    </row>
    <row r="1471" spans="1:10" x14ac:dyDescent="0.15">
      <c r="A1471" s="18"/>
      <c r="B1471" s="19"/>
      <c r="C1471" s="66"/>
      <c r="D1471" s="58"/>
      <c r="E1471" s="20"/>
      <c r="F1471" s="18"/>
      <c r="G1471" s="19"/>
      <c r="H1471" s="60"/>
      <c r="I1471" s="19"/>
      <c r="J1471" s="20"/>
    </row>
    <row r="1472" spans="1:10" ht="40.15" customHeight="1" x14ac:dyDescent="0.15">
      <c r="A1472" s="21"/>
      <c r="B1472" s="22"/>
      <c r="C1472" s="64"/>
      <c r="D1472" s="24"/>
      <c r="E1472" s="23"/>
      <c r="F1472" s="21"/>
      <c r="G1472" s="28"/>
      <c r="H1472" s="61"/>
      <c r="I1472" s="22"/>
      <c r="J1472" s="23"/>
    </row>
    <row r="1473" spans="1:10" ht="60" customHeight="1" x14ac:dyDescent="0.55000000000000004">
      <c r="A1473" s="21"/>
      <c r="B1473" s="22"/>
      <c r="C1473" s="70"/>
      <c r="D1473" s="24"/>
      <c r="E1473" s="23"/>
      <c r="F1473" s="21"/>
      <c r="G1473" s="22"/>
      <c r="H1473" s="70"/>
      <c r="I1473" s="22"/>
      <c r="J1473" s="23"/>
    </row>
    <row r="1474" spans="1:10" ht="27.6" customHeight="1" x14ac:dyDescent="0.15">
      <c r="A1474" s="21"/>
      <c r="B1474" s="22"/>
      <c r="C1474" s="64"/>
      <c r="D1474" s="24"/>
      <c r="E1474" s="23"/>
      <c r="F1474" s="21"/>
      <c r="G1474" s="22"/>
      <c r="H1474" s="64"/>
      <c r="I1474" s="22"/>
      <c r="J1474" s="23"/>
    </row>
    <row r="1475" spans="1:10" ht="33.6" customHeight="1" x14ac:dyDescent="0.15">
      <c r="A1475" s="21"/>
      <c r="B1475" s="22"/>
      <c r="C1475" s="64"/>
      <c r="D1475" s="24"/>
      <c r="E1475" s="23"/>
      <c r="F1475" s="21"/>
      <c r="G1475" s="22"/>
      <c r="H1475" s="61"/>
      <c r="I1475" s="24"/>
      <c r="J1475" s="23"/>
    </row>
    <row r="1476" spans="1:10" x14ac:dyDescent="0.15">
      <c r="A1476" s="25"/>
      <c r="B1476" s="26"/>
      <c r="C1476" s="67"/>
      <c r="D1476" s="59"/>
      <c r="E1476" s="27"/>
      <c r="F1476" s="25"/>
      <c r="G1476" s="26"/>
      <c r="H1476" s="63"/>
      <c r="I1476" s="26"/>
      <c r="J1476" s="27"/>
    </row>
    <row r="1477" spans="1:10" x14ac:dyDescent="0.15">
      <c r="A1477" s="18"/>
      <c r="B1477" s="19"/>
      <c r="C1477" s="66"/>
      <c r="D1477" s="58"/>
      <c r="E1477" s="20"/>
      <c r="F1477" s="18"/>
      <c r="G1477" s="19"/>
      <c r="H1477" s="60"/>
      <c r="I1477" s="19"/>
      <c r="J1477" s="20"/>
    </row>
    <row r="1478" spans="1:10" ht="40.15" customHeight="1" x14ac:dyDescent="0.15">
      <c r="A1478" s="21"/>
      <c r="B1478" s="28"/>
      <c r="C1478" s="64"/>
      <c r="D1478" s="24"/>
      <c r="E1478" s="23"/>
      <c r="F1478" s="21"/>
      <c r="G1478" s="28"/>
      <c r="H1478" s="61"/>
      <c r="I1478" s="22"/>
      <c r="J1478" s="23"/>
    </row>
    <row r="1479" spans="1:10" ht="60" customHeight="1" x14ac:dyDescent="0.4">
      <c r="A1479" s="21"/>
      <c r="B1479" s="22"/>
      <c r="C1479" s="62"/>
      <c r="D1479" s="24"/>
      <c r="E1479" s="23"/>
      <c r="F1479" s="21"/>
      <c r="G1479" s="22"/>
      <c r="H1479" s="62"/>
      <c r="I1479" s="22"/>
      <c r="J1479" s="23"/>
    </row>
    <row r="1480" spans="1:10" ht="27.6" customHeight="1" x14ac:dyDescent="0.3">
      <c r="A1480" s="21"/>
      <c r="B1480" s="22"/>
      <c r="C1480" s="69"/>
      <c r="D1480" s="24"/>
      <c r="E1480" s="23"/>
      <c r="F1480" s="21"/>
      <c r="G1480" s="22"/>
      <c r="H1480" s="69"/>
      <c r="I1480" s="22"/>
      <c r="J1480" s="23"/>
    </row>
    <row r="1481" spans="1:10" ht="33.6" customHeight="1" x14ac:dyDescent="0.15">
      <c r="A1481" s="21"/>
      <c r="B1481" s="22"/>
      <c r="C1481" s="64"/>
      <c r="D1481" s="24"/>
      <c r="E1481" s="23"/>
      <c r="F1481" s="21"/>
      <c r="G1481" s="22"/>
      <c r="H1481" s="61"/>
      <c r="I1481" s="24"/>
      <c r="J1481" s="23"/>
    </row>
    <row r="1482" spans="1:10" x14ac:dyDescent="0.15">
      <c r="A1482" s="25"/>
      <c r="B1482" s="26"/>
      <c r="C1482" s="67"/>
      <c r="D1482" s="59"/>
      <c r="E1482" s="27"/>
      <c r="F1482" s="25"/>
      <c r="G1482" s="26"/>
      <c r="H1482" s="63"/>
      <c r="I1482" s="26"/>
      <c r="J1482" s="27"/>
    </row>
    <row r="1483" spans="1:10" x14ac:dyDescent="0.15">
      <c r="A1483" s="18"/>
      <c r="B1483" s="19"/>
      <c r="C1483" s="66"/>
      <c r="D1483" s="58"/>
      <c r="E1483" s="20"/>
      <c r="F1483" s="18"/>
      <c r="G1483" s="19"/>
      <c r="H1483" s="60"/>
      <c r="I1483" s="19"/>
      <c r="J1483" s="20"/>
    </row>
    <row r="1484" spans="1:10" ht="40.15" customHeight="1" x14ac:dyDescent="0.15">
      <c r="A1484" s="21"/>
      <c r="B1484" s="28"/>
      <c r="C1484" s="64"/>
      <c r="D1484" s="24"/>
      <c r="E1484" s="23"/>
      <c r="F1484" s="21"/>
      <c r="G1484" s="28"/>
      <c r="H1484" s="61"/>
      <c r="I1484" s="22"/>
      <c r="J1484" s="23"/>
    </row>
    <row r="1485" spans="1:10" ht="60" customHeight="1" x14ac:dyDescent="0.4">
      <c r="A1485" s="21"/>
      <c r="B1485" s="22"/>
      <c r="C1485" s="62"/>
      <c r="D1485" s="24"/>
      <c r="E1485" s="23"/>
      <c r="F1485" s="21"/>
      <c r="G1485" s="22"/>
      <c r="H1485" s="62"/>
      <c r="I1485" s="22"/>
      <c r="J1485" s="23"/>
    </row>
    <row r="1486" spans="1:10" ht="27.6" customHeight="1" x14ac:dyDescent="0.3">
      <c r="A1486" s="21"/>
      <c r="B1486" s="22"/>
      <c r="C1486" s="69"/>
      <c r="D1486" s="24"/>
      <c r="E1486" s="23"/>
      <c r="F1486" s="21"/>
      <c r="G1486" s="22"/>
      <c r="H1486" s="69"/>
      <c r="I1486" s="22"/>
      <c r="J1486" s="23"/>
    </row>
    <row r="1487" spans="1:10" ht="33.6" customHeight="1" x14ac:dyDescent="0.15">
      <c r="A1487" s="21"/>
      <c r="B1487" s="22"/>
      <c r="C1487" s="64"/>
      <c r="D1487" s="24"/>
      <c r="E1487" s="23"/>
      <c r="F1487" s="21"/>
      <c r="G1487" s="22"/>
      <c r="H1487" s="61"/>
      <c r="I1487" s="24"/>
      <c r="J1487" s="23"/>
    </row>
    <row r="1488" spans="1:10" x14ac:dyDescent="0.15">
      <c r="A1488" s="25"/>
      <c r="B1488" s="26"/>
      <c r="C1488" s="67"/>
      <c r="D1488" s="59"/>
      <c r="E1488" s="27"/>
      <c r="F1488" s="25"/>
      <c r="G1488" s="26"/>
      <c r="H1488" s="63"/>
      <c r="I1488" s="26"/>
      <c r="J1488" s="27"/>
    </row>
    <row r="1489" spans="1:10" x14ac:dyDescent="0.15">
      <c r="A1489" s="18"/>
      <c r="B1489" s="19"/>
      <c r="C1489" s="66"/>
      <c r="D1489" s="58"/>
      <c r="E1489" s="20"/>
      <c r="F1489" s="18"/>
      <c r="G1489" s="19"/>
      <c r="H1489" s="60"/>
      <c r="I1489" s="19"/>
      <c r="J1489" s="20"/>
    </row>
    <row r="1490" spans="1:10" ht="40.15" customHeight="1" x14ac:dyDescent="0.15">
      <c r="A1490" s="21"/>
      <c r="B1490" s="28"/>
      <c r="C1490" s="64"/>
      <c r="D1490" s="24"/>
      <c r="E1490" s="23"/>
      <c r="F1490" s="21"/>
      <c r="G1490" s="28"/>
      <c r="H1490" s="61"/>
      <c r="I1490" s="22"/>
      <c r="J1490" s="23"/>
    </row>
    <row r="1491" spans="1:10" ht="60" customHeight="1" x14ac:dyDescent="0.4">
      <c r="A1491" s="21"/>
      <c r="B1491" s="22"/>
      <c r="C1491" s="62"/>
      <c r="D1491" s="24"/>
      <c r="E1491" s="23"/>
      <c r="F1491" s="21"/>
      <c r="G1491" s="22"/>
      <c r="H1491" s="62"/>
      <c r="I1491" s="22"/>
      <c r="J1491" s="23"/>
    </row>
    <row r="1492" spans="1:10" ht="27.6" customHeight="1" x14ac:dyDescent="0.3">
      <c r="A1492" s="21"/>
      <c r="B1492" s="22"/>
      <c r="C1492" s="69"/>
      <c r="D1492" s="24"/>
      <c r="E1492" s="23"/>
      <c r="F1492" s="21"/>
      <c r="G1492" s="22"/>
      <c r="H1492" s="69"/>
      <c r="I1492" s="22"/>
      <c r="J1492" s="23"/>
    </row>
    <row r="1493" spans="1:10" ht="33.6" customHeight="1" x14ac:dyDescent="0.15">
      <c r="A1493" s="21"/>
      <c r="B1493" s="22"/>
      <c r="C1493" s="64"/>
      <c r="D1493" s="24"/>
      <c r="E1493" s="23"/>
      <c r="F1493" s="21"/>
      <c r="G1493" s="22"/>
      <c r="H1493" s="61"/>
      <c r="I1493" s="24"/>
      <c r="J1493" s="23"/>
    </row>
    <row r="1494" spans="1:10" x14ac:dyDescent="0.15">
      <c r="A1494" s="25"/>
      <c r="B1494" s="26"/>
      <c r="C1494" s="67"/>
      <c r="D1494" s="59"/>
      <c r="E1494" s="27"/>
      <c r="F1494" s="25"/>
      <c r="G1494" s="26"/>
      <c r="H1494" s="63"/>
      <c r="I1494" s="26"/>
      <c r="J1494" s="27"/>
    </row>
    <row r="1495" spans="1:10" x14ac:dyDescent="0.15">
      <c r="A1495" s="18"/>
      <c r="B1495" s="19"/>
      <c r="C1495" s="66"/>
      <c r="D1495" s="58"/>
      <c r="E1495" s="20"/>
      <c r="F1495" s="18"/>
      <c r="G1495" s="19"/>
      <c r="H1495" s="60"/>
      <c r="I1495" s="19"/>
      <c r="J1495" s="20"/>
    </row>
    <row r="1496" spans="1:10" ht="40.15" customHeight="1" x14ac:dyDescent="0.15">
      <c r="A1496" s="21"/>
      <c r="B1496" s="28"/>
      <c r="C1496" s="64"/>
      <c r="D1496" s="24"/>
      <c r="E1496" s="23"/>
      <c r="F1496" s="21"/>
      <c r="G1496" s="28"/>
      <c r="H1496" s="61"/>
      <c r="I1496" s="22"/>
      <c r="J1496" s="23"/>
    </row>
    <row r="1497" spans="1:10" ht="60" customHeight="1" x14ac:dyDescent="0.4">
      <c r="A1497" s="21"/>
      <c r="B1497" s="22"/>
      <c r="C1497" s="62"/>
      <c r="D1497" s="24"/>
      <c r="E1497" s="23"/>
      <c r="F1497" s="21"/>
      <c r="G1497" s="22"/>
      <c r="H1497" s="62"/>
      <c r="I1497" s="22"/>
      <c r="J1497" s="23"/>
    </row>
    <row r="1498" spans="1:10" ht="27.6" customHeight="1" x14ac:dyDescent="0.3">
      <c r="A1498" s="21"/>
      <c r="B1498" s="22"/>
      <c r="C1498" s="69"/>
      <c r="D1498" s="24"/>
      <c r="E1498" s="23"/>
      <c r="F1498" s="21"/>
      <c r="G1498" s="22"/>
      <c r="H1498" s="69"/>
      <c r="I1498" s="22"/>
      <c r="J1498" s="23"/>
    </row>
    <row r="1499" spans="1:10" ht="33.6" customHeight="1" x14ac:dyDescent="0.15">
      <c r="A1499" s="21"/>
      <c r="B1499" s="22"/>
      <c r="C1499" s="64"/>
      <c r="D1499" s="24"/>
      <c r="E1499" s="23"/>
      <c r="F1499" s="21"/>
      <c r="G1499" s="22"/>
      <c r="H1499" s="61"/>
      <c r="I1499" s="24"/>
      <c r="J1499" s="23"/>
    </row>
    <row r="1500" spans="1:10" x14ac:dyDescent="0.15">
      <c r="A1500" s="25"/>
      <c r="B1500" s="26"/>
      <c r="C1500" s="67"/>
      <c r="D1500" s="59"/>
      <c r="E1500" s="27"/>
      <c r="F1500" s="25"/>
      <c r="G1500" s="26"/>
      <c r="H1500" s="63"/>
      <c r="I1500" s="26"/>
      <c r="J1500" s="27"/>
    </row>
    <row r="1501" spans="1:10" x14ac:dyDescent="0.15">
      <c r="A1501" s="18"/>
      <c r="B1501" s="19"/>
      <c r="C1501" s="66"/>
      <c r="D1501" s="58"/>
      <c r="E1501" s="20"/>
      <c r="F1501" s="18"/>
      <c r="G1501" s="19"/>
      <c r="H1501" s="60"/>
      <c r="I1501" s="19"/>
      <c r="J1501" s="20"/>
    </row>
    <row r="1502" spans="1:10" ht="40.15" customHeight="1" x14ac:dyDescent="0.15">
      <c r="A1502" s="21"/>
      <c r="B1502" s="28"/>
      <c r="C1502" s="64"/>
      <c r="D1502" s="24"/>
      <c r="E1502" s="23"/>
      <c r="F1502" s="21"/>
      <c r="G1502" s="28"/>
      <c r="H1502" s="61"/>
      <c r="I1502" s="22"/>
      <c r="J1502" s="23"/>
    </row>
    <row r="1503" spans="1:10" ht="60" customHeight="1" x14ac:dyDescent="0.4">
      <c r="A1503" s="21"/>
      <c r="B1503" s="22"/>
      <c r="C1503" s="62"/>
      <c r="D1503" s="24"/>
      <c r="E1503" s="23"/>
      <c r="F1503" s="21"/>
      <c r="G1503" s="22"/>
      <c r="H1503" s="62"/>
      <c r="I1503" s="22"/>
      <c r="J1503" s="23"/>
    </row>
    <row r="1504" spans="1:10" ht="27.6" customHeight="1" x14ac:dyDescent="0.3">
      <c r="A1504" s="21"/>
      <c r="B1504" s="22"/>
      <c r="C1504" s="69"/>
      <c r="D1504" s="24"/>
      <c r="E1504" s="23"/>
      <c r="F1504" s="21"/>
      <c r="G1504" s="22"/>
      <c r="H1504" s="69"/>
      <c r="I1504" s="22"/>
      <c r="J1504" s="23"/>
    </row>
    <row r="1505" spans="1:10" ht="33.6" customHeight="1" x14ac:dyDescent="0.15">
      <c r="A1505" s="21"/>
      <c r="B1505" s="22"/>
      <c r="C1505" s="64"/>
      <c r="D1505" s="24"/>
      <c r="E1505" s="23"/>
      <c r="F1505" s="21"/>
      <c r="G1505" s="22"/>
      <c r="H1505" s="61"/>
      <c r="I1505" s="24"/>
      <c r="J1505" s="23"/>
    </row>
    <row r="1506" spans="1:10" x14ac:dyDescent="0.15">
      <c r="A1506" s="25"/>
      <c r="B1506" s="26"/>
      <c r="C1506" s="67"/>
      <c r="D1506" s="59"/>
      <c r="E1506" s="27"/>
      <c r="F1506" s="25"/>
      <c r="G1506" s="26"/>
      <c r="H1506" s="63"/>
      <c r="I1506" s="26"/>
      <c r="J1506" s="27"/>
    </row>
    <row r="1507" spans="1:10" x14ac:dyDescent="0.15">
      <c r="A1507" s="18"/>
      <c r="B1507" s="19"/>
      <c r="C1507" s="66"/>
      <c r="D1507" s="58"/>
      <c r="E1507" s="20"/>
      <c r="F1507" s="18"/>
      <c r="G1507" s="19"/>
      <c r="H1507" s="60"/>
      <c r="I1507" s="19"/>
      <c r="J1507" s="20"/>
    </row>
    <row r="1508" spans="1:10" ht="40.15" customHeight="1" x14ac:dyDescent="0.15">
      <c r="A1508" s="21"/>
      <c r="B1508" s="28"/>
      <c r="C1508" s="64"/>
      <c r="D1508" s="24"/>
      <c r="E1508" s="23"/>
      <c r="F1508" s="21"/>
      <c r="G1508" s="28"/>
      <c r="H1508" s="61"/>
      <c r="I1508" s="22"/>
      <c r="J1508" s="23"/>
    </row>
    <row r="1509" spans="1:10" ht="60" customHeight="1" x14ac:dyDescent="0.4">
      <c r="A1509" s="21"/>
      <c r="B1509" s="22"/>
      <c r="C1509" s="62"/>
      <c r="D1509" s="24"/>
      <c r="E1509" s="23"/>
      <c r="F1509" s="21"/>
      <c r="G1509" s="22"/>
      <c r="H1509" s="62"/>
      <c r="I1509" s="22"/>
      <c r="J1509" s="23"/>
    </row>
    <row r="1510" spans="1:10" ht="27.6" customHeight="1" x14ac:dyDescent="0.3">
      <c r="A1510" s="21"/>
      <c r="B1510" s="22"/>
      <c r="C1510" s="69"/>
      <c r="D1510" s="24"/>
      <c r="E1510" s="23"/>
      <c r="F1510" s="21"/>
      <c r="G1510" s="22"/>
      <c r="H1510" s="69"/>
      <c r="I1510" s="22"/>
      <c r="J1510" s="23"/>
    </row>
    <row r="1511" spans="1:10" ht="33.6" customHeight="1" x14ac:dyDescent="0.15">
      <c r="A1511" s="21"/>
      <c r="B1511" s="22"/>
      <c r="C1511" s="64"/>
      <c r="D1511" s="24"/>
      <c r="E1511" s="23"/>
      <c r="F1511" s="21"/>
      <c r="G1511" s="22"/>
      <c r="H1511" s="61"/>
      <c r="I1511" s="24"/>
      <c r="J1511" s="23"/>
    </row>
    <row r="1512" spans="1:10" x14ac:dyDescent="0.15">
      <c r="A1512" s="25"/>
      <c r="B1512" s="26"/>
      <c r="C1512" s="67"/>
      <c r="D1512" s="59"/>
      <c r="E1512" s="27"/>
      <c r="F1512" s="25"/>
      <c r="G1512" s="26"/>
      <c r="H1512" s="63"/>
      <c r="I1512" s="26"/>
      <c r="J1512" s="27"/>
    </row>
    <row r="1513" spans="1:10" x14ac:dyDescent="0.15">
      <c r="A1513" s="18"/>
      <c r="B1513" s="19"/>
      <c r="C1513" s="66"/>
      <c r="D1513" s="58"/>
      <c r="E1513" s="20"/>
      <c r="F1513" s="18"/>
      <c r="G1513" s="19"/>
      <c r="H1513" s="60"/>
      <c r="I1513" s="19"/>
      <c r="J1513" s="20"/>
    </row>
    <row r="1514" spans="1:10" ht="40.15" customHeight="1" x14ac:dyDescent="0.15">
      <c r="A1514" s="21"/>
      <c r="B1514" s="22"/>
      <c r="C1514" s="64"/>
      <c r="D1514" s="24"/>
      <c r="E1514" s="23"/>
      <c r="F1514" s="21"/>
      <c r="G1514" s="28"/>
      <c r="H1514" s="61"/>
      <c r="I1514" s="22"/>
      <c r="J1514" s="23"/>
    </row>
    <row r="1515" spans="1:10" ht="60" customHeight="1" x14ac:dyDescent="0.55000000000000004">
      <c r="A1515" s="21"/>
      <c r="B1515" s="22"/>
      <c r="C1515" s="70"/>
      <c r="D1515" s="24"/>
      <c r="E1515" s="23"/>
      <c r="F1515" s="21"/>
      <c r="G1515" s="22"/>
      <c r="H1515" s="70"/>
      <c r="I1515" s="22"/>
      <c r="J1515" s="23"/>
    </row>
    <row r="1516" spans="1:10" ht="27.6" customHeight="1" x14ac:dyDescent="0.15">
      <c r="A1516" s="21"/>
      <c r="B1516" s="22"/>
      <c r="C1516" s="64"/>
      <c r="D1516" s="24"/>
      <c r="E1516" s="23"/>
      <c r="F1516" s="21"/>
      <c r="G1516" s="22"/>
      <c r="H1516" s="64"/>
      <c r="I1516" s="22"/>
      <c r="J1516" s="23"/>
    </row>
    <row r="1517" spans="1:10" ht="33.6" customHeight="1" x14ac:dyDescent="0.15">
      <c r="A1517" s="21"/>
      <c r="B1517" s="22"/>
      <c r="C1517" s="64"/>
      <c r="D1517" s="24"/>
      <c r="E1517" s="23"/>
      <c r="F1517" s="21"/>
      <c r="G1517" s="22"/>
      <c r="H1517" s="61"/>
      <c r="I1517" s="24"/>
      <c r="J1517" s="23"/>
    </row>
    <row r="1518" spans="1:10" x14ac:dyDescent="0.15">
      <c r="A1518" s="25"/>
      <c r="B1518" s="26"/>
      <c r="C1518" s="67"/>
      <c r="D1518" s="59"/>
      <c r="E1518" s="27"/>
      <c r="F1518" s="25"/>
      <c r="G1518" s="26"/>
      <c r="H1518" s="63"/>
      <c r="I1518" s="26"/>
      <c r="J1518" s="27"/>
    </row>
    <row r="1519" spans="1:10" x14ac:dyDescent="0.15">
      <c r="A1519" s="18"/>
      <c r="B1519" s="19"/>
      <c r="C1519" s="66"/>
      <c r="D1519" s="58"/>
      <c r="E1519" s="20"/>
      <c r="F1519" s="18"/>
      <c r="G1519" s="19"/>
      <c r="H1519" s="60"/>
      <c r="I1519" s="19"/>
      <c r="J1519" s="20"/>
    </row>
    <row r="1520" spans="1:10" ht="40.15" customHeight="1" x14ac:dyDescent="0.15">
      <c r="A1520" s="21"/>
      <c r="B1520" s="22"/>
      <c r="C1520" s="64"/>
      <c r="D1520" s="24"/>
      <c r="E1520" s="23"/>
      <c r="F1520" s="21"/>
      <c r="G1520" s="28"/>
      <c r="H1520" s="61"/>
      <c r="I1520" s="22"/>
      <c r="J1520" s="23"/>
    </row>
    <row r="1521" spans="1:10" ht="60" customHeight="1" x14ac:dyDescent="0.55000000000000004">
      <c r="A1521" s="21"/>
      <c r="B1521" s="22"/>
      <c r="C1521" s="70"/>
      <c r="D1521" s="24"/>
      <c r="E1521" s="23"/>
      <c r="F1521" s="21"/>
      <c r="G1521" s="22"/>
      <c r="H1521" s="70"/>
      <c r="I1521" s="22"/>
      <c r="J1521" s="23"/>
    </row>
    <row r="1522" spans="1:10" ht="27.6" customHeight="1" x14ac:dyDescent="0.15">
      <c r="A1522" s="21"/>
      <c r="B1522" s="22"/>
      <c r="C1522" s="64"/>
      <c r="D1522" s="24"/>
      <c r="E1522" s="23"/>
      <c r="F1522" s="21"/>
      <c r="G1522" s="22"/>
      <c r="H1522" s="64"/>
      <c r="I1522" s="22"/>
      <c r="J1522" s="23"/>
    </row>
    <row r="1523" spans="1:10" ht="33.6" customHeight="1" x14ac:dyDescent="0.15">
      <c r="A1523" s="21"/>
      <c r="B1523" s="22"/>
      <c r="C1523" s="64"/>
      <c r="D1523" s="24"/>
      <c r="E1523" s="23"/>
      <c r="F1523" s="21"/>
      <c r="G1523" s="22"/>
      <c r="H1523" s="61"/>
      <c r="I1523" s="24"/>
      <c r="J1523" s="23"/>
    </row>
    <row r="1524" spans="1:10" x14ac:dyDescent="0.15">
      <c r="A1524" s="25"/>
      <c r="B1524" s="26"/>
      <c r="C1524" s="67"/>
      <c r="D1524" s="59"/>
      <c r="E1524" s="27"/>
      <c r="F1524" s="25"/>
      <c r="G1524" s="26"/>
      <c r="H1524" s="63"/>
      <c r="I1524" s="26"/>
      <c r="J1524" s="27"/>
    </row>
    <row r="1525" spans="1:10" x14ac:dyDescent="0.15">
      <c r="A1525" s="18"/>
      <c r="B1525" s="19"/>
      <c r="C1525" s="66"/>
      <c r="D1525" s="58"/>
      <c r="E1525" s="20"/>
      <c r="F1525" s="18"/>
      <c r="G1525" s="19"/>
      <c r="H1525" s="60"/>
      <c r="I1525" s="19"/>
      <c r="J1525" s="20"/>
    </row>
    <row r="1526" spans="1:10" ht="40.15" customHeight="1" x14ac:dyDescent="0.15">
      <c r="A1526" s="21"/>
      <c r="B1526" s="22"/>
      <c r="C1526" s="64"/>
      <c r="D1526" s="24"/>
      <c r="E1526" s="23"/>
      <c r="F1526" s="21"/>
      <c r="G1526" s="28"/>
      <c r="H1526" s="61"/>
      <c r="I1526" s="22"/>
      <c r="J1526" s="23"/>
    </row>
    <row r="1527" spans="1:10" ht="60" customHeight="1" x14ac:dyDescent="0.55000000000000004">
      <c r="A1527" s="21"/>
      <c r="B1527" s="22"/>
      <c r="C1527" s="70"/>
      <c r="D1527" s="24"/>
      <c r="E1527" s="23"/>
      <c r="F1527" s="21"/>
      <c r="G1527" s="22"/>
      <c r="H1527" s="70"/>
      <c r="I1527" s="22"/>
      <c r="J1527" s="23"/>
    </row>
    <row r="1528" spans="1:10" ht="27.6" customHeight="1" x14ac:dyDescent="0.15">
      <c r="A1528" s="21"/>
      <c r="B1528" s="22"/>
      <c r="C1528" s="64"/>
      <c r="D1528" s="24"/>
      <c r="E1528" s="23"/>
      <c r="F1528" s="21"/>
      <c r="G1528" s="22"/>
      <c r="H1528" s="64"/>
      <c r="I1528" s="22"/>
      <c r="J1528" s="23"/>
    </row>
    <row r="1529" spans="1:10" ht="33.6" customHeight="1" x14ac:dyDescent="0.15">
      <c r="A1529" s="21"/>
      <c r="B1529" s="22"/>
      <c r="C1529" s="64"/>
      <c r="D1529" s="24"/>
      <c r="E1529" s="23"/>
      <c r="F1529" s="21"/>
      <c r="G1529" s="22"/>
      <c r="H1529" s="61"/>
      <c r="I1529" s="24"/>
      <c r="J1529" s="23"/>
    </row>
    <row r="1530" spans="1:10" x14ac:dyDescent="0.15">
      <c r="A1530" s="25"/>
      <c r="B1530" s="26"/>
      <c r="C1530" s="67"/>
      <c r="D1530" s="59"/>
      <c r="E1530" s="27"/>
      <c r="F1530" s="25"/>
      <c r="G1530" s="26"/>
      <c r="H1530" s="63"/>
      <c r="I1530" s="26"/>
      <c r="J1530" s="27"/>
    </row>
    <row r="1531" spans="1:10" x14ac:dyDescent="0.15">
      <c r="A1531" s="18"/>
      <c r="B1531" s="19"/>
      <c r="C1531" s="66"/>
      <c r="D1531" s="58"/>
      <c r="E1531" s="20"/>
      <c r="F1531" s="18"/>
      <c r="G1531" s="19"/>
      <c r="H1531" s="60"/>
      <c r="I1531" s="19"/>
      <c r="J1531" s="20"/>
    </row>
    <row r="1532" spans="1:10" ht="40.15" customHeight="1" x14ac:dyDescent="0.15">
      <c r="A1532" s="21"/>
      <c r="B1532" s="22"/>
      <c r="C1532" s="64"/>
      <c r="D1532" s="24"/>
      <c r="E1532" s="23"/>
      <c r="F1532" s="21"/>
      <c r="G1532" s="28"/>
      <c r="H1532" s="61"/>
      <c r="I1532" s="22"/>
      <c r="J1532" s="23"/>
    </row>
    <row r="1533" spans="1:10" ht="60" customHeight="1" x14ac:dyDescent="0.55000000000000004">
      <c r="A1533" s="21"/>
      <c r="B1533" s="22"/>
      <c r="C1533" s="70"/>
      <c r="D1533" s="24"/>
      <c r="E1533" s="23"/>
      <c r="F1533" s="21"/>
      <c r="G1533" s="22"/>
      <c r="H1533" s="70"/>
      <c r="I1533" s="22"/>
      <c r="J1533" s="23"/>
    </row>
    <row r="1534" spans="1:10" ht="27.6" customHeight="1" x14ac:dyDescent="0.15">
      <c r="A1534" s="21"/>
      <c r="B1534" s="22"/>
      <c r="C1534" s="64"/>
      <c r="D1534" s="24"/>
      <c r="E1534" s="23"/>
      <c r="F1534" s="21"/>
      <c r="G1534" s="22"/>
      <c r="H1534" s="64"/>
      <c r="I1534" s="22"/>
      <c r="J1534" s="23"/>
    </row>
    <row r="1535" spans="1:10" ht="33.6" customHeight="1" x14ac:dyDescent="0.15">
      <c r="A1535" s="21"/>
      <c r="B1535" s="22"/>
      <c r="C1535" s="64"/>
      <c r="D1535" s="24"/>
      <c r="E1535" s="23"/>
      <c r="F1535" s="21"/>
      <c r="G1535" s="22"/>
      <c r="H1535" s="61"/>
      <c r="I1535" s="24"/>
      <c r="J1535" s="23"/>
    </row>
    <row r="1536" spans="1:10" x14ac:dyDescent="0.15">
      <c r="A1536" s="25"/>
      <c r="B1536" s="26"/>
      <c r="C1536" s="67"/>
      <c r="D1536" s="59"/>
      <c r="E1536" s="27"/>
      <c r="F1536" s="25"/>
      <c r="G1536" s="26"/>
      <c r="H1536" s="63"/>
      <c r="I1536" s="26"/>
      <c r="J1536" s="27"/>
    </row>
    <row r="1537" spans="1:10" x14ac:dyDescent="0.15">
      <c r="A1537" s="18"/>
      <c r="B1537" s="19"/>
      <c r="C1537" s="66"/>
      <c r="D1537" s="58"/>
      <c r="E1537" s="20"/>
      <c r="F1537" s="18"/>
      <c r="G1537" s="19"/>
      <c r="H1537" s="60"/>
      <c r="I1537" s="19"/>
      <c r="J1537" s="20"/>
    </row>
    <row r="1538" spans="1:10" ht="40.15" customHeight="1" x14ac:dyDescent="0.15">
      <c r="A1538" s="21"/>
      <c r="B1538" s="22"/>
      <c r="C1538" s="64"/>
      <c r="D1538" s="24"/>
      <c r="E1538" s="23"/>
      <c r="F1538" s="21"/>
      <c r="G1538" s="28"/>
      <c r="H1538" s="61"/>
      <c r="I1538" s="22"/>
      <c r="J1538" s="23"/>
    </row>
    <row r="1539" spans="1:10" ht="60" customHeight="1" x14ac:dyDescent="0.55000000000000004">
      <c r="A1539" s="21"/>
      <c r="B1539" s="22"/>
      <c r="C1539" s="70"/>
      <c r="D1539" s="24"/>
      <c r="E1539" s="23"/>
      <c r="F1539" s="21"/>
      <c r="G1539" s="22"/>
      <c r="H1539" s="70"/>
      <c r="I1539" s="22"/>
      <c r="J1539" s="23"/>
    </row>
    <row r="1540" spans="1:10" ht="27.6" customHeight="1" x14ac:dyDescent="0.15">
      <c r="A1540" s="21"/>
      <c r="B1540" s="22"/>
      <c r="C1540" s="64"/>
      <c r="D1540" s="24"/>
      <c r="E1540" s="23"/>
      <c r="F1540" s="21"/>
      <c r="G1540" s="22"/>
      <c r="H1540" s="64"/>
      <c r="I1540" s="22"/>
      <c r="J1540" s="23"/>
    </row>
    <row r="1541" spans="1:10" ht="33.6" customHeight="1" x14ac:dyDescent="0.15">
      <c r="A1541" s="21"/>
      <c r="B1541" s="22"/>
      <c r="C1541" s="64"/>
      <c r="D1541" s="24"/>
      <c r="E1541" s="23"/>
      <c r="F1541" s="21"/>
      <c r="G1541" s="22"/>
      <c r="H1541" s="61"/>
      <c r="I1541" s="24"/>
      <c r="J1541" s="23"/>
    </row>
    <row r="1542" spans="1:10" x14ac:dyDescent="0.15">
      <c r="A1542" s="25"/>
      <c r="B1542" s="26"/>
      <c r="C1542" s="67"/>
      <c r="D1542" s="59"/>
      <c r="E1542" s="27"/>
      <c r="F1542" s="25"/>
      <c r="G1542" s="26"/>
      <c r="H1542" s="63"/>
      <c r="I1542" s="26"/>
      <c r="J1542" s="27"/>
    </row>
    <row r="1543" spans="1:10" x14ac:dyDescent="0.15">
      <c r="A1543" s="18"/>
      <c r="B1543" s="19"/>
      <c r="C1543" s="66"/>
      <c r="D1543" s="58"/>
      <c r="E1543" s="20"/>
      <c r="F1543" s="18"/>
      <c r="G1543" s="19"/>
      <c r="H1543" s="60"/>
      <c r="I1543" s="19"/>
      <c r="J1543" s="20"/>
    </row>
    <row r="1544" spans="1:10" ht="40.15" customHeight="1" x14ac:dyDescent="0.15">
      <c r="A1544" s="21"/>
      <c r="B1544" s="22"/>
      <c r="C1544" s="64"/>
      <c r="D1544" s="24"/>
      <c r="E1544" s="23"/>
      <c r="F1544" s="21"/>
      <c r="G1544" s="28"/>
      <c r="H1544" s="61"/>
      <c r="I1544" s="22"/>
      <c r="J1544" s="23"/>
    </row>
    <row r="1545" spans="1:10" ht="60" customHeight="1" x14ac:dyDescent="0.55000000000000004">
      <c r="A1545" s="21"/>
      <c r="B1545" s="22"/>
      <c r="C1545" s="70"/>
      <c r="D1545" s="24"/>
      <c r="E1545" s="23"/>
      <c r="F1545" s="21"/>
      <c r="G1545" s="22"/>
      <c r="H1545" s="70"/>
      <c r="I1545" s="22"/>
      <c r="J1545" s="23"/>
    </row>
    <row r="1546" spans="1:10" ht="27.6" customHeight="1" x14ac:dyDescent="0.15">
      <c r="A1546" s="21"/>
      <c r="B1546" s="22"/>
      <c r="C1546" s="64"/>
      <c r="D1546" s="24"/>
      <c r="E1546" s="23"/>
      <c r="F1546" s="21"/>
      <c r="G1546" s="22"/>
      <c r="H1546" s="64"/>
      <c r="I1546" s="22"/>
      <c r="J1546" s="23"/>
    </row>
    <row r="1547" spans="1:10" ht="33.6" customHeight="1" x14ac:dyDescent="0.15">
      <c r="A1547" s="21"/>
      <c r="B1547" s="22"/>
      <c r="C1547" s="64"/>
      <c r="D1547" s="24"/>
      <c r="E1547" s="23"/>
      <c r="F1547" s="21"/>
      <c r="G1547" s="22"/>
      <c r="H1547" s="61"/>
      <c r="I1547" s="24"/>
      <c r="J1547" s="23"/>
    </row>
    <row r="1548" spans="1:10" x14ac:dyDescent="0.15">
      <c r="A1548" s="25"/>
      <c r="B1548" s="26"/>
      <c r="C1548" s="67"/>
      <c r="D1548" s="59"/>
      <c r="E1548" s="27"/>
      <c r="F1548" s="25"/>
      <c r="G1548" s="26"/>
      <c r="H1548" s="63"/>
      <c r="I1548" s="26"/>
      <c r="J1548" s="27"/>
    </row>
    <row r="1549" spans="1:10" x14ac:dyDescent="0.15">
      <c r="A1549" s="18"/>
      <c r="B1549" s="19"/>
      <c r="C1549" s="66"/>
      <c r="D1549" s="58"/>
      <c r="E1549" s="20"/>
      <c r="F1549" s="18"/>
      <c r="G1549" s="19"/>
      <c r="H1549" s="60"/>
      <c r="I1549" s="19"/>
      <c r="J1549" s="20"/>
    </row>
    <row r="1550" spans="1:10" ht="40.15" customHeight="1" x14ac:dyDescent="0.15">
      <c r="A1550" s="21"/>
      <c r="B1550" s="28"/>
      <c r="C1550" s="64"/>
      <c r="D1550" s="24"/>
      <c r="E1550" s="23"/>
      <c r="F1550" s="21"/>
      <c r="G1550" s="28"/>
      <c r="H1550" s="61"/>
      <c r="I1550" s="22"/>
      <c r="J1550" s="23"/>
    </row>
    <row r="1551" spans="1:10" ht="60" customHeight="1" x14ac:dyDescent="0.4">
      <c r="A1551" s="21"/>
      <c r="B1551" s="22"/>
      <c r="C1551" s="62"/>
      <c r="D1551" s="24"/>
      <c r="E1551" s="23"/>
      <c r="F1551" s="21"/>
      <c r="G1551" s="22"/>
      <c r="H1551" s="62"/>
      <c r="I1551" s="22"/>
      <c r="J1551" s="23"/>
    </row>
    <row r="1552" spans="1:10" ht="27.6" customHeight="1" x14ac:dyDescent="0.3">
      <c r="A1552" s="21"/>
      <c r="B1552" s="22"/>
      <c r="C1552" s="69"/>
      <c r="D1552" s="24"/>
      <c r="E1552" s="23"/>
      <c r="F1552" s="21"/>
      <c r="G1552" s="22"/>
      <c r="H1552" s="69"/>
      <c r="I1552" s="22"/>
      <c r="J1552" s="23"/>
    </row>
    <row r="1553" spans="1:10" ht="33.6" customHeight="1" x14ac:dyDescent="0.15">
      <c r="A1553" s="21"/>
      <c r="B1553" s="22"/>
      <c r="C1553" s="64"/>
      <c r="D1553" s="24"/>
      <c r="E1553" s="23"/>
      <c r="F1553" s="21"/>
      <c r="G1553" s="22"/>
      <c r="H1553" s="61"/>
      <c r="I1553" s="24"/>
      <c r="J1553" s="23"/>
    </row>
    <row r="1554" spans="1:10" x14ac:dyDescent="0.15">
      <c r="A1554" s="25"/>
      <c r="B1554" s="26"/>
      <c r="C1554" s="67"/>
      <c r="D1554" s="59"/>
      <c r="E1554" s="27"/>
      <c r="F1554" s="25"/>
      <c r="G1554" s="26"/>
      <c r="H1554" s="63"/>
      <c r="I1554" s="26"/>
      <c r="J1554" s="27"/>
    </row>
    <row r="1555" spans="1:10" x14ac:dyDescent="0.15">
      <c r="A1555" s="18"/>
      <c r="B1555" s="19"/>
      <c r="C1555" s="66"/>
      <c r="D1555" s="58"/>
      <c r="E1555" s="20"/>
      <c r="F1555" s="18"/>
      <c r="G1555" s="19"/>
      <c r="H1555" s="60"/>
      <c r="I1555" s="19"/>
      <c r="J1555" s="20"/>
    </row>
    <row r="1556" spans="1:10" ht="40.15" customHeight="1" x14ac:dyDescent="0.15">
      <c r="A1556" s="21"/>
      <c r="B1556" s="28"/>
      <c r="C1556" s="64"/>
      <c r="D1556" s="24"/>
      <c r="E1556" s="23"/>
      <c r="F1556" s="21"/>
      <c r="G1556" s="28"/>
      <c r="H1556" s="61"/>
      <c r="I1556" s="22"/>
      <c r="J1556" s="23"/>
    </row>
    <row r="1557" spans="1:10" ht="60" customHeight="1" x14ac:dyDescent="0.4">
      <c r="A1557" s="21"/>
      <c r="B1557" s="22"/>
      <c r="C1557" s="62"/>
      <c r="D1557" s="24"/>
      <c r="E1557" s="23"/>
      <c r="F1557" s="21"/>
      <c r="G1557" s="22"/>
      <c r="H1557" s="62"/>
      <c r="I1557" s="22"/>
      <c r="J1557" s="23"/>
    </row>
    <row r="1558" spans="1:10" ht="27.6" customHeight="1" x14ac:dyDescent="0.3">
      <c r="A1558" s="21"/>
      <c r="B1558" s="22"/>
      <c r="C1558" s="69"/>
      <c r="D1558" s="24"/>
      <c r="E1558" s="23"/>
      <c r="F1558" s="21"/>
      <c r="G1558" s="22"/>
      <c r="H1558" s="69"/>
      <c r="I1558" s="22"/>
      <c r="J1558" s="23"/>
    </row>
    <row r="1559" spans="1:10" ht="33.6" customHeight="1" x14ac:dyDescent="0.15">
      <c r="A1559" s="21"/>
      <c r="B1559" s="22"/>
      <c r="C1559" s="64"/>
      <c r="D1559" s="24"/>
      <c r="E1559" s="23"/>
      <c r="F1559" s="21"/>
      <c r="G1559" s="22"/>
      <c r="H1559" s="61"/>
      <c r="I1559" s="24"/>
      <c r="J1559" s="23"/>
    </row>
    <row r="1560" spans="1:10" x14ac:dyDescent="0.15">
      <c r="A1560" s="25"/>
      <c r="B1560" s="26"/>
      <c r="C1560" s="67"/>
      <c r="D1560" s="59"/>
      <c r="E1560" s="27"/>
      <c r="F1560" s="25"/>
      <c r="G1560" s="26"/>
      <c r="H1560" s="63"/>
      <c r="I1560" s="26"/>
      <c r="J1560" s="27"/>
    </row>
    <row r="1561" spans="1:10" x14ac:dyDescent="0.15">
      <c r="A1561" s="18"/>
      <c r="B1561" s="19"/>
      <c r="C1561" s="66"/>
      <c r="D1561" s="58"/>
      <c r="E1561" s="20"/>
      <c r="F1561" s="18"/>
      <c r="G1561" s="19"/>
      <c r="H1561" s="60"/>
      <c r="I1561" s="19"/>
      <c r="J1561" s="20"/>
    </row>
    <row r="1562" spans="1:10" ht="40.15" customHeight="1" x14ac:dyDescent="0.15">
      <c r="A1562" s="21"/>
      <c r="B1562" s="28"/>
      <c r="C1562" s="64"/>
      <c r="D1562" s="24"/>
      <c r="E1562" s="23"/>
      <c r="F1562" s="21"/>
      <c r="G1562" s="28"/>
      <c r="H1562" s="61"/>
      <c r="I1562" s="22"/>
      <c r="J1562" s="23"/>
    </row>
    <row r="1563" spans="1:10" ht="60" customHeight="1" x14ac:dyDescent="0.4">
      <c r="A1563" s="21"/>
      <c r="B1563" s="22"/>
      <c r="C1563" s="62"/>
      <c r="D1563" s="24"/>
      <c r="E1563" s="23"/>
      <c r="F1563" s="21"/>
      <c r="G1563" s="22"/>
      <c r="H1563" s="62"/>
      <c r="I1563" s="22"/>
      <c r="J1563" s="23"/>
    </row>
    <row r="1564" spans="1:10" ht="27.6" customHeight="1" x14ac:dyDescent="0.3">
      <c r="A1564" s="21"/>
      <c r="B1564" s="22"/>
      <c r="C1564" s="69"/>
      <c r="D1564" s="24"/>
      <c r="E1564" s="23"/>
      <c r="F1564" s="21"/>
      <c r="G1564" s="22"/>
      <c r="H1564" s="69"/>
      <c r="I1564" s="22"/>
      <c r="J1564" s="23"/>
    </row>
    <row r="1565" spans="1:10" ht="33.6" customHeight="1" x14ac:dyDescent="0.15">
      <c r="A1565" s="21"/>
      <c r="B1565" s="22"/>
      <c r="C1565" s="64"/>
      <c r="D1565" s="24"/>
      <c r="E1565" s="23"/>
      <c r="F1565" s="21"/>
      <c r="G1565" s="22"/>
      <c r="H1565" s="61"/>
      <c r="I1565" s="24"/>
      <c r="J1565" s="23"/>
    </row>
    <row r="1566" spans="1:10" x14ac:dyDescent="0.15">
      <c r="A1566" s="25"/>
      <c r="B1566" s="26"/>
      <c r="C1566" s="67"/>
      <c r="D1566" s="59"/>
      <c r="E1566" s="27"/>
      <c r="F1566" s="25"/>
      <c r="G1566" s="26"/>
      <c r="H1566" s="63"/>
      <c r="I1566" s="26"/>
      <c r="J1566" s="27"/>
    </row>
    <row r="1567" spans="1:10" x14ac:dyDescent="0.15">
      <c r="A1567" s="18"/>
      <c r="B1567" s="19"/>
      <c r="C1567" s="66"/>
      <c r="D1567" s="58"/>
      <c r="E1567" s="20"/>
      <c r="F1567" s="18"/>
      <c r="G1567" s="19"/>
      <c r="H1567" s="60"/>
      <c r="I1567" s="19"/>
      <c r="J1567" s="20"/>
    </row>
    <row r="1568" spans="1:10" ht="40.15" customHeight="1" x14ac:dyDescent="0.15">
      <c r="A1568" s="21"/>
      <c r="B1568" s="28"/>
      <c r="C1568" s="64"/>
      <c r="D1568" s="24"/>
      <c r="E1568" s="23"/>
      <c r="F1568" s="21"/>
      <c r="G1568" s="28"/>
      <c r="H1568" s="61"/>
      <c r="I1568" s="22"/>
      <c r="J1568" s="23"/>
    </row>
    <row r="1569" spans="1:10" ht="60" customHeight="1" x14ac:dyDescent="0.4">
      <c r="A1569" s="21"/>
      <c r="B1569" s="22"/>
      <c r="C1569" s="62"/>
      <c r="D1569" s="24"/>
      <c r="E1569" s="23"/>
      <c r="F1569" s="21"/>
      <c r="G1569" s="22"/>
      <c r="H1569" s="62"/>
      <c r="I1569" s="22"/>
      <c r="J1569" s="23"/>
    </row>
    <row r="1570" spans="1:10" ht="27.6" customHeight="1" x14ac:dyDescent="0.3">
      <c r="A1570" s="21"/>
      <c r="B1570" s="22"/>
      <c r="C1570" s="69"/>
      <c r="D1570" s="24"/>
      <c r="E1570" s="23"/>
      <c r="F1570" s="21"/>
      <c r="G1570" s="22"/>
      <c r="H1570" s="69"/>
      <c r="I1570" s="22"/>
      <c r="J1570" s="23"/>
    </row>
    <row r="1571" spans="1:10" ht="33.6" customHeight="1" x14ac:dyDescent="0.15">
      <c r="A1571" s="21"/>
      <c r="B1571" s="22"/>
      <c r="C1571" s="64"/>
      <c r="D1571" s="24"/>
      <c r="E1571" s="23"/>
      <c r="F1571" s="21"/>
      <c r="G1571" s="22"/>
      <c r="H1571" s="61"/>
      <c r="I1571" s="24"/>
      <c r="J1571" s="23"/>
    </row>
    <row r="1572" spans="1:10" x14ac:dyDescent="0.15">
      <c r="A1572" s="25"/>
      <c r="B1572" s="26"/>
      <c r="C1572" s="67"/>
      <c r="D1572" s="59"/>
      <c r="E1572" s="27"/>
      <c r="F1572" s="25"/>
      <c r="G1572" s="26"/>
      <c r="H1572" s="63"/>
      <c r="I1572" s="26"/>
      <c r="J1572" s="27"/>
    </row>
    <row r="1573" spans="1:10" x14ac:dyDescent="0.15">
      <c r="A1573" s="18"/>
      <c r="B1573" s="19"/>
      <c r="C1573" s="66"/>
      <c r="D1573" s="58"/>
      <c r="E1573" s="20"/>
      <c r="F1573" s="18"/>
      <c r="G1573" s="19"/>
      <c r="H1573" s="60"/>
      <c r="I1573" s="19"/>
      <c r="J1573" s="20"/>
    </row>
    <row r="1574" spans="1:10" ht="40.15" customHeight="1" x14ac:dyDescent="0.15">
      <c r="A1574" s="21"/>
      <c r="B1574" s="28"/>
      <c r="C1574" s="64"/>
      <c r="D1574" s="24"/>
      <c r="E1574" s="23"/>
      <c r="F1574" s="21"/>
      <c r="G1574" s="28"/>
      <c r="H1574" s="61"/>
      <c r="I1574" s="22"/>
      <c r="J1574" s="23"/>
    </row>
    <row r="1575" spans="1:10" ht="60" customHeight="1" x14ac:dyDescent="0.4">
      <c r="A1575" s="21"/>
      <c r="B1575" s="22"/>
      <c r="C1575" s="62"/>
      <c r="D1575" s="24"/>
      <c r="E1575" s="23"/>
      <c r="F1575" s="21"/>
      <c r="G1575" s="22"/>
      <c r="H1575" s="62"/>
      <c r="I1575" s="22"/>
      <c r="J1575" s="23"/>
    </row>
    <row r="1576" spans="1:10" ht="27.6" customHeight="1" x14ac:dyDescent="0.3">
      <c r="A1576" s="21"/>
      <c r="B1576" s="22"/>
      <c r="C1576" s="69"/>
      <c r="D1576" s="24"/>
      <c r="E1576" s="23"/>
      <c r="F1576" s="21"/>
      <c r="G1576" s="22"/>
      <c r="H1576" s="69"/>
      <c r="I1576" s="22"/>
      <c r="J1576" s="23"/>
    </row>
    <row r="1577" spans="1:10" ht="33.6" customHeight="1" x14ac:dyDescent="0.15">
      <c r="A1577" s="21"/>
      <c r="B1577" s="22"/>
      <c r="C1577" s="64"/>
      <c r="D1577" s="24"/>
      <c r="E1577" s="23"/>
      <c r="F1577" s="21"/>
      <c r="G1577" s="22"/>
      <c r="H1577" s="61"/>
      <c r="I1577" s="24"/>
      <c r="J1577" s="23"/>
    </row>
    <row r="1578" spans="1:10" x14ac:dyDescent="0.15">
      <c r="A1578" s="25"/>
      <c r="B1578" s="26"/>
      <c r="C1578" s="67"/>
      <c r="D1578" s="59"/>
      <c r="E1578" s="27"/>
      <c r="F1578" s="25"/>
      <c r="G1578" s="26"/>
      <c r="H1578" s="63"/>
      <c r="I1578" s="26"/>
      <c r="J1578" s="27"/>
    </row>
    <row r="1579" spans="1:10" x14ac:dyDescent="0.15">
      <c r="A1579" s="18"/>
      <c r="B1579" s="19"/>
      <c r="C1579" s="66"/>
      <c r="D1579" s="58"/>
      <c r="E1579" s="20"/>
      <c r="F1579" s="18"/>
      <c r="G1579" s="19"/>
      <c r="H1579" s="60"/>
      <c r="I1579" s="19"/>
      <c r="J1579" s="20"/>
    </row>
    <row r="1580" spans="1:10" ht="40.15" customHeight="1" x14ac:dyDescent="0.15">
      <c r="A1580" s="21"/>
      <c r="B1580" s="28"/>
      <c r="C1580" s="64"/>
      <c r="D1580" s="24"/>
      <c r="E1580" s="23"/>
      <c r="F1580" s="21"/>
      <c r="G1580" s="28"/>
      <c r="H1580" s="61"/>
      <c r="I1580" s="22"/>
      <c r="J1580" s="23"/>
    </row>
    <row r="1581" spans="1:10" ht="60" customHeight="1" x14ac:dyDescent="0.4">
      <c r="A1581" s="21"/>
      <c r="B1581" s="22"/>
      <c r="C1581" s="62"/>
      <c r="D1581" s="24"/>
      <c r="E1581" s="23"/>
      <c r="F1581" s="21"/>
      <c r="G1581" s="22"/>
      <c r="H1581" s="62"/>
      <c r="I1581" s="22"/>
      <c r="J1581" s="23"/>
    </row>
    <row r="1582" spans="1:10" ht="27.6" customHeight="1" x14ac:dyDescent="0.3">
      <c r="A1582" s="21"/>
      <c r="B1582" s="22"/>
      <c r="C1582" s="69"/>
      <c r="D1582" s="24"/>
      <c r="E1582" s="23"/>
      <c r="F1582" s="21"/>
      <c r="G1582" s="22"/>
      <c r="H1582" s="69"/>
      <c r="I1582" s="22"/>
      <c r="J1582" s="23"/>
    </row>
    <row r="1583" spans="1:10" ht="33.6" customHeight="1" x14ac:dyDescent="0.15">
      <c r="A1583" s="21"/>
      <c r="B1583" s="22"/>
      <c r="C1583" s="64"/>
      <c r="D1583" s="24"/>
      <c r="E1583" s="23"/>
      <c r="F1583" s="21"/>
      <c r="G1583" s="22"/>
      <c r="H1583" s="61"/>
      <c r="I1583" s="24"/>
      <c r="J1583" s="23"/>
    </row>
    <row r="1584" spans="1:10" x14ac:dyDescent="0.15">
      <c r="A1584" s="25"/>
      <c r="B1584" s="26"/>
      <c r="C1584" s="67"/>
      <c r="D1584" s="59"/>
      <c r="E1584" s="27"/>
      <c r="F1584" s="25"/>
      <c r="G1584" s="26"/>
      <c r="H1584" s="63"/>
      <c r="I1584" s="26"/>
      <c r="J1584" s="27"/>
    </row>
    <row r="1585" spans="1:10" x14ac:dyDescent="0.15">
      <c r="A1585" s="18"/>
      <c r="B1585" s="19"/>
      <c r="C1585" s="66"/>
      <c r="D1585" s="58"/>
      <c r="E1585" s="20"/>
      <c r="F1585" s="18"/>
      <c r="G1585" s="19"/>
      <c r="H1585" s="60"/>
      <c r="I1585" s="19"/>
      <c r="J1585" s="20"/>
    </row>
    <row r="1586" spans="1:10" ht="40.15" customHeight="1" x14ac:dyDescent="0.15">
      <c r="A1586" s="21"/>
      <c r="B1586" s="22"/>
      <c r="C1586" s="64"/>
      <c r="D1586" s="24"/>
      <c r="E1586" s="23"/>
      <c r="F1586" s="21"/>
      <c r="G1586" s="28"/>
      <c r="H1586" s="61"/>
      <c r="I1586" s="22"/>
      <c r="J1586" s="23"/>
    </row>
    <row r="1587" spans="1:10" ht="60" customHeight="1" x14ac:dyDescent="0.55000000000000004">
      <c r="A1587" s="21"/>
      <c r="B1587" s="22"/>
      <c r="C1587" s="70"/>
      <c r="D1587" s="24"/>
      <c r="E1587" s="23"/>
      <c r="F1587" s="21"/>
      <c r="G1587" s="22"/>
      <c r="H1587" s="70"/>
      <c r="I1587" s="22"/>
      <c r="J1587" s="23"/>
    </row>
    <row r="1588" spans="1:10" ht="27.6" customHeight="1" x14ac:dyDescent="0.15">
      <c r="A1588" s="21"/>
      <c r="B1588" s="22"/>
      <c r="C1588" s="64"/>
      <c r="D1588" s="24"/>
      <c r="E1588" s="23"/>
      <c r="F1588" s="21"/>
      <c r="G1588" s="22"/>
      <c r="H1588" s="64"/>
      <c r="I1588" s="22"/>
      <c r="J1588" s="23"/>
    </row>
    <row r="1589" spans="1:10" ht="33.6" customHeight="1" x14ac:dyDescent="0.15">
      <c r="A1589" s="21"/>
      <c r="B1589" s="22"/>
      <c r="C1589" s="64"/>
      <c r="D1589" s="24"/>
      <c r="E1589" s="23"/>
      <c r="F1589" s="21"/>
      <c r="G1589" s="22"/>
      <c r="H1589" s="61"/>
      <c r="I1589" s="24"/>
      <c r="J1589" s="23"/>
    </row>
    <row r="1590" spans="1:10" x14ac:dyDescent="0.15">
      <c r="A1590" s="25"/>
      <c r="B1590" s="26"/>
      <c r="C1590" s="67"/>
      <c r="D1590" s="59"/>
      <c r="E1590" s="27"/>
      <c r="F1590" s="25"/>
      <c r="G1590" s="26"/>
      <c r="H1590" s="63"/>
      <c r="I1590" s="26"/>
      <c r="J1590" s="27"/>
    </row>
    <row r="1591" spans="1:10" x14ac:dyDescent="0.15">
      <c r="A1591" s="18"/>
      <c r="B1591" s="19"/>
      <c r="C1591" s="66"/>
      <c r="D1591" s="58"/>
      <c r="E1591" s="20"/>
      <c r="F1591" s="18"/>
      <c r="G1591" s="19"/>
      <c r="H1591" s="60"/>
      <c r="I1591" s="19"/>
      <c r="J1591" s="20"/>
    </row>
    <row r="1592" spans="1:10" ht="40.15" customHeight="1" x14ac:dyDescent="0.15">
      <c r="A1592" s="21"/>
      <c r="B1592" s="22"/>
      <c r="C1592" s="64"/>
      <c r="D1592" s="24"/>
      <c r="E1592" s="23"/>
      <c r="F1592" s="21"/>
      <c r="G1592" s="28"/>
      <c r="H1592" s="61"/>
      <c r="I1592" s="22"/>
      <c r="J1592" s="23"/>
    </row>
    <row r="1593" spans="1:10" ht="60" customHeight="1" x14ac:dyDescent="0.55000000000000004">
      <c r="A1593" s="21"/>
      <c r="B1593" s="22"/>
      <c r="C1593" s="70"/>
      <c r="D1593" s="24"/>
      <c r="E1593" s="23"/>
      <c r="F1593" s="21"/>
      <c r="G1593" s="22"/>
      <c r="H1593" s="70"/>
      <c r="I1593" s="22"/>
      <c r="J1593" s="23"/>
    </row>
    <row r="1594" spans="1:10" ht="27.6" customHeight="1" x14ac:dyDescent="0.15">
      <c r="A1594" s="21"/>
      <c r="B1594" s="22"/>
      <c r="C1594" s="64"/>
      <c r="D1594" s="24"/>
      <c r="E1594" s="23"/>
      <c r="F1594" s="21"/>
      <c r="G1594" s="22"/>
      <c r="H1594" s="64"/>
      <c r="I1594" s="22"/>
      <c r="J1594" s="23"/>
    </row>
    <row r="1595" spans="1:10" ht="33.6" customHeight="1" x14ac:dyDescent="0.15">
      <c r="A1595" s="21"/>
      <c r="B1595" s="22"/>
      <c r="C1595" s="64"/>
      <c r="D1595" s="24"/>
      <c r="E1595" s="23"/>
      <c r="F1595" s="21"/>
      <c r="G1595" s="22"/>
      <c r="H1595" s="61"/>
      <c r="I1595" s="24"/>
      <c r="J1595" s="23"/>
    </row>
    <row r="1596" spans="1:10" x14ac:dyDescent="0.15">
      <c r="A1596" s="25"/>
      <c r="B1596" s="26"/>
      <c r="C1596" s="67"/>
      <c r="D1596" s="59"/>
      <c r="E1596" s="27"/>
      <c r="F1596" s="25"/>
      <c r="G1596" s="26"/>
      <c r="H1596" s="63"/>
      <c r="I1596" s="26"/>
      <c r="J1596" s="27"/>
    </row>
    <row r="1597" spans="1:10" x14ac:dyDescent="0.15">
      <c r="A1597" s="18"/>
      <c r="B1597" s="19"/>
      <c r="C1597" s="66"/>
      <c r="D1597" s="58"/>
      <c r="E1597" s="20"/>
      <c r="F1597" s="18"/>
      <c r="G1597" s="19"/>
      <c r="H1597" s="60"/>
      <c r="I1597" s="19"/>
      <c r="J1597" s="20"/>
    </row>
    <row r="1598" spans="1:10" ht="40.15" customHeight="1" x14ac:dyDescent="0.15">
      <c r="A1598" s="21"/>
      <c r="B1598" s="22"/>
      <c r="C1598" s="64"/>
      <c r="D1598" s="24"/>
      <c r="E1598" s="23"/>
      <c r="F1598" s="21"/>
      <c r="G1598" s="28"/>
      <c r="H1598" s="61"/>
      <c r="I1598" s="22"/>
      <c r="J1598" s="23"/>
    </row>
    <row r="1599" spans="1:10" ht="60" customHeight="1" x14ac:dyDescent="0.55000000000000004">
      <c r="A1599" s="21"/>
      <c r="B1599" s="22"/>
      <c r="C1599" s="70"/>
      <c r="D1599" s="24"/>
      <c r="E1599" s="23"/>
      <c r="F1599" s="21"/>
      <c r="G1599" s="22"/>
      <c r="H1599" s="70"/>
      <c r="I1599" s="22"/>
      <c r="J1599" s="23"/>
    </row>
    <row r="1600" spans="1:10" ht="27.6" customHeight="1" x14ac:dyDescent="0.15">
      <c r="A1600" s="21"/>
      <c r="B1600" s="22"/>
      <c r="C1600" s="64"/>
      <c r="D1600" s="24"/>
      <c r="E1600" s="23"/>
      <c r="F1600" s="21"/>
      <c r="G1600" s="22"/>
      <c r="H1600" s="64"/>
      <c r="I1600" s="22"/>
      <c r="J1600" s="23"/>
    </row>
    <row r="1601" spans="1:10" ht="33.6" customHeight="1" x14ac:dyDescent="0.15">
      <c r="A1601" s="21"/>
      <c r="B1601" s="22"/>
      <c r="C1601" s="64"/>
      <c r="D1601" s="24"/>
      <c r="E1601" s="23"/>
      <c r="F1601" s="21"/>
      <c r="G1601" s="22"/>
      <c r="H1601" s="61"/>
      <c r="I1601" s="24"/>
      <c r="J1601" s="23"/>
    </row>
    <row r="1602" spans="1:10" x14ac:dyDescent="0.15">
      <c r="A1602" s="25"/>
      <c r="B1602" s="26"/>
      <c r="C1602" s="67"/>
      <c r="D1602" s="59"/>
      <c r="E1602" s="27"/>
      <c r="F1602" s="25"/>
      <c r="G1602" s="26"/>
      <c r="H1602" s="63"/>
      <c r="I1602" s="26"/>
      <c r="J1602" s="27"/>
    </row>
    <row r="1603" spans="1:10" x14ac:dyDescent="0.15">
      <c r="A1603" s="18"/>
      <c r="B1603" s="19"/>
      <c r="C1603" s="66"/>
      <c r="D1603" s="58"/>
      <c r="E1603" s="20"/>
      <c r="F1603" s="18"/>
      <c r="G1603" s="19"/>
      <c r="H1603" s="60"/>
      <c r="I1603" s="19"/>
      <c r="J1603" s="20"/>
    </row>
    <row r="1604" spans="1:10" ht="40.15" customHeight="1" x14ac:dyDescent="0.15">
      <c r="A1604" s="21"/>
      <c r="B1604" s="22"/>
      <c r="C1604" s="64"/>
      <c r="D1604" s="24"/>
      <c r="E1604" s="23"/>
      <c r="F1604" s="21"/>
      <c r="G1604" s="28"/>
      <c r="H1604" s="61"/>
      <c r="I1604" s="22"/>
      <c r="J1604" s="23"/>
    </row>
    <row r="1605" spans="1:10" ht="60" customHeight="1" x14ac:dyDescent="0.55000000000000004">
      <c r="A1605" s="21"/>
      <c r="B1605" s="22"/>
      <c r="C1605" s="70"/>
      <c r="D1605" s="24"/>
      <c r="E1605" s="23"/>
      <c r="F1605" s="21"/>
      <c r="G1605" s="22"/>
      <c r="H1605" s="70"/>
      <c r="I1605" s="22"/>
      <c r="J1605" s="23"/>
    </row>
    <row r="1606" spans="1:10" ht="27.6" customHeight="1" x14ac:dyDescent="0.15">
      <c r="A1606" s="21"/>
      <c r="B1606" s="22"/>
      <c r="C1606" s="64"/>
      <c r="D1606" s="24"/>
      <c r="E1606" s="23"/>
      <c r="F1606" s="21"/>
      <c r="G1606" s="22"/>
      <c r="H1606" s="64"/>
      <c r="I1606" s="22"/>
      <c r="J1606" s="23"/>
    </row>
    <row r="1607" spans="1:10" ht="33.6" customHeight="1" x14ac:dyDescent="0.15">
      <c r="A1607" s="21"/>
      <c r="B1607" s="22"/>
      <c r="C1607" s="64"/>
      <c r="D1607" s="24"/>
      <c r="E1607" s="23"/>
      <c r="F1607" s="21"/>
      <c r="G1607" s="22"/>
      <c r="H1607" s="61"/>
      <c r="I1607" s="24"/>
      <c r="J1607" s="23"/>
    </row>
    <row r="1608" spans="1:10" x14ac:dyDescent="0.15">
      <c r="A1608" s="25"/>
      <c r="B1608" s="26"/>
      <c r="C1608" s="67"/>
      <c r="D1608" s="59"/>
      <c r="E1608" s="27"/>
      <c r="F1608" s="25"/>
      <c r="G1608" s="26"/>
      <c r="H1608" s="63"/>
      <c r="I1608" s="26"/>
      <c r="J1608" s="27"/>
    </row>
    <row r="1609" spans="1:10" x14ac:dyDescent="0.15">
      <c r="A1609" s="18"/>
      <c r="B1609" s="19"/>
      <c r="C1609" s="66"/>
      <c r="D1609" s="58"/>
      <c r="E1609" s="20"/>
      <c r="F1609" s="18"/>
      <c r="G1609" s="19"/>
      <c r="H1609" s="60"/>
      <c r="I1609" s="19"/>
      <c r="J1609" s="20"/>
    </row>
    <row r="1610" spans="1:10" ht="40.15" customHeight="1" x14ac:dyDescent="0.15">
      <c r="A1610" s="21"/>
      <c r="B1610" s="22"/>
      <c r="C1610" s="64"/>
      <c r="D1610" s="24"/>
      <c r="E1610" s="23"/>
      <c r="F1610" s="21"/>
      <c r="G1610" s="28"/>
      <c r="H1610" s="61"/>
      <c r="I1610" s="22"/>
      <c r="J1610" s="23"/>
    </row>
    <row r="1611" spans="1:10" ht="60" customHeight="1" x14ac:dyDescent="0.55000000000000004">
      <c r="A1611" s="21"/>
      <c r="B1611" s="22"/>
      <c r="C1611" s="70"/>
      <c r="D1611" s="24"/>
      <c r="E1611" s="23"/>
      <c r="F1611" s="21"/>
      <c r="G1611" s="22"/>
      <c r="H1611" s="70"/>
      <c r="I1611" s="22"/>
      <c r="J1611" s="23"/>
    </row>
    <row r="1612" spans="1:10" ht="27.6" customHeight="1" x14ac:dyDescent="0.15">
      <c r="A1612" s="21"/>
      <c r="B1612" s="22"/>
      <c r="C1612" s="64"/>
      <c r="D1612" s="24"/>
      <c r="E1612" s="23"/>
      <c r="F1612" s="21"/>
      <c r="G1612" s="22"/>
      <c r="H1612" s="64"/>
      <c r="I1612" s="22"/>
      <c r="J1612" s="23"/>
    </row>
    <row r="1613" spans="1:10" ht="33.6" customHeight="1" x14ac:dyDescent="0.15">
      <c r="A1613" s="21"/>
      <c r="B1613" s="22"/>
      <c r="C1613" s="64"/>
      <c r="D1613" s="24"/>
      <c r="E1613" s="23"/>
      <c r="F1613" s="21"/>
      <c r="G1613" s="22"/>
      <c r="H1613" s="61"/>
      <c r="I1613" s="24"/>
      <c r="J1613" s="23"/>
    </row>
    <row r="1614" spans="1:10" x14ac:dyDescent="0.15">
      <c r="A1614" s="25"/>
      <c r="B1614" s="26"/>
      <c r="C1614" s="67"/>
      <c r="D1614" s="59"/>
      <c r="E1614" s="27"/>
      <c r="F1614" s="25"/>
      <c r="G1614" s="26"/>
      <c r="H1614" s="63"/>
      <c r="I1614" s="26"/>
      <c r="J1614" s="27"/>
    </row>
    <row r="1615" spans="1:10" x14ac:dyDescent="0.15">
      <c r="A1615" s="18"/>
      <c r="B1615" s="19"/>
      <c r="C1615" s="66"/>
      <c r="D1615" s="58"/>
      <c r="E1615" s="20"/>
      <c r="F1615" s="18"/>
      <c r="G1615" s="19"/>
      <c r="H1615" s="60"/>
      <c r="I1615" s="19"/>
      <c r="J1615" s="20"/>
    </row>
    <row r="1616" spans="1:10" ht="40.15" customHeight="1" x14ac:dyDescent="0.15">
      <c r="A1616" s="21"/>
      <c r="B1616" s="22"/>
      <c r="C1616" s="64"/>
      <c r="D1616" s="24"/>
      <c r="E1616" s="23"/>
      <c r="F1616" s="21"/>
      <c r="G1616" s="28"/>
      <c r="H1616" s="61"/>
      <c r="I1616" s="22"/>
      <c r="J1616" s="23"/>
    </row>
    <row r="1617" spans="1:10" ht="60" customHeight="1" x14ac:dyDescent="0.55000000000000004">
      <c r="A1617" s="21"/>
      <c r="B1617" s="22"/>
      <c r="C1617" s="70"/>
      <c r="D1617" s="24"/>
      <c r="E1617" s="23"/>
      <c r="F1617" s="21"/>
      <c r="G1617" s="22"/>
      <c r="H1617" s="70"/>
      <c r="I1617" s="22"/>
      <c r="J1617" s="23"/>
    </row>
    <row r="1618" spans="1:10" ht="27.6" customHeight="1" x14ac:dyDescent="0.15">
      <c r="A1618" s="21"/>
      <c r="B1618" s="22"/>
      <c r="C1618" s="64"/>
      <c r="D1618" s="24"/>
      <c r="E1618" s="23"/>
      <c r="F1618" s="21"/>
      <c r="G1618" s="22"/>
      <c r="H1618" s="64"/>
      <c r="I1618" s="22"/>
      <c r="J1618" s="23"/>
    </row>
    <row r="1619" spans="1:10" ht="33.6" customHeight="1" x14ac:dyDescent="0.15">
      <c r="A1619" s="21"/>
      <c r="B1619" s="22"/>
      <c r="C1619" s="64"/>
      <c r="D1619" s="24"/>
      <c r="E1619" s="23"/>
      <c r="F1619" s="21"/>
      <c r="G1619" s="22"/>
      <c r="H1619" s="61"/>
      <c r="I1619" s="24"/>
      <c r="J1619" s="23"/>
    </row>
    <row r="1620" spans="1:10" x14ac:dyDescent="0.15">
      <c r="A1620" s="25"/>
      <c r="B1620" s="26"/>
      <c r="C1620" s="67"/>
      <c r="D1620" s="59"/>
      <c r="E1620" s="27"/>
      <c r="F1620" s="25"/>
      <c r="G1620" s="26"/>
      <c r="H1620" s="63"/>
      <c r="I1620" s="26"/>
      <c r="J1620" s="27"/>
    </row>
    <row r="1621" spans="1:10" x14ac:dyDescent="0.15">
      <c r="A1621" s="18"/>
      <c r="B1621" s="19"/>
      <c r="C1621" s="66"/>
      <c r="D1621" s="58"/>
      <c r="E1621" s="20"/>
      <c r="F1621" s="18"/>
      <c r="G1621" s="19"/>
      <c r="H1621" s="60"/>
      <c r="I1621" s="19"/>
      <c r="J1621" s="20"/>
    </row>
    <row r="1622" spans="1:10" ht="40.15" customHeight="1" x14ac:dyDescent="0.15">
      <c r="A1622" s="21"/>
      <c r="B1622" s="28"/>
      <c r="C1622" s="64"/>
      <c r="D1622" s="24"/>
      <c r="E1622" s="23"/>
      <c r="F1622" s="21"/>
      <c r="G1622" s="28"/>
      <c r="H1622" s="61"/>
      <c r="I1622" s="22"/>
      <c r="J1622" s="23"/>
    </row>
    <row r="1623" spans="1:10" ht="60" customHeight="1" x14ac:dyDescent="0.4">
      <c r="A1623" s="21"/>
      <c r="B1623" s="22"/>
      <c r="C1623" s="62"/>
      <c r="D1623" s="24"/>
      <c r="E1623" s="23"/>
      <c r="F1623" s="21"/>
      <c r="G1623" s="22"/>
      <c r="H1623" s="62"/>
      <c r="I1623" s="22"/>
      <c r="J1623" s="23"/>
    </row>
    <row r="1624" spans="1:10" ht="27.6" customHeight="1" x14ac:dyDescent="0.3">
      <c r="A1624" s="21"/>
      <c r="B1624" s="22"/>
      <c r="C1624" s="69"/>
      <c r="D1624" s="24"/>
      <c r="E1624" s="23"/>
      <c r="F1624" s="21"/>
      <c r="G1624" s="22"/>
      <c r="H1624" s="69"/>
      <c r="I1624" s="22"/>
      <c r="J1624" s="23"/>
    </row>
    <row r="1625" spans="1:10" ht="33.6" customHeight="1" x14ac:dyDescent="0.15">
      <c r="A1625" s="21"/>
      <c r="B1625" s="22"/>
      <c r="C1625" s="64"/>
      <c r="D1625" s="24"/>
      <c r="E1625" s="23"/>
      <c r="F1625" s="21"/>
      <c r="G1625" s="22"/>
      <c r="H1625" s="61"/>
      <c r="I1625" s="24"/>
      <c r="J1625" s="23"/>
    </row>
    <row r="1626" spans="1:10" x14ac:dyDescent="0.15">
      <c r="A1626" s="25"/>
      <c r="B1626" s="26"/>
      <c r="C1626" s="67"/>
      <c r="D1626" s="59"/>
      <c r="E1626" s="27"/>
      <c r="F1626" s="25"/>
      <c r="G1626" s="26"/>
      <c r="H1626" s="63"/>
      <c r="I1626" s="26"/>
      <c r="J1626" s="27"/>
    </row>
    <row r="1627" spans="1:10" x14ac:dyDescent="0.15">
      <c r="A1627" s="18"/>
      <c r="B1627" s="19"/>
      <c r="C1627" s="66"/>
      <c r="D1627" s="58"/>
      <c r="E1627" s="20"/>
      <c r="F1627" s="18"/>
      <c r="G1627" s="19"/>
      <c r="H1627" s="60"/>
      <c r="I1627" s="19"/>
      <c r="J1627" s="20"/>
    </row>
    <row r="1628" spans="1:10" ht="40.15" customHeight="1" x14ac:dyDescent="0.15">
      <c r="A1628" s="21"/>
      <c r="B1628" s="28"/>
      <c r="C1628" s="64"/>
      <c r="D1628" s="24"/>
      <c r="E1628" s="23"/>
      <c r="F1628" s="21"/>
      <c r="G1628" s="28"/>
      <c r="H1628" s="61"/>
      <c r="I1628" s="22"/>
      <c r="J1628" s="23"/>
    </row>
    <row r="1629" spans="1:10" ht="60" customHeight="1" x14ac:dyDescent="0.4">
      <c r="A1629" s="21"/>
      <c r="B1629" s="22"/>
      <c r="C1629" s="62"/>
      <c r="D1629" s="24"/>
      <c r="E1629" s="23"/>
      <c r="F1629" s="21"/>
      <c r="G1629" s="22"/>
      <c r="H1629" s="62"/>
      <c r="I1629" s="22"/>
      <c r="J1629" s="23"/>
    </row>
    <row r="1630" spans="1:10" ht="27.6" customHeight="1" x14ac:dyDescent="0.3">
      <c r="A1630" s="21"/>
      <c r="B1630" s="22"/>
      <c r="C1630" s="69"/>
      <c r="D1630" s="24"/>
      <c r="E1630" s="23"/>
      <c r="F1630" s="21"/>
      <c r="G1630" s="22"/>
      <c r="H1630" s="69"/>
      <c r="I1630" s="22"/>
      <c r="J1630" s="23"/>
    </row>
    <row r="1631" spans="1:10" ht="33.6" customHeight="1" x14ac:dyDescent="0.15">
      <c r="A1631" s="21"/>
      <c r="B1631" s="22"/>
      <c r="C1631" s="64"/>
      <c r="D1631" s="24"/>
      <c r="E1631" s="23"/>
      <c r="F1631" s="21"/>
      <c r="G1631" s="22"/>
      <c r="H1631" s="61"/>
      <c r="I1631" s="24"/>
      <c r="J1631" s="23"/>
    </row>
    <row r="1632" spans="1:10" x14ac:dyDescent="0.15">
      <c r="A1632" s="25"/>
      <c r="B1632" s="26"/>
      <c r="C1632" s="67"/>
      <c r="D1632" s="59"/>
      <c r="E1632" s="27"/>
      <c r="F1632" s="25"/>
      <c r="G1632" s="26"/>
      <c r="H1632" s="63"/>
      <c r="I1632" s="26"/>
      <c r="J1632" s="27"/>
    </row>
    <row r="1633" spans="1:10" x14ac:dyDescent="0.15">
      <c r="A1633" s="18"/>
      <c r="B1633" s="19"/>
      <c r="C1633" s="66"/>
      <c r="D1633" s="58"/>
      <c r="E1633" s="20"/>
      <c r="F1633" s="18"/>
      <c r="G1633" s="19"/>
      <c r="H1633" s="60"/>
      <c r="I1633" s="19"/>
      <c r="J1633" s="20"/>
    </row>
    <row r="1634" spans="1:10" ht="40.15" customHeight="1" x14ac:dyDescent="0.15">
      <c r="A1634" s="21"/>
      <c r="B1634" s="28"/>
      <c r="C1634" s="64"/>
      <c r="D1634" s="24"/>
      <c r="E1634" s="23"/>
      <c r="F1634" s="21"/>
      <c r="G1634" s="28"/>
      <c r="H1634" s="61"/>
      <c r="I1634" s="22"/>
      <c r="J1634" s="23"/>
    </row>
    <row r="1635" spans="1:10" ht="60" customHeight="1" x14ac:dyDescent="0.4">
      <c r="A1635" s="21"/>
      <c r="B1635" s="22"/>
      <c r="C1635" s="62"/>
      <c r="D1635" s="24"/>
      <c r="E1635" s="23"/>
      <c r="F1635" s="21"/>
      <c r="G1635" s="22"/>
      <c r="H1635" s="62"/>
      <c r="I1635" s="22"/>
      <c r="J1635" s="23"/>
    </row>
    <row r="1636" spans="1:10" ht="27.6" customHeight="1" x14ac:dyDescent="0.3">
      <c r="A1636" s="21"/>
      <c r="B1636" s="22"/>
      <c r="C1636" s="69"/>
      <c r="D1636" s="24"/>
      <c r="E1636" s="23"/>
      <c r="F1636" s="21"/>
      <c r="G1636" s="22"/>
      <c r="H1636" s="69"/>
      <c r="I1636" s="22"/>
      <c r="J1636" s="23"/>
    </row>
    <row r="1637" spans="1:10" ht="33.6" customHeight="1" x14ac:dyDescent="0.15">
      <c r="A1637" s="21"/>
      <c r="B1637" s="22"/>
      <c r="C1637" s="64"/>
      <c r="D1637" s="24"/>
      <c r="E1637" s="23"/>
      <c r="F1637" s="21"/>
      <c r="G1637" s="22"/>
      <c r="H1637" s="61"/>
      <c r="I1637" s="24"/>
      <c r="J1637" s="23"/>
    </row>
    <row r="1638" spans="1:10" x14ac:dyDescent="0.15">
      <c r="A1638" s="25"/>
      <c r="B1638" s="26"/>
      <c r="C1638" s="67"/>
      <c r="D1638" s="59"/>
      <c r="E1638" s="27"/>
      <c r="F1638" s="25"/>
      <c r="G1638" s="26"/>
      <c r="H1638" s="63"/>
      <c r="I1638" s="26"/>
      <c r="J1638" s="27"/>
    </row>
    <row r="1639" spans="1:10" x14ac:dyDescent="0.15">
      <c r="A1639" s="18"/>
      <c r="B1639" s="19"/>
      <c r="C1639" s="66"/>
      <c r="D1639" s="58"/>
      <c r="E1639" s="20"/>
      <c r="F1639" s="18"/>
      <c r="G1639" s="19"/>
      <c r="H1639" s="60"/>
      <c r="I1639" s="19"/>
      <c r="J1639" s="20"/>
    </row>
    <row r="1640" spans="1:10" ht="40.15" customHeight="1" x14ac:dyDescent="0.15">
      <c r="A1640" s="21"/>
      <c r="B1640" s="28"/>
      <c r="C1640" s="64"/>
      <c r="D1640" s="24"/>
      <c r="E1640" s="23"/>
      <c r="F1640" s="21"/>
      <c r="G1640" s="28"/>
      <c r="H1640" s="61"/>
      <c r="I1640" s="22"/>
      <c r="J1640" s="23"/>
    </row>
    <row r="1641" spans="1:10" ht="60" customHeight="1" x14ac:dyDescent="0.4">
      <c r="A1641" s="21"/>
      <c r="B1641" s="22"/>
      <c r="C1641" s="62"/>
      <c r="D1641" s="24"/>
      <c r="E1641" s="23"/>
      <c r="F1641" s="21"/>
      <c r="G1641" s="22"/>
      <c r="H1641" s="62"/>
      <c r="I1641" s="22"/>
      <c r="J1641" s="23"/>
    </row>
    <row r="1642" spans="1:10" ht="27.6" customHeight="1" x14ac:dyDescent="0.3">
      <c r="A1642" s="21"/>
      <c r="B1642" s="22"/>
      <c r="C1642" s="69"/>
      <c r="D1642" s="24"/>
      <c r="E1642" s="23"/>
      <c r="F1642" s="21"/>
      <c r="G1642" s="22"/>
      <c r="H1642" s="69"/>
      <c r="I1642" s="22"/>
      <c r="J1642" s="23"/>
    </row>
    <row r="1643" spans="1:10" ht="33.6" customHeight="1" x14ac:dyDescent="0.15">
      <c r="A1643" s="21"/>
      <c r="B1643" s="22"/>
      <c r="C1643" s="64"/>
      <c r="D1643" s="24"/>
      <c r="E1643" s="23"/>
      <c r="F1643" s="21"/>
      <c r="G1643" s="22"/>
      <c r="H1643" s="61"/>
      <c r="I1643" s="24"/>
      <c r="J1643" s="23"/>
    </row>
    <row r="1644" spans="1:10" x14ac:dyDescent="0.15">
      <c r="A1644" s="25"/>
      <c r="B1644" s="26"/>
      <c r="C1644" s="67"/>
      <c r="D1644" s="59"/>
      <c r="E1644" s="27"/>
      <c r="F1644" s="25"/>
      <c r="G1644" s="26"/>
      <c r="H1644" s="63"/>
      <c r="I1644" s="26"/>
      <c r="J1644" s="27"/>
    </row>
    <row r="1645" spans="1:10" x14ac:dyDescent="0.15">
      <c r="A1645" s="18"/>
      <c r="B1645" s="19"/>
      <c r="C1645" s="66"/>
      <c r="D1645" s="58"/>
      <c r="E1645" s="20"/>
      <c r="F1645" s="18"/>
      <c r="G1645" s="19"/>
      <c r="H1645" s="60"/>
      <c r="I1645" s="19"/>
      <c r="J1645" s="20"/>
    </row>
    <row r="1646" spans="1:10" ht="40.15" customHeight="1" x14ac:dyDescent="0.15">
      <c r="A1646" s="21"/>
      <c r="B1646" s="28"/>
      <c r="C1646" s="64"/>
      <c r="D1646" s="24"/>
      <c r="E1646" s="23"/>
      <c r="F1646" s="21"/>
      <c r="G1646" s="28"/>
      <c r="H1646" s="61"/>
      <c r="I1646" s="22"/>
      <c r="J1646" s="23"/>
    </row>
    <row r="1647" spans="1:10" ht="60" customHeight="1" x14ac:dyDescent="0.4">
      <c r="A1647" s="21"/>
      <c r="B1647" s="22"/>
      <c r="C1647" s="62"/>
      <c r="D1647" s="24"/>
      <c r="E1647" s="23"/>
      <c r="F1647" s="21"/>
      <c r="G1647" s="22"/>
      <c r="H1647" s="62"/>
      <c r="I1647" s="22"/>
      <c r="J1647" s="23"/>
    </row>
    <row r="1648" spans="1:10" ht="27.6" customHeight="1" x14ac:dyDescent="0.3">
      <c r="A1648" s="21"/>
      <c r="B1648" s="22"/>
      <c r="C1648" s="69"/>
      <c r="D1648" s="24"/>
      <c r="E1648" s="23"/>
      <c r="F1648" s="21"/>
      <c r="G1648" s="22"/>
      <c r="H1648" s="69"/>
      <c r="I1648" s="22"/>
      <c r="J1648" s="23"/>
    </row>
    <row r="1649" spans="1:10" ht="33.6" customHeight="1" x14ac:dyDescent="0.15">
      <c r="A1649" s="21"/>
      <c r="B1649" s="22"/>
      <c r="C1649" s="64"/>
      <c r="D1649" s="24"/>
      <c r="E1649" s="23"/>
      <c r="F1649" s="21"/>
      <c r="G1649" s="22"/>
      <c r="H1649" s="61"/>
      <c r="I1649" s="24"/>
      <c r="J1649" s="23"/>
    </row>
    <row r="1650" spans="1:10" x14ac:dyDescent="0.15">
      <c r="A1650" s="25"/>
      <c r="B1650" s="26"/>
      <c r="C1650" s="67"/>
      <c r="D1650" s="59"/>
      <c r="E1650" s="27"/>
      <c r="F1650" s="25"/>
      <c r="G1650" s="26"/>
      <c r="H1650" s="63"/>
      <c r="I1650" s="26"/>
      <c r="J1650" s="27"/>
    </row>
    <row r="1651" spans="1:10" x14ac:dyDescent="0.15">
      <c r="A1651" s="18"/>
      <c r="B1651" s="19"/>
      <c r="C1651" s="66"/>
      <c r="D1651" s="58"/>
      <c r="E1651" s="20"/>
      <c r="F1651" s="18"/>
      <c r="G1651" s="19"/>
      <c r="H1651" s="60"/>
      <c r="I1651" s="19"/>
      <c r="J1651" s="20"/>
    </row>
    <row r="1652" spans="1:10" ht="40.15" customHeight="1" x14ac:dyDescent="0.15">
      <c r="A1652" s="21"/>
      <c r="B1652" s="28"/>
      <c r="C1652" s="64"/>
      <c r="D1652" s="24"/>
      <c r="E1652" s="23"/>
      <c r="F1652" s="21"/>
      <c r="G1652" s="28"/>
      <c r="H1652" s="61"/>
      <c r="I1652" s="22"/>
      <c r="J1652" s="23"/>
    </row>
    <row r="1653" spans="1:10" ht="60" customHeight="1" x14ac:dyDescent="0.4">
      <c r="A1653" s="21"/>
      <c r="B1653" s="22"/>
      <c r="C1653" s="62"/>
      <c r="D1653" s="24"/>
      <c r="E1653" s="23"/>
      <c r="F1653" s="21"/>
      <c r="G1653" s="22"/>
      <c r="H1653" s="62"/>
      <c r="I1653" s="22"/>
      <c r="J1653" s="23"/>
    </row>
    <row r="1654" spans="1:10" ht="27.6" customHeight="1" x14ac:dyDescent="0.3">
      <c r="A1654" s="21"/>
      <c r="B1654" s="22"/>
      <c r="C1654" s="69"/>
      <c r="D1654" s="24"/>
      <c r="E1654" s="23"/>
      <c r="F1654" s="21"/>
      <c r="G1654" s="22"/>
      <c r="H1654" s="69"/>
      <c r="I1654" s="22"/>
      <c r="J1654" s="23"/>
    </row>
    <row r="1655" spans="1:10" ht="33.6" customHeight="1" x14ac:dyDescent="0.15">
      <c r="A1655" s="21"/>
      <c r="B1655" s="22"/>
      <c r="C1655" s="64"/>
      <c r="D1655" s="24"/>
      <c r="E1655" s="23"/>
      <c r="F1655" s="21"/>
      <c r="G1655" s="22"/>
      <c r="H1655" s="61"/>
      <c r="I1655" s="24"/>
      <c r="J1655" s="23"/>
    </row>
    <row r="1656" spans="1:10" x14ac:dyDescent="0.15">
      <c r="A1656" s="25"/>
      <c r="B1656" s="26"/>
      <c r="C1656" s="67"/>
      <c r="D1656" s="59"/>
      <c r="E1656" s="27"/>
      <c r="F1656" s="25"/>
      <c r="G1656" s="26"/>
      <c r="H1656" s="63"/>
      <c r="I1656" s="26"/>
      <c r="J1656" s="27"/>
    </row>
    <row r="1657" spans="1:10" x14ac:dyDescent="0.15">
      <c r="A1657" s="18"/>
      <c r="B1657" s="19"/>
      <c r="C1657" s="66"/>
      <c r="D1657" s="58"/>
      <c r="E1657" s="20"/>
      <c r="F1657" s="18"/>
      <c r="G1657" s="19"/>
      <c r="H1657" s="60"/>
      <c r="I1657" s="19"/>
      <c r="J1657" s="20"/>
    </row>
    <row r="1658" spans="1:10" ht="40.15" customHeight="1" x14ac:dyDescent="0.15">
      <c r="A1658" s="21"/>
      <c r="B1658" s="22"/>
      <c r="C1658" s="64"/>
      <c r="D1658" s="24"/>
      <c r="E1658" s="23"/>
      <c r="F1658" s="21"/>
      <c r="G1658" s="28"/>
      <c r="H1658" s="61"/>
      <c r="I1658" s="22"/>
      <c r="J1658" s="23"/>
    </row>
    <row r="1659" spans="1:10" ht="60" customHeight="1" x14ac:dyDescent="0.55000000000000004">
      <c r="A1659" s="21"/>
      <c r="B1659" s="22"/>
      <c r="C1659" s="70"/>
      <c r="D1659" s="24"/>
      <c r="E1659" s="23"/>
      <c r="F1659" s="21"/>
      <c r="G1659" s="22"/>
      <c r="H1659" s="70"/>
      <c r="I1659" s="22"/>
      <c r="J1659" s="23"/>
    </row>
    <row r="1660" spans="1:10" ht="27.6" customHeight="1" x14ac:dyDescent="0.15">
      <c r="A1660" s="21"/>
      <c r="B1660" s="22"/>
      <c r="C1660" s="64"/>
      <c r="D1660" s="24"/>
      <c r="E1660" s="23"/>
      <c r="F1660" s="21"/>
      <c r="G1660" s="22"/>
      <c r="H1660" s="64"/>
      <c r="I1660" s="22"/>
      <c r="J1660" s="23"/>
    </row>
    <row r="1661" spans="1:10" ht="33.6" customHeight="1" x14ac:dyDescent="0.15">
      <c r="A1661" s="21"/>
      <c r="B1661" s="22"/>
      <c r="C1661" s="64"/>
      <c r="D1661" s="24"/>
      <c r="E1661" s="23"/>
      <c r="F1661" s="21"/>
      <c r="G1661" s="22"/>
      <c r="H1661" s="61"/>
      <c r="I1661" s="24"/>
      <c r="J1661" s="23"/>
    </row>
    <row r="1662" spans="1:10" x14ac:dyDescent="0.15">
      <c r="A1662" s="25"/>
      <c r="B1662" s="26"/>
      <c r="C1662" s="67"/>
      <c r="D1662" s="59"/>
      <c r="E1662" s="27"/>
      <c r="F1662" s="25"/>
      <c r="G1662" s="26"/>
      <c r="H1662" s="63"/>
      <c r="I1662" s="26"/>
      <c r="J1662" s="27"/>
    </row>
    <row r="1663" spans="1:10" x14ac:dyDescent="0.15">
      <c r="A1663" s="18"/>
      <c r="B1663" s="19"/>
      <c r="C1663" s="66"/>
      <c r="D1663" s="58"/>
      <c r="E1663" s="20"/>
      <c r="F1663" s="18"/>
      <c r="G1663" s="19"/>
      <c r="H1663" s="60"/>
      <c r="I1663" s="19"/>
      <c r="J1663" s="20"/>
    </row>
    <row r="1664" spans="1:10" ht="40.15" customHeight="1" x14ac:dyDescent="0.15">
      <c r="A1664" s="21"/>
      <c r="B1664" s="22"/>
      <c r="C1664" s="64"/>
      <c r="D1664" s="24"/>
      <c r="E1664" s="23"/>
      <c r="F1664" s="21"/>
      <c r="G1664" s="28"/>
      <c r="H1664" s="61"/>
      <c r="I1664" s="22"/>
      <c r="J1664" s="23"/>
    </row>
    <row r="1665" spans="1:10" ht="60" customHeight="1" x14ac:dyDescent="0.55000000000000004">
      <c r="A1665" s="21"/>
      <c r="B1665" s="22"/>
      <c r="C1665" s="70"/>
      <c r="D1665" s="24"/>
      <c r="E1665" s="23"/>
      <c r="F1665" s="21"/>
      <c r="G1665" s="22"/>
      <c r="H1665" s="70"/>
      <c r="I1665" s="22"/>
      <c r="J1665" s="23"/>
    </row>
    <row r="1666" spans="1:10" ht="27.6" customHeight="1" x14ac:dyDescent="0.15">
      <c r="A1666" s="21"/>
      <c r="B1666" s="22"/>
      <c r="C1666" s="64"/>
      <c r="D1666" s="24"/>
      <c r="E1666" s="23"/>
      <c r="F1666" s="21"/>
      <c r="G1666" s="22"/>
      <c r="H1666" s="64"/>
      <c r="I1666" s="22"/>
      <c r="J1666" s="23"/>
    </row>
    <row r="1667" spans="1:10" ht="33.6" customHeight="1" x14ac:dyDescent="0.15">
      <c r="A1667" s="21"/>
      <c r="B1667" s="22"/>
      <c r="C1667" s="64"/>
      <c r="D1667" s="24"/>
      <c r="E1667" s="23"/>
      <c r="F1667" s="21"/>
      <c r="G1667" s="22"/>
      <c r="H1667" s="61"/>
      <c r="I1667" s="24"/>
      <c r="J1667" s="23"/>
    </row>
    <row r="1668" spans="1:10" x14ac:dyDescent="0.15">
      <c r="A1668" s="25"/>
      <c r="B1668" s="26"/>
      <c r="C1668" s="67"/>
      <c r="D1668" s="59"/>
      <c r="E1668" s="27"/>
      <c r="F1668" s="25"/>
      <c r="G1668" s="26"/>
      <c r="H1668" s="63"/>
      <c r="I1668" s="26"/>
      <c r="J1668" s="27"/>
    </row>
    <row r="1669" spans="1:10" x14ac:dyDescent="0.15">
      <c r="A1669" s="18"/>
      <c r="B1669" s="19"/>
      <c r="C1669" s="66"/>
      <c r="D1669" s="58"/>
      <c r="E1669" s="20"/>
      <c r="F1669" s="18"/>
      <c r="G1669" s="19"/>
      <c r="H1669" s="60"/>
      <c r="I1669" s="19"/>
      <c r="J1669" s="20"/>
    </row>
    <row r="1670" spans="1:10" ht="40.15" customHeight="1" x14ac:dyDescent="0.15">
      <c r="A1670" s="21"/>
      <c r="B1670" s="22"/>
      <c r="C1670" s="64"/>
      <c r="D1670" s="24"/>
      <c r="E1670" s="23"/>
      <c r="F1670" s="21"/>
      <c r="G1670" s="28"/>
      <c r="H1670" s="61"/>
      <c r="I1670" s="22"/>
      <c r="J1670" s="23"/>
    </row>
    <row r="1671" spans="1:10" ht="60" customHeight="1" x14ac:dyDescent="0.55000000000000004">
      <c r="A1671" s="21"/>
      <c r="B1671" s="22"/>
      <c r="C1671" s="70"/>
      <c r="D1671" s="24"/>
      <c r="E1671" s="23"/>
      <c r="F1671" s="21"/>
      <c r="G1671" s="22"/>
      <c r="H1671" s="70"/>
      <c r="I1671" s="22"/>
      <c r="J1671" s="23"/>
    </row>
    <row r="1672" spans="1:10" ht="27.6" customHeight="1" x14ac:dyDescent="0.15">
      <c r="A1672" s="21"/>
      <c r="B1672" s="22"/>
      <c r="C1672" s="64"/>
      <c r="D1672" s="24"/>
      <c r="E1672" s="23"/>
      <c r="F1672" s="21"/>
      <c r="G1672" s="22"/>
      <c r="H1672" s="64"/>
      <c r="I1672" s="22"/>
      <c r="J1672" s="23"/>
    </row>
    <row r="1673" spans="1:10" ht="33.6" customHeight="1" x14ac:dyDescent="0.15">
      <c r="A1673" s="21"/>
      <c r="B1673" s="22"/>
      <c r="C1673" s="64"/>
      <c r="D1673" s="24"/>
      <c r="E1673" s="23"/>
      <c r="F1673" s="21"/>
      <c r="G1673" s="22"/>
      <c r="H1673" s="61"/>
      <c r="I1673" s="24"/>
      <c r="J1673" s="23"/>
    </row>
    <row r="1674" spans="1:10" x14ac:dyDescent="0.15">
      <c r="A1674" s="25"/>
      <c r="B1674" s="26"/>
      <c r="C1674" s="67"/>
      <c r="D1674" s="59"/>
      <c r="E1674" s="27"/>
      <c r="F1674" s="25"/>
      <c r="G1674" s="26"/>
      <c r="H1674" s="63"/>
      <c r="I1674" s="26"/>
      <c r="J1674" s="27"/>
    </row>
    <row r="1675" spans="1:10" x14ac:dyDescent="0.15">
      <c r="A1675" s="18"/>
      <c r="B1675" s="19"/>
      <c r="C1675" s="66"/>
      <c r="D1675" s="58"/>
      <c r="E1675" s="20"/>
      <c r="F1675" s="18"/>
      <c r="G1675" s="19"/>
      <c r="H1675" s="60"/>
      <c r="I1675" s="19"/>
      <c r="J1675" s="20"/>
    </row>
    <row r="1676" spans="1:10" ht="40.15" customHeight="1" x14ac:dyDescent="0.15">
      <c r="A1676" s="21"/>
      <c r="B1676" s="22"/>
      <c r="C1676" s="64"/>
      <c r="D1676" s="24"/>
      <c r="E1676" s="23"/>
      <c r="F1676" s="21"/>
      <c r="G1676" s="28"/>
      <c r="H1676" s="61"/>
      <c r="I1676" s="22"/>
      <c r="J1676" s="23"/>
    </row>
    <row r="1677" spans="1:10" ht="60" customHeight="1" x14ac:dyDescent="0.55000000000000004">
      <c r="A1677" s="21"/>
      <c r="B1677" s="22"/>
      <c r="C1677" s="70"/>
      <c r="D1677" s="24"/>
      <c r="E1677" s="23"/>
      <c r="F1677" s="21"/>
      <c r="G1677" s="22"/>
      <c r="H1677" s="70"/>
      <c r="I1677" s="22"/>
      <c r="J1677" s="23"/>
    </row>
    <row r="1678" spans="1:10" ht="27.6" customHeight="1" x14ac:dyDescent="0.15">
      <c r="A1678" s="21"/>
      <c r="B1678" s="22"/>
      <c r="C1678" s="64"/>
      <c r="D1678" s="24"/>
      <c r="E1678" s="23"/>
      <c r="F1678" s="21"/>
      <c r="G1678" s="22"/>
      <c r="H1678" s="64"/>
      <c r="I1678" s="22"/>
      <c r="J1678" s="23"/>
    </row>
    <row r="1679" spans="1:10" ht="33.6" customHeight="1" x14ac:dyDescent="0.15">
      <c r="A1679" s="21"/>
      <c r="B1679" s="22"/>
      <c r="C1679" s="64"/>
      <c r="D1679" s="24"/>
      <c r="E1679" s="23"/>
      <c r="F1679" s="21"/>
      <c r="G1679" s="22"/>
      <c r="H1679" s="61"/>
      <c r="I1679" s="24"/>
      <c r="J1679" s="23"/>
    </row>
    <row r="1680" spans="1:10" x14ac:dyDescent="0.15">
      <c r="A1680" s="25"/>
      <c r="B1680" s="26"/>
      <c r="C1680" s="67"/>
      <c r="D1680" s="59"/>
      <c r="E1680" s="27"/>
      <c r="F1680" s="25"/>
      <c r="G1680" s="26"/>
      <c r="H1680" s="63"/>
      <c r="I1680" s="26"/>
      <c r="J1680" s="27"/>
    </row>
    <row r="1681" spans="1:10" x14ac:dyDescent="0.15">
      <c r="A1681" s="18"/>
      <c r="B1681" s="19"/>
      <c r="C1681" s="66"/>
      <c r="D1681" s="58"/>
      <c r="E1681" s="20"/>
      <c r="F1681" s="18"/>
      <c r="G1681" s="19"/>
      <c r="H1681" s="60"/>
      <c r="I1681" s="19"/>
      <c r="J1681" s="20"/>
    </row>
    <row r="1682" spans="1:10" ht="40.15" customHeight="1" x14ac:dyDescent="0.15">
      <c r="A1682" s="21"/>
      <c r="B1682" s="22"/>
      <c r="C1682" s="64"/>
      <c r="D1682" s="24"/>
      <c r="E1682" s="23"/>
      <c r="F1682" s="21"/>
      <c r="G1682" s="28"/>
      <c r="H1682" s="61"/>
      <c r="I1682" s="22"/>
      <c r="J1682" s="23"/>
    </row>
    <row r="1683" spans="1:10" ht="60" customHeight="1" x14ac:dyDescent="0.55000000000000004">
      <c r="A1683" s="21"/>
      <c r="B1683" s="22"/>
      <c r="C1683" s="70"/>
      <c r="D1683" s="24"/>
      <c r="E1683" s="23"/>
      <c r="F1683" s="21"/>
      <c r="G1683" s="22"/>
      <c r="H1683" s="70"/>
      <c r="I1683" s="22"/>
      <c r="J1683" s="23"/>
    </row>
    <row r="1684" spans="1:10" ht="27.6" customHeight="1" x14ac:dyDescent="0.15">
      <c r="A1684" s="21"/>
      <c r="B1684" s="22"/>
      <c r="C1684" s="64"/>
      <c r="D1684" s="24"/>
      <c r="E1684" s="23"/>
      <c r="F1684" s="21"/>
      <c r="G1684" s="22"/>
      <c r="H1684" s="64"/>
      <c r="I1684" s="22"/>
      <c r="J1684" s="23"/>
    </row>
    <row r="1685" spans="1:10" ht="33.6" customHeight="1" x14ac:dyDescent="0.15">
      <c r="A1685" s="21"/>
      <c r="B1685" s="22"/>
      <c r="C1685" s="64"/>
      <c r="D1685" s="24"/>
      <c r="E1685" s="23"/>
      <c r="F1685" s="21"/>
      <c r="G1685" s="22"/>
      <c r="H1685" s="61"/>
      <c r="I1685" s="24"/>
      <c r="J1685" s="23"/>
    </row>
    <row r="1686" spans="1:10" x14ac:dyDescent="0.15">
      <c r="A1686" s="25"/>
      <c r="B1686" s="26"/>
      <c r="C1686" s="67"/>
      <c r="D1686" s="59"/>
      <c r="E1686" s="27"/>
      <c r="F1686" s="25"/>
      <c r="G1686" s="26"/>
      <c r="H1686" s="63"/>
      <c r="I1686" s="26"/>
      <c r="J1686" s="27"/>
    </row>
    <row r="1687" spans="1:10" x14ac:dyDescent="0.15">
      <c r="A1687" s="18"/>
      <c r="B1687" s="19"/>
      <c r="C1687" s="66"/>
      <c r="D1687" s="58"/>
      <c r="E1687" s="20"/>
      <c r="F1687" s="18"/>
      <c r="G1687" s="19"/>
      <c r="H1687" s="60"/>
      <c r="I1687" s="19"/>
      <c r="J1687" s="20"/>
    </row>
    <row r="1688" spans="1:10" ht="40.15" customHeight="1" x14ac:dyDescent="0.15">
      <c r="A1688" s="21"/>
      <c r="B1688" s="22"/>
      <c r="C1688" s="64"/>
      <c r="D1688" s="24"/>
      <c r="E1688" s="23"/>
      <c r="F1688" s="21"/>
      <c r="G1688" s="28"/>
      <c r="H1688" s="61"/>
      <c r="I1688" s="22"/>
      <c r="J1688" s="23"/>
    </row>
    <row r="1689" spans="1:10" ht="60" customHeight="1" x14ac:dyDescent="0.55000000000000004">
      <c r="A1689" s="21"/>
      <c r="B1689" s="22"/>
      <c r="C1689" s="70"/>
      <c r="D1689" s="24"/>
      <c r="E1689" s="23"/>
      <c r="F1689" s="21"/>
      <c r="G1689" s="22"/>
      <c r="H1689" s="70"/>
      <c r="I1689" s="22"/>
      <c r="J1689" s="23"/>
    </row>
    <row r="1690" spans="1:10" ht="27.6" customHeight="1" x14ac:dyDescent="0.15">
      <c r="A1690" s="21"/>
      <c r="B1690" s="22"/>
      <c r="C1690" s="64"/>
      <c r="D1690" s="24"/>
      <c r="E1690" s="23"/>
      <c r="F1690" s="21"/>
      <c r="G1690" s="22"/>
      <c r="H1690" s="64"/>
      <c r="I1690" s="22"/>
      <c r="J1690" s="23"/>
    </row>
    <row r="1691" spans="1:10" ht="33.6" customHeight="1" x14ac:dyDescent="0.15">
      <c r="A1691" s="21"/>
      <c r="B1691" s="22"/>
      <c r="C1691" s="64"/>
      <c r="D1691" s="24"/>
      <c r="E1691" s="23"/>
      <c r="F1691" s="21"/>
      <c r="G1691" s="22"/>
      <c r="H1691" s="61"/>
      <c r="I1691" s="24"/>
      <c r="J1691" s="23"/>
    </row>
    <row r="1692" spans="1:10" x14ac:dyDescent="0.15">
      <c r="A1692" s="25"/>
      <c r="B1692" s="26"/>
      <c r="C1692" s="67"/>
      <c r="D1692" s="59"/>
      <c r="E1692" s="27"/>
      <c r="F1692" s="25"/>
      <c r="G1692" s="26"/>
      <c r="H1692" s="63"/>
      <c r="I1692" s="26"/>
      <c r="J1692" s="27"/>
    </row>
    <row r="1693" spans="1:10" x14ac:dyDescent="0.15">
      <c r="A1693" s="18"/>
      <c r="B1693" s="19"/>
      <c r="C1693" s="66"/>
      <c r="D1693" s="58"/>
      <c r="E1693" s="20"/>
      <c r="F1693" s="18"/>
      <c r="G1693" s="19"/>
      <c r="H1693" s="60"/>
      <c r="I1693" s="19"/>
      <c r="J1693" s="20"/>
    </row>
    <row r="1694" spans="1:10" ht="40.15" customHeight="1" x14ac:dyDescent="0.15">
      <c r="A1694" s="21"/>
      <c r="B1694" s="28"/>
      <c r="C1694" s="64"/>
      <c r="D1694" s="24"/>
      <c r="E1694" s="23"/>
      <c r="F1694" s="21"/>
      <c r="G1694" s="28"/>
      <c r="H1694" s="61"/>
      <c r="I1694" s="22"/>
      <c r="J1694" s="23"/>
    </row>
    <row r="1695" spans="1:10" ht="60" customHeight="1" x14ac:dyDescent="0.4">
      <c r="A1695" s="21"/>
      <c r="B1695" s="22"/>
      <c r="C1695" s="62"/>
      <c r="D1695" s="24"/>
      <c r="E1695" s="23"/>
      <c r="F1695" s="21"/>
      <c r="G1695" s="22"/>
      <c r="H1695" s="62"/>
      <c r="I1695" s="22"/>
      <c r="J1695" s="23"/>
    </row>
    <row r="1696" spans="1:10" ht="27.6" customHeight="1" x14ac:dyDescent="0.3">
      <c r="A1696" s="21"/>
      <c r="B1696" s="22"/>
      <c r="C1696" s="69"/>
      <c r="D1696" s="24"/>
      <c r="E1696" s="23"/>
      <c r="F1696" s="21"/>
      <c r="G1696" s="22"/>
      <c r="H1696" s="69"/>
      <c r="I1696" s="22"/>
      <c r="J1696" s="23"/>
    </row>
    <row r="1697" spans="1:10" ht="33.6" customHeight="1" x14ac:dyDescent="0.15">
      <c r="A1697" s="21"/>
      <c r="B1697" s="22"/>
      <c r="C1697" s="64"/>
      <c r="D1697" s="24"/>
      <c r="E1697" s="23"/>
      <c r="F1697" s="21"/>
      <c r="G1697" s="22"/>
      <c r="H1697" s="61"/>
      <c r="I1697" s="24"/>
      <c r="J1697" s="23"/>
    </row>
    <row r="1698" spans="1:10" x14ac:dyDescent="0.15">
      <c r="A1698" s="25"/>
      <c r="B1698" s="26"/>
      <c r="C1698" s="67"/>
      <c r="D1698" s="59"/>
      <c r="E1698" s="27"/>
      <c r="F1698" s="25"/>
      <c r="G1698" s="26"/>
      <c r="H1698" s="63"/>
      <c r="I1698" s="26"/>
      <c r="J1698" s="27"/>
    </row>
    <row r="1699" spans="1:10" x14ac:dyDescent="0.15">
      <c r="A1699" s="18"/>
      <c r="B1699" s="19"/>
      <c r="C1699" s="66"/>
      <c r="D1699" s="58"/>
      <c r="E1699" s="20"/>
      <c r="F1699" s="18"/>
      <c r="G1699" s="19"/>
      <c r="H1699" s="60"/>
      <c r="I1699" s="19"/>
      <c r="J1699" s="20"/>
    </row>
    <row r="1700" spans="1:10" ht="40.15" customHeight="1" x14ac:dyDescent="0.15">
      <c r="A1700" s="21"/>
      <c r="B1700" s="28"/>
      <c r="C1700" s="64"/>
      <c r="D1700" s="24"/>
      <c r="E1700" s="23"/>
      <c r="F1700" s="21"/>
      <c r="G1700" s="28"/>
      <c r="H1700" s="61"/>
      <c r="I1700" s="22"/>
      <c r="J1700" s="23"/>
    </row>
    <row r="1701" spans="1:10" ht="60" customHeight="1" x14ac:dyDescent="0.4">
      <c r="A1701" s="21"/>
      <c r="B1701" s="22"/>
      <c r="C1701" s="62"/>
      <c r="D1701" s="24"/>
      <c r="E1701" s="23"/>
      <c r="F1701" s="21"/>
      <c r="G1701" s="22"/>
      <c r="H1701" s="62"/>
      <c r="I1701" s="22"/>
      <c r="J1701" s="23"/>
    </row>
    <row r="1702" spans="1:10" ht="27.6" customHeight="1" x14ac:dyDescent="0.3">
      <c r="A1702" s="21"/>
      <c r="B1702" s="22"/>
      <c r="C1702" s="69"/>
      <c r="D1702" s="24"/>
      <c r="E1702" s="23"/>
      <c r="F1702" s="21"/>
      <c r="G1702" s="22"/>
      <c r="H1702" s="69"/>
      <c r="I1702" s="22"/>
      <c r="J1702" s="23"/>
    </row>
    <row r="1703" spans="1:10" ht="33.6" customHeight="1" x14ac:dyDescent="0.15">
      <c r="A1703" s="21"/>
      <c r="B1703" s="22"/>
      <c r="C1703" s="64"/>
      <c r="D1703" s="24"/>
      <c r="E1703" s="23"/>
      <c r="F1703" s="21"/>
      <c r="G1703" s="22"/>
      <c r="H1703" s="61"/>
      <c r="I1703" s="24"/>
      <c r="J1703" s="23"/>
    </row>
    <row r="1704" spans="1:10" x14ac:dyDescent="0.15">
      <c r="A1704" s="25"/>
      <c r="B1704" s="26"/>
      <c r="C1704" s="67"/>
      <c r="D1704" s="59"/>
      <c r="E1704" s="27"/>
      <c r="F1704" s="25"/>
      <c r="G1704" s="26"/>
      <c r="H1704" s="63"/>
      <c r="I1704" s="26"/>
      <c r="J1704" s="27"/>
    </row>
    <row r="1705" spans="1:10" x14ac:dyDescent="0.15">
      <c r="A1705" s="18"/>
      <c r="B1705" s="19"/>
      <c r="C1705" s="66"/>
      <c r="D1705" s="58"/>
      <c r="E1705" s="20"/>
      <c r="F1705" s="18"/>
      <c r="G1705" s="19"/>
      <c r="H1705" s="60"/>
      <c r="I1705" s="19"/>
      <c r="J1705" s="20"/>
    </row>
    <row r="1706" spans="1:10" ht="40.15" customHeight="1" x14ac:dyDescent="0.15">
      <c r="A1706" s="21"/>
      <c r="B1706" s="28"/>
      <c r="C1706" s="64"/>
      <c r="D1706" s="24"/>
      <c r="E1706" s="23"/>
      <c r="F1706" s="21"/>
      <c r="G1706" s="28"/>
      <c r="H1706" s="61"/>
      <c r="I1706" s="22"/>
      <c r="J1706" s="23"/>
    </row>
    <row r="1707" spans="1:10" ht="60" customHeight="1" x14ac:dyDescent="0.4">
      <c r="A1707" s="21"/>
      <c r="B1707" s="22"/>
      <c r="C1707" s="62"/>
      <c r="D1707" s="24"/>
      <c r="E1707" s="23"/>
      <c r="F1707" s="21"/>
      <c r="G1707" s="22"/>
      <c r="H1707" s="62"/>
      <c r="I1707" s="22"/>
      <c r="J1707" s="23"/>
    </row>
    <row r="1708" spans="1:10" ht="27.6" customHeight="1" x14ac:dyDescent="0.3">
      <c r="A1708" s="21"/>
      <c r="B1708" s="22"/>
      <c r="C1708" s="69"/>
      <c r="D1708" s="24"/>
      <c r="E1708" s="23"/>
      <c r="F1708" s="21"/>
      <c r="G1708" s="22"/>
      <c r="H1708" s="69"/>
      <c r="I1708" s="22"/>
      <c r="J1708" s="23"/>
    </row>
    <row r="1709" spans="1:10" ht="33.6" customHeight="1" x14ac:dyDescent="0.15">
      <c r="A1709" s="21"/>
      <c r="B1709" s="22"/>
      <c r="C1709" s="64"/>
      <c r="D1709" s="24"/>
      <c r="E1709" s="23"/>
      <c r="F1709" s="21"/>
      <c r="G1709" s="22"/>
      <c r="H1709" s="61"/>
      <c r="I1709" s="24"/>
      <c r="J1709" s="23"/>
    </row>
    <row r="1710" spans="1:10" x14ac:dyDescent="0.15">
      <c r="A1710" s="25"/>
      <c r="B1710" s="26"/>
      <c r="C1710" s="67"/>
      <c r="D1710" s="59"/>
      <c r="E1710" s="27"/>
      <c r="F1710" s="25"/>
      <c r="G1710" s="26"/>
      <c r="H1710" s="63"/>
      <c r="I1710" s="26"/>
      <c r="J1710" s="27"/>
    </row>
    <row r="1711" spans="1:10" x14ac:dyDescent="0.15">
      <c r="A1711" s="18"/>
      <c r="B1711" s="19"/>
      <c r="C1711" s="66"/>
      <c r="D1711" s="58"/>
      <c r="E1711" s="20"/>
      <c r="F1711" s="18"/>
      <c r="G1711" s="19"/>
      <c r="H1711" s="60"/>
      <c r="I1711" s="19"/>
      <c r="J1711" s="20"/>
    </row>
    <row r="1712" spans="1:10" ht="40.15" customHeight="1" x14ac:dyDescent="0.15">
      <c r="A1712" s="21"/>
      <c r="B1712" s="28"/>
      <c r="C1712" s="64"/>
      <c r="D1712" s="24"/>
      <c r="E1712" s="23"/>
      <c r="F1712" s="21"/>
      <c r="G1712" s="28"/>
      <c r="H1712" s="61"/>
      <c r="I1712" s="22"/>
      <c r="J1712" s="23"/>
    </row>
    <row r="1713" spans="1:10" ht="60" customHeight="1" x14ac:dyDescent="0.4">
      <c r="A1713" s="21"/>
      <c r="B1713" s="22"/>
      <c r="C1713" s="62"/>
      <c r="D1713" s="24"/>
      <c r="E1713" s="23"/>
      <c r="F1713" s="21"/>
      <c r="G1713" s="22"/>
      <c r="H1713" s="62"/>
      <c r="I1713" s="22"/>
      <c r="J1713" s="23"/>
    </row>
    <row r="1714" spans="1:10" ht="27.6" customHeight="1" x14ac:dyDescent="0.3">
      <c r="A1714" s="21"/>
      <c r="B1714" s="22"/>
      <c r="C1714" s="69"/>
      <c r="D1714" s="24"/>
      <c r="E1714" s="23"/>
      <c r="F1714" s="21"/>
      <c r="G1714" s="22"/>
      <c r="H1714" s="69"/>
      <c r="I1714" s="22"/>
      <c r="J1714" s="23"/>
    </row>
    <row r="1715" spans="1:10" ht="33.6" customHeight="1" x14ac:dyDescent="0.15">
      <c r="A1715" s="21"/>
      <c r="B1715" s="22"/>
      <c r="C1715" s="64"/>
      <c r="D1715" s="24"/>
      <c r="E1715" s="23"/>
      <c r="F1715" s="21"/>
      <c r="G1715" s="22"/>
      <c r="H1715" s="61"/>
      <c r="I1715" s="24"/>
      <c r="J1715" s="23"/>
    </row>
    <row r="1716" spans="1:10" x14ac:dyDescent="0.15">
      <c r="A1716" s="25"/>
      <c r="B1716" s="26"/>
      <c r="C1716" s="67"/>
      <c r="D1716" s="59"/>
      <c r="E1716" s="27"/>
      <c r="F1716" s="25"/>
      <c r="G1716" s="26"/>
      <c r="H1716" s="63"/>
      <c r="I1716" s="26"/>
      <c r="J1716" s="27"/>
    </row>
    <row r="1717" spans="1:10" x14ac:dyDescent="0.15">
      <c r="A1717" s="18"/>
      <c r="B1717" s="19"/>
      <c r="C1717" s="66"/>
      <c r="D1717" s="58"/>
      <c r="E1717" s="20"/>
      <c r="F1717" s="18"/>
      <c r="G1717" s="19"/>
      <c r="H1717" s="60"/>
      <c r="I1717" s="19"/>
      <c r="J1717" s="20"/>
    </row>
    <row r="1718" spans="1:10" ht="40.15" customHeight="1" x14ac:dyDescent="0.15">
      <c r="A1718" s="21"/>
      <c r="B1718" s="28"/>
      <c r="C1718" s="64"/>
      <c r="D1718" s="24"/>
      <c r="E1718" s="23"/>
      <c r="F1718" s="21"/>
      <c r="G1718" s="28"/>
      <c r="H1718" s="61"/>
      <c r="I1718" s="22"/>
      <c r="J1718" s="23"/>
    </row>
    <row r="1719" spans="1:10" ht="60" customHeight="1" x14ac:dyDescent="0.4">
      <c r="A1719" s="21"/>
      <c r="B1719" s="22"/>
      <c r="C1719" s="62"/>
      <c r="D1719" s="24"/>
      <c r="E1719" s="23"/>
      <c r="F1719" s="21"/>
      <c r="G1719" s="22"/>
      <c r="H1719" s="62"/>
      <c r="I1719" s="22"/>
      <c r="J1719" s="23"/>
    </row>
    <row r="1720" spans="1:10" ht="27.6" customHeight="1" x14ac:dyDescent="0.3">
      <c r="A1720" s="21"/>
      <c r="B1720" s="22"/>
      <c r="C1720" s="69"/>
      <c r="D1720" s="24"/>
      <c r="E1720" s="23"/>
      <c r="F1720" s="21"/>
      <c r="G1720" s="22"/>
      <c r="H1720" s="69"/>
      <c r="I1720" s="22"/>
      <c r="J1720" s="23"/>
    </row>
    <row r="1721" spans="1:10" ht="33.6" customHeight="1" x14ac:dyDescent="0.15">
      <c r="A1721" s="21"/>
      <c r="B1721" s="22"/>
      <c r="C1721" s="64"/>
      <c r="D1721" s="24"/>
      <c r="E1721" s="23"/>
      <c r="F1721" s="21"/>
      <c r="G1721" s="22"/>
      <c r="H1721" s="61"/>
      <c r="I1721" s="24"/>
      <c r="J1721" s="23"/>
    </row>
    <row r="1722" spans="1:10" x14ac:dyDescent="0.15">
      <c r="A1722" s="25"/>
      <c r="B1722" s="26"/>
      <c r="C1722" s="67"/>
      <c r="D1722" s="59"/>
      <c r="E1722" s="27"/>
      <c r="F1722" s="25"/>
      <c r="G1722" s="26"/>
      <c r="H1722" s="63"/>
      <c r="I1722" s="26"/>
      <c r="J1722" s="27"/>
    </row>
    <row r="1723" spans="1:10" x14ac:dyDescent="0.15">
      <c r="A1723" s="18"/>
      <c r="B1723" s="19"/>
      <c r="C1723" s="66"/>
      <c r="D1723" s="58"/>
      <c r="E1723" s="20"/>
      <c r="F1723" s="18"/>
      <c r="G1723" s="19"/>
      <c r="H1723" s="60"/>
      <c r="I1723" s="19"/>
      <c r="J1723" s="20"/>
    </row>
    <row r="1724" spans="1:10" ht="40.15" customHeight="1" x14ac:dyDescent="0.15">
      <c r="A1724" s="21"/>
      <c r="B1724" s="28"/>
      <c r="C1724" s="64"/>
      <c r="D1724" s="24"/>
      <c r="E1724" s="23"/>
      <c r="F1724" s="21"/>
      <c r="G1724" s="28"/>
      <c r="H1724" s="61"/>
      <c r="I1724" s="22"/>
      <c r="J1724" s="23"/>
    </row>
    <row r="1725" spans="1:10" ht="60" customHeight="1" x14ac:dyDescent="0.4">
      <c r="A1725" s="21"/>
      <c r="B1725" s="22"/>
      <c r="C1725" s="62"/>
      <c r="D1725" s="24"/>
      <c r="E1725" s="23"/>
      <c r="F1725" s="21"/>
      <c r="G1725" s="22"/>
      <c r="H1725" s="62"/>
      <c r="I1725" s="22"/>
      <c r="J1725" s="23"/>
    </row>
    <row r="1726" spans="1:10" ht="27.6" customHeight="1" x14ac:dyDescent="0.3">
      <c r="A1726" s="21"/>
      <c r="B1726" s="22"/>
      <c r="C1726" s="69"/>
      <c r="D1726" s="24"/>
      <c r="E1726" s="23"/>
      <c r="F1726" s="21"/>
      <c r="G1726" s="22"/>
      <c r="H1726" s="69"/>
      <c r="I1726" s="22"/>
      <c r="J1726" s="23"/>
    </row>
    <row r="1727" spans="1:10" ht="33.6" customHeight="1" x14ac:dyDescent="0.15">
      <c r="A1727" s="21"/>
      <c r="B1727" s="22"/>
      <c r="C1727" s="64"/>
      <c r="D1727" s="24"/>
      <c r="E1727" s="23"/>
      <c r="F1727" s="21"/>
      <c r="G1727" s="22"/>
      <c r="H1727" s="61"/>
      <c r="I1727" s="24"/>
      <c r="J1727" s="23"/>
    </row>
    <row r="1728" spans="1:10" x14ac:dyDescent="0.15">
      <c r="A1728" s="25"/>
      <c r="B1728" s="26"/>
      <c r="C1728" s="67"/>
      <c r="D1728" s="59"/>
      <c r="E1728" s="27"/>
      <c r="F1728" s="25"/>
      <c r="G1728" s="26"/>
      <c r="H1728" s="63"/>
      <c r="I1728" s="26"/>
      <c r="J1728" s="27"/>
    </row>
    <row r="1729" spans="1:10" x14ac:dyDescent="0.15">
      <c r="A1729" s="18"/>
      <c r="B1729" s="19"/>
      <c r="C1729" s="66"/>
      <c r="D1729" s="58"/>
      <c r="E1729" s="20"/>
      <c r="F1729" s="18"/>
      <c r="G1729" s="19"/>
      <c r="H1729" s="60"/>
      <c r="I1729" s="19"/>
      <c r="J1729" s="20"/>
    </row>
    <row r="1730" spans="1:10" ht="40.15" customHeight="1" x14ac:dyDescent="0.15">
      <c r="A1730" s="21"/>
      <c r="B1730" s="22"/>
      <c r="C1730" s="64"/>
      <c r="D1730" s="24"/>
      <c r="E1730" s="23"/>
      <c r="F1730" s="21"/>
      <c r="G1730" s="28"/>
      <c r="H1730" s="61"/>
      <c r="I1730" s="22"/>
      <c r="J1730" s="23"/>
    </row>
    <row r="1731" spans="1:10" ht="60" customHeight="1" x14ac:dyDescent="0.55000000000000004">
      <c r="A1731" s="21"/>
      <c r="B1731" s="22"/>
      <c r="C1731" s="70"/>
      <c r="D1731" s="24"/>
      <c r="E1731" s="23"/>
      <c r="F1731" s="21"/>
      <c r="G1731" s="22"/>
      <c r="H1731" s="70"/>
      <c r="I1731" s="22"/>
      <c r="J1731" s="23"/>
    </row>
    <row r="1732" spans="1:10" ht="27.6" customHeight="1" x14ac:dyDescent="0.15">
      <c r="A1732" s="21"/>
      <c r="B1732" s="22"/>
      <c r="C1732" s="64"/>
      <c r="D1732" s="24"/>
      <c r="E1732" s="23"/>
      <c r="F1732" s="21"/>
      <c r="G1732" s="22"/>
      <c r="H1732" s="64"/>
      <c r="I1732" s="22"/>
      <c r="J1732" s="23"/>
    </row>
    <row r="1733" spans="1:10" ht="33.6" customHeight="1" x14ac:dyDescent="0.15">
      <c r="A1733" s="21"/>
      <c r="B1733" s="22"/>
      <c r="C1733" s="64"/>
      <c r="D1733" s="24"/>
      <c r="E1733" s="23"/>
      <c r="F1733" s="21"/>
      <c r="G1733" s="22"/>
      <c r="H1733" s="61"/>
      <c r="I1733" s="24"/>
      <c r="J1733" s="23"/>
    </row>
    <row r="1734" spans="1:10" x14ac:dyDescent="0.15">
      <c r="A1734" s="25"/>
      <c r="B1734" s="26"/>
      <c r="C1734" s="67"/>
      <c r="D1734" s="59"/>
      <c r="E1734" s="27"/>
      <c r="F1734" s="25"/>
      <c r="G1734" s="26"/>
      <c r="H1734" s="63"/>
      <c r="I1734" s="26"/>
      <c r="J1734" s="27"/>
    </row>
    <row r="1735" spans="1:10" x14ac:dyDescent="0.15">
      <c r="A1735" s="18"/>
      <c r="B1735" s="19"/>
      <c r="C1735" s="66"/>
      <c r="D1735" s="58"/>
      <c r="E1735" s="20"/>
      <c r="F1735" s="18"/>
      <c r="G1735" s="19"/>
      <c r="H1735" s="60"/>
      <c r="I1735" s="19"/>
      <c r="J1735" s="20"/>
    </row>
    <row r="1736" spans="1:10" ht="40.15" customHeight="1" x14ac:dyDescent="0.15">
      <c r="A1736" s="21"/>
      <c r="B1736" s="22"/>
      <c r="C1736" s="64"/>
      <c r="D1736" s="24"/>
      <c r="E1736" s="23"/>
      <c r="F1736" s="21"/>
      <c r="G1736" s="28"/>
      <c r="H1736" s="61"/>
      <c r="I1736" s="22"/>
      <c r="J1736" s="23"/>
    </row>
    <row r="1737" spans="1:10" ht="60" customHeight="1" x14ac:dyDescent="0.55000000000000004">
      <c r="A1737" s="21"/>
      <c r="B1737" s="22"/>
      <c r="C1737" s="70"/>
      <c r="D1737" s="24"/>
      <c r="E1737" s="23"/>
      <c r="F1737" s="21"/>
      <c r="G1737" s="22"/>
      <c r="H1737" s="70"/>
      <c r="I1737" s="22"/>
      <c r="J1737" s="23"/>
    </row>
    <row r="1738" spans="1:10" ht="27.6" customHeight="1" x14ac:dyDescent="0.15">
      <c r="A1738" s="21"/>
      <c r="B1738" s="22"/>
      <c r="C1738" s="64"/>
      <c r="D1738" s="24"/>
      <c r="E1738" s="23"/>
      <c r="F1738" s="21"/>
      <c r="G1738" s="22"/>
      <c r="H1738" s="64"/>
      <c r="I1738" s="22"/>
      <c r="J1738" s="23"/>
    </row>
    <row r="1739" spans="1:10" ht="33.6" customHeight="1" x14ac:dyDescent="0.15">
      <c r="A1739" s="21"/>
      <c r="B1739" s="22"/>
      <c r="C1739" s="64"/>
      <c r="D1739" s="24"/>
      <c r="E1739" s="23"/>
      <c r="F1739" s="21"/>
      <c r="G1739" s="22"/>
      <c r="H1739" s="61"/>
      <c r="I1739" s="24"/>
      <c r="J1739" s="23"/>
    </row>
    <row r="1740" spans="1:10" x14ac:dyDescent="0.15">
      <c r="A1740" s="25"/>
      <c r="B1740" s="26"/>
      <c r="C1740" s="67"/>
      <c r="D1740" s="59"/>
      <c r="E1740" s="27"/>
      <c r="F1740" s="25"/>
      <c r="G1740" s="26"/>
      <c r="H1740" s="63"/>
      <c r="I1740" s="26"/>
      <c r="J1740" s="27"/>
    </row>
    <row r="1741" spans="1:10" x14ac:dyDescent="0.15">
      <c r="A1741" s="18"/>
      <c r="B1741" s="19"/>
      <c r="C1741" s="66"/>
      <c r="D1741" s="58"/>
      <c r="E1741" s="20"/>
      <c r="F1741" s="18"/>
      <c r="G1741" s="19"/>
      <c r="H1741" s="60"/>
      <c r="I1741" s="19"/>
      <c r="J1741" s="20"/>
    </row>
    <row r="1742" spans="1:10" ht="40.15" customHeight="1" x14ac:dyDescent="0.15">
      <c r="A1742" s="21"/>
      <c r="B1742" s="22"/>
      <c r="C1742" s="64"/>
      <c r="D1742" s="24"/>
      <c r="E1742" s="23"/>
      <c r="F1742" s="21"/>
      <c r="G1742" s="28"/>
      <c r="H1742" s="61"/>
      <c r="I1742" s="22"/>
      <c r="J1742" s="23"/>
    </row>
    <row r="1743" spans="1:10" ht="60" customHeight="1" x14ac:dyDescent="0.55000000000000004">
      <c r="A1743" s="21"/>
      <c r="B1743" s="22"/>
      <c r="C1743" s="70"/>
      <c r="D1743" s="24"/>
      <c r="E1743" s="23"/>
      <c r="F1743" s="21"/>
      <c r="G1743" s="22"/>
      <c r="H1743" s="70"/>
      <c r="I1743" s="22"/>
      <c r="J1743" s="23"/>
    </row>
    <row r="1744" spans="1:10" ht="27.6" customHeight="1" x14ac:dyDescent="0.15">
      <c r="A1744" s="21"/>
      <c r="B1744" s="22"/>
      <c r="C1744" s="64"/>
      <c r="D1744" s="24"/>
      <c r="E1744" s="23"/>
      <c r="F1744" s="21"/>
      <c r="G1744" s="22"/>
      <c r="H1744" s="64"/>
      <c r="I1744" s="22"/>
      <c r="J1744" s="23"/>
    </row>
    <row r="1745" spans="1:10" ht="33.6" customHeight="1" x14ac:dyDescent="0.15">
      <c r="A1745" s="21"/>
      <c r="B1745" s="22"/>
      <c r="C1745" s="64"/>
      <c r="D1745" s="24"/>
      <c r="E1745" s="23"/>
      <c r="F1745" s="21"/>
      <c r="G1745" s="22"/>
      <c r="H1745" s="61"/>
      <c r="I1745" s="24"/>
      <c r="J1745" s="23"/>
    </row>
    <row r="1746" spans="1:10" x14ac:dyDescent="0.15">
      <c r="A1746" s="25"/>
      <c r="B1746" s="26"/>
      <c r="C1746" s="67"/>
      <c r="D1746" s="59"/>
      <c r="E1746" s="27"/>
      <c r="F1746" s="25"/>
      <c r="G1746" s="26"/>
      <c r="H1746" s="63"/>
      <c r="I1746" s="26"/>
      <c r="J1746" s="27"/>
    </row>
    <row r="1747" spans="1:10" x14ac:dyDescent="0.15">
      <c r="A1747" s="18"/>
      <c r="B1747" s="19"/>
      <c r="C1747" s="66"/>
      <c r="D1747" s="58"/>
      <c r="E1747" s="20"/>
      <c r="F1747" s="18"/>
      <c r="G1747" s="19"/>
      <c r="H1747" s="60"/>
      <c r="I1747" s="19"/>
      <c r="J1747" s="20"/>
    </row>
    <row r="1748" spans="1:10" ht="40.15" customHeight="1" x14ac:dyDescent="0.15">
      <c r="A1748" s="21"/>
      <c r="B1748" s="22"/>
      <c r="C1748" s="64"/>
      <c r="D1748" s="24"/>
      <c r="E1748" s="23"/>
      <c r="F1748" s="21"/>
      <c r="G1748" s="28"/>
      <c r="H1748" s="61"/>
      <c r="I1748" s="22"/>
      <c r="J1748" s="23"/>
    </row>
    <row r="1749" spans="1:10" ht="60" customHeight="1" x14ac:dyDescent="0.55000000000000004">
      <c r="A1749" s="21"/>
      <c r="B1749" s="22"/>
      <c r="C1749" s="70"/>
      <c r="D1749" s="24"/>
      <c r="E1749" s="23"/>
      <c r="F1749" s="21"/>
      <c r="G1749" s="22"/>
      <c r="H1749" s="70"/>
      <c r="I1749" s="22"/>
      <c r="J1749" s="23"/>
    </row>
    <row r="1750" spans="1:10" ht="27.6" customHeight="1" x14ac:dyDescent="0.15">
      <c r="A1750" s="21"/>
      <c r="B1750" s="22"/>
      <c r="C1750" s="64"/>
      <c r="D1750" s="24"/>
      <c r="E1750" s="23"/>
      <c r="F1750" s="21"/>
      <c r="G1750" s="22"/>
      <c r="H1750" s="64"/>
      <c r="I1750" s="22"/>
      <c r="J1750" s="23"/>
    </row>
    <row r="1751" spans="1:10" ht="33.6" customHeight="1" x14ac:dyDescent="0.15">
      <c r="A1751" s="21"/>
      <c r="B1751" s="22"/>
      <c r="C1751" s="64"/>
      <c r="D1751" s="24"/>
      <c r="E1751" s="23"/>
      <c r="F1751" s="21"/>
      <c r="G1751" s="22"/>
      <c r="H1751" s="61"/>
      <c r="I1751" s="24"/>
      <c r="J1751" s="23"/>
    </row>
    <row r="1752" spans="1:10" x14ac:dyDescent="0.15">
      <c r="A1752" s="25"/>
      <c r="B1752" s="26"/>
      <c r="C1752" s="67"/>
      <c r="D1752" s="59"/>
      <c r="E1752" s="27"/>
      <c r="F1752" s="25"/>
      <c r="G1752" s="26"/>
      <c r="H1752" s="63"/>
      <c r="I1752" s="26"/>
      <c r="J1752" s="27"/>
    </row>
    <row r="1753" spans="1:10" x14ac:dyDescent="0.15">
      <c r="A1753" s="18"/>
      <c r="B1753" s="19"/>
      <c r="C1753" s="66"/>
      <c r="D1753" s="58"/>
      <c r="E1753" s="20"/>
      <c r="F1753" s="18"/>
      <c r="G1753" s="19"/>
      <c r="H1753" s="60"/>
      <c r="I1753" s="19"/>
      <c r="J1753" s="20"/>
    </row>
    <row r="1754" spans="1:10" ht="40.15" customHeight="1" x14ac:dyDescent="0.15">
      <c r="A1754" s="21"/>
      <c r="B1754" s="22"/>
      <c r="C1754" s="64"/>
      <c r="D1754" s="24"/>
      <c r="E1754" s="23"/>
      <c r="F1754" s="21"/>
      <c r="G1754" s="28"/>
      <c r="H1754" s="61"/>
      <c r="I1754" s="22"/>
      <c r="J1754" s="23"/>
    </row>
    <row r="1755" spans="1:10" ht="60" customHeight="1" x14ac:dyDescent="0.55000000000000004">
      <c r="A1755" s="21"/>
      <c r="B1755" s="22"/>
      <c r="C1755" s="70"/>
      <c r="D1755" s="24"/>
      <c r="E1755" s="23"/>
      <c r="F1755" s="21"/>
      <c r="G1755" s="22"/>
      <c r="H1755" s="70"/>
      <c r="I1755" s="22"/>
      <c r="J1755" s="23"/>
    </row>
    <row r="1756" spans="1:10" ht="27.6" customHeight="1" x14ac:dyDescent="0.15">
      <c r="A1756" s="21"/>
      <c r="B1756" s="22"/>
      <c r="C1756" s="64"/>
      <c r="D1756" s="24"/>
      <c r="E1756" s="23"/>
      <c r="F1756" s="21"/>
      <c r="G1756" s="22"/>
      <c r="H1756" s="64"/>
      <c r="I1756" s="22"/>
      <c r="J1756" s="23"/>
    </row>
    <row r="1757" spans="1:10" ht="33.6" customHeight="1" x14ac:dyDescent="0.15">
      <c r="A1757" s="21"/>
      <c r="B1757" s="22"/>
      <c r="C1757" s="64"/>
      <c r="D1757" s="24"/>
      <c r="E1757" s="23"/>
      <c r="F1757" s="21"/>
      <c r="G1757" s="22"/>
      <c r="H1757" s="61"/>
      <c r="I1757" s="24"/>
      <c r="J1757" s="23"/>
    </row>
    <row r="1758" spans="1:10" x14ac:dyDescent="0.15">
      <c r="A1758" s="25"/>
      <c r="B1758" s="26"/>
      <c r="C1758" s="67"/>
      <c r="D1758" s="59"/>
      <c r="E1758" s="27"/>
      <c r="F1758" s="25"/>
      <c r="G1758" s="26"/>
      <c r="H1758" s="63"/>
      <c r="I1758" s="26"/>
      <c r="J1758" s="27"/>
    </row>
    <row r="1759" spans="1:10" x14ac:dyDescent="0.15">
      <c r="A1759" s="18"/>
      <c r="B1759" s="19"/>
      <c r="C1759" s="66"/>
      <c r="D1759" s="58"/>
      <c r="E1759" s="20"/>
      <c r="F1759" s="18"/>
      <c r="G1759" s="19"/>
      <c r="H1759" s="60"/>
      <c r="I1759" s="19"/>
      <c r="J1759" s="20"/>
    </row>
    <row r="1760" spans="1:10" ht="40.15" customHeight="1" x14ac:dyDescent="0.15">
      <c r="A1760" s="21"/>
      <c r="B1760" s="22"/>
      <c r="C1760" s="64"/>
      <c r="D1760" s="24"/>
      <c r="E1760" s="23"/>
      <c r="F1760" s="21"/>
      <c r="G1760" s="28"/>
      <c r="H1760" s="61"/>
      <c r="I1760" s="22"/>
      <c r="J1760" s="23"/>
    </row>
    <row r="1761" spans="1:10" ht="60" customHeight="1" x14ac:dyDescent="0.55000000000000004">
      <c r="A1761" s="21"/>
      <c r="B1761" s="22"/>
      <c r="C1761" s="70"/>
      <c r="D1761" s="24"/>
      <c r="E1761" s="23"/>
      <c r="F1761" s="21"/>
      <c r="G1761" s="22"/>
      <c r="H1761" s="70"/>
      <c r="I1761" s="22"/>
      <c r="J1761" s="23"/>
    </row>
    <row r="1762" spans="1:10" ht="27.6" customHeight="1" x14ac:dyDescent="0.15">
      <c r="A1762" s="21"/>
      <c r="B1762" s="22"/>
      <c r="C1762" s="64"/>
      <c r="D1762" s="24"/>
      <c r="E1762" s="23"/>
      <c r="F1762" s="21"/>
      <c r="G1762" s="22"/>
      <c r="H1762" s="64"/>
      <c r="I1762" s="22"/>
      <c r="J1762" s="23"/>
    </row>
    <row r="1763" spans="1:10" ht="33.6" customHeight="1" x14ac:dyDescent="0.15">
      <c r="A1763" s="21"/>
      <c r="B1763" s="22"/>
      <c r="C1763" s="64"/>
      <c r="D1763" s="24"/>
      <c r="E1763" s="23"/>
      <c r="F1763" s="21"/>
      <c r="G1763" s="22"/>
      <c r="H1763" s="61"/>
      <c r="I1763" s="24"/>
      <c r="J1763" s="23"/>
    </row>
    <row r="1764" spans="1:10" x14ac:dyDescent="0.15">
      <c r="A1764" s="25"/>
      <c r="B1764" s="26"/>
      <c r="C1764" s="67"/>
      <c r="D1764" s="59"/>
      <c r="E1764" s="27"/>
      <c r="F1764" s="25"/>
      <c r="G1764" s="26"/>
      <c r="H1764" s="63"/>
      <c r="I1764" s="26"/>
      <c r="J1764" s="27"/>
    </row>
    <row r="1765" spans="1:10" x14ac:dyDescent="0.15">
      <c r="A1765" s="18"/>
      <c r="B1765" s="19"/>
      <c r="C1765" s="66"/>
      <c r="D1765" s="58"/>
      <c r="E1765" s="20"/>
      <c r="F1765" s="18"/>
      <c r="G1765" s="19"/>
      <c r="H1765" s="60"/>
      <c r="I1765" s="19"/>
      <c r="J1765" s="20"/>
    </row>
    <row r="1766" spans="1:10" ht="40.15" customHeight="1" x14ac:dyDescent="0.15">
      <c r="A1766" s="21"/>
      <c r="B1766" s="28"/>
      <c r="C1766" s="64"/>
      <c r="D1766" s="24"/>
      <c r="E1766" s="23"/>
      <c r="F1766" s="21"/>
      <c r="G1766" s="28"/>
      <c r="H1766" s="61"/>
      <c r="I1766" s="22"/>
      <c r="J1766" s="23"/>
    </row>
    <row r="1767" spans="1:10" ht="60" customHeight="1" x14ac:dyDescent="0.4">
      <c r="A1767" s="21"/>
      <c r="B1767" s="22"/>
      <c r="C1767" s="62"/>
      <c r="D1767" s="24"/>
      <c r="E1767" s="23"/>
      <c r="F1767" s="21"/>
      <c r="G1767" s="22"/>
      <c r="H1767" s="62"/>
      <c r="I1767" s="22"/>
      <c r="J1767" s="23"/>
    </row>
    <row r="1768" spans="1:10" ht="27.6" customHeight="1" x14ac:dyDescent="0.3">
      <c r="A1768" s="21"/>
      <c r="B1768" s="22"/>
      <c r="C1768" s="69"/>
      <c r="D1768" s="24"/>
      <c r="E1768" s="23"/>
      <c r="F1768" s="21"/>
      <c r="G1768" s="22"/>
      <c r="H1768" s="69"/>
      <c r="I1768" s="22"/>
      <c r="J1768" s="23"/>
    </row>
    <row r="1769" spans="1:10" ht="33.6" customHeight="1" x14ac:dyDescent="0.15">
      <c r="A1769" s="21"/>
      <c r="B1769" s="22"/>
      <c r="C1769" s="64"/>
      <c r="D1769" s="24"/>
      <c r="E1769" s="23"/>
      <c r="F1769" s="21"/>
      <c r="G1769" s="22"/>
      <c r="H1769" s="61"/>
      <c r="I1769" s="24"/>
      <c r="J1769" s="23"/>
    </row>
    <row r="1770" spans="1:10" x14ac:dyDescent="0.15">
      <c r="A1770" s="25"/>
      <c r="B1770" s="26"/>
      <c r="C1770" s="67"/>
      <c r="D1770" s="59"/>
      <c r="E1770" s="27"/>
      <c r="F1770" s="25"/>
      <c r="G1770" s="26"/>
      <c r="H1770" s="63"/>
      <c r="I1770" s="26"/>
      <c r="J1770" s="27"/>
    </row>
    <row r="1771" spans="1:10" x14ac:dyDescent="0.15">
      <c r="A1771" s="18"/>
      <c r="B1771" s="19"/>
      <c r="C1771" s="66"/>
      <c r="D1771" s="58"/>
      <c r="E1771" s="20"/>
      <c r="F1771" s="18"/>
      <c r="G1771" s="19"/>
      <c r="H1771" s="60"/>
      <c r="I1771" s="19"/>
      <c r="J1771" s="20"/>
    </row>
    <row r="1772" spans="1:10" ht="40.15" customHeight="1" x14ac:dyDescent="0.15">
      <c r="A1772" s="21"/>
      <c r="B1772" s="28"/>
      <c r="C1772" s="64"/>
      <c r="D1772" s="24"/>
      <c r="E1772" s="23"/>
      <c r="F1772" s="21"/>
      <c r="G1772" s="28"/>
      <c r="H1772" s="61"/>
      <c r="I1772" s="22"/>
      <c r="J1772" s="23"/>
    </row>
    <row r="1773" spans="1:10" ht="60" customHeight="1" x14ac:dyDescent="0.4">
      <c r="A1773" s="21"/>
      <c r="B1773" s="22"/>
      <c r="C1773" s="62"/>
      <c r="D1773" s="24"/>
      <c r="E1773" s="23"/>
      <c r="F1773" s="21"/>
      <c r="G1773" s="22"/>
      <c r="H1773" s="62"/>
      <c r="I1773" s="22"/>
      <c r="J1773" s="23"/>
    </row>
    <row r="1774" spans="1:10" ht="27.6" customHeight="1" x14ac:dyDescent="0.3">
      <c r="A1774" s="21"/>
      <c r="B1774" s="22"/>
      <c r="C1774" s="69"/>
      <c r="D1774" s="24"/>
      <c r="E1774" s="23"/>
      <c r="F1774" s="21"/>
      <c r="G1774" s="22"/>
      <c r="H1774" s="69"/>
      <c r="I1774" s="22"/>
      <c r="J1774" s="23"/>
    </row>
    <row r="1775" spans="1:10" ht="33.6" customHeight="1" x14ac:dyDescent="0.15">
      <c r="A1775" s="21"/>
      <c r="B1775" s="22"/>
      <c r="C1775" s="64"/>
      <c r="D1775" s="24"/>
      <c r="E1775" s="23"/>
      <c r="F1775" s="21"/>
      <c r="G1775" s="22"/>
      <c r="H1775" s="61"/>
      <c r="I1775" s="24"/>
      <c r="J1775" s="23"/>
    </row>
    <row r="1776" spans="1:10" x14ac:dyDescent="0.15">
      <c r="A1776" s="25"/>
      <c r="B1776" s="26"/>
      <c r="C1776" s="67"/>
      <c r="D1776" s="59"/>
      <c r="E1776" s="27"/>
      <c r="F1776" s="25"/>
      <c r="G1776" s="26"/>
      <c r="H1776" s="63"/>
      <c r="I1776" s="26"/>
      <c r="J1776" s="27"/>
    </row>
    <row r="1777" spans="1:10" x14ac:dyDescent="0.15">
      <c r="A1777" s="18"/>
      <c r="B1777" s="19"/>
      <c r="C1777" s="66"/>
      <c r="D1777" s="58"/>
      <c r="E1777" s="20"/>
      <c r="F1777" s="18"/>
      <c r="G1777" s="19"/>
      <c r="H1777" s="60"/>
      <c r="I1777" s="19"/>
      <c r="J1777" s="20"/>
    </row>
    <row r="1778" spans="1:10" ht="40.15" customHeight="1" x14ac:dyDescent="0.15">
      <c r="A1778" s="21"/>
      <c r="B1778" s="28"/>
      <c r="C1778" s="64"/>
      <c r="D1778" s="24"/>
      <c r="E1778" s="23"/>
      <c r="F1778" s="21"/>
      <c r="G1778" s="28"/>
      <c r="H1778" s="61"/>
      <c r="I1778" s="22"/>
      <c r="J1778" s="23"/>
    </row>
    <row r="1779" spans="1:10" ht="60" customHeight="1" x14ac:dyDescent="0.4">
      <c r="A1779" s="21"/>
      <c r="B1779" s="22"/>
      <c r="C1779" s="62"/>
      <c r="D1779" s="24"/>
      <c r="E1779" s="23"/>
      <c r="F1779" s="21"/>
      <c r="G1779" s="22"/>
      <c r="H1779" s="62"/>
      <c r="I1779" s="22"/>
      <c r="J1779" s="23"/>
    </row>
    <row r="1780" spans="1:10" ht="27.6" customHeight="1" x14ac:dyDescent="0.3">
      <c r="A1780" s="21"/>
      <c r="B1780" s="22"/>
      <c r="C1780" s="69"/>
      <c r="D1780" s="24"/>
      <c r="E1780" s="23"/>
      <c r="F1780" s="21"/>
      <c r="G1780" s="22"/>
      <c r="H1780" s="69"/>
      <c r="I1780" s="22"/>
      <c r="J1780" s="23"/>
    </row>
    <row r="1781" spans="1:10" ht="33.6" customHeight="1" x14ac:dyDescent="0.15">
      <c r="A1781" s="21"/>
      <c r="B1781" s="22"/>
      <c r="C1781" s="64"/>
      <c r="D1781" s="24"/>
      <c r="E1781" s="23"/>
      <c r="F1781" s="21"/>
      <c r="G1781" s="22"/>
      <c r="H1781" s="61"/>
      <c r="I1781" s="24"/>
      <c r="J1781" s="23"/>
    </row>
    <row r="1782" spans="1:10" x14ac:dyDescent="0.15">
      <c r="A1782" s="25"/>
      <c r="B1782" s="26"/>
      <c r="C1782" s="67"/>
      <c r="D1782" s="59"/>
      <c r="E1782" s="27"/>
      <c r="F1782" s="25"/>
      <c r="G1782" s="26"/>
      <c r="H1782" s="63"/>
      <c r="I1782" s="26"/>
      <c r="J1782" s="27"/>
    </row>
    <row r="1783" spans="1:10" x14ac:dyDescent="0.15">
      <c r="A1783" s="18"/>
      <c r="B1783" s="19"/>
      <c r="C1783" s="66"/>
      <c r="D1783" s="58"/>
      <c r="E1783" s="20"/>
      <c r="F1783" s="18"/>
      <c r="G1783" s="19"/>
      <c r="H1783" s="60"/>
      <c r="I1783" s="19"/>
      <c r="J1783" s="20"/>
    </row>
    <row r="1784" spans="1:10" ht="40.15" customHeight="1" x14ac:dyDescent="0.15">
      <c r="A1784" s="21"/>
      <c r="B1784" s="28"/>
      <c r="C1784" s="64"/>
      <c r="D1784" s="24"/>
      <c r="E1784" s="23"/>
      <c r="F1784" s="21"/>
      <c r="G1784" s="28"/>
      <c r="H1784" s="61"/>
      <c r="I1784" s="22"/>
      <c r="J1784" s="23"/>
    </row>
    <row r="1785" spans="1:10" ht="60" customHeight="1" x14ac:dyDescent="0.4">
      <c r="A1785" s="21"/>
      <c r="B1785" s="22"/>
      <c r="C1785" s="62"/>
      <c r="D1785" s="24"/>
      <c r="E1785" s="23"/>
      <c r="F1785" s="21"/>
      <c r="G1785" s="22"/>
      <c r="H1785" s="62"/>
      <c r="I1785" s="22"/>
      <c r="J1785" s="23"/>
    </row>
    <row r="1786" spans="1:10" ht="27.6" customHeight="1" x14ac:dyDescent="0.3">
      <c r="A1786" s="21"/>
      <c r="B1786" s="22"/>
      <c r="C1786" s="69"/>
      <c r="D1786" s="24"/>
      <c r="E1786" s="23"/>
      <c r="F1786" s="21"/>
      <c r="G1786" s="22"/>
      <c r="H1786" s="69"/>
      <c r="I1786" s="22"/>
      <c r="J1786" s="23"/>
    </row>
    <row r="1787" spans="1:10" ht="33.6" customHeight="1" x14ac:dyDescent="0.15">
      <c r="A1787" s="21"/>
      <c r="B1787" s="22"/>
      <c r="C1787" s="64"/>
      <c r="D1787" s="24"/>
      <c r="E1787" s="23"/>
      <c r="F1787" s="21"/>
      <c r="G1787" s="22"/>
      <c r="H1787" s="61"/>
      <c r="I1787" s="24"/>
      <c r="J1787" s="23"/>
    </row>
    <row r="1788" spans="1:10" x14ac:dyDescent="0.15">
      <c r="A1788" s="25"/>
      <c r="B1788" s="26"/>
      <c r="C1788" s="67"/>
      <c r="D1788" s="59"/>
      <c r="E1788" s="27"/>
      <c r="F1788" s="25"/>
      <c r="G1788" s="26"/>
      <c r="H1788" s="63"/>
      <c r="I1788" s="26"/>
      <c r="J1788" s="27"/>
    </row>
    <row r="1789" spans="1:10" x14ac:dyDescent="0.15">
      <c r="A1789" s="18"/>
      <c r="B1789" s="19"/>
      <c r="C1789" s="66"/>
      <c r="D1789" s="58"/>
      <c r="E1789" s="20"/>
      <c r="F1789" s="18"/>
      <c r="G1789" s="19"/>
      <c r="H1789" s="60"/>
      <c r="I1789" s="19"/>
      <c r="J1789" s="20"/>
    </row>
    <row r="1790" spans="1:10" ht="40.15" customHeight="1" x14ac:dyDescent="0.15">
      <c r="A1790" s="21"/>
      <c r="B1790" s="28"/>
      <c r="C1790" s="64"/>
      <c r="D1790" s="24"/>
      <c r="E1790" s="23"/>
      <c r="F1790" s="21"/>
      <c r="G1790" s="28"/>
      <c r="H1790" s="61"/>
      <c r="I1790" s="22"/>
      <c r="J1790" s="23"/>
    </row>
    <row r="1791" spans="1:10" ht="60" customHeight="1" x14ac:dyDescent="0.4">
      <c r="A1791" s="21"/>
      <c r="B1791" s="22"/>
      <c r="C1791" s="62"/>
      <c r="D1791" s="24"/>
      <c r="E1791" s="23"/>
      <c r="F1791" s="21"/>
      <c r="G1791" s="22"/>
      <c r="H1791" s="62"/>
      <c r="I1791" s="22"/>
      <c r="J1791" s="23"/>
    </row>
    <row r="1792" spans="1:10" ht="27.6" customHeight="1" x14ac:dyDescent="0.3">
      <c r="A1792" s="21"/>
      <c r="B1792" s="22"/>
      <c r="C1792" s="69"/>
      <c r="D1792" s="24"/>
      <c r="E1792" s="23"/>
      <c r="F1792" s="21"/>
      <c r="G1792" s="22"/>
      <c r="H1792" s="69"/>
      <c r="I1792" s="22"/>
      <c r="J1792" s="23"/>
    </row>
    <row r="1793" spans="1:10" ht="33.6" customHeight="1" x14ac:dyDescent="0.15">
      <c r="A1793" s="21"/>
      <c r="B1793" s="22"/>
      <c r="C1793" s="64"/>
      <c r="D1793" s="24"/>
      <c r="E1793" s="23"/>
      <c r="F1793" s="21"/>
      <c r="G1793" s="22"/>
      <c r="H1793" s="61"/>
      <c r="I1793" s="24"/>
      <c r="J1793" s="23"/>
    </row>
    <row r="1794" spans="1:10" x14ac:dyDescent="0.15">
      <c r="A1794" s="25"/>
      <c r="B1794" s="26"/>
      <c r="C1794" s="67"/>
      <c r="D1794" s="59"/>
      <c r="E1794" s="27"/>
      <c r="F1794" s="25"/>
      <c r="G1794" s="26"/>
      <c r="H1794" s="63"/>
      <c r="I1794" s="26"/>
      <c r="J1794" s="27"/>
    </row>
    <row r="1795" spans="1:10" x14ac:dyDescent="0.15">
      <c r="A1795" s="18"/>
      <c r="B1795" s="19"/>
      <c r="C1795" s="66"/>
      <c r="D1795" s="58"/>
      <c r="E1795" s="20"/>
      <c r="F1795" s="18"/>
      <c r="G1795" s="19"/>
      <c r="H1795" s="60"/>
      <c r="I1795" s="19"/>
      <c r="J1795" s="20"/>
    </row>
    <row r="1796" spans="1:10" ht="40.15" customHeight="1" x14ac:dyDescent="0.15">
      <c r="A1796" s="21"/>
      <c r="B1796" s="28"/>
      <c r="C1796" s="64"/>
      <c r="D1796" s="24"/>
      <c r="E1796" s="23"/>
      <c r="F1796" s="21"/>
      <c r="G1796" s="28"/>
      <c r="H1796" s="61"/>
      <c r="I1796" s="22"/>
      <c r="J1796" s="23"/>
    </row>
    <row r="1797" spans="1:10" ht="60" customHeight="1" x14ac:dyDescent="0.4">
      <c r="A1797" s="21"/>
      <c r="B1797" s="22"/>
      <c r="C1797" s="62"/>
      <c r="D1797" s="24"/>
      <c r="E1797" s="23"/>
      <c r="F1797" s="21"/>
      <c r="G1797" s="22"/>
      <c r="H1797" s="62"/>
      <c r="I1797" s="22"/>
      <c r="J1797" s="23"/>
    </row>
    <row r="1798" spans="1:10" ht="27.6" customHeight="1" x14ac:dyDescent="0.3">
      <c r="A1798" s="21"/>
      <c r="B1798" s="22"/>
      <c r="C1798" s="69"/>
      <c r="D1798" s="24"/>
      <c r="E1798" s="23"/>
      <c r="F1798" s="21"/>
      <c r="G1798" s="22"/>
      <c r="H1798" s="69"/>
      <c r="I1798" s="22"/>
      <c r="J1798" s="23"/>
    </row>
    <row r="1799" spans="1:10" ht="33.6" customHeight="1" x14ac:dyDescent="0.15">
      <c r="A1799" s="21"/>
      <c r="B1799" s="22"/>
      <c r="C1799" s="64"/>
      <c r="D1799" s="24"/>
      <c r="E1799" s="23"/>
      <c r="F1799" s="21"/>
      <c r="G1799" s="22"/>
      <c r="H1799" s="61"/>
      <c r="I1799" s="24"/>
      <c r="J1799" s="23"/>
    </row>
    <row r="1800" spans="1:10" x14ac:dyDescent="0.15">
      <c r="A1800" s="25"/>
      <c r="B1800" s="26"/>
      <c r="C1800" s="67"/>
      <c r="D1800" s="59"/>
      <c r="E1800" s="27"/>
      <c r="F1800" s="25"/>
      <c r="G1800" s="26"/>
      <c r="H1800" s="63"/>
      <c r="I1800" s="26"/>
      <c r="J1800" s="27"/>
    </row>
    <row r="1801" spans="1:10" x14ac:dyDescent="0.15">
      <c r="A1801" s="18"/>
      <c r="B1801" s="19"/>
      <c r="C1801" s="66"/>
      <c r="D1801" s="58"/>
      <c r="E1801" s="20"/>
      <c r="F1801" s="18"/>
      <c r="G1801" s="19"/>
      <c r="H1801" s="60"/>
      <c r="I1801" s="19"/>
      <c r="J1801" s="20"/>
    </row>
    <row r="1802" spans="1:10" ht="40.15" customHeight="1" x14ac:dyDescent="0.15">
      <c r="A1802" s="21"/>
      <c r="B1802" s="22"/>
      <c r="C1802" s="64"/>
      <c r="D1802" s="24"/>
      <c r="E1802" s="23"/>
      <c r="F1802" s="21"/>
      <c r="G1802" s="28"/>
      <c r="H1802" s="61"/>
      <c r="I1802" s="22"/>
      <c r="J1802" s="23"/>
    </row>
    <row r="1803" spans="1:10" ht="60" customHeight="1" x14ac:dyDescent="0.55000000000000004">
      <c r="A1803" s="21"/>
      <c r="B1803" s="22"/>
      <c r="C1803" s="70"/>
      <c r="D1803" s="24"/>
      <c r="E1803" s="23"/>
      <c r="F1803" s="21"/>
      <c r="G1803" s="22"/>
      <c r="H1803" s="70"/>
      <c r="I1803" s="22"/>
      <c r="J1803" s="23"/>
    </row>
    <row r="1804" spans="1:10" ht="27.6" customHeight="1" x14ac:dyDescent="0.15">
      <c r="A1804" s="21"/>
      <c r="B1804" s="22"/>
      <c r="C1804" s="64"/>
      <c r="D1804" s="24"/>
      <c r="E1804" s="23"/>
      <c r="F1804" s="21"/>
      <c r="G1804" s="22"/>
      <c r="H1804" s="64"/>
      <c r="I1804" s="22"/>
      <c r="J1804" s="23"/>
    </row>
    <row r="1805" spans="1:10" ht="33.6" customHeight="1" x14ac:dyDescent="0.15">
      <c r="A1805" s="21"/>
      <c r="B1805" s="22"/>
      <c r="C1805" s="64"/>
      <c r="D1805" s="24"/>
      <c r="E1805" s="23"/>
      <c r="F1805" s="21"/>
      <c r="G1805" s="22"/>
      <c r="H1805" s="61"/>
      <c r="I1805" s="24"/>
      <c r="J1805" s="23"/>
    </row>
    <row r="1806" spans="1:10" x14ac:dyDescent="0.15">
      <c r="A1806" s="25"/>
      <c r="B1806" s="26"/>
      <c r="C1806" s="67"/>
      <c r="D1806" s="59"/>
      <c r="E1806" s="27"/>
      <c r="F1806" s="25"/>
      <c r="G1806" s="26"/>
      <c r="H1806" s="63"/>
      <c r="I1806" s="26"/>
      <c r="J1806" s="27"/>
    </row>
    <row r="1807" spans="1:10" x14ac:dyDescent="0.15">
      <c r="A1807" s="18"/>
      <c r="B1807" s="19"/>
      <c r="C1807" s="66"/>
      <c r="D1807" s="58"/>
      <c r="E1807" s="20"/>
      <c r="F1807" s="18"/>
      <c r="G1807" s="19"/>
      <c r="H1807" s="60"/>
      <c r="I1807" s="19"/>
      <c r="J1807" s="20"/>
    </row>
    <row r="1808" spans="1:10" ht="40.15" customHeight="1" x14ac:dyDescent="0.15">
      <c r="A1808" s="21"/>
      <c r="B1808" s="22"/>
      <c r="C1808" s="64"/>
      <c r="D1808" s="24"/>
      <c r="E1808" s="23"/>
      <c r="F1808" s="21"/>
      <c r="G1808" s="28"/>
      <c r="H1808" s="61"/>
      <c r="I1808" s="22"/>
      <c r="J1808" s="23"/>
    </row>
    <row r="1809" spans="1:10" ht="60" customHeight="1" x14ac:dyDescent="0.55000000000000004">
      <c r="A1809" s="21"/>
      <c r="B1809" s="22"/>
      <c r="C1809" s="70"/>
      <c r="D1809" s="24"/>
      <c r="E1809" s="23"/>
      <c r="F1809" s="21"/>
      <c r="G1809" s="22"/>
      <c r="H1809" s="70"/>
      <c r="I1809" s="22"/>
      <c r="J1809" s="23"/>
    </row>
    <row r="1810" spans="1:10" ht="27.6" customHeight="1" x14ac:dyDescent="0.15">
      <c r="A1810" s="21"/>
      <c r="B1810" s="22"/>
      <c r="C1810" s="64"/>
      <c r="D1810" s="24"/>
      <c r="E1810" s="23"/>
      <c r="F1810" s="21"/>
      <c r="G1810" s="22"/>
      <c r="H1810" s="64"/>
      <c r="I1810" s="22"/>
      <c r="J1810" s="23"/>
    </row>
    <row r="1811" spans="1:10" ht="33.6" customHeight="1" x14ac:dyDescent="0.15">
      <c r="A1811" s="21"/>
      <c r="B1811" s="22"/>
      <c r="C1811" s="64"/>
      <c r="D1811" s="24"/>
      <c r="E1811" s="23"/>
      <c r="F1811" s="21"/>
      <c r="G1811" s="22"/>
      <c r="H1811" s="61"/>
      <c r="I1811" s="24"/>
      <c r="J1811" s="23"/>
    </row>
    <row r="1812" spans="1:10" x14ac:dyDescent="0.15">
      <c r="A1812" s="25"/>
      <c r="B1812" s="26"/>
      <c r="C1812" s="67"/>
      <c r="D1812" s="59"/>
      <c r="E1812" s="27"/>
      <c r="F1812" s="25"/>
      <c r="G1812" s="26"/>
      <c r="H1812" s="63"/>
      <c r="I1812" s="26"/>
      <c r="J1812" s="27"/>
    </row>
    <row r="1813" spans="1:10" x14ac:dyDescent="0.15">
      <c r="A1813" s="18"/>
      <c r="B1813" s="19"/>
      <c r="C1813" s="66"/>
      <c r="D1813" s="58"/>
      <c r="E1813" s="20"/>
      <c r="F1813" s="18"/>
      <c r="G1813" s="19"/>
      <c r="H1813" s="60"/>
      <c r="I1813" s="19"/>
      <c r="J1813" s="20"/>
    </row>
    <row r="1814" spans="1:10" ht="40.15" customHeight="1" x14ac:dyDescent="0.15">
      <c r="A1814" s="21"/>
      <c r="B1814" s="22"/>
      <c r="C1814" s="64"/>
      <c r="D1814" s="24"/>
      <c r="E1814" s="23"/>
      <c r="F1814" s="21"/>
      <c r="G1814" s="28"/>
      <c r="H1814" s="61"/>
      <c r="I1814" s="22"/>
      <c r="J1814" s="23"/>
    </row>
    <row r="1815" spans="1:10" ht="60" customHeight="1" x14ac:dyDescent="0.55000000000000004">
      <c r="A1815" s="21"/>
      <c r="B1815" s="22"/>
      <c r="C1815" s="70"/>
      <c r="D1815" s="24"/>
      <c r="E1815" s="23"/>
      <c r="F1815" s="21"/>
      <c r="G1815" s="22"/>
      <c r="H1815" s="70"/>
      <c r="I1815" s="22"/>
      <c r="J1815" s="23"/>
    </row>
    <row r="1816" spans="1:10" ht="27.6" customHeight="1" x14ac:dyDescent="0.15">
      <c r="A1816" s="21"/>
      <c r="B1816" s="22"/>
      <c r="C1816" s="64"/>
      <c r="D1816" s="24"/>
      <c r="E1816" s="23"/>
      <c r="F1816" s="21"/>
      <c r="G1816" s="22"/>
      <c r="H1816" s="64"/>
      <c r="I1816" s="22"/>
      <c r="J1816" s="23"/>
    </row>
    <row r="1817" spans="1:10" ht="33.6" customHeight="1" x14ac:dyDescent="0.15">
      <c r="A1817" s="21"/>
      <c r="B1817" s="22"/>
      <c r="C1817" s="64"/>
      <c r="D1817" s="24"/>
      <c r="E1817" s="23"/>
      <c r="F1817" s="21"/>
      <c r="G1817" s="22"/>
      <c r="H1817" s="61"/>
      <c r="I1817" s="24"/>
      <c r="J1817" s="23"/>
    </row>
    <row r="1818" spans="1:10" x14ac:dyDescent="0.15">
      <c r="A1818" s="25"/>
      <c r="B1818" s="26"/>
      <c r="C1818" s="67"/>
      <c r="D1818" s="59"/>
      <c r="E1818" s="27"/>
      <c r="F1818" s="25"/>
      <c r="G1818" s="26"/>
      <c r="H1818" s="63"/>
      <c r="I1818" s="26"/>
      <c r="J1818" s="27"/>
    </row>
    <row r="1819" spans="1:10" x14ac:dyDescent="0.15">
      <c r="A1819" s="18"/>
      <c r="B1819" s="19"/>
      <c r="C1819" s="66"/>
      <c r="D1819" s="58"/>
      <c r="E1819" s="20"/>
      <c r="F1819" s="18"/>
      <c r="G1819" s="19"/>
      <c r="H1819" s="60"/>
      <c r="I1819" s="19"/>
      <c r="J1819" s="20"/>
    </row>
    <row r="1820" spans="1:10" ht="40.15" customHeight="1" x14ac:dyDescent="0.15">
      <c r="A1820" s="21"/>
      <c r="B1820" s="22"/>
      <c r="C1820" s="64"/>
      <c r="D1820" s="24"/>
      <c r="E1820" s="23"/>
      <c r="F1820" s="21"/>
      <c r="G1820" s="28"/>
      <c r="H1820" s="61"/>
      <c r="I1820" s="22"/>
      <c r="J1820" s="23"/>
    </row>
    <row r="1821" spans="1:10" ht="60" customHeight="1" x14ac:dyDescent="0.55000000000000004">
      <c r="A1821" s="21"/>
      <c r="B1821" s="22"/>
      <c r="C1821" s="70"/>
      <c r="D1821" s="24"/>
      <c r="E1821" s="23"/>
      <c r="F1821" s="21"/>
      <c r="G1821" s="22"/>
      <c r="H1821" s="70"/>
      <c r="I1821" s="22"/>
      <c r="J1821" s="23"/>
    </row>
    <row r="1822" spans="1:10" ht="27.6" customHeight="1" x14ac:dyDescent="0.15">
      <c r="A1822" s="21"/>
      <c r="B1822" s="22"/>
      <c r="C1822" s="64"/>
      <c r="D1822" s="24"/>
      <c r="E1822" s="23"/>
      <c r="F1822" s="21"/>
      <c r="G1822" s="22"/>
      <c r="H1822" s="64"/>
      <c r="I1822" s="22"/>
      <c r="J1822" s="23"/>
    </row>
    <row r="1823" spans="1:10" ht="33.6" customHeight="1" x14ac:dyDescent="0.15">
      <c r="A1823" s="21"/>
      <c r="B1823" s="22"/>
      <c r="C1823" s="64"/>
      <c r="D1823" s="24"/>
      <c r="E1823" s="23"/>
      <c r="F1823" s="21"/>
      <c r="G1823" s="22"/>
      <c r="H1823" s="61"/>
      <c r="I1823" s="24"/>
      <c r="J1823" s="23"/>
    </row>
    <row r="1824" spans="1:10" x14ac:dyDescent="0.15">
      <c r="A1824" s="25"/>
      <c r="B1824" s="26"/>
      <c r="C1824" s="67"/>
      <c r="D1824" s="59"/>
      <c r="E1824" s="27"/>
      <c r="F1824" s="25"/>
      <c r="G1824" s="26"/>
      <c r="H1824" s="63"/>
      <c r="I1824" s="26"/>
      <c r="J1824" s="27"/>
    </row>
    <row r="1825" spans="1:10" x14ac:dyDescent="0.15">
      <c r="A1825" s="18"/>
      <c r="B1825" s="19"/>
      <c r="C1825" s="66"/>
      <c r="D1825" s="58"/>
      <c r="E1825" s="20"/>
      <c r="F1825" s="18"/>
      <c r="G1825" s="19"/>
      <c r="H1825" s="60"/>
      <c r="I1825" s="19"/>
      <c r="J1825" s="20"/>
    </row>
    <row r="1826" spans="1:10" ht="40.15" customHeight="1" x14ac:dyDescent="0.15">
      <c r="A1826" s="21"/>
      <c r="B1826" s="22"/>
      <c r="C1826" s="64"/>
      <c r="D1826" s="24"/>
      <c r="E1826" s="23"/>
      <c r="F1826" s="21"/>
      <c r="G1826" s="28"/>
      <c r="H1826" s="61"/>
      <c r="I1826" s="22"/>
      <c r="J1826" s="23"/>
    </row>
    <row r="1827" spans="1:10" ht="60" customHeight="1" x14ac:dyDescent="0.55000000000000004">
      <c r="A1827" s="21"/>
      <c r="B1827" s="22"/>
      <c r="C1827" s="70"/>
      <c r="D1827" s="24"/>
      <c r="E1827" s="23"/>
      <c r="F1827" s="21"/>
      <c r="G1827" s="22"/>
      <c r="H1827" s="70"/>
      <c r="I1827" s="22"/>
      <c r="J1827" s="23"/>
    </row>
    <row r="1828" spans="1:10" ht="27.6" customHeight="1" x14ac:dyDescent="0.15">
      <c r="A1828" s="21"/>
      <c r="B1828" s="22"/>
      <c r="C1828" s="64"/>
      <c r="D1828" s="24"/>
      <c r="E1828" s="23"/>
      <c r="F1828" s="21"/>
      <c r="G1828" s="22"/>
      <c r="H1828" s="64"/>
      <c r="I1828" s="22"/>
      <c r="J1828" s="23"/>
    </row>
    <row r="1829" spans="1:10" ht="33.6" customHeight="1" x14ac:dyDescent="0.15">
      <c r="A1829" s="21"/>
      <c r="B1829" s="22"/>
      <c r="C1829" s="64"/>
      <c r="D1829" s="24"/>
      <c r="E1829" s="23"/>
      <c r="F1829" s="21"/>
      <c r="G1829" s="22"/>
      <c r="H1829" s="61"/>
      <c r="I1829" s="24"/>
      <c r="J1829" s="23"/>
    </row>
    <row r="1830" spans="1:10" x14ac:dyDescent="0.15">
      <c r="A1830" s="25"/>
      <c r="B1830" s="26"/>
      <c r="C1830" s="67"/>
      <c r="D1830" s="59"/>
      <c r="E1830" s="27"/>
      <c r="F1830" s="25"/>
      <c r="G1830" s="26"/>
      <c r="H1830" s="63"/>
      <c r="I1830" s="26"/>
      <c r="J1830" s="27"/>
    </row>
    <row r="1831" spans="1:10" x14ac:dyDescent="0.15">
      <c r="A1831" s="18"/>
      <c r="B1831" s="19"/>
      <c r="C1831" s="66"/>
      <c r="D1831" s="58"/>
      <c r="E1831" s="20"/>
      <c r="F1831" s="18"/>
      <c r="G1831" s="19"/>
      <c r="H1831" s="60"/>
      <c r="I1831" s="19"/>
      <c r="J1831" s="20"/>
    </row>
    <row r="1832" spans="1:10" ht="40.15" customHeight="1" x14ac:dyDescent="0.15">
      <c r="A1832" s="21"/>
      <c r="B1832" s="22"/>
      <c r="C1832" s="64"/>
      <c r="D1832" s="24"/>
      <c r="E1832" s="23"/>
      <c r="F1832" s="21"/>
      <c r="G1832" s="28"/>
      <c r="H1832" s="61"/>
      <c r="I1832" s="22"/>
      <c r="J1832" s="23"/>
    </row>
    <row r="1833" spans="1:10" ht="60" customHeight="1" x14ac:dyDescent="0.55000000000000004">
      <c r="A1833" s="21"/>
      <c r="B1833" s="22"/>
      <c r="C1833" s="70"/>
      <c r="D1833" s="24"/>
      <c r="E1833" s="23"/>
      <c r="F1833" s="21"/>
      <c r="G1833" s="22"/>
      <c r="H1833" s="70"/>
      <c r="I1833" s="22"/>
      <c r="J1833" s="23"/>
    </row>
    <row r="1834" spans="1:10" ht="27.6" customHeight="1" x14ac:dyDescent="0.15">
      <c r="A1834" s="21"/>
      <c r="B1834" s="22"/>
      <c r="C1834" s="64"/>
      <c r="D1834" s="24"/>
      <c r="E1834" s="23"/>
      <c r="F1834" s="21"/>
      <c r="G1834" s="22"/>
      <c r="H1834" s="64"/>
      <c r="I1834" s="22"/>
      <c r="J1834" s="23"/>
    </row>
    <row r="1835" spans="1:10" ht="33.6" customHeight="1" x14ac:dyDescent="0.15">
      <c r="A1835" s="21"/>
      <c r="B1835" s="22"/>
      <c r="C1835" s="64"/>
      <c r="D1835" s="24"/>
      <c r="E1835" s="23"/>
      <c r="F1835" s="21"/>
      <c r="G1835" s="22"/>
      <c r="H1835" s="61"/>
      <c r="I1835" s="24"/>
      <c r="J1835" s="23"/>
    </row>
    <row r="1836" spans="1:10" x14ac:dyDescent="0.15">
      <c r="A1836" s="25"/>
      <c r="B1836" s="26"/>
      <c r="C1836" s="67"/>
      <c r="D1836" s="59"/>
      <c r="E1836" s="27"/>
      <c r="F1836" s="25"/>
      <c r="G1836" s="26"/>
      <c r="H1836" s="63"/>
      <c r="I1836" s="26"/>
      <c r="J1836" s="27"/>
    </row>
    <row r="1837" spans="1:10" x14ac:dyDescent="0.15">
      <c r="A1837" s="18"/>
      <c r="B1837" s="19"/>
      <c r="C1837" s="66"/>
      <c r="D1837" s="58"/>
      <c r="E1837" s="20"/>
      <c r="F1837" s="18"/>
      <c r="G1837" s="19"/>
      <c r="H1837" s="60"/>
      <c r="I1837" s="19"/>
      <c r="J1837" s="20"/>
    </row>
    <row r="1838" spans="1:10" ht="40.15" customHeight="1" x14ac:dyDescent="0.15">
      <c r="A1838" s="21"/>
      <c r="B1838" s="28"/>
      <c r="C1838" s="64"/>
      <c r="D1838" s="24"/>
      <c r="E1838" s="23"/>
      <c r="F1838" s="21"/>
      <c r="G1838" s="28"/>
      <c r="H1838" s="61"/>
      <c r="I1838" s="22"/>
      <c r="J1838" s="23"/>
    </row>
    <row r="1839" spans="1:10" ht="60" customHeight="1" x14ac:dyDescent="0.4">
      <c r="A1839" s="21"/>
      <c r="B1839" s="22"/>
      <c r="C1839" s="62"/>
      <c r="D1839" s="24"/>
      <c r="E1839" s="23"/>
      <c r="F1839" s="21"/>
      <c r="G1839" s="22"/>
      <c r="H1839" s="62"/>
      <c r="I1839" s="22"/>
      <c r="J1839" s="23"/>
    </row>
    <row r="1840" spans="1:10" ht="27.6" customHeight="1" x14ac:dyDescent="0.3">
      <c r="A1840" s="21"/>
      <c r="B1840" s="22"/>
      <c r="C1840" s="69"/>
      <c r="D1840" s="24"/>
      <c r="E1840" s="23"/>
      <c r="F1840" s="21"/>
      <c r="G1840" s="22"/>
      <c r="H1840" s="69"/>
      <c r="I1840" s="22"/>
      <c r="J1840" s="23"/>
    </row>
    <row r="1841" spans="1:10" ht="33.6" customHeight="1" x14ac:dyDescent="0.15">
      <c r="A1841" s="21"/>
      <c r="B1841" s="22"/>
      <c r="C1841" s="64"/>
      <c r="D1841" s="24"/>
      <c r="E1841" s="23"/>
      <c r="F1841" s="21"/>
      <c r="G1841" s="22"/>
      <c r="H1841" s="61"/>
      <c r="I1841" s="24"/>
      <c r="J1841" s="23"/>
    </row>
    <row r="1842" spans="1:10" x14ac:dyDescent="0.15">
      <c r="A1842" s="25"/>
      <c r="B1842" s="26"/>
      <c r="C1842" s="67"/>
      <c r="D1842" s="59"/>
      <c r="E1842" s="27"/>
      <c r="F1842" s="25"/>
      <c r="G1842" s="26"/>
      <c r="H1842" s="63"/>
      <c r="I1842" s="26"/>
      <c r="J1842" s="27"/>
    </row>
    <row r="1843" spans="1:10" x14ac:dyDescent="0.15">
      <c r="A1843" s="18"/>
      <c r="B1843" s="19"/>
      <c r="C1843" s="66"/>
      <c r="D1843" s="58"/>
      <c r="E1843" s="20"/>
      <c r="F1843" s="18"/>
      <c r="G1843" s="19"/>
      <c r="H1843" s="60"/>
      <c r="I1843" s="19"/>
      <c r="J1843" s="20"/>
    </row>
    <row r="1844" spans="1:10" ht="40.15" customHeight="1" x14ac:dyDescent="0.15">
      <c r="A1844" s="21"/>
      <c r="B1844" s="28"/>
      <c r="C1844" s="64"/>
      <c r="D1844" s="24"/>
      <c r="E1844" s="23"/>
      <c r="F1844" s="21"/>
      <c r="G1844" s="28"/>
      <c r="H1844" s="61"/>
      <c r="I1844" s="22"/>
      <c r="J1844" s="23"/>
    </row>
    <row r="1845" spans="1:10" ht="60" customHeight="1" x14ac:dyDescent="0.4">
      <c r="A1845" s="21"/>
      <c r="B1845" s="22"/>
      <c r="C1845" s="62"/>
      <c r="D1845" s="24"/>
      <c r="E1845" s="23"/>
      <c r="F1845" s="21"/>
      <c r="G1845" s="22"/>
      <c r="H1845" s="62"/>
      <c r="I1845" s="22"/>
      <c r="J1845" s="23"/>
    </row>
    <row r="1846" spans="1:10" ht="27.6" customHeight="1" x14ac:dyDescent="0.3">
      <c r="A1846" s="21"/>
      <c r="B1846" s="22"/>
      <c r="C1846" s="69"/>
      <c r="D1846" s="24"/>
      <c r="E1846" s="23"/>
      <c r="F1846" s="21"/>
      <c r="G1846" s="22"/>
      <c r="H1846" s="69"/>
      <c r="I1846" s="22"/>
      <c r="J1846" s="23"/>
    </row>
    <row r="1847" spans="1:10" ht="33.6" customHeight="1" x14ac:dyDescent="0.15">
      <c r="A1847" s="21"/>
      <c r="B1847" s="22"/>
      <c r="C1847" s="64"/>
      <c r="D1847" s="24"/>
      <c r="E1847" s="23"/>
      <c r="F1847" s="21"/>
      <c r="G1847" s="22"/>
      <c r="H1847" s="61"/>
      <c r="I1847" s="24"/>
      <c r="J1847" s="23"/>
    </row>
    <row r="1848" spans="1:10" x14ac:dyDescent="0.15">
      <c r="A1848" s="25"/>
      <c r="B1848" s="26"/>
      <c r="C1848" s="67"/>
      <c r="D1848" s="59"/>
      <c r="E1848" s="27"/>
      <c r="F1848" s="25"/>
      <c r="G1848" s="26"/>
      <c r="H1848" s="63"/>
      <c r="I1848" s="26"/>
      <c r="J1848" s="27"/>
    </row>
    <row r="1849" spans="1:10" x14ac:dyDescent="0.15">
      <c r="A1849" s="18"/>
      <c r="B1849" s="19"/>
      <c r="C1849" s="66"/>
      <c r="D1849" s="58"/>
      <c r="E1849" s="20"/>
      <c r="F1849" s="18"/>
      <c r="G1849" s="19"/>
      <c r="H1849" s="60"/>
      <c r="I1849" s="19"/>
      <c r="J1849" s="20"/>
    </row>
    <row r="1850" spans="1:10" ht="40.15" customHeight="1" x14ac:dyDescent="0.15">
      <c r="A1850" s="21"/>
      <c r="B1850" s="28"/>
      <c r="C1850" s="64"/>
      <c r="D1850" s="24"/>
      <c r="E1850" s="23"/>
      <c r="F1850" s="21"/>
      <c r="G1850" s="28"/>
      <c r="H1850" s="61"/>
      <c r="I1850" s="22"/>
      <c r="J1850" s="23"/>
    </row>
    <row r="1851" spans="1:10" ht="60" customHeight="1" x14ac:dyDescent="0.4">
      <c r="A1851" s="21"/>
      <c r="B1851" s="22"/>
      <c r="C1851" s="62"/>
      <c r="D1851" s="24"/>
      <c r="E1851" s="23"/>
      <c r="F1851" s="21"/>
      <c r="G1851" s="22"/>
      <c r="H1851" s="62"/>
      <c r="I1851" s="22"/>
      <c r="J1851" s="23"/>
    </row>
    <row r="1852" spans="1:10" ht="27.6" customHeight="1" x14ac:dyDescent="0.3">
      <c r="A1852" s="21"/>
      <c r="B1852" s="22"/>
      <c r="C1852" s="69"/>
      <c r="D1852" s="24"/>
      <c r="E1852" s="23"/>
      <c r="F1852" s="21"/>
      <c r="G1852" s="22"/>
      <c r="H1852" s="69"/>
      <c r="I1852" s="22"/>
      <c r="J1852" s="23"/>
    </row>
    <row r="1853" spans="1:10" ht="33.6" customHeight="1" x14ac:dyDescent="0.15">
      <c r="A1853" s="21"/>
      <c r="B1853" s="22"/>
      <c r="C1853" s="64"/>
      <c r="D1853" s="24"/>
      <c r="E1853" s="23"/>
      <c r="F1853" s="21"/>
      <c r="G1853" s="22"/>
      <c r="H1853" s="61"/>
      <c r="I1853" s="24"/>
      <c r="J1853" s="23"/>
    </row>
    <row r="1854" spans="1:10" x14ac:dyDescent="0.15">
      <c r="A1854" s="25"/>
      <c r="B1854" s="26"/>
      <c r="C1854" s="67"/>
      <c r="D1854" s="59"/>
      <c r="E1854" s="27"/>
      <c r="F1854" s="25"/>
      <c r="G1854" s="26"/>
      <c r="H1854" s="63"/>
      <c r="I1854" s="26"/>
      <c r="J1854" s="27"/>
    </row>
    <row r="1855" spans="1:10" x14ac:dyDescent="0.15">
      <c r="A1855" s="18"/>
      <c r="B1855" s="19"/>
      <c r="C1855" s="66"/>
      <c r="D1855" s="58"/>
      <c r="E1855" s="20"/>
      <c r="F1855" s="18"/>
      <c r="G1855" s="19"/>
      <c r="H1855" s="60"/>
      <c r="I1855" s="19"/>
      <c r="J1855" s="20"/>
    </row>
    <row r="1856" spans="1:10" ht="40.15" customHeight="1" x14ac:dyDescent="0.15">
      <c r="A1856" s="21"/>
      <c r="B1856" s="28"/>
      <c r="C1856" s="64"/>
      <c r="D1856" s="24"/>
      <c r="E1856" s="23"/>
      <c r="F1856" s="21"/>
      <c r="G1856" s="28"/>
      <c r="H1856" s="61"/>
      <c r="I1856" s="22"/>
      <c r="J1856" s="23"/>
    </row>
    <row r="1857" spans="1:10" ht="60" customHeight="1" x14ac:dyDescent="0.4">
      <c r="A1857" s="21"/>
      <c r="B1857" s="22"/>
      <c r="C1857" s="62"/>
      <c r="D1857" s="24"/>
      <c r="E1857" s="23"/>
      <c r="F1857" s="21"/>
      <c r="G1857" s="22"/>
      <c r="H1857" s="62"/>
      <c r="I1857" s="22"/>
      <c r="J1857" s="23"/>
    </row>
    <row r="1858" spans="1:10" ht="27.6" customHeight="1" x14ac:dyDescent="0.3">
      <c r="A1858" s="21"/>
      <c r="B1858" s="22"/>
      <c r="C1858" s="69"/>
      <c r="D1858" s="24"/>
      <c r="E1858" s="23"/>
      <c r="F1858" s="21"/>
      <c r="G1858" s="22"/>
      <c r="H1858" s="69"/>
      <c r="I1858" s="22"/>
      <c r="J1858" s="23"/>
    </row>
    <row r="1859" spans="1:10" ht="33.6" customHeight="1" x14ac:dyDescent="0.15">
      <c r="A1859" s="21"/>
      <c r="B1859" s="22"/>
      <c r="C1859" s="64"/>
      <c r="D1859" s="24"/>
      <c r="E1859" s="23"/>
      <c r="F1859" s="21"/>
      <c r="G1859" s="22"/>
      <c r="H1859" s="61"/>
      <c r="I1859" s="24"/>
      <c r="J1859" s="23"/>
    </row>
    <row r="1860" spans="1:10" x14ac:dyDescent="0.15">
      <c r="A1860" s="25"/>
      <c r="B1860" s="26"/>
      <c r="C1860" s="67"/>
      <c r="D1860" s="59"/>
      <c r="E1860" s="27"/>
      <c r="F1860" s="25"/>
      <c r="G1860" s="26"/>
      <c r="H1860" s="63"/>
      <c r="I1860" s="26"/>
      <c r="J1860" s="27"/>
    </row>
    <row r="1861" spans="1:10" x14ac:dyDescent="0.15">
      <c r="A1861" s="18"/>
      <c r="B1861" s="19"/>
      <c r="C1861" s="66"/>
      <c r="D1861" s="58"/>
      <c r="E1861" s="20"/>
      <c r="F1861" s="18"/>
      <c r="G1861" s="19"/>
      <c r="H1861" s="60"/>
      <c r="I1861" s="19"/>
      <c r="J1861" s="20"/>
    </row>
    <row r="1862" spans="1:10" ht="40.15" customHeight="1" x14ac:dyDescent="0.15">
      <c r="A1862" s="21"/>
      <c r="B1862" s="28"/>
      <c r="C1862" s="64"/>
      <c r="D1862" s="24"/>
      <c r="E1862" s="23"/>
      <c r="F1862" s="21"/>
      <c r="G1862" s="28"/>
      <c r="H1862" s="61"/>
      <c r="I1862" s="22"/>
      <c r="J1862" s="23"/>
    </row>
    <row r="1863" spans="1:10" ht="60" customHeight="1" x14ac:dyDescent="0.4">
      <c r="A1863" s="21"/>
      <c r="B1863" s="22"/>
      <c r="C1863" s="62"/>
      <c r="D1863" s="24"/>
      <c r="E1863" s="23"/>
      <c r="F1863" s="21"/>
      <c r="G1863" s="22"/>
      <c r="H1863" s="62"/>
      <c r="I1863" s="22"/>
      <c r="J1863" s="23"/>
    </row>
    <row r="1864" spans="1:10" ht="27.6" customHeight="1" x14ac:dyDescent="0.3">
      <c r="A1864" s="21"/>
      <c r="B1864" s="22"/>
      <c r="C1864" s="69"/>
      <c r="D1864" s="24"/>
      <c r="E1864" s="23"/>
      <c r="F1864" s="21"/>
      <c r="G1864" s="22"/>
      <c r="H1864" s="69"/>
      <c r="I1864" s="22"/>
      <c r="J1864" s="23"/>
    </row>
    <row r="1865" spans="1:10" ht="33.6" customHeight="1" x14ac:dyDescent="0.15">
      <c r="A1865" s="21"/>
      <c r="B1865" s="22"/>
      <c r="C1865" s="64"/>
      <c r="D1865" s="24"/>
      <c r="E1865" s="23"/>
      <c r="F1865" s="21"/>
      <c r="G1865" s="22"/>
      <c r="H1865" s="61"/>
      <c r="I1865" s="24"/>
      <c r="J1865" s="23"/>
    </row>
    <row r="1866" spans="1:10" x14ac:dyDescent="0.15">
      <c r="A1866" s="25"/>
      <c r="B1866" s="26"/>
      <c r="C1866" s="67"/>
      <c r="D1866" s="59"/>
      <c r="E1866" s="27"/>
      <c r="F1866" s="25"/>
      <c r="G1866" s="26"/>
      <c r="H1866" s="63"/>
      <c r="I1866" s="26"/>
      <c r="J1866" s="27"/>
    </row>
    <row r="1867" spans="1:10" x14ac:dyDescent="0.15">
      <c r="A1867" s="18"/>
      <c r="B1867" s="19"/>
      <c r="C1867" s="66"/>
      <c r="D1867" s="58"/>
      <c r="E1867" s="20"/>
      <c r="F1867" s="18"/>
      <c r="G1867" s="19"/>
      <c r="H1867" s="60"/>
      <c r="I1867" s="19"/>
      <c r="J1867" s="20"/>
    </row>
    <row r="1868" spans="1:10" ht="40.15" customHeight="1" x14ac:dyDescent="0.15">
      <c r="A1868" s="21"/>
      <c r="B1868" s="28"/>
      <c r="C1868" s="64"/>
      <c r="D1868" s="24"/>
      <c r="E1868" s="23"/>
      <c r="F1868" s="21"/>
      <c r="G1868" s="28"/>
      <c r="H1868" s="61"/>
      <c r="I1868" s="22"/>
      <c r="J1868" s="23"/>
    </row>
    <row r="1869" spans="1:10" ht="60" customHeight="1" x14ac:dyDescent="0.4">
      <c r="A1869" s="21"/>
      <c r="B1869" s="22"/>
      <c r="C1869" s="62"/>
      <c r="D1869" s="24"/>
      <c r="E1869" s="23"/>
      <c r="F1869" s="21"/>
      <c r="G1869" s="22"/>
      <c r="H1869" s="62"/>
      <c r="I1869" s="22"/>
      <c r="J1869" s="23"/>
    </row>
    <row r="1870" spans="1:10" ht="27.6" customHeight="1" x14ac:dyDescent="0.3">
      <c r="A1870" s="21"/>
      <c r="B1870" s="22"/>
      <c r="C1870" s="69"/>
      <c r="D1870" s="24"/>
      <c r="E1870" s="23"/>
      <c r="F1870" s="21"/>
      <c r="G1870" s="22"/>
      <c r="H1870" s="69"/>
      <c r="I1870" s="22"/>
      <c r="J1870" s="23"/>
    </row>
    <row r="1871" spans="1:10" ht="33.6" customHeight="1" x14ac:dyDescent="0.15">
      <c r="A1871" s="21"/>
      <c r="B1871" s="22"/>
      <c r="C1871" s="64"/>
      <c r="D1871" s="24"/>
      <c r="E1871" s="23"/>
      <c r="F1871" s="21"/>
      <c r="G1871" s="22"/>
      <c r="H1871" s="61"/>
      <c r="I1871" s="24"/>
      <c r="J1871" s="23"/>
    </row>
    <row r="1872" spans="1:10" x14ac:dyDescent="0.15">
      <c r="A1872" s="25"/>
      <c r="B1872" s="26"/>
      <c r="C1872" s="67"/>
      <c r="D1872" s="59"/>
      <c r="E1872" s="27"/>
      <c r="F1872" s="25"/>
      <c r="G1872" s="26"/>
      <c r="H1872" s="63"/>
      <c r="I1872" s="26"/>
      <c r="J1872" s="27"/>
    </row>
    <row r="1873" spans="1:10" x14ac:dyDescent="0.15">
      <c r="A1873" s="18"/>
      <c r="B1873" s="19"/>
      <c r="C1873" s="66"/>
      <c r="D1873" s="58"/>
      <c r="E1873" s="20"/>
      <c r="F1873" s="18"/>
      <c r="G1873" s="19"/>
      <c r="H1873" s="60"/>
      <c r="I1873" s="19"/>
      <c r="J1873" s="20"/>
    </row>
    <row r="1874" spans="1:10" ht="40.15" customHeight="1" x14ac:dyDescent="0.15">
      <c r="A1874" s="21"/>
      <c r="B1874" s="22"/>
      <c r="C1874" s="64"/>
      <c r="D1874" s="24"/>
      <c r="E1874" s="23"/>
      <c r="F1874" s="21"/>
      <c r="G1874" s="28"/>
      <c r="H1874" s="61"/>
      <c r="I1874" s="22"/>
      <c r="J1874" s="23"/>
    </row>
    <row r="1875" spans="1:10" ht="60" customHeight="1" x14ac:dyDescent="0.55000000000000004">
      <c r="A1875" s="21"/>
      <c r="B1875" s="22"/>
      <c r="C1875" s="70"/>
      <c r="D1875" s="24"/>
      <c r="E1875" s="23"/>
      <c r="F1875" s="21"/>
      <c r="G1875" s="22"/>
      <c r="H1875" s="70"/>
      <c r="I1875" s="22"/>
      <c r="J1875" s="23"/>
    </row>
    <row r="1876" spans="1:10" ht="27.6" customHeight="1" x14ac:dyDescent="0.15">
      <c r="A1876" s="21"/>
      <c r="B1876" s="22"/>
      <c r="C1876" s="64"/>
      <c r="D1876" s="24"/>
      <c r="E1876" s="23"/>
      <c r="F1876" s="21"/>
      <c r="G1876" s="22"/>
      <c r="H1876" s="64"/>
      <c r="I1876" s="22"/>
      <c r="J1876" s="23"/>
    </row>
    <row r="1877" spans="1:10" ht="33.6" customHeight="1" x14ac:dyDescent="0.15">
      <c r="A1877" s="21"/>
      <c r="B1877" s="22"/>
      <c r="C1877" s="64"/>
      <c r="D1877" s="24"/>
      <c r="E1877" s="23"/>
      <c r="F1877" s="21"/>
      <c r="G1877" s="22"/>
      <c r="H1877" s="61"/>
      <c r="I1877" s="24"/>
      <c r="J1877" s="23"/>
    </row>
    <row r="1878" spans="1:10" x14ac:dyDescent="0.15">
      <c r="A1878" s="25"/>
      <c r="B1878" s="26"/>
      <c r="C1878" s="67"/>
      <c r="D1878" s="59"/>
      <c r="E1878" s="27"/>
      <c r="F1878" s="25"/>
      <c r="G1878" s="26"/>
      <c r="H1878" s="63"/>
      <c r="I1878" s="26"/>
      <c r="J1878" s="27"/>
    </row>
    <row r="1879" spans="1:10" x14ac:dyDescent="0.15">
      <c r="A1879" s="18"/>
      <c r="B1879" s="19"/>
      <c r="C1879" s="66"/>
      <c r="D1879" s="58"/>
      <c r="E1879" s="20"/>
      <c r="F1879" s="18"/>
      <c r="G1879" s="19"/>
      <c r="H1879" s="60"/>
      <c r="I1879" s="19"/>
      <c r="J1879" s="20"/>
    </row>
    <row r="1880" spans="1:10" ht="40.15" customHeight="1" x14ac:dyDescent="0.15">
      <c r="A1880" s="21"/>
      <c r="B1880" s="22"/>
      <c r="C1880" s="64"/>
      <c r="D1880" s="24"/>
      <c r="E1880" s="23"/>
      <c r="F1880" s="21"/>
      <c r="G1880" s="28"/>
      <c r="H1880" s="61"/>
      <c r="I1880" s="22"/>
      <c r="J1880" s="23"/>
    </row>
    <row r="1881" spans="1:10" ht="60" customHeight="1" x14ac:dyDescent="0.55000000000000004">
      <c r="A1881" s="21"/>
      <c r="B1881" s="22"/>
      <c r="C1881" s="70"/>
      <c r="D1881" s="24"/>
      <c r="E1881" s="23"/>
      <c r="F1881" s="21"/>
      <c r="G1881" s="22"/>
      <c r="H1881" s="70"/>
      <c r="I1881" s="22"/>
      <c r="J1881" s="23"/>
    </row>
    <row r="1882" spans="1:10" ht="27.6" customHeight="1" x14ac:dyDescent="0.15">
      <c r="A1882" s="21"/>
      <c r="B1882" s="22"/>
      <c r="C1882" s="64"/>
      <c r="D1882" s="24"/>
      <c r="E1882" s="23"/>
      <c r="F1882" s="21"/>
      <c r="G1882" s="22"/>
      <c r="H1882" s="64"/>
      <c r="I1882" s="22"/>
      <c r="J1882" s="23"/>
    </row>
    <row r="1883" spans="1:10" ht="33.6" customHeight="1" x14ac:dyDescent="0.15">
      <c r="A1883" s="21"/>
      <c r="B1883" s="22"/>
      <c r="C1883" s="64"/>
      <c r="D1883" s="24"/>
      <c r="E1883" s="23"/>
      <c r="F1883" s="21"/>
      <c r="G1883" s="22"/>
      <c r="H1883" s="61"/>
      <c r="I1883" s="24"/>
      <c r="J1883" s="23"/>
    </row>
    <row r="1884" spans="1:10" x14ac:dyDescent="0.15">
      <c r="A1884" s="25"/>
      <c r="B1884" s="26"/>
      <c r="C1884" s="67"/>
      <c r="D1884" s="59"/>
      <c r="E1884" s="27"/>
      <c r="F1884" s="25"/>
      <c r="G1884" s="26"/>
      <c r="H1884" s="63"/>
      <c r="I1884" s="26"/>
      <c r="J1884" s="27"/>
    </row>
    <row r="1885" spans="1:10" x14ac:dyDescent="0.15">
      <c r="A1885" s="18"/>
      <c r="B1885" s="19"/>
      <c r="C1885" s="66"/>
      <c r="D1885" s="58"/>
      <c r="E1885" s="20"/>
      <c r="F1885" s="18"/>
      <c r="G1885" s="19"/>
      <c r="H1885" s="60"/>
      <c r="I1885" s="19"/>
      <c r="J1885" s="20"/>
    </row>
    <row r="1886" spans="1:10" ht="40.15" customHeight="1" x14ac:dyDescent="0.15">
      <c r="A1886" s="21"/>
      <c r="B1886" s="22"/>
      <c r="C1886" s="64"/>
      <c r="D1886" s="24"/>
      <c r="E1886" s="23"/>
      <c r="F1886" s="21"/>
      <c r="G1886" s="28"/>
      <c r="H1886" s="61"/>
      <c r="I1886" s="22"/>
      <c r="J1886" s="23"/>
    </row>
    <row r="1887" spans="1:10" ht="60" customHeight="1" x14ac:dyDescent="0.55000000000000004">
      <c r="A1887" s="21"/>
      <c r="B1887" s="22"/>
      <c r="C1887" s="70"/>
      <c r="D1887" s="24"/>
      <c r="E1887" s="23"/>
      <c r="F1887" s="21"/>
      <c r="G1887" s="22"/>
      <c r="H1887" s="70"/>
      <c r="I1887" s="22"/>
      <c r="J1887" s="23"/>
    </row>
    <row r="1888" spans="1:10" ht="27.6" customHeight="1" x14ac:dyDescent="0.15">
      <c r="A1888" s="21"/>
      <c r="B1888" s="22"/>
      <c r="C1888" s="64"/>
      <c r="D1888" s="24"/>
      <c r="E1888" s="23"/>
      <c r="F1888" s="21"/>
      <c r="G1888" s="22"/>
      <c r="H1888" s="64"/>
      <c r="I1888" s="22"/>
      <c r="J1888" s="23"/>
    </row>
    <row r="1889" spans="1:10" ht="33.6" customHeight="1" x14ac:dyDescent="0.15">
      <c r="A1889" s="21"/>
      <c r="B1889" s="22"/>
      <c r="C1889" s="64"/>
      <c r="D1889" s="24"/>
      <c r="E1889" s="23"/>
      <c r="F1889" s="21"/>
      <c r="G1889" s="22"/>
      <c r="H1889" s="61"/>
      <c r="I1889" s="24"/>
      <c r="J1889" s="23"/>
    </row>
    <row r="1890" spans="1:10" x14ac:dyDescent="0.15">
      <c r="A1890" s="25"/>
      <c r="B1890" s="26"/>
      <c r="C1890" s="67"/>
      <c r="D1890" s="59"/>
      <c r="E1890" s="27"/>
      <c r="F1890" s="25"/>
      <c r="G1890" s="26"/>
      <c r="H1890" s="63"/>
      <c r="I1890" s="26"/>
      <c r="J1890" s="27"/>
    </row>
    <row r="1891" spans="1:10" x14ac:dyDescent="0.15">
      <c r="A1891" s="18"/>
      <c r="B1891" s="19"/>
      <c r="C1891" s="66"/>
      <c r="D1891" s="58"/>
      <c r="E1891" s="20"/>
      <c r="F1891" s="18"/>
      <c r="G1891" s="19"/>
      <c r="H1891" s="60"/>
      <c r="I1891" s="19"/>
      <c r="J1891" s="20"/>
    </row>
    <row r="1892" spans="1:10" ht="40.15" customHeight="1" x14ac:dyDescent="0.15">
      <c r="A1892" s="21"/>
      <c r="B1892" s="22"/>
      <c r="C1892" s="64"/>
      <c r="D1892" s="24"/>
      <c r="E1892" s="23"/>
      <c r="F1892" s="21"/>
      <c r="G1892" s="28"/>
      <c r="H1892" s="61"/>
      <c r="I1892" s="22"/>
      <c r="J1892" s="23"/>
    </row>
    <row r="1893" spans="1:10" ht="60" customHeight="1" x14ac:dyDescent="0.55000000000000004">
      <c r="A1893" s="21"/>
      <c r="B1893" s="22"/>
      <c r="C1893" s="70"/>
      <c r="D1893" s="24"/>
      <c r="E1893" s="23"/>
      <c r="F1893" s="21"/>
      <c r="G1893" s="22"/>
      <c r="H1893" s="70"/>
      <c r="I1893" s="22"/>
      <c r="J1893" s="23"/>
    </row>
    <row r="1894" spans="1:10" ht="27.6" customHeight="1" x14ac:dyDescent="0.15">
      <c r="A1894" s="21"/>
      <c r="B1894" s="22"/>
      <c r="C1894" s="64"/>
      <c r="D1894" s="24"/>
      <c r="E1894" s="23"/>
      <c r="F1894" s="21"/>
      <c r="G1894" s="22"/>
      <c r="H1894" s="64"/>
      <c r="I1894" s="22"/>
      <c r="J1894" s="23"/>
    </row>
    <row r="1895" spans="1:10" ht="33.6" customHeight="1" x14ac:dyDescent="0.15">
      <c r="A1895" s="21"/>
      <c r="B1895" s="22"/>
      <c r="C1895" s="64"/>
      <c r="D1895" s="24"/>
      <c r="E1895" s="23"/>
      <c r="F1895" s="21"/>
      <c r="G1895" s="22"/>
      <c r="H1895" s="61"/>
      <c r="I1895" s="24"/>
      <c r="J1895" s="23"/>
    </row>
    <row r="1896" spans="1:10" x14ac:dyDescent="0.15">
      <c r="A1896" s="25"/>
      <c r="B1896" s="26"/>
      <c r="C1896" s="67"/>
      <c r="D1896" s="59"/>
      <c r="E1896" s="27"/>
      <c r="F1896" s="25"/>
      <c r="G1896" s="26"/>
      <c r="H1896" s="63"/>
      <c r="I1896" s="26"/>
      <c r="J1896" s="27"/>
    </row>
    <row r="1897" spans="1:10" x14ac:dyDescent="0.15">
      <c r="A1897" s="18"/>
      <c r="B1897" s="19"/>
      <c r="C1897" s="66"/>
      <c r="D1897" s="58"/>
      <c r="E1897" s="20"/>
      <c r="F1897" s="18"/>
      <c r="G1897" s="19"/>
      <c r="H1897" s="60"/>
      <c r="I1897" s="19"/>
      <c r="J1897" s="20"/>
    </row>
    <row r="1898" spans="1:10" ht="40.15" customHeight="1" x14ac:dyDescent="0.15">
      <c r="A1898" s="21"/>
      <c r="B1898" s="22"/>
      <c r="C1898" s="64"/>
      <c r="D1898" s="24"/>
      <c r="E1898" s="23"/>
      <c r="F1898" s="21"/>
      <c r="G1898" s="28"/>
      <c r="H1898" s="61"/>
      <c r="I1898" s="22"/>
      <c r="J1898" s="23"/>
    </row>
    <row r="1899" spans="1:10" ht="60" customHeight="1" x14ac:dyDescent="0.55000000000000004">
      <c r="A1899" s="21"/>
      <c r="B1899" s="22"/>
      <c r="C1899" s="70"/>
      <c r="D1899" s="24"/>
      <c r="E1899" s="23"/>
      <c r="F1899" s="21"/>
      <c r="G1899" s="22"/>
      <c r="H1899" s="70"/>
      <c r="I1899" s="22"/>
      <c r="J1899" s="23"/>
    </row>
    <row r="1900" spans="1:10" ht="27.6" customHeight="1" x14ac:dyDescent="0.15">
      <c r="A1900" s="21"/>
      <c r="B1900" s="22"/>
      <c r="C1900" s="64"/>
      <c r="D1900" s="24"/>
      <c r="E1900" s="23"/>
      <c r="F1900" s="21"/>
      <c r="G1900" s="22"/>
      <c r="H1900" s="64"/>
      <c r="I1900" s="22"/>
      <c r="J1900" s="23"/>
    </row>
    <row r="1901" spans="1:10" ht="33.6" customHeight="1" x14ac:dyDescent="0.15">
      <c r="A1901" s="21"/>
      <c r="B1901" s="22"/>
      <c r="C1901" s="64"/>
      <c r="D1901" s="24"/>
      <c r="E1901" s="23"/>
      <c r="F1901" s="21"/>
      <c r="G1901" s="22"/>
      <c r="H1901" s="61"/>
      <c r="I1901" s="24"/>
      <c r="J1901" s="23"/>
    </row>
    <row r="1902" spans="1:10" x14ac:dyDescent="0.15">
      <c r="A1902" s="25"/>
      <c r="B1902" s="26"/>
      <c r="C1902" s="67"/>
      <c r="D1902" s="59"/>
      <c r="E1902" s="27"/>
      <c r="F1902" s="25"/>
      <c r="G1902" s="26"/>
      <c r="H1902" s="63"/>
      <c r="I1902" s="26"/>
      <c r="J1902" s="27"/>
    </row>
    <row r="1903" spans="1:10" x14ac:dyDescent="0.15">
      <c r="A1903" s="18"/>
      <c r="B1903" s="19"/>
      <c r="C1903" s="66"/>
      <c r="D1903" s="58"/>
      <c r="E1903" s="20"/>
      <c r="F1903" s="18"/>
      <c r="G1903" s="19"/>
      <c r="H1903" s="60"/>
      <c r="I1903" s="19"/>
      <c r="J1903" s="20"/>
    </row>
    <row r="1904" spans="1:10" ht="40.15" customHeight="1" x14ac:dyDescent="0.15">
      <c r="A1904" s="21"/>
      <c r="B1904" s="22"/>
      <c r="C1904" s="64"/>
      <c r="D1904" s="24"/>
      <c r="E1904" s="23"/>
      <c r="F1904" s="21"/>
      <c r="G1904" s="28"/>
      <c r="H1904" s="61"/>
      <c r="I1904" s="22"/>
      <c r="J1904" s="23"/>
    </row>
    <row r="1905" spans="1:10" ht="60" customHeight="1" x14ac:dyDescent="0.55000000000000004">
      <c r="A1905" s="21"/>
      <c r="B1905" s="22"/>
      <c r="C1905" s="70"/>
      <c r="D1905" s="24"/>
      <c r="E1905" s="23"/>
      <c r="F1905" s="21"/>
      <c r="G1905" s="22"/>
      <c r="H1905" s="70"/>
      <c r="I1905" s="22"/>
      <c r="J1905" s="23"/>
    </row>
    <row r="1906" spans="1:10" ht="27.6" customHeight="1" x14ac:dyDescent="0.15">
      <c r="A1906" s="21"/>
      <c r="B1906" s="22"/>
      <c r="C1906" s="64"/>
      <c r="D1906" s="24"/>
      <c r="E1906" s="23"/>
      <c r="F1906" s="21"/>
      <c r="G1906" s="22"/>
      <c r="H1906" s="64"/>
      <c r="I1906" s="22"/>
      <c r="J1906" s="23"/>
    </row>
    <row r="1907" spans="1:10" ht="33.6" customHeight="1" x14ac:dyDescent="0.15">
      <c r="A1907" s="21"/>
      <c r="B1907" s="22"/>
      <c r="C1907" s="64"/>
      <c r="D1907" s="24"/>
      <c r="E1907" s="23"/>
      <c r="F1907" s="21"/>
      <c r="G1907" s="22"/>
      <c r="H1907" s="61"/>
      <c r="I1907" s="24"/>
      <c r="J1907" s="23"/>
    </row>
    <row r="1908" spans="1:10" x14ac:dyDescent="0.15">
      <c r="A1908" s="25"/>
      <c r="B1908" s="26"/>
      <c r="C1908" s="67"/>
      <c r="D1908" s="59"/>
      <c r="E1908" s="27"/>
      <c r="F1908" s="25"/>
      <c r="G1908" s="26"/>
      <c r="H1908" s="63"/>
      <c r="I1908" s="26"/>
      <c r="J1908" s="27"/>
    </row>
    <row r="1909" spans="1:10" x14ac:dyDescent="0.15">
      <c r="A1909" s="18"/>
      <c r="B1909" s="19"/>
      <c r="C1909" s="66"/>
      <c r="D1909" s="58"/>
      <c r="E1909" s="20"/>
      <c r="F1909" s="18"/>
      <c r="G1909" s="19"/>
      <c r="H1909" s="60"/>
      <c r="I1909" s="19"/>
      <c r="J1909" s="20"/>
    </row>
    <row r="1910" spans="1:10" ht="40.15" customHeight="1" x14ac:dyDescent="0.15">
      <c r="A1910" s="21"/>
      <c r="B1910" s="28"/>
      <c r="C1910" s="64"/>
      <c r="D1910" s="24"/>
      <c r="E1910" s="23"/>
      <c r="F1910" s="21"/>
      <c r="G1910" s="28"/>
      <c r="H1910" s="61"/>
      <c r="I1910" s="22"/>
      <c r="J1910" s="23"/>
    </row>
    <row r="1911" spans="1:10" ht="60" customHeight="1" x14ac:dyDescent="0.4">
      <c r="A1911" s="21"/>
      <c r="B1911" s="22"/>
      <c r="C1911" s="62"/>
      <c r="D1911" s="24"/>
      <c r="E1911" s="23"/>
      <c r="F1911" s="21"/>
      <c r="G1911" s="22"/>
      <c r="H1911" s="62"/>
      <c r="I1911" s="22"/>
      <c r="J1911" s="23"/>
    </row>
    <row r="1912" spans="1:10" ht="27.6" customHeight="1" x14ac:dyDescent="0.3">
      <c r="A1912" s="21"/>
      <c r="B1912" s="22"/>
      <c r="C1912" s="69"/>
      <c r="D1912" s="24"/>
      <c r="E1912" s="23"/>
      <c r="F1912" s="21"/>
      <c r="G1912" s="22"/>
      <c r="H1912" s="69"/>
      <c r="I1912" s="22"/>
      <c r="J1912" s="23"/>
    </row>
    <row r="1913" spans="1:10" ht="33.6" customHeight="1" x14ac:dyDescent="0.15">
      <c r="A1913" s="21"/>
      <c r="B1913" s="22"/>
      <c r="C1913" s="64"/>
      <c r="D1913" s="24"/>
      <c r="E1913" s="23"/>
      <c r="F1913" s="21"/>
      <c r="G1913" s="22"/>
      <c r="H1913" s="61"/>
      <c r="I1913" s="24"/>
      <c r="J1913" s="23"/>
    </row>
    <row r="1914" spans="1:10" x14ac:dyDescent="0.15">
      <c r="A1914" s="25"/>
      <c r="B1914" s="26"/>
      <c r="C1914" s="67"/>
      <c r="D1914" s="59"/>
      <c r="E1914" s="27"/>
      <c r="F1914" s="25"/>
      <c r="G1914" s="26"/>
      <c r="H1914" s="63"/>
      <c r="I1914" s="26"/>
      <c r="J1914" s="27"/>
    </row>
    <row r="1915" spans="1:10" x14ac:dyDescent="0.15">
      <c r="A1915" s="18"/>
      <c r="B1915" s="19"/>
      <c r="C1915" s="66"/>
      <c r="D1915" s="58"/>
      <c r="E1915" s="20"/>
      <c r="F1915" s="18"/>
      <c r="G1915" s="19"/>
      <c r="H1915" s="60"/>
      <c r="I1915" s="19"/>
      <c r="J1915" s="20"/>
    </row>
    <row r="1916" spans="1:10" ht="40.15" customHeight="1" x14ac:dyDescent="0.15">
      <c r="A1916" s="21"/>
      <c r="B1916" s="28"/>
      <c r="C1916" s="64"/>
      <c r="D1916" s="24"/>
      <c r="E1916" s="23"/>
      <c r="F1916" s="21"/>
      <c r="G1916" s="28"/>
      <c r="H1916" s="61"/>
      <c r="I1916" s="22"/>
      <c r="J1916" s="23"/>
    </row>
    <row r="1917" spans="1:10" ht="60" customHeight="1" x14ac:dyDescent="0.4">
      <c r="A1917" s="21"/>
      <c r="B1917" s="22"/>
      <c r="C1917" s="62"/>
      <c r="D1917" s="24"/>
      <c r="E1917" s="23"/>
      <c r="F1917" s="21"/>
      <c r="G1917" s="22"/>
      <c r="H1917" s="62"/>
      <c r="I1917" s="22"/>
      <c r="J1917" s="23"/>
    </row>
    <row r="1918" spans="1:10" ht="27.6" customHeight="1" x14ac:dyDescent="0.3">
      <c r="A1918" s="21"/>
      <c r="B1918" s="22"/>
      <c r="C1918" s="69"/>
      <c r="D1918" s="24"/>
      <c r="E1918" s="23"/>
      <c r="F1918" s="21"/>
      <c r="G1918" s="22"/>
      <c r="H1918" s="69"/>
      <c r="I1918" s="22"/>
      <c r="J1918" s="23"/>
    </row>
    <row r="1919" spans="1:10" ht="33.6" customHeight="1" x14ac:dyDescent="0.15">
      <c r="A1919" s="21"/>
      <c r="B1919" s="22"/>
      <c r="C1919" s="64"/>
      <c r="D1919" s="24"/>
      <c r="E1919" s="23"/>
      <c r="F1919" s="21"/>
      <c r="G1919" s="22"/>
      <c r="H1919" s="61"/>
      <c r="I1919" s="24"/>
      <c r="J1919" s="23"/>
    </row>
    <row r="1920" spans="1:10" x14ac:dyDescent="0.15">
      <c r="A1920" s="25"/>
      <c r="B1920" s="26"/>
      <c r="C1920" s="67"/>
      <c r="D1920" s="59"/>
      <c r="E1920" s="27"/>
      <c r="F1920" s="25"/>
      <c r="G1920" s="26"/>
      <c r="H1920" s="63"/>
      <c r="I1920" s="26"/>
      <c r="J1920" s="27"/>
    </row>
    <row r="1921" spans="1:10" x14ac:dyDescent="0.15">
      <c r="A1921" s="18"/>
      <c r="B1921" s="19"/>
      <c r="C1921" s="66"/>
      <c r="D1921" s="58"/>
      <c r="E1921" s="20"/>
      <c r="F1921" s="18"/>
      <c r="G1921" s="19"/>
      <c r="H1921" s="60"/>
      <c r="I1921" s="19"/>
      <c r="J1921" s="20"/>
    </row>
    <row r="1922" spans="1:10" ht="40.15" customHeight="1" x14ac:dyDescent="0.15">
      <c r="A1922" s="21"/>
      <c r="B1922" s="28"/>
      <c r="C1922" s="64"/>
      <c r="D1922" s="24"/>
      <c r="E1922" s="23"/>
      <c r="F1922" s="21"/>
      <c r="G1922" s="28"/>
      <c r="H1922" s="61"/>
      <c r="I1922" s="22"/>
      <c r="J1922" s="23"/>
    </row>
    <row r="1923" spans="1:10" ht="60" customHeight="1" x14ac:dyDescent="0.4">
      <c r="A1923" s="21"/>
      <c r="B1923" s="22"/>
      <c r="C1923" s="62"/>
      <c r="D1923" s="24"/>
      <c r="E1923" s="23"/>
      <c r="F1923" s="21"/>
      <c r="G1923" s="22"/>
      <c r="H1923" s="62"/>
      <c r="I1923" s="22"/>
      <c r="J1923" s="23"/>
    </row>
    <row r="1924" spans="1:10" ht="27.6" customHeight="1" x14ac:dyDescent="0.3">
      <c r="A1924" s="21"/>
      <c r="B1924" s="22"/>
      <c r="C1924" s="69"/>
      <c r="D1924" s="24"/>
      <c r="E1924" s="23"/>
      <c r="F1924" s="21"/>
      <c r="G1924" s="22"/>
      <c r="H1924" s="69"/>
      <c r="I1924" s="22"/>
      <c r="J1924" s="23"/>
    </row>
    <row r="1925" spans="1:10" ht="33.6" customHeight="1" x14ac:dyDescent="0.15">
      <c r="A1925" s="21"/>
      <c r="B1925" s="22"/>
      <c r="C1925" s="64"/>
      <c r="D1925" s="24"/>
      <c r="E1925" s="23"/>
      <c r="F1925" s="21"/>
      <c r="G1925" s="22"/>
      <c r="H1925" s="61"/>
      <c r="I1925" s="24"/>
      <c r="J1925" s="23"/>
    </row>
    <row r="1926" spans="1:10" x14ac:dyDescent="0.15">
      <c r="A1926" s="25"/>
      <c r="B1926" s="26"/>
      <c r="C1926" s="67"/>
      <c r="D1926" s="59"/>
      <c r="E1926" s="27"/>
      <c r="F1926" s="25"/>
      <c r="G1926" s="26"/>
      <c r="H1926" s="63"/>
      <c r="I1926" s="26"/>
      <c r="J1926" s="27"/>
    </row>
    <row r="1927" spans="1:10" x14ac:dyDescent="0.15">
      <c r="A1927" s="18"/>
      <c r="B1927" s="19"/>
      <c r="C1927" s="66"/>
      <c r="D1927" s="58"/>
      <c r="E1927" s="20"/>
      <c r="F1927" s="18"/>
      <c r="G1927" s="19"/>
      <c r="H1927" s="60"/>
      <c r="I1927" s="19"/>
      <c r="J1927" s="20"/>
    </row>
    <row r="1928" spans="1:10" ht="40.15" customHeight="1" x14ac:dyDescent="0.15">
      <c r="A1928" s="21"/>
      <c r="B1928" s="28"/>
      <c r="C1928" s="64"/>
      <c r="D1928" s="24"/>
      <c r="E1928" s="23"/>
      <c r="F1928" s="21"/>
      <c r="G1928" s="28"/>
      <c r="H1928" s="61"/>
      <c r="I1928" s="22"/>
      <c r="J1928" s="23"/>
    </row>
    <row r="1929" spans="1:10" ht="60" customHeight="1" x14ac:dyDescent="0.4">
      <c r="A1929" s="21"/>
      <c r="B1929" s="22"/>
      <c r="C1929" s="62"/>
      <c r="D1929" s="24"/>
      <c r="E1929" s="23"/>
      <c r="F1929" s="21"/>
      <c r="G1929" s="22"/>
      <c r="H1929" s="62"/>
      <c r="I1929" s="22"/>
      <c r="J1929" s="23"/>
    </row>
    <row r="1930" spans="1:10" ht="27.6" customHeight="1" x14ac:dyDescent="0.3">
      <c r="A1930" s="21"/>
      <c r="B1930" s="22"/>
      <c r="C1930" s="69"/>
      <c r="D1930" s="24"/>
      <c r="E1930" s="23"/>
      <c r="F1930" s="21"/>
      <c r="G1930" s="22"/>
      <c r="H1930" s="69"/>
      <c r="I1930" s="22"/>
      <c r="J1930" s="23"/>
    </row>
    <row r="1931" spans="1:10" ht="33.6" customHeight="1" x14ac:dyDescent="0.15">
      <c r="A1931" s="21"/>
      <c r="B1931" s="22"/>
      <c r="C1931" s="64"/>
      <c r="D1931" s="24"/>
      <c r="E1931" s="23"/>
      <c r="F1931" s="21"/>
      <c r="G1931" s="22"/>
      <c r="H1931" s="61"/>
      <c r="I1931" s="24"/>
      <c r="J1931" s="23"/>
    </row>
    <row r="1932" spans="1:10" x14ac:dyDescent="0.15">
      <c r="A1932" s="25"/>
      <c r="B1932" s="26"/>
      <c r="C1932" s="67"/>
      <c r="D1932" s="59"/>
      <c r="E1932" s="27"/>
      <c r="F1932" s="25"/>
      <c r="G1932" s="26"/>
      <c r="H1932" s="63"/>
      <c r="I1932" s="26"/>
      <c r="J1932" s="27"/>
    </row>
    <row r="1933" spans="1:10" x14ac:dyDescent="0.15">
      <c r="A1933" s="18"/>
      <c r="B1933" s="19"/>
      <c r="C1933" s="66"/>
      <c r="D1933" s="58"/>
      <c r="E1933" s="20"/>
      <c r="F1933" s="18"/>
      <c r="G1933" s="19"/>
      <c r="H1933" s="60"/>
      <c r="I1933" s="19"/>
      <c r="J1933" s="20"/>
    </row>
    <row r="1934" spans="1:10" ht="40.15" customHeight="1" x14ac:dyDescent="0.15">
      <c r="A1934" s="21"/>
      <c r="B1934" s="28"/>
      <c r="C1934" s="64"/>
      <c r="D1934" s="24"/>
      <c r="E1934" s="23"/>
      <c r="F1934" s="21"/>
      <c r="G1934" s="28"/>
      <c r="H1934" s="61"/>
      <c r="I1934" s="22"/>
      <c r="J1934" s="23"/>
    </row>
    <row r="1935" spans="1:10" ht="60" customHeight="1" x14ac:dyDescent="0.4">
      <c r="A1935" s="21"/>
      <c r="B1935" s="22"/>
      <c r="C1935" s="62"/>
      <c r="D1935" s="24"/>
      <c r="E1935" s="23"/>
      <c r="F1935" s="21"/>
      <c r="G1935" s="22"/>
      <c r="H1935" s="62"/>
      <c r="I1935" s="22"/>
      <c r="J1935" s="23"/>
    </row>
    <row r="1936" spans="1:10" ht="27.6" customHeight="1" x14ac:dyDescent="0.3">
      <c r="A1936" s="21"/>
      <c r="B1936" s="22"/>
      <c r="C1936" s="69"/>
      <c r="D1936" s="24"/>
      <c r="E1936" s="23"/>
      <c r="F1936" s="21"/>
      <c r="G1936" s="22"/>
      <c r="H1936" s="69"/>
      <c r="I1936" s="22"/>
      <c r="J1936" s="23"/>
    </row>
    <row r="1937" spans="1:10" ht="33.6" customHeight="1" x14ac:dyDescent="0.15">
      <c r="A1937" s="21"/>
      <c r="B1937" s="22"/>
      <c r="C1937" s="64"/>
      <c r="D1937" s="24"/>
      <c r="E1937" s="23"/>
      <c r="F1937" s="21"/>
      <c r="G1937" s="22"/>
      <c r="H1937" s="61"/>
      <c r="I1937" s="24"/>
      <c r="J1937" s="23"/>
    </row>
    <row r="1938" spans="1:10" x14ac:dyDescent="0.15">
      <c r="A1938" s="25"/>
      <c r="B1938" s="26"/>
      <c r="C1938" s="67"/>
      <c r="D1938" s="59"/>
      <c r="E1938" s="27"/>
      <c r="F1938" s="25"/>
      <c r="G1938" s="26"/>
      <c r="H1938" s="63"/>
      <c r="I1938" s="26"/>
      <c r="J1938" s="27"/>
    </row>
    <row r="1939" spans="1:10" x14ac:dyDescent="0.15">
      <c r="A1939" s="18"/>
      <c r="B1939" s="19"/>
      <c r="C1939" s="66"/>
      <c r="D1939" s="58"/>
      <c r="E1939" s="20"/>
      <c r="F1939" s="18"/>
      <c r="G1939" s="19"/>
      <c r="H1939" s="60"/>
      <c r="I1939" s="19"/>
      <c r="J1939" s="20"/>
    </row>
    <row r="1940" spans="1:10" ht="40.15" customHeight="1" x14ac:dyDescent="0.15">
      <c r="A1940" s="21"/>
      <c r="B1940" s="28"/>
      <c r="C1940" s="64"/>
      <c r="D1940" s="24"/>
      <c r="E1940" s="23"/>
      <c r="F1940" s="21"/>
      <c r="G1940" s="28"/>
      <c r="H1940" s="61"/>
      <c r="I1940" s="22"/>
      <c r="J1940" s="23"/>
    </row>
    <row r="1941" spans="1:10" ht="60" customHeight="1" x14ac:dyDescent="0.4">
      <c r="A1941" s="21"/>
      <c r="B1941" s="22"/>
      <c r="C1941" s="62"/>
      <c r="D1941" s="24"/>
      <c r="E1941" s="23"/>
      <c r="F1941" s="21"/>
      <c r="G1941" s="22"/>
      <c r="H1941" s="62"/>
      <c r="I1941" s="22"/>
      <c r="J1941" s="23"/>
    </row>
    <row r="1942" spans="1:10" ht="27.6" customHeight="1" x14ac:dyDescent="0.3">
      <c r="A1942" s="21"/>
      <c r="B1942" s="22"/>
      <c r="C1942" s="69"/>
      <c r="D1942" s="24"/>
      <c r="E1942" s="23"/>
      <c r="F1942" s="21"/>
      <c r="G1942" s="22"/>
      <c r="H1942" s="69"/>
      <c r="I1942" s="22"/>
      <c r="J1942" s="23"/>
    </row>
    <row r="1943" spans="1:10" ht="33.6" customHeight="1" x14ac:dyDescent="0.15">
      <c r="A1943" s="21"/>
      <c r="B1943" s="22"/>
      <c r="C1943" s="64"/>
      <c r="D1943" s="24"/>
      <c r="E1943" s="23"/>
      <c r="F1943" s="21"/>
      <c r="G1943" s="22"/>
      <c r="H1943" s="61"/>
      <c r="I1943" s="24"/>
      <c r="J1943" s="23"/>
    </row>
    <row r="1944" spans="1:10" x14ac:dyDescent="0.15">
      <c r="A1944" s="25"/>
      <c r="B1944" s="26"/>
      <c r="C1944" s="67"/>
      <c r="D1944" s="59"/>
      <c r="E1944" s="27"/>
      <c r="F1944" s="25"/>
      <c r="G1944" s="26"/>
      <c r="H1944" s="63"/>
      <c r="I1944" s="26"/>
      <c r="J1944" s="27"/>
    </row>
  </sheetData>
  <dataConsolidate/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59055118110236204" right="0.59055118110236204" top="0.39370078740157499" bottom="0.196850393700787" header="0.11811023622047198" footer="0.11811023622047198"/>
  <pageSetup paperSize="9" scale="70" fitToHeight="0" orientation="portrait" horizontalDpi="4294967293" r:id="rId1"/>
  <headerFooter>
    <oddHeader>&amp;C&amp;28&amp;A</oddHeader>
    <oddFooter>&amp;L&amp;F&amp;C&amp;D&amp;R&amp;P/&amp;N</oddFooter>
  </headerFooter>
  <rowBreaks count="25" manualBreakCount="25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9" man="1"/>
    <brk id="612" max="9" man="1"/>
    <brk id="648" max="9" man="1"/>
    <brk id="684" max="9" man="1"/>
    <brk id="720" max="9" man="1"/>
    <brk id="756" max="9" man="1"/>
    <brk id="792" max="9" man="1"/>
    <brk id="828" max="9" man="1"/>
    <brk id="864" max="9" man="1"/>
    <brk id="900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4" sqref="A4"/>
    </sheetView>
  </sheetViews>
  <sheetFormatPr defaultRowHeight="13.5" x14ac:dyDescent="0.15"/>
  <cols>
    <col min="3" max="3" width="16.125" bestFit="1" customWidth="1"/>
    <col min="4" max="4" width="61.25" customWidth="1"/>
  </cols>
  <sheetData>
    <row r="1" spans="1:4" x14ac:dyDescent="0.15">
      <c r="A1" t="s">
        <v>7776</v>
      </c>
      <c r="B1" t="s">
        <v>7777</v>
      </c>
      <c r="C1" t="s">
        <v>7778</v>
      </c>
      <c r="D1" t="s">
        <v>7779</v>
      </c>
    </row>
    <row r="2" spans="1:4" ht="27" x14ac:dyDescent="0.15">
      <c r="A2" t="s">
        <v>7780</v>
      </c>
      <c r="B2" t="s">
        <v>7781</v>
      </c>
      <c r="C2" s="94">
        <v>43286.572918055557</v>
      </c>
      <c r="D2" s="95" t="s">
        <v>7782</v>
      </c>
    </row>
    <row r="3" spans="1:4" x14ac:dyDescent="0.15">
      <c r="C3" s="94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15"/>
  <cols>
    <col min="1" max="2" width="2.625" customWidth="1"/>
    <col min="3" max="3" width="54.25" style="68" customWidth="1"/>
    <col min="4" max="4" width="2.625" style="4" customWidth="1"/>
    <col min="5" max="7" width="2.625" customWidth="1"/>
    <col min="8" max="8" width="54.25" style="65" customWidth="1"/>
    <col min="9" max="10" width="2.625" customWidth="1"/>
    <col min="12" max="12" width="24.5" customWidth="1"/>
    <col min="13" max="13" width="28.75" customWidth="1"/>
  </cols>
  <sheetData>
    <row r="1" spans="1:13" x14ac:dyDescent="0.15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15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445</v>
      </c>
    </row>
    <row r="3" spans="1:13" ht="60" customHeight="1" x14ac:dyDescent="0.4">
      <c r="A3" s="21"/>
      <c r="B3" s="22"/>
      <c r="C3" s="62" t="s">
        <v>129</v>
      </c>
      <c r="D3" s="24"/>
      <c r="E3" s="23"/>
      <c r="F3" s="21"/>
      <c r="G3" s="22"/>
      <c r="H3" s="62" t="s">
        <v>130</v>
      </c>
      <c r="I3" s="22"/>
      <c r="J3" s="23"/>
      <c r="L3" s="54" t="s">
        <v>111</v>
      </c>
      <c r="M3" s="57" t="s">
        <v>446</v>
      </c>
    </row>
    <row r="4" spans="1:13" ht="27.6" customHeight="1" x14ac:dyDescent="0.2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25">
      <c r="A5" s="21"/>
      <c r="B5" s="22" t="s">
        <v>141</v>
      </c>
      <c r="C5" s="64"/>
      <c r="D5" s="24"/>
      <c r="E5" s="23"/>
      <c r="F5" s="21"/>
      <c r="G5" s="22" t="s">
        <v>142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15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15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15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0.4">
      <c r="A9" s="21"/>
      <c r="B9" s="22"/>
      <c r="C9" s="62" t="s">
        <v>131</v>
      </c>
      <c r="D9" s="24"/>
      <c r="E9" s="23"/>
      <c r="F9" s="21"/>
      <c r="G9" s="22"/>
      <c r="H9" s="62" t="s">
        <v>132</v>
      </c>
      <c r="I9" s="22"/>
      <c r="J9" s="23"/>
    </row>
    <row r="10" spans="1:13" ht="27.6" customHeight="1" x14ac:dyDescent="0.15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15">
      <c r="A11" s="21"/>
      <c r="B11" s="22"/>
      <c r="C11" s="64"/>
      <c r="D11" s="24"/>
      <c r="E11" s="23"/>
      <c r="F11" s="21"/>
      <c r="G11" s="22"/>
      <c r="H11" s="61"/>
      <c r="I11" s="24"/>
      <c r="J11" s="23"/>
    </row>
    <row r="12" spans="1:13" x14ac:dyDescent="0.15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15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15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0.4">
      <c r="A15" s="21"/>
      <c r="B15" s="22"/>
      <c r="C15" s="62" t="s">
        <v>133</v>
      </c>
      <c r="D15" s="24"/>
      <c r="E15" s="23"/>
      <c r="F15" s="21"/>
      <c r="G15" s="22"/>
      <c r="H15" s="62" t="s">
        <v>134</v>
      </c>
      <c r="I15" s="22"/>
      <c r="J15" s="23"/>
    </row>
    <row r="16" spans="1:13" ht="27.6" customHeight="1" x14ac:dyDescent="0.15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15">
      <c r="A17" s="21"/>
      <c r="B17" s="22"/>
      <c r="C17" s="64"/>
      <c r="D17" s="24"/>
      <c r="E17" s="23"/>
      <c r="F17" s="21"/>
      <c r="G17" s="22"/>
      <c r="H17" s="61"/>
      <c r="I17" s="24"/>
      <c r="J17" s="23"/>
    </row>
    <row r="18" spans="1:10" x14ac:dyDescent="0.15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15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15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0.4">
      <c r="A21" s="21"/>
      <c r="B21" s="22"/>
      <c r="C21" s="62" t="s">
        <v>130</v>
      </c>
      <c r="D21" s="24"/>
      <c r="E21" s="23"/>
      <c r="F21" s="21"/>
      <c r="G21" s="22"/>
      <c r="H21" s="62" t="s">
        <v>130</v>
      </c>
      <c r="I21" s="22"/>
      <c r="J21" s="23"/>
    </row>
    <row r="22" spans="1:10" ht="27.6" customHeight="1" x14ac:dyDescent="0.15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15">
      <c r="A23" s="21"/>
      <c r="B23" s="22"/>
      <c r="C23" s="64"/>
      <c r="D23" s="24"/>
      <c r="E23" s="23"/>
      <c r="F23" s="21"/>
      <c r="G23" s="22"/>
      <c r="H23" s="61"/>
      <c r="I23" s="24"/>
      <c r="J23" s="23"/>
    </row>
    <row r="24" spans="1:10" x14ac:dyDescent="0.15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15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15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0.4">
      <c r="A27" s="21"/>
      <c r="B27" s="22"/>
      <c r="C27" s="62" t="s">
        <v>130</v>
      </c>
      <c r="D27" s="24"/>
      <c r="E27" s="23"/>
      <c r="F27" s="21"/>
      <c r="G27" s="22"/>
      <c r="H27" s="62" t="s">
        <v>130</v>
      </c>
      <c r="I27" s="22"/>
      <c r="J27" s="23"/>
    </row>
    <row r="28" spans="1:10" ht="27.6" customHeight="1" x14ac:dyDescent="0.15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15">
      <c r="A29" s="21"/>
      <c r="B29" s="22"/>
      <c r="C29" s="64"/>
      <c r="D29" s="24"/>
      <c r="E29" s="23"/>
      <c r="F29" s="21"/>
      <c r="G29" s="22"/>
      <c r="H29" s="61"/>
      <c r="I29" s="24"/>
      <c r="J29" s="23"/>
    </row>
    <row r="30" spans="1:10" x14ac:dyDescent="0.15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15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15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0.4">
      <c r="A33" s="21"/>
      <c r="B33" s="22"/>
      <c r="C33" s="62" t="s">
        <v>130</v>
      </c>
      <c r="D33" s="24"/>
      <c r="E33" s="23"/>
      <c r="F33" s="21"/>
      <c r="G33" s="22"/>
      <c r="H33" s="62" t="s">
        <v>130</v>
      </c>
      <c r="I33" s="22"/>
      <c r="J33" s="23"/>
    </row>
    <row r="34" spans="1:10" ht="27.6" customHeight="1" x14ac:dyDescent="0.15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15">
      <c r="A35" s="21"/>
      <c r="B35" s="22"/>
      <c r="C35" s="64"/>
      <c r="D35" s="24"/>
      <c r="E35" s="23"/>
      <c r="F35" s="21"/>
      <c r="G35" s="22"/>
      <c r="H35" s="61"/>
      <c r="I35" s="24"/>
      <c r="J35" s="23"/>
    </row>
    <row r="36" spans="1:10" x14ac:dyDescent="0.15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15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15">
      <c r="A38" s="21"/>
      <c r="B38" s="28" t="s">
        <v>35</v>
      </c>
      <c r="C38" s="64"/>
      <c r="D38" s="24"/>
      <c r="E38" s="23"/>
      <c r="F38" s="21"/>
      <c r="G38" s="28" t="s">
        <v>35</v>
      </c>
      <c r="H38" s="61"/>
      <c r="I38" s="22"/>
      <c r="J38" s="23"/>
    </row>
    <row r="39" spans="1:10" ht="60" customHeight="1" x14ac:dyDescent="0.4">
      <c r="A39" s="21"/>
      <c r="B39" s="22"/>
      <c r="C39" s="62" t="s">
        <v>135</v>
      </c>
      <c r="D39" s="24"/>
      <c r="E39" s="23"/>
      <c r="F39" s="21"/>
      <c r="G39" s="22"/>
      <c r="H39" s="62" t="s">
        <v>136</v>
      </c>
      <c r="I39" s="22"/>
      <c r="J39" s="23"/>
    </row>
    <row r="40" spans="1:10" ht="27.6" customHeight="1" x14ac:dyDescent="0.3">
      <c r="A40" s="21"/>
      <c r="B40" s="22"/>
      <c r="C40" s="69" t="s">
        <v>128</v>
      </c>
      <c r="D40" s="24"/>
      <c r="E40" s="23"/>
      <c r="F40" s="21"/>
      <c r="G40" s="22"/>
      <c r="H40" s="69" t="s">
        <v>128</v>
      </c>
      <c r="I40" s="22"/>
      <c r="J40" s="23"/>
    </row>
    <row r="41" spans="1:10" ht="33.6" customHeight="1" x14ac:dyDescent="0.15">
      <c r="A41" s="21"/>
      <c r="B41" s="22"/>
      <c r="C41" s="64"/>
      <c r="D41" s="24" t="s">
        <v>5</v>
      </c>
      <c r="E41" s="23"/>
      <c r="F41" s="21"/>
      <c r="G41" s="22"/>
      <c r="H41" s="61"/>
      <c r="I41" s="24" t="s">
        <v>5</v>
      </c>
      <c r="J41" s="23"/>
    </row>
    <row r="42" spans="1:10" x14ac:dyDescent="0.15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15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15">
      <c r="A44" s="21"/>
      <c r="B44" s="22"/>
      <c r="C44" s="64"/>
      <c r="D44" s="24"/>
      <c r="E44" s="23"/>
      <c r="F44" s="21"/>
      <c r="G44" s="28" t="s">
        <v>35</v>
      </c>
      <c r="H44" s="61"/>
      <c r="I44" s="22"/>
      <c r="J44" s="23"/>
    </row>
    <row r="45" spans="1:10" ht="60" customHeight="1" x14ac:dyDescent="0.4">
      <c r="A45" s="21"/>
      <c r="B45" s="22"/>
      <c r="C45" s="62" t="s">
        <v>138</v>
      </c>
      <c r="D45" s="24"/>
      <c r="E45" s="23"/>
      <c r="F45" s="21"/>
      <c r="G45" s="22"/>
      <c r="H45" s="62" t="s">
        <v>137</v>
      </c>
      <c r="I45" s="22"/>
      <c r="J45" s="23"/>
    </row>
    <row r="46" spans="1:10" ht="27.6" customHeight="1" x14ac:dyDescent="0.3">
      <c r="A46" s="21"/>
      <c r="B46" s="22"/>
      <c r="C46" s="69"/>
      <c r="D46" s="24"/>
      <c r="E46" s="23"/>
      <c r="F46" s="21"/>
      <c r="G46" s="22"/>
      <c r="H46" s="69" t="s">
        <v>128</v>
      </c>
      <c r="I46" s="22"/>
      <c r="J46" s="23"/>
    </row>
    <row r="47" spans="1:10" ht="33.6" customHeight="1" x14ac:dyDescent="0.15">
      <c r="A47" s="21"/>
      <c r="B47" s="22"/>
      <c r="C47" s="64"/>
      <c r="D47" s="24"/>
      <c r="E47" s="23"/>
      <c r="F47" s="21"/>
      <c r="G47" s="22"/>
      <c r="H47" s="61"/>
      <c r="I47" s="24" t="s">
        <v>5</v>
      </c>
      <c r="J47" s="23"/>
    </row>
    <row r="48" spans="1:10" x14ac:dyDescent="0.15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15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15">
      <c r="A50" s="21"/>
      <c r="B50" s="22"/>
      <c r="C50" s="64"/>
      <c r="D50" s="24"/>
      <c r="E50" s="23"/>
      <c r="F50" s="21"/>
      <c r="G50" s="28" t="s">
        <v>35</v>
      </c>
      <c r="H50" s="61"/>
      <c r="I50" s="22"/>
      <c r="J50" s="23"/>
    </row>
    <row r="51" spans="1:10" ht="60" customHeight="1" x14ac:dyDescent="0.4">
      <c r="A51" s="21"/>
      <c r="B51" s="22"/>
      <c r="C51" s="62" t="s">
        <v>139</v>
      </c>
      <c r="D51" s="24"/>
      <c r="E51" s="23"/>
      <c r="F51" s="21"/>
      <c r="G51" s="22"/>
      <c r="H51" s="62" t="s">
        <v>140</v>
      </c>
      <c r="I51" s="22"/>
      <c r="J51" s="23"/>
    </row>
    <row r="52" spans="1:10" ht="27.6" customHeight="1" x14ac:dyDescent="0.3">
      <c r="A52" s="21"/>
      <c r="B52" s="22"/>
      <c r="C52" s="69"/>
      <c r="D52" s="24"/>
      <c r="E52" s="23"/>
      <c r="F52" s="21"/>
      <c r="G52" s="22"/>
      <c r="H52" s="69" t="s">
        <v>128</v>
      </c>
      <c r="I52" s="22"/>
      <c r="J52" s="23"/>
    </row>
    <row r="53" spans="1:10" ht="33.6" customHeight="1" x14ac:dyDescent="0.15">
      <c r="A53" s="21"/>
      <c r="B53" s="22"/>
      <c r="C53" s="64"/>
      <c r="D53" s="24"/>
      <c r="E53" s="23"/>
      <c r="F53" s="21"/>
      <c r="G53" s="22"/>
      <c r="H53" s="61"/>
      <c r="I53" s="24" t="s">
        <v>5</v>
      </c>
      <c r="J53" s="23"/>
    </row>
    <row r="54" spans="1:10" x14ac:dyDescent="0.15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15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15">
      <c r="A56" s="21"/>
      <c r="B56" s="22"/>
      <c r="C56" s="64"/>
      <c r="D56" s="24"/>
      <c r="E56" s="23"/>
      <c r="F56" s="21"/>
      <c r="G56" s="28" t="s">
        <v>35</v>
      </c>
      <c r="H56" s="61"/>
      <c r="I56" s="22"/>
      <c r="J56" s="23"/>
    </row>
    <row r="57" spans="1:10" ht="60" customHeight="1" x14ac:dyDescent="0.4">
      <c r="A57" s="21"/>
      <c r="B57" s="22"/>
      <c r="C57" s="62" t="s">
        <v>124</v>
      </c>
      <c r="D57" s="24"/>
      <c r="E57" s="23"/>
      <c r="F57" s="21"/>
      <c r="G57" s="22"/>
      <c r="H57" s="62" t="s">
        <v>116</v>
      </c>
      <c r="I57" s="22"/>
      <c r="J57" s="23"/>
    </row>
    <row r="58" spans="1:10" ht="27.6" customHeight="1" x14ac:dyDescent="0.3">
      <c r="A58" s="21"/>
      <c r="B58" s="22"/>
      <c r="C58" s="69"/>
      <c r="D58" s="24"/>
      <c r="E58" s="23"/>
      <c r="F58" s="21"/>
      <c r="G58" s="22"/>
      <c r="H58" s="69" t="s">
        <v>128</v>
      </c>
      <c r="I58" s="22"/>
      <c r="J58" s="23"/>
    </row>
    <row r="59" spans="1:10" ht="33.6" customHeight="1" x14ac:dyDescent="0.15">
      <c r="A59" s="21"/>
      <c r="B59" s="22"/>
      <c r="C59" s="64"/>
      <c r="D59" s="24"/>
      <c r="E59" s="23"/>
      <c r="F59" s="21"/>
      <c r="G59" s="22"/>
      <c r="H59" s="61"/>
      <c r="I59" s="24" t="s">
        <v>5</v>
      </c>
      <c r="J59" s="23"/>
    </row>
    <row r="60" spans="1:10" x14ac:dyDescent="0.15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15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15">
      <c r="A62" s="21"/>
      <c r="B62" s="22"/>
      <c r="C62" s="64"/>
      <c r="D62" s="24"/>
      <c r="E62" s="23"/>
      <c r="F62" s="21"/>
      <c r="G62" s="28" t="s">
        <v>35</v>
      </c>
      <c r="H62" s="61"/>
      <c r="I62" s="22"/>
      <c r="J62" s="23"/>
    </row>
    <row r="63" spans="1:10" ht="60" customHeight="1" x14ac:dyDescent="0.4">
      <c r="A63" s="21"/>
      <c r="B63" s="22"/>
      <c r="C63" s="62" t="s">
        <v>124</v>
      </c>
      <c r="D63" s="24"/>
      <c r="E63" s="23"/>
      <c r="F63" s="21"/>
      <c r="G63" s="22"/>
      <c r="H63" s="62" t="s">
        <v>116</v>
      </c>
      <c r="I63" s="22"/>
      <c r="J63" s="23"/>
    </row>
    <row r="64" spans="1:10" ht="27.6" customHeight="1" x14ac:dyDescent="0.3">
      <c r="A64" s="21"/>
      <c r="B64" s="22"/>
      <c r="C64" s="69"/>
      <c r="D64" s="24"/>
      <c r="E64" s="23"/>
      <c r="F64" s="21"/>
      <c r="G64" s="22"/>
      <c r="H64" s="69" t="s">
        <v>128</v>
      </c>
      <c r="I64" s="22"/>
      <c r="J64" s="23"/>
    </row>
    <row r="65" spans="1:10" ht="33.6" customHeight="1" x14ac:dyDescent="0.15">
      <c r="A65" s="21"/>
      <c r="B65" s="22"/>
      <c r="C65" s="64"/>
      <c r="D65" s="24"/>
      <c r="E65" s="23"/>
      <c r="F65" s="21"/>
      <c r="G65" s="22"/>
      <c r="H65" s="61"/>
      <c r="I65" s="24" t="s">
        <v>5</v>
      </c>
      <c r="J65" s="23"/>
    </row>
    <row r="66" spans="1:10" x14ac:dyDescent="0.15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15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15">
      <c r="A68" s="21"/>
      <c r="B68" s="22"/>
      <c r="C68" s="64"/>
      <c r="D68" s="24"/>
      <c r="E68" s="23"/>
      <c r="F68" s="21"/>
      <c r="G68" s="28" t="s">
        <v>35</v>
      </c>
      <c r="H68" s="61"/>
      <c r="I68" s="22"/>
      <c r="J68" s="23"/>
    </row>
    <row r="69" spans="1:10" ht="60" customHeight="1" x14ac:dyDescent="0.4">
      <c r="A69" s="21"/>
      <c r="B69" s="22"/>
      <c r="C69" s="62" t="s">
        <v>1046</v>
      </c>
      <c r="D69" s="24"/>
      <c r="E69" s="23"/>
      <c r="F69" s="21"/>
      <c r="G69" s="22"/>
      <c r="H69" s="62" t="s">
        <v>1047</v>
      </c>
      <c r="I69" s="22"/>
      <c r="J69" s="23"/>
    </row>
    <row r="70" spans="1:10" ht="27.6" customHeight="1" x14ac:dyDescent="0.3">
      <c r="A70" s="21"/>
      <c r="B70" s="22"/>
      <c r="C70" s="69"/>
      <c r="D70" s="24"/>
      <c r="E70" s="23"/>
      <c r="F70" s="21"/>
      <c r="G70" s="22"/>
      <c r="H70" s="69" t="s">
        <v>128</v>
      </c>
      <c r="I70" s="22"/>
      <c r="J70" s="23"/>
    </row>
    <row r="71" spans="1:10" ht="33.6" customHeight="1" x14ac:dyDescent="0.15">
      <c r="A71" s="21"/>
      <c r="B71" s="22"/>
      <c r="C71" s="64"/>
      <c r="D71" s="24"/>
      <c r="E71" s="23"/>
      <c r="F71" s="21"/>
      <c r="G71" s="22"/>
      <c r="H71" s="61"/>
      <c r="I71" s="24" t="s">
        <v>5</v>
      </c>
      <c r="J71" s="23"/>
    </row>
    <row r="72" spans="1:10" x14ac:dyDescent="0.15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15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15">
      <c r="A74" s="21"/>
      <c r="B74" s="28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0.4">
      <c r="A75" s="21"/>
      <c r="B75" s="22"/>
      <c r="C75" s="62"/>
      <c r="D75" s="24"/>
      <c r="E75" s="23"/>
      <c r="F75" s="21"/>
      <c r="G75" s="22"/>
      <c r="H75" s="62"/>
      <c r="I75" s="22"/>
      <c r="J75" s="23"/>
    </row>
    <row r="76" spans="1:10" ht="27.6" customHeight="1" x14ac:dyDescent="0.3">
      <c r="A76" s="21"/>
      <c r="B76" s="22"/>
      <c r="C76" s="69"/>
      <c r="D76" s="24"/>
      <c r="E76" s="23"/>
      <c r="F76" s="21"/>
      <c r="G76" s="22"/>
      <c r="H76" s="69"/>
      <c r="I76" s="22"/>
      <c r="J76" s="23"/>
    </row>
    <row r="77" spans="1:10" ht="33.6" customHeight="1" x14ac:dyDescent="0.15">
      <c r="A77" s="21"/>
      <c r="B77" s="22"/>
      <c r="C77" s="64"/>
      <c r="D77" s="24"/>
      <c r="E77" s="23"/>
      <c r="F77" s="21"/>
      <c r="G77" s="22"/>
      <c r="H77" s="61"/>
      <c r="I77" s="24"/>
      <c r="J77" s="23"/>
    </row>
    <row r="78" spans="1:10" x14ac:dyDescent="0.15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15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15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0.4">
      <c r="A81" s="21"/>
      <c r="B81" s="22"/>
      <c r="C81" s="62"/>
      <c r="D81" s="24"/>
      <c r="E81" s="23"/>
      <c r="F81" s="21"/>
      <c r="G81" s="22"/>
      <c r="H81" s="62"/>
      <c r="I81" s="22"/>
      <c r="J81" s="23"/>
    </row>
    <row r="82" spans="1:10" ht="27.6" customHeight="1" x14ac:dyDescent="0.3">
      <c r="A82" s="21"/>
      <c r="B82" s="22"/>
      <c r="C82" s="69"/>
      <c r="D82" s="24"/>
      <c r="E82" s="23"/>
      <c r="F82" s="21"/>
      <c r="G82" s="22"/>
      <c r="H82" s="69"/>
      <c r="I82" s="22"/>
      <c r="J82" s="23"/>
    </row>
    <row r="83" spans="1:10" ht="33.6" customHeight="1" x14ac:dyDescent="0.15">
      <c r="A83" s="21"/>
      <c r="B83" s="22"/>
      <c r="C83" s="64"/>
      <c r="D83" s="24"/>
      <c r="E83" s="23"/>
      <c r="F83" s="21"/>
      <c r="G83" s="22"/>
      <c r="H83" s="61"/>
      <c r="I83" s="24"/>
      <c r="J83" s="23"/>
    </row>
    <row r="84" spans="1:10" x14ac:dyDescent="0.15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15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15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0.4">
      <c r="A87" s="21"/>
      <c r="B87" s="22"/>
      <c r="C87" s="62"/>
      <c r="D87" s="24"/>
      <c r="E87" s="23"/>
      <c r="F87" s="21"/>
      <c r="G87" s="22"/>
      <c r="H87" s="62"/>
      <c r="I87" s="22"/>
      <c r="J87" s="23"/>
    </row>
    <row r="88" spans="1:10" ht="27.6" customHeight="1" x14ac:dyDescent="0.3">
      <c r="A88" s="21"/>
      <c r="B88" s="22"/>
      <c r="C88" s="69"/>
      <c r="D88" s="24"/>
      <c r="E88" s="23"/>
      <c r="F88" s="21"/>
      <c r="G88" s="22"/>
      <c r="H88" s="69"/>
      <c r="I88" s="22"/>
      <c r="J88" s="23"/>
    </row>
    <row r="89" spans="1:10" ht="33.6" customHeight="1" x14ac:dyDescent="0.15">
      <c r="A89" s="21"/>
      <c r="B89" s="22"/>
      <c r="C89" s="64"/>
      <c r="D89" s="24"/>
      <c r="E89" s="23"/>
      <c r="F89" s="21"/>
      <c r="G89" s="22"/>
      <c r="H89" s="61"/>
      <c r="I89" s="24"/>
      <c r="J89" s="23"/>
    </row>
    <row r="90" spans="1:10" x14ac:dyDescent="0.15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15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15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0.4">
      <c r="A93" s="21"/>
      <c r="B93" s="22"/>
      <c r="C93" s="62"/>
      <c r="D93" s="24"/>
      <c r="E93" s="23"/>
      <c r="F93" s="21"/>
      <c r="G93" s="22"/>
      <c r="H93" s="62"/>
      <c r="I93" s="22"/>
      <c r="J93" s="23"/>
    </row>
    <row r="94" spans="1:10" ht="27.6" customHeight="1" x14ac:dyDescent="0.3">
      <c r="A94" s="21"/>
      <c r="B94" s="22"/>
      <c r="C94" s="69"/>
      <c r="D94" s="24"/>
      <c r="E94" s="23"/>
      <c r="F94" s="21"/>
      <c r="G94" s="22"/>
      <c r="H94" s="69"/>
      <c r="I94" s="22"/>
      <c r="J94" s="23"/>
    </row>
    <row r="95" spans="1:10" ht="33.6" customHeight="1" x14ac:dyDescent="0.15">
      <c r="A95" s="21"/>
      <c r="B95" s="22"/>
      <c r="C95" s="64"/>
      <c r="D95" s="24"/>
      <c r="E95" s="23"/>
      <c r="F95" s="21"/>
      <c r="G95" s="22"/>
      <c r="H95" s="61"/>
      <c r="I95" s="24"/>
      <c r="J95" s="23"/>
    </row>
    <row r="96" spans="1:10" x14ac:dyDescent="0.15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15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15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0.4">
      <c r="A99" s="21"/>
      <c r="B99" s="22"/>
      <c r="C99" s="62"/>
      <c r="D99" s="24"/>
      <c r="E99" s="23"/>
      <c r="F99" s="21"/>
      <c r="G99" s="22"/>
      <c r="H99" s="62"/>
      <c r="I99" s="22"/>
      <c r="J99" s="23"/>
    </row>
    <row r="100" spans="1:10" ht="27.6" customHeight="1" x14ac:dyDescent="0.3">
      <c r="A100" s="21"/>
      <c r="B100" s="22"/>
      <c r="C100" s="69"/>
      <c r="D100" s="24"/>
      <c r="E100" s="23"/>
      <c r="F100" s="21"/>
      <c r="G100" s="22"/>
      <c r="H100" s="69"/>
      <c r="I100" s="22"/>
      <c r="J100" s="23"/>
    </row>
    <row r="101" spans="1:10" ht="33.6" customHeight="1" x14ac:dyDescent="0.15">
      <c r="A101" s="21"/>
      <c r="B101" s="22"/>
      <c r="C101" s="64"/>
      <c r="D101" s="24"/>
      <c r="E101" s="23"/>
      <c r="F101" s="21"/>
      <c r="G101" s="22"/>
      <c r="H101" s="61"/>
      <c r="I101" s="24"/>
      <c r="J101" s="23"/>
    </row>
    <row r="102" spans="1:10" x14ac:dyDescent="0.15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15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15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0.4">
      <c r="A105" s="21"/>
      <c r="B105" s="22"/>
      <c r="C105" s="62"/>
      <c r="D105" s="24"/>
      <c r="E105" s="23"/>
      <c r="F105" s="21"/>
      <c r="G105" s="22"/>
      <c r="H105" s="62"/>
      <c r="I105" s="22"/>
      <c r="J105" s="23"/>
    </row>
    <row r="106" spans="1:10" ht="27.6" customHeight="1" x14ac:dyDescent="0.3">
      <c r="A106" s="21"/>
      <c r="B106" s="22"/>
      <c r="C106" s="69"/>
      <c r="D106" s="24"/>
      <c r="E106" s="23"/>
      <c r="F106" s="21"/>
      <c r="G106" s="22"/>
      <c r="H106" s="69"/>
      <c r="I106" s="22"/>
      <c r="J106" s="23"/>
    </row>
    <row r="107" spans="1:10" ht="33.6" customHeight="1" x14ac:dyDescent="0.15">
      <c r="A107" s="21"/>
      <c r="B107" s="22"/>
      <c r="C107" s="64"/>
      <c r="D107" s="24"/>
      <c r="E107" s="23"/>
      <c r="F107" s="21"/>
      <c r="G107" s="22"/>
      <c r="H107" s="61"/>
      <c r="I107" s="24"/>
      <c r="J107" s="23"/>
    </row>
    <row r="108" spans="1:10" x14ac:dyDescent="0.15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15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15">
      <c r="A110" s="21"/>
      <c r="B110" s="28"/>
      <c r="C110" s="64"/>
      <c r="D110" s="24"/>
      <c r="E110" s="23"/>
      <c r="F110" s="21"/>
      <c r="G110" s="28"/>
      <c r="H110" s="61"/>
      <c r="I110" s="22"/>
      <c r="J110" s="23"/>
    </row>
    <row r="111" spans="1:10" ht="60" customHeight="1" x14ac:dyDescent="0.4">
      <c r="A111" s="21"/>
      <c r="B111" s="22"/>
      <c r="C111" s="62"/>
      <c r="D111" s="24"/>
      <c r="E111" s="23"/>
      <c r="F111" s="21"/>
      <c r="G111" s="22"/>
      <c r="H111" s="62"/>
      <c r="I111" s="22"/>
      <c r="J111" s="23"/>
    </row>
    <row r="112" spans="1:10" ht="27.6" customHeight="1" x14ac:dyDescent="0.3">
      <c r="A112" s="21"/>
      <c r="B112" s="22"/>
      <c r="C112" s="69"/>
      <c r="D112" s="24"/>
      <c r="E112" s="23"/>
      <c r="F112" s="21"/>
      <c r="G112" s="22"/>
      <c r="H112" s="69"/>
      <c r="I112" s="22"/>
      <c r="J112" s="23"/>
    </row>
    <row r="113" spans="1:10" ht="33.6" customHeight="1" x14ac:dyDescent="0.15">
      <c r="A113" s="21"/>
      <c r="B113" s="22"/>
      <c r="C113" s="64"/>
      <c r="D113" s="24"/>
      <c r="E113" s="23"/>
      <c r="F113" s="21"/>
      <c r="G113" s="22"/>
      <c r="H113" s="61"/>
      <c r="I113" s="24"/>
      <c r="J113" s="23"/>
    </row>
    <row r="114" spans="1:10" x14ac:dyDescent="0.15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15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15">
      <c r="A116" s="21"/>
      <c r="B116" s="22"/>
      <c r="C116" s="64"/>
      <c r="D116" s="24"/>
      <c r="E116" s="23"/>
      <c r="F116" s="21"/>
      <c r="G116" s="28"/>
      <c r="H116" s="61"/>
      <c r="I116" s="22"/>
      <c r="J116" s="23"/>
    </row>
    <row r="117" spans="1:10" ht="60" customHeight="1" x14ac:dyDescent="0.4">
      <c r="A117" s="21"/>
      <c r="B117" s="22"/>
      <c r="C117" s="62"/>
      <c r="D117" s="24"/>
      <c r="E117" s="23"/>
      <c r="F117" s="21"/>
      <c r="G117" s="22"/>
      <c r="H117" s="62"/>
      <c r="I117" s="22"/>
      <c r="J117" s="23"/>
    </row>
    <row r="118" spans="1:10" ht="27.6" customHeight="1" x14ac:dyDescent="0.3">
      <c r="A118" s="21"/>
      <c r="B118" s="22"/>
      <c r="C118" s="69"/>
      <c r="D118" s="24"/>
      <c r="E118" s="23"/>
      <c r="F118" s="21"/>
      <c r="G118" s="22"/>
      <c r="H118" s="69"/>
      <c r="I118" s="22"/>
      <c r="J118" s="23"/>
    </row>
    <row r="119" spans="1:10" ht="33.6" customHeight="1" x14ac:dyDescent="0.15">
      <c r="A119" s="21"/>
      <c r="B119" s="22"/>
      <c r="C119" s="64"/>
      <c r="D119" s="24"/>
      <c r="E119" s="23"/>
      <c r="F119" s="21"/>
      <c r="G119" s="22"/>
      <c r="H119" s="61"/>
      <c r="I119" s="24"/>
      <c r="J119" s="23"/>
    </row>
    <row r="120" spans="1:10" x14ac:dyDescent="0.15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15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15">
      <c r="A122" s="21"/>
      <c r="B122" s="22"/>
      <c r="C122" s="64"/>
      <c r="D122" s="24"/>
      <c r="E122" s="23"/>
      <c r="F122" s="21"/>
      <c r="G122" s="28"/>
      <c r="H122" s="61"/>
      <c r="I122" s="22"/>
      <c r="J122" s="23"/>
    </row>
    <row r="123" spans="1:10" ht="60" customHeight="1" x14ac:dyDescent="0.4">
      <c r="A123" s="21"/>
      <c r="B123" s="22"/>
      <c r="C123" s="62"/>
      <c r="D123" s="24"/>
      <c r="E123" s="23"/>
      <c r="F123" s="21"/>
      <c r="G123" s="22"/>
      <c r="H123" s="62"/>
      <c r="I123" s="22"/>
      <c r="J123" s="23"/>
    </row>
    <row r="124" spans="1:10" ht="27.6" customHeight="1" x14ac:dyDescent="0.3">
      <c r="A124" s="21"/>
      <c r="B124" s="22"/>
      <c r="C124" s="69"/>
      <c r="D124" s="24"/>
      <c r="E124" s="23"/>
      <c r="F124" s="21"/>
      <c r="G124" s="22"/>
      <c r="H124" s="69"/>
      <c r="I124" s="22"/>
      <c r="J124" s="23"/>
    </row>
    <row r="125" spans="1:10" ht="33.6" customHeight="1" x14ac:dyDescent="0.15">
      <c r="A125" s="21"/>
      <c r="B125" s="22"/>
      <c r="C125" s="64"/>
      <c r="D125" s="24"/>
      <c r="E125" s="23"/>
      <c r="F125" s="21"/>
      <c r="G125" s="22"/>
      <c r="H125" s="61"/>
      <c r="I125" s="24"/>
      <c r="J125" s="23"/>
    </row>
    <row r="126" spans="1:10" x14ac:dyDescent="0.15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15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15">
      <c r="A128" s="21"/>
      <c r="B128" s="22"/>
      <c r="C128" s="64"/>
      <c r="D128" s="24"/>
      <c r="E128" s="23"/>
      <c r="F128" s="21"/>
      <c r="G128" s="28"/>
      <c r="H128" s="61"/>
      <c r="I128" s="22"/>
      <c r="J128" s="23"/>
    </row>
    <row r="129" spans="1:10" ht="60" customHeight="1" x14ac:dyDescent="0.4">
      <c r="A129" s="21"/>
      <c r="B129" s="22"/>
      <c r="C129" s="62"/>
      <c r="D129" s="24"/>
      <c r="E129" s="23"/>
      <c r="F129" s="21"/>
      <c r="G129" s="22"/>
      <c r="H129" s="62"/>
      <c r="I129" s="22"/>
      <c r="J129" s="23"/>
    </row>
    <row r="130" spans="1:10" ht="27.6" customHeight="1" x14ac:dyDescent="0.3">
      <c r="A130" s="21"/>
      <c r="B130" s="22"/>
      <c r="C130" s="69"/>
      <c r="D130" s="24"/>
      <c r="E130" s="23"/>
      <c r="F130" s="21"/>
      <c r="G130" s="22"/>
      <c r="H130" s="69"/>
      <c r="I130" s="22"/>
      <c r="J130" s="23"/>
    </row>
    <row r="131" spans="1:10" ht="33.6" customHeight="1" x14ac:dyDescent="0.15">
      <c r="A131" s="21"/>
      <c r="B131" s="22"/>
      <c r="C131" s="64"/>
      <c r="D131" s="24"/>
      <c r="E131" s="23"/>
      <c r="F131" s="21"/>
      <c r="G131" s="22"/>
      <c r="H131" s="61"/>
      <c r="I131" s="24"/>
      <c r="J131" s="23"/>
    </row>
    <row r="132" spans="1:10" x14ac:dyDescent="0.15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15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15">
      <c r="A134" s="21"/>
      <c r="B134" s="22"/>
      <c r="C134" s="64"/>
      <c r="D134" s="24"/>
      <c r="E134" s="23"/>
      <c r="F134" s="21"/>
      <c r="G134" s="28"/>
      <c r="H134" s="61"/>
      <c r="I134" s="22"/>
      <c r="J134" s="23"/>
    </row>
    <row r="135" spans="1:10" ht="60" customHeight="1" x14ac:dyDescent="0.4">
      <c r="A135" s="21"/>
      <c r="B135" s="22"/>
      <c r="C135" s="62"/>
      <c r="D135" s="24"/>
      <c r="E135" s="23"/>
      <c r="F135" s="21"/>
      <c r="G135" s="22"/>
      <c r="H135" s="62"/>
      <c r="I135" s="22"/>
      <c r="J135" s="23"/>
    </row>
    <row r="136" spans="1:10" ht="27.6" customHeight="1" x14ac:dyDescent="0.3">
      <c r="A136" s="21"/>
      <c r="B136" s="22"/>
      <c r="C136" s="69"/>
      <c r="D136" s="24"/>
      <c r="E136" s="23"/>
      <c r="F136" s="21"/>
      <c r="G136" s="22"/>
      <c r="H136" s="69"/>
      <c r="I136" s="22"/>
      <c r="J136" s="23"/>
    </row>
    <row r="137" spans="1:10" ht="33.6" customHeight="1" x14ac:dyDescent="0.15">
      <c r="A137" s="21"/>
      <c r="B137" s="22"/>
      <c r="C137" s="64"/>
      <c r="D137" s="24"/>
      <c r="E137" s="23"/>
      <c r="F137" s="21"/>
      <c r="G137" s="22"/>
      <c r="H137" s="61"/>
      <c r="I137" s="24"/>
      <c r="J137" s="23"/>
    </row>
    <row r="138" spans="1:10" x14ac:dyDescent="0.15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15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15">
      <c r="A140" s="21"/>
      <c r="B140" s="22"/>
      <c r="C140" s="64"/>
      <c r="D140" s="24"/>
      <c r="E140" s="23"/>
      <c r="F140" s="21"/>
      <c r="G140" s="28"/>
      <c r="H140" s="61"/>
      <c r="I140" s="22"/>
      <c r="J140" s="23"/>
    </row>
    <row r="141" spans="1:10" ht="60" customHeight="1" x14ac:dyDescent="0.4">
      <c r="A141" s="21"/>
      <c r="B141" s="22"/>
      <c r="C141" s="62"/>
      <c r="D141" s="24"/>
      <c r="E141" s="23"/>
      <c r="F141" s="21"/>
      <c r="G141" s="22"/>
      <c r="H141" s="62"/>
      <c r="I141" s="22"/>
      <c r="J141" s="23"/>
    </row>
    <row r="142" spans="1:10" ht="27.6" customHeight="1" x14ac:dyDescent="0.3">
      <c r="A142" s="21"/>
      <c r="B142" s="22"/>
      <c r="C142" s="69"/>
      <c r="D142" s="24"/>
      <c r="E142" s="23"/>
      <c r="F142" s="21"/>
      <c r="G142" s="22"/>
      <c r="H142" s="69"/>
      <c r="I142" s="22"/>
      <c r="J142" s="23"/>
    </row>
    <row r="143" spans="1:10" ht="33.6" customHeight="1" x14ac:dyDescent="0.15">
      <c r="A143" s="21"/>
      <c r="B143" s="22"/>
      <c r="C143" s="64"/>
      <c r="D143" s="24"/>
      <c r="E143" s="23"/>
      <c r="F143" s="21"/>
      <c r="G143" s="22"/>
      <c r="H143" s="61"/>
      <c r="I143" s="24"/>
      <c r="J143" s="23"/>
    </row>
    <row r="144" spans="1:10" x14ac:dyDescent="0.15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15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15">
      <c r="A146" s="21"/>
      <c r="B146" s="28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0.4">
      <c r="A147" s="21"/>
      <c r="B147" s="22"/>
      <c r="C147" s="62"/>
      <c r="D147" s="24"/>
      <c r="E147" s="23"/>
      <c r="F147" s="21"/>
      <c r="G147" s="22"/>
      <c r="H147" s="62"/>
      <c r="I147" s="22"/>
      <c r="J147" s="23"/>
    </row>
    <row r="148" spans="1:10" ht="27.6" customHeight="1" x14ac:dyDescent="0.3">
      <c r="A148" s="21"/>
      <c r="B148" s="22"/>
      <c r="C148" s="69"/>
      <c r="D148" s="24"/>
      <c r="E148" s="23"/>
      <c r="F148" s="21"/>
      <c r="G148" s="22"/>
      <c r="H148" s="69"/>
      <c r="I148" s="22"/>
      <c r="J148" s="23"/>
    </row>
    <row r="149" spans="1:10" ht="33.6" customHeight="1" x14ac:dyDescent="0.15">
      <c r="A149" s="21"/>
      <c r="B149" s="22"/>
      <c r="C149" s="64"/>
      <c r="D149" s="24"/>
      <c r="E149" s="23"/>
      <c r="F149" s="21"/>
      <c r="G149" s="22"/>
      <c r="H149" s="61"/>
      <c r="I149" s="24"/>
      <c r="J149" s="23"/>
    </row>
    <row r="150" spans="1:10" x14ac:dyDescent="0.15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15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15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0.4">
      <c r="A153" s="21"/>
      <c r="B153" s="22"/>
      <c r="C153" s="62"/>
      <c r="D153" s="24"/>
      <c r="E153" s="23"/>
      <c r="F153" s="21"/>
      <c r="G153" s="22"/>
      <c r="H153" s="62"/>
      <c r="I153" s="22"/>
      <c r="J153" s="23"/>
    </row>
    <row r="154" spans="1:10" ht="27.6" customHeight="1" x14ac:dyDescent="0.3">
      <c r="A154" s="21"/>
      <c r="B154" s="22"/>
      <c r="C154" s="69"/>
      <c r="D154" s="24"/>
      <c r="E154" s="23"/>
      <c r="F154" s="21"/>
      <c r="G154" s="22"/>
      <c r="H154" s="69"/>
      <c r="I154" s="22"/>
      <c r="J154" s="23"/>
    </row>
    <row r="155" spans="1:10" ht="33.6" customHeight="1" x14ac:dyDescent="0.15">
      <c r="A155" s="21"/>
      <c r="B155" s="22"/>
      <c r="C155" s="64"/>
      <c r="D155" s="24"/>
      <c r="E155" s="23"/>
      <c r="F155" s="21"/>
      <c r="G155" s="22"/>
      <c r="H155" s="61"/>
      <c r="I155" s="24"/>
      <c r="J155" s="23"/>
    </row>
    <row r="156" spans="1:10" x14ac:dyDescent="0.15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15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15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0.4">
      <c r="A159" s="21"/>
      <c r="B159" s="22"/>
      <c r="C159" s="62"/>
      <c r="D159" s="24"/>
      <c r="E159" s="23"/>
      <c r="F159" s="21"/>
      <c r="G159" s="22"/>
      <c r="H159" s="62"/>
      <c r="I159" s="22"/>
      <c r="J159" s="23"/>
    </row>
    <row r="160" spans="1:10" ht="27.6" customHeight="1" x14ac:dyDescent="0.3">
      <c r="A160" s="21"/>
      <c r="B160" s="22"/>
      <c r="C160" s="69"/>
      <c r="D160" s="24"/>
      <c r="E160" s="23"/>
      <c r="F160" s="21"/>
      <c r="G160" s="22"/>
      <c r="H160" s="69"/>
      <c r="I160" s="22"/>
      <c r="J160" s="23"/>
    </row>
    <row r="161" spans="1:10" ht="33.6" customHeight="1" x14ac:dyDescent="0.15">
      <c r="A161" s="21"/>
      <c r="B161" s="22"/>
      <c r="C161" s="64"/>
      <c r="D161" s="24"/>
      <c r="E161" s="23"/>
      <c r="F161" s="21"/>
      <c r="G161" s="22"/>
      <c r="H161" s="61"/>
      <c r="I161" s="24"/>
      <c r="J161" s="23"/>
    </row>
    <row r="162" spans="1:10" x14ac:dyDescent="0.15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15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15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0.4">
      <c r="A165" s="21"/>
      <c r="B165" s="22"/>
      <c r="C165" s="62"/>
      <c r="D165" s="24"/>
      <c r="E165" s="23"/>
      <c r="F165" s="21"/>
      <c r="G165" s="22"/>
      <c r="H165" s="62"/>
      <c r="I165" s="22"/>
      <c r="J165" s="23"/>
    </row>
    <row r="166" spans="1:10" ht="27.6" customHeight="1" x14ac:dyDescent="0.3">
      <c r="A166" s="21"/>
      <c r="B166" s="22"/>
      <c r="C166" s="69"/>
      <c r="D166" s="24"/>
      <c r="E166" s="23"/>
      <c r="F166" s="21"/>
      <c r="G166" s="22"/>
      <c r="H166" s="69"/>
      <c r="I166" s="22"/>
      <c r="J166" s="23"/>
    </row>
    <row r="167" spans="1:10" ht="33.6" customHeight="1" x14ac:dyDescent="0.15">
      <c r="A167" s="21"/>
      <c r="B167" s="22"/>
      <c r="C167" s="64"/>
      <c r="D167" s="24"/>
      <c r="E167" s="23"/>
      <c r="F167" s="21"/>
      <c r="G167" s="22"/>
      <c r="H167" s="61"/>
      <c r="I167" s="24"/>
      <c r="J167" s="23"/>
    </row>
    <row r="168" spans="1:10" x14ac:dyDescent="0.15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15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15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0.4">
      <c r="A171" s="21"/>
      <c r="B171" s="22"/>
      <c r="C171" s="62"/>
      <c r="D171" s="24"/>
      <c r="E171" s="23"/>
      <c r="F171" s="21"/>
      <c r="G171" s="22"/>
      <c r="H171" s="62"/>
      <c r="I171" s="22"/>
      <c r="J171" s="23"/>
    </row>
    <row r="172" spans="1:10" ht="27.6" customHeight="1" x14ac:dyDescent="0.3">
      <c r="A172" s="21"/>
      <c r="B172" s="22"/>
      <c r="C172" s="69"/>
      <c r="D172" s="24"/>
      <c r="E172" s="23"/>
      <c r="F172" s="21"/>
      <c r="G172" s="22"/>
      <c r="H172" s="69"/>
      <c r="I172" s="22"/>
      <c r="J172" s="23"/>
    </row>
    <row r="173" spans="1:10" ht="33.6" customHeight="1" x14ac:dyDescent="0.15">
      <c r="A173" s="21"/>
      <c r="B173" s="22"/>
      <c r="C173" s="64"/>
      <c r="D173" s="24"/>
      <c r="E173" s="23"/>
      <c r="F173" s="21"/>
      <c r="G173" s="22"/>
      <c r="H173" s="61"/>
      <c r="I173" s="24"/>
      <c r="J173" s="23"/>
    </row>
    <row r="174" spans="1:10" x14ac:dyDescent="0.15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15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15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0.4">
      <c r="A177" s="21"/>
      <c r="B177" s="22"/>
      <c r="C177" s="62"/>
      <c r="D177" s="24"/>
      <c r="E177" s="23"/>
      <c r="F177" s="21"/>
      <c r="G177" s="22"/>
      <c r="H177" s="62"/>
      <c r="I177" s="22"/>
      <c r="J177" s="23"/>
    </row>
    <row r="178" spans="1:10" ht="27.6" customHeight="1" x14ac:dyDescent="0.3">
      <c r="A178" s="21"/>
      <c r="B178" s="22"/>
      <c r="C178" s="69"/>
      <c r="D178" s="24"/>
      <c r="E178" s="23"/>
      <c r="F178" s="21"/>
      <c r="G178" s="22"/>
      <c r="H178" s="69"/>
      <c r="I178" s="22"/>
      <c r="J178" s="23"/>
    </row>
    <row r="179" spans="1:10" ht="33.6" customHeight="1" x14ac:dyDescent="0.15">
      <c r="A179" s="21"/>
      <c r="B179" s="22"/>
      <c r="C179" s="64"/>
      <c r="D179" s="24"/>
      <c r="E179" s="23"/>
      <c r="F179" s="21"/>
      <c r="G179" s="22"/>
      <c r="H179" s="61"/>
      <c r="I179" s="24"/>
      <c r="J179" s="23"/>
    </row>
    <row r="180" spans="1:10" x14ac:dyDescent="0.15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15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15">
      <c r="A182" s="21"/>
      <c r="B182" s="28"/>
      <c r="C182" s="64"/>
      <c r="D182" s="24"/>
      <c r="E182" s="23"/>
      <c r="F182" s="21"/>
      <c r="G182" s="28"/>
      <c r="H182" s="61"/>
      <c r="I182" s="22"/>
      <c r="J182" s="23"/>
    </row>
    <row r="183" spans="1:10" ht="60" customHeight="1" x14ac:dyDescent="0.4">
      <c r="A183" s="21"/>
      <c r="B183" s="22"/>
      <c r="C183" s="62"/>
      <c r="D183" s="24"/>
      <c r="E183" s="23"/>
      <c r="F183" s="21"/>
      <c r="G183" s="22"/>
      <c r="H183" s="62"/>
      <c r="I183" s="22"/>
      <c r="J183" s="23"/>
    </row>
    <row r="184" spans="1:10" ht="27.6" customHeight="1" x14ac:dyDescent="0.3">
      <c r="A184" s="21"/>
      <c r="B184" s="22"/>
      <c r="C184" s="69"/>
      <c r="D184" s="24"/>
      <c r="E184" s="23"/>
      <c r="F184" s="21"/>
      <c r="G184" s="22"/>
      <c r="H184" s="69"/>
      <c r="I184" s="22"/>
      <c r="J184" s="23"/>
    </row>
    <row r="185" spans="1:10" ht="33.6" customHeight="1" x14ac:dyDescent="0.15">
      <c r="A185" s="21"/>
      <c r="B185" s="22"/>
      <c r="C185" s="64"/>
      <c r="D185" s="24"/>
      <c r="E185" s="23"/>
      <c r="F185" s="21"/>
      <c r="G185" s="22"/>
      <c r="H185" s="61"/>
      <c r="I185" s="24"/>
      <c r="J185" s="23"/>
    </row>
    <row r="186" spans="1:10" x14ac:dyDescent="0.15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15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15">
      <c r="A188" s="21"/>
      <c r="B188" s="22"/>
      <c r="C188" s="64"/>
      <c r="D188" s="24"/>
      <c r="E188" s="23"/>
      <c r="F188" s="21"/>
      <c r="G188" s="28"/>
      <c r="H188" s="61"/>
      <c r="I188" s="22"/>
      <c r="J188" s="23"/>
    </row>
    <row r="189" spans="1:10" ht="60" customHeight="1" x14ac:dyDescent="0.4">
      <c r="A189" s="21"/>
      <c r="B189" s="22"/>
      <c r="C189" s="62"/>
      <c r="D189" s="24"/>
      <c r="E189" s="23"/>
      <c r="F189" s="21"/>
      <c r="G189" s="22"/>
      <c r="H189" s="62"/>
      <c r="I189" s="22"/>
      <c r="J189" s="23"/>
    </row>
    <row r="190" spans="1:10" ht="27.6" customHeight="1" x14ac:dyDescent="0.3">
      <c r="A190" s="21"/>
      <c r="B190" s="22"/>
      <c r="C190" s="69"/>
      <c r="D190" s="24"/>
      <c r="E190" s="23"/>
      <c r="F190" s="21"/>
      <c r="G190" s="22"/>
      <c r="H190" s="69"/>
      <c r="I190" s="22"/>
      <c r="J190" s="23"/>
    </row>
    <row r="191" spans="1:10" ht="33.6" customHeight="1" x14ac:dyDescent="0.15">
      <c r="A191" s="21"/>
      <c r="B191" s="22"/>
      <c r="C191" s="64"/>
      <c r="D191" s="24"/>
      <c r="E191" s="23"/>
      <c r="F191" s="21"/>
      <c r="G191" s="22"/>
      <c r="H191" s="61"/>
      <c r="I191" s="24"/>
      <c r="J191" s="23"/>
    </row>
    <row r="192" spans="1:10" x14ac:dyDescent="0.15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15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15">
      <c r="A194" s="21"/>
      <c r="B194" s="22"/>
      <c r="C194" s="64"/>
      <c r="D194" s="24"/>
      <c r="E194" s="23"/>
      <c r="F194" s="21"/>
      <c r="G194" s="28"/>
      <c r="H194" s="61"/>
      <c r="I194" s="22"/>
      <c r="J194" s="23"/>
    </row>
    <row r="195" spans="1:10" ht="60" customHeight="1" x14ac:dyDescent="0.4">
      <c r="A195" s="21"/>
      <c r="B195" s="22"/>
      <c r="C195" s="62"/>
      <c r="D195" s="24"/>
      <c r="E195" s="23"/>
      <c r="F195" s="21"/>
      <c r="G195" s="22"/>
      <c r="H195" s="62"/>
      <c r="I195" s="22"/>
      <c r="J195" s="23"/>
    </row>
    <row r="196" spans="1:10" ht="27.6" customHeight="1" x14ac:dyDescent="0.3">
      <c r="A196" s="21"/>
      <c r="B196" s="22"/>
      <c r="C196" s="69"/>
      <c r="D196" s="24"/>
      <c r="E196" s="23"/>
      <c r="F196" s="21"/>
      <c r="G196" s="22"/>
      <c r="H196" s="69"/>
      <c r="I196" s="22"/>
      <c r="J196" s="23"/>
    </row>
    <row r="197" spans="1:10" ht="33.6" customHeight="1" x14ac:dyDescent="0.15">
      <c r="A197" s="21"/>
      <c r="B197" s="22"/>
      <c r="C197" s="64"/>
      <c r="D197" s="24"/>
      <c r="E197" s="23"/>
      <c r="F197" s="21"/>
      <c r="G197" s="22"/>
      <c r="H197" s="61"/>
      <c r="I197" s="24"/>
      <c r="J197" s="23"/>
    </row>
    <row r="198" spans="1:10" x14ac:dyDescent="0.15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15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15">
      <c r="A200" s="21"/>
      <c r="B200" s="22"/>
      <c r="C200" s="64"/>
      <c r="D200" s="24"/>
      <c r="E200" s="23"/>
      <c r="F200" s="21"/>
      <c r="G200" s="28"/>
      <c r="H200" s="61"/>
      <c r="I200" s="22"/>
      <c r="J200" s="23"/>
    </row>
    <row r="201" spans="1:10" ht="60" customHeight="1" x14ac:dyDescent="0.4">
      <c r="A201" s="21"/>
      <c r="B201" s="22"/>
      <c r="C201" s="62"/>
      <c r="D201" s="24"/>
      <c r="E201" s="23"/>
      <c r="F201" s="21"/>
      <c r="G201" s="22"/>
      <c r="H201" s="62"/>
      <c r="I201" s="22"/>
      <c r="J201" s="23"/>
    </row>
    <row r="202" spans="1:10" ht="27.6" customHeight="1" x14ac:dyDescent="0.3">
      <c r="A202" s="21"/>
      <c r="B202" s="22"/>
      <c r="C202" s="69"/>
      <c r="D202" s="24"/>
      <c r="E202" s="23"/>
      <c r="F202" s="21"/>
      <c r="G202" s="22"/>
      <c r="H202" s="69"/>
      <c r="I202" s="22"/>
      <c r="J202" s="23"/>
    </row>
    <row r="203" spans="1:10" ht="33.6" customHeight="1" x14ac:dyDescent="0.15">
      <c r="A203" s="21"/>
      <c r="B203" s="22"/>
      <c r="C203" s="64"/>
      <c r="D203" s="24"/>
      <c r="E203" s="23"/>
      <c r="F203" s="21"/>
      <c r="G203" s="22"/>
      <c r="H203" s="61"/>
      <c r="I203" s="24"/>
      <c r="J203" s="23"/>
    </row>
    <row r="204" spans="1:10" x14ac:dyDescent="0.15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15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15">
      <c r="A206" s="21"/>
      <c r="B206" s="22"/>
      <c r="C206" s="64"/>
      <c r="D206" s="24"/>
      <c r="E206" s="23"/>
      <c r="F206" s="21"/>
      <c r="G206" s="28"/>
      <c r="H206" s="61"/>
      <c r="I206" s="22"/>
      <c r="J206" s="23"/>
    </row>
    <row r="207" spans="1:10" ht="60" customHeight="1" x14ac:dyDescent="0.4">
      <c r="A207" s="21"/>
      <c r="B207" s="22"/>
      <c r="C207" s="62"/>
      <c r="D207" s="24"/>
      <c r="E207" s="23"/>
      <c r="F207" s="21"/>
      <c r="G207" s="22"/>
      <c r="H207" s="62"/>
      <c r="I207" s="22"/>
      <c r="J207" s="23"/>
    </row>
    <row r="208" spans="1:10" ht="27.6" customHeight="1" x14ac:dyDescent="0.3">
      <c r="A208" s="21"/>
      <c r="B208" s="22"/>
      <c r="C208" s="69"/>
      <c r="D208" s="24"/>
      <c r="E208" s="23"/>
      <c r="F208" s="21"/>
      <c r="G208" s="22"/>
      <c r="H208" s="69"/>
      <c r="I208" s="22"/>
      <c r="J208" s="23"/>
    </row>
    <row r="209" spans="1:10" ht="33.6" customHeight="1" x14ac:dyDescent="0.15">
      <c r="A209" s="21"/>
      <c r="B209" s="22"/>
      <c r="C209" s="64"/>
      <c r="D209" s="24"/>
      <c r="E209" s="23"/>
      <c r="F209" s="21"/>
      <c r="G209" s="22"/>
      <c r="H209" s="61"/>
      <c r="I209" s="24"/>
      <c r="J209" s="23"/>
    </row>
    <row r="210" spans="1:10" x14ac:dyDescent="0.15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15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15">
      <c r="A212" s="21"/>
      <c r="B212" s="22"/>
      <c r="C212" s="64"/>
      <c r="D212" s="24"/>
      <c r="E212" s="23"/>
      <c r="F212" s="21"/>
      <c r="G212" s="28"/>
      <c r="H212" s="61"/>
      <c r="I212" s="22"/>
      <c r="J212" s="23"/>
    </row>
    <row r="213" spans="1:10" ht="60" customHeight="1" x14ac:dyDescent="0.4">
      <c r="A213" s="21"/>
      <c r="B213" s="22"/>
      <c r="C213" s="62"/>
      <c r="D213" s="24"/>
      <c r="E213" s="23"/>
      <c r="F213" s="21"/>
      <c r="G213" s="22"/>
      <c r="H213" s="62"/>
      <c r="I213" s="22"/>
      <c r="J213" s="23"/>
    </row>
    <row r="214" spans="1:10" ht="27.6" customHeight="1" x14ac:dyDescent="0.3">
      <c r="A214" s="21"/>
      <c r="B214" s="22"/>
      <c r="C214" s="69"/>
      <c r="D214" s="24"/>
      <c r="E214" s="23"/>
      <c r="F214" s="21"/>
      <c r="G214" s="22"/>
      <c r="H214" s="69"/>
      <c r="I214" s="22"/>
      <c r="J214" s="23"/>
    </row>
    <row r="215" spans="1:10" ht="33.6" customHeight="1" x14ac:dyDescent="0.15">
      <c r="A215" s="21"/>
      <c r="B215" s="22"/>
      <c r="C215" s="64"/>
      <c r="D215" s="24"/>
      <c r="E215" s="23"/>
      <c r="F215" s="21"/>
      <c r="G215" s="22"/>
      <c r="H215" s="61"/>
      <c r="I215" s="24"/>
      <c r="J215" s="23"/>
    </row>
    <row r="216" spans="1:10" x14ac:dyDescent="0.15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83</vt:i4>
      </vt:variant>
    </vt:vector>
  </HeadingPairs>
  <TitlesOfParts>
    <vt:vector size="92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版本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单词本</vt:lpstr>
      <vt:lpstr>完形填空词汇七下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Gang MA</cp:lastModifiedBy>
  <cp:lastPrinted>2018-07-04T04:47:23Z</cp:lastPrinted>
  <dcterms:created xsi:type="dcterms:W3CDTF">2006-09-16T00:00:00Z</dcterms:created>
  <dcterms:modified xsi:type="dcterms:W3CDTF">2018-07-05T05:46:05Z</dcterms:modified>
</cp:coreProperties>
</file>